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ano/Library/Mobile Documents/com~apple~CloudDocs/2026/CIB/"/>
    </mc:Choice>
  </mc:AlternateContent>
  <xr:revisionPtr revIDLastSave="0" documentId="13_ncr:1_{EE5978AF-72E4-AE47-8893-F3BD5B0A7475}" xr6:coauthVersionLast="47" xr6:coauthVersionMax="47" xr10:uidLastSave="{00000000-0000-0000-0000-000000000000}"/>
  <bookViews>
    <workbookView xWindow="0" yWindow="500" windowWidth="28800" windowHeight="17500" activeTab="2" xr2:uid="{00000000-000D-0000-FFFF-FFFF00000000}"/>
  </bookViews>
  <sheets>
    <sheet name="Datos_analisis_curadomanual" sheetId="4" r:id="rId1"/>
    <sheet name="Registros_excluidos" sheetId="2" r:id="rId2"/>
    <sheet name="Diccionario_variables" sheetId="3" r:id="rId3"/>
  </sheets>
  <definedNames>
    <definedName name="_xlnm._FilterDatabase" localSheetId="0" hidden="1">Datos_analisis_curadomanual!$A$1:$CA$1627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 i="2" l="1"/>
  <c r="T2" i="2"/>
  <c r="U2" i="2" s="1" a="1"/>
  <c r="U2" i="2" s="1"/>
  <c r="T61" i="4"/>
  <c r="U61" i="4" s="1" a="1"/>
  <c r="U61" i="4" s="1"/>
  <c r="AB61" i="4"/>
  <c r="T62" i="4"/>
  <c r="U62" i="4" s="1" a="1"/>
  <c r="U62" i="4" s="1"/>
  <c r="AB62" i="4"/>
  <c r="T63" i="4"/>
  <c r="U63" i="4" s="1" a="1"/>
  <c r="U63" i="4" s="1"/>
  <c r="AB63" i="4"/>
  <c r="T64" i="4"/>
  <c r="U64" i="4" s="1" a="1"/>
  <c r="U64" i="4" s="1"/>
  <c r="AB64" i="4"/>
  <c r="T65" i="4"/>
  <c r="U65" i="4" s="1" a="1"/>
  <c r="U65" i="4" s="1"/>
  <c r="AB65" i="4"/>
  <c r="T66" i="4"/>
  <c r="U66" i="4" s="1" a="1"/>
  <c r="U66" i="4" s="1"/>
  <c r="AB66" i="4"/>
  <c r="T67" i="4"/>
  <c r="U67" i="4" s="1" a="1"/>
  <c r="U67" i="4" s="1"/>
  <c r="AB67" i="4"/>
  <c r="T68" i="4"/>
  <c r="U68" i="4" s="1" a="1"/>
  <c r="U68" i="4" s="1"/>
  <c r="AB68" i="4"/>
  <c r="T69" i="4"/>
  <c r="U69" i="4" s="1" a="1"/>
  <c r="U69" i="4" s="1"/>
  <c r="AB69" i="4"/>
  <c r="T70" i="4"/>
  <c r="U70" i="4" s="1" a="1"/>
  <c r="U70" i="4" s="1"/>
  <c r="AB70" i="4"/>
  <c r="T71" i="4"/>
  <c r="U71" i="4" s="1" a="1"/>
  <c r="U71" i="4" s="1"/>
  <c r="AB71" i="4"/>
  <c r="T72" i="4"/>
  <c r="U72" i="4" s="1" a="1"/>
  <c r="U72" i="4" s="1"/>
  <c r="AB72" i="4"/>
  <c r="T73" i="4"/>
  <c r="U73" i="4" s="1" a="1"/>
  <c r="U73" i="4" s="1"/>
  <c r="AB73" i="4"/>
  <c r="T74" i="4"/>
  <c r="U74" i="4" s="1" a="1"/>
  <c r="U74" i="4" s="1"/>
  <c r="AB74" i="4"/>
  <c r="T75" i="4"/>
  <c r="U75" i="4" s="1" a="1"/>
  <c r="U75" i="4" s="1"/>
  <c r="AB75" i="4"/>
  <c r="T76" i="4"/>
  <c r="U76" i="4" s="1" a="1"/>
  <c r="U76" i="4" s="1"/>
  <c r="AB76" i="4"/>
  <c r="T77" i="4"/>
  <c r="U77" i="4" s="1" a="1"/>
  <c r="U77" i="4" s="1"/>
  <c r="AB77" i="4"/>
  <c r="T78" i="4"/>
  <c r="U78" i="4" s="1" a="1"/>
  <c r="U78" i="4" s="1"/>
  <c r="AB78" i="4"/>
  <c r="T79" i="4"/>
  <c r="U79" i="4" s="1" a="1"/>
  <c r="U79" i="4" s="1"/>
  <c r="AB79" i="4"/>
  <c r="T80" i="4"/>
  <c r="U80" i="4" s="1" a="1"/>
  <c r="U80" i="4" s="1"/>
  <c r="AB80" i="4"/>
  <c r="T81" i="4"/>
  <c r="U81" i="4" s="1" a="1"/>
  <c r="U81" i="4" s="1"/>
  <c r="AB81" i="4"/>
  <c r="T82" i="4"/>
  <c r="U82" i="4" s="1" a="1"/>
  <c r="U82" i="4" s="1"/>
  <c r="AB82" i="4"/>
  <c r="T83" i="4"/>
  <c r="U83" i="4" s="1" a="1"/>
  <c r="U83" i="4" s="1"/>
  <c r="AB83" i="4"/>
  <c r="T84" i="4"/>
  <c r="U84" i="4" s="1" a="1"/>
  <c r="U84" i="4" s="1"/>
  <c r="AB84" i="4"/>
  <c r="T85" i="4"/>
  <c r="U85" i="4" s="1" a="1"/>
  <c r="U85" i="4" s="1"/>
  <c r="AB85" i="4"/>
  <c r="T86" i="4"/>
  <c r="U86" i="4" s="1" a="1"/>
  <c r="U86" i="4" s="1"/>
  <c r="AB86" i="4"/>
  <c r="T87" i="4"/>
  <c r="U87" i="4" s="1" a="1"/>
  <c r="U87" i="4" s="1"/>
  <c r="AB87" i="4"/>
  <c r="T88" i="4"/>
  <c r="U88" i="4" s="1" a="1"/>
  <c r="U88" i="4" s="1"/>
  <c r="AB88" i="4"/>
  <c r="T89" i="4"/>
  <c r="U89" i="4" s="1" a="1"/>
  <c r="U89" i="4" s="1"/>
  <c r="AB89" i="4"/>
  <c r="T90" i="4"/>
  <c r="U90" i="4" s="1" a="1"/>
  <c r="U90" i="4" s="1"/>
  <c r="AB90" i="4"/>
  <c r="T91" i="4"/>
  <c r="U91" i="4" s="1" a="1"/>
  <c r="U91" i="4" s="1"/>
  <c r="AB91" i="4"/>
  <c r="T92" i="4"/>
  <c r="U92" i="4" s="1" a="1"/>
  <c r="U92" i="4" s="1"/>
  <c r="AB92" i="4"/>
  <c r="T93" i="4"/>
  <c r="U93" i="4" s="1" a="1"/>
  <c r="U93" i="4" s="1"/>
  <c r="AB93" i="4"/>
  <c r="T94" i="4"/>
  <c r="U94" i="4" s="1" a="1"/>
  <c r="U94" i="4" s="1"/>
  <c r="AB94" i="4"/>
  <c r="T95" i="4"/>
  <c r="U95" i="4" s="1" a="1"/>
  <c r="U95" i="4" s="1"/>
  <c r="AB95" i="4"/>
  <c r="T96" i="4"/>
  <c r="U96" i="4" s="1" a="1"/>
  <c r="U96" i="4" s="1"/>
  <c r="AB96" i="4"/>
  <c r="T97" i="4"/>
  <c r="U97" i="4" s="1" a="1"/>
  <c r="U97" i="4" s="1"/>
  <c r="AB97" i="4"/>
  <c r="T98" i="4"/>
  <c r="U98" i="4" s="1" a="1"/>
  <c r="U98" i="4" s="1"/>
  <c r="AB98" i="4"/>
  <c r="T99" i="4"/>
  <c r="U99" i="4" s="1" a="1"/>
  <c r="U99" i="4" s="1"/>
  <c r="AB99" i="4"/>
  <c r="T100" i="4"/>
  <c r="U100" i="4" s="1" a="1"/>
  <c r="U100" i="4" s="1"/>
  <c r="AB100" i="4"/>
  <c r="T101" i="4"/>
  <c r="U101" i="4" s="1" a="1"/>
  <c r="U101" i="4" s="1"/>
  <c r="AB101" i="4"/>
  <c r="T102" i="4"/>
  <c r="U102" i="4" s="1" a="1"/>
  <c r="U102" i="4" s="1"/>
  <c r="AB102" i="4"/>
  <c r="T103" i="4"/>
  <c r="U103" i="4" s="1" a="1"/>
  <c r="U103" i="4" s="1"/>
  <c r="AB103" i="4"/>
  <c r="T104" i="4"/>
  <c r="U104" i="4" s="1" a="1"/>
  <c r="U104" i="4" s="1"/>
  <c r="AB104" i="4"/>
  <c r="T105" i="4"/>
  <c r="U105" i="4" s="1" a="1"/>
  <c r="U105" i="4" s="1"/>
  <c r="AB105" i="4"/>
  <c r="T106" i="4"/>
  <c r="U106" i="4" s="1" a="1"/>
  <c r="U106" i="4" s="1"/>
  <c r="AB106" i="4"/>
  <c r="T107" i="4"/>
  <c r="U107" i="4" s="1" a="1"/>
  <c r="U107" i="4" s="1"/>
  <c r="AB107" i="4"/>
  <c r="T108" i="4"/>
  <c r="U108" i="4" s="1" a="1"/>
  <c r="U108" i="4" s="1"/>
  <c r="AB108" i="4"/>
  <c r="T109" i="4"/>
  <c r="U109" i="4" s="1" a="1"/>
  <c r="U109" i="4" s="1"/>
  <c r="AB109" i="4"/>
  <c r="T110" i="4"/>
  <c r="U110" i="4" s="1" a="1"/>
  <c r="U110" i="4" s="1"/>
  <c r="AB110" i="4"/>
  <c r="T111" i="4"/>
  <c r="U111" i="4" s="1" a="1"/>
  <c r="U111" i="4" s="1"/>
  <c r="AB111" i="4"/>
  <c r="T112" i="4"/>
  <c r="U112" i="4" s="1" a="1"/>
  <c r="U112" i="4" s="1"/>
  <c r="AB112" i="4"/>
  <c r="T113" i="4"/>
  <c r="U113" i="4" s="1" a="1"/>
  <c r="U113" i="4" s="1"/>
  <c r="AB113" i="4"/>
  <c r="T114" i="4"/>
  <c r="U114" i="4" s="1" a="1"/>
  <c r="U114" i="4" s="1"/>
  <c r="AB114" i="4"/>
  <c r="T115" i="4"/>
  <c r="U115" i="4" s="1" a="1"/>
  <c r="U115" i="4" s="1"/>
  <c r="AB115" i="4"/>
  <c r="T116" i="4"/>
  <c r="U116" i="4" s="1" a="1"/>
  <c r="U116" i="4" s="1"/>
  <c r="AB116" i="4"/>
  <c r="T117" i="4"/>
  <c r="U117" i="4" s="1" a="1"/>
  <c r="U117" i="4" s="1"/>
  <c r="AB117" i="4"/>
  <c r="T118" i="4"/>
  <c r="U118" i="4" s="1" a="1"/>
  <c r="U118" i="4" s="1"/>
  <c r="AB118" i="4"/>
  <c r="T119" i="4"/>
  <c r="U119" i="4" s="1" a="1"/>
  <c r="U119" i="4" s="1"/>
  <c r="AB119" i="4"/>
  <c r="T120" i="4"/>
  <c r="U120" i="4" s="1" a="1"/>
  <c r="U120" i="4" s="1"/>
  <c r="AB120" i="4"/>
  <c r="T121" i="4"/>
  <c r="U121" i="4" s="1" a="1"/>
  <c r="U121" i="4" s="1"/>
  <c r="AB121" i="4"/>
  <c r="T122" i="4"/>
  <c r="U122" i="4" s="1" a="1"/>
  <c r="U122" i="4" s="1"/>
  <c r="AB122" i="4"/>
  <c r="T123" i="4"/>
  <c r="U123" i="4" s="1" a="1"/>
  <c r="U123" i="4" s="1"/>
  <c r="AB123" i="4"/>
  <c r="T124" i="4"/>
  <c r="U124" i="4" s="1" a="1"/>
  <c r="U124" i="4" s="1"/>
  <c r="AB124" i="4"/>
  <c r="T125" i="4"/>
  <c r="U125" i="4" s="1" a="1"/>
  <c r="U125" i="4" s="1"/>
  <c r="AB125" i="4"/>
  <c r="T126" i="4"/>
  <c r="U126" i="4" s="1" a="1"/>
  <c r="U126" i="4" s="1"/>
  <c r="AB126" i="4"/>
  <c r="T127" i="4"/>
  <c r="U127" i="4" s="1" a="1"/>
  <c r="U127" i="4" s="1"/>
  <c r="AB127" i="4"/>
  <c r="T128" i="4"/>
  <c r="U128" i="4" s="1" a="1"/>
  <c r="U128" i="4" s="1"/>
  <c r="AB128" i="4"/>
  <c r="T129" i="4"/>
  <c r="U129" i="4" s="1" a="1"/>
  <c r="U129" i="4" s="1"/>
  <c r="AB129" i="4"/>
  <c r="T130" i="4"/>
  <c r="U130" i="4" s="1" a="1"/>
  <c r="U130" i="4" s="1"/>
  <c r="AB130" i="4"/>
  <c r="T131" i="4"/>
  <c r="U131" i="4" s="1" a="1"/>
  <c r="U131" i="4" s="1"/>
  <c r="AB131" i="4"/>
  <c r="T132" i="4"/>
  <c r="U132" i="4" s="1" a="1"/>
  <c r="U132" i="4" s="1"/>
  <c r="AB132" i="4"/>
  <c r="T133" i="4"/>
  <c r="U133" i="4" s="1" a="1"/>
  <c r="U133" i="4" s="1"/>
  <c r="AB133" i="4"/>
  <c r="T134" i="4"/>
  <c r="U134" i="4" s="1" a="1"/>
  <c r="U134" i="4" s="1"/>
  <c r="AB134" i="4"/>
  <c r="T135" i="4"/>
  <c r="U135" i="4" s="1" a="1"/>
  <c r="U135" i="4" s="1"/>
  <c r="AB135" i="4"/>
  <c r="T136" i="4"/>
  <c r="U136" i="4" s="1" a="1"/>
  <c r="U136" i="4" s="1"/>
  <c r="AB136" i="4"/>
  <c r="T137" i="4"/>
  <c r="U137" i="4" s="1" a="1"/>
  <c r="U137" i="4" s="1"/>
  <c r="AB137" i="4"/>
  <c r="T138" i="4"/>
  <c r="U138" i="4" s="1" a="1"/>
  <c r="U138" i="4" s="1"/>
  <c r="AB138" i="4"/>
  <c r="T139" i="4"/>
  <c r="U139" i="4" s="1" a="1"/>
  <c r="U139" i="4" s="1"/>
  <c r="AB139" i="4"/>
  <c r="T140" i="4"/>
  <c r="U140" i="4" s="1" a="1"/>
  <c r="U140" i="4" s="1"/>
  <c r="AB140" i="4"/>
  <c r="T141" i="4"/>
  <c r="U141" i="4" s="1" a="1"/>
  <c r="U141" i="4" s="1"/>
  <c r="AB141" i="4"/>
  <c r="T142" i="4"/>
  <c r="U142" i="4" s="1" a="1"/>
  <c r="U142" i="4" s="1"/>
  <c r="AB142" i="4"/>
  <c r="T143" i="4"/>
  <c r="U143" i="4" s="1" a="1"/>
  <c r="U143" i="4" s="1"/>
  <c r="AB143" i="4"/>
  <c r="T144" i="4"/>
  <c r="U144" i="4" s="1" a="1"/>
  <c r="U144" i="4" s="1"/>
  <c r="AB144" i="4"/>
  <c r="T145" i="4"/>
  <c r="U145" i="4" s="1" a="1"/>
  <c r="U145" i="4" s="1"/>
  <c r="AB145" i="4"/>
  <c r="T146" i="4"/>
  <c r="U146" i="4" s="1" a="1"/>
  <c r="U146" i="4" s="1"/>
  <c r="AB146" i="4"/>
  <c r="T147" i="4"/>
  <c r="U147" i="4" s="1" a="1"/>
  <c r="U147" i="4" s="1"/>
  <c r="AB147" i="4"/>
  <c r="T148" i="4"/>
  <c r="U148" i="4" s="1" a="1"/>
  <c r="U148" i="4" s="1"/>
  <c r="AB148" i="4"/>
  <c r="T149" i="4"/>
  <c r="U149" i="4" s="1" a="1"/>
  <c r="U149" i="4" s="1"/>
  <c r="AB149" i="4"/>
  <c r="T150" i="4"/>
  <c r="U150" i="4" s="1" a="1"/>
  <c r="U150" i="4" s="1"/>
  <c r="AB150" i="4"/>
  <c r="T151" i="4"/>
  <c r="U151" i="4" s="1" a="1"/>
  <c r="U151" i="4" s="1"/>
  <c r="AB151" i="4"/>
  <c r="T152" i="4"/>
  <c r="U152" i="4" s="1" a="1"/>
  <c r="U152" i="4" s="1"/>
  <c r="AB152" i="4"/>
  <c r="T153" i="4"/>
  <c r="U153" i="4" s="1" a="1"/>
  <c r="U153" i="4" s="1"/>
  <c r="AB153" i="4"/>
  <c r="T154" i="4"/>
  <c r="U154" i="4" s="1" a="1"/>
  <c r="U154" i="4" s="1"/>
  <c r="AB154" i="4"/>
  <c r="T155" i="4"/>
  <c r="U155" i="4" s="1" a="1"/>
  <c r="U155" i="4" s="1"/>
  <c r="AB155" i="4"/>
  <c r="T156" i="4"/>
  <c r="U156" i="4" s="1" a="1"/>
  <c r="U156" i="4" s="1"/>
  <c r="AB156" i="4"/>
  <c r="T157" i="4"/>
  <c r="U157" i="4" s="1" a="1"/>
  <c r="U157" i="4" s="1"/>
  <c r="AB157" i="4"/>
  <c r="T158" i="4"/>
  <c r="U158" i="4" s="1" a="1"/>
  <c r="U158" i="4" s="1"/>
  <c r="AB158" i="4"/>
  <c r="T159" i="4"/>
  <c r="U159" i="4" s="1" a="1"/>
  <c r="U159" i="4" s="1"/>
  <c r="AB159" i="4"/>
  <c r="T160" i="4"/>
  <c r="U160" i="4" s="1" a="1"/>
  <c r="U160" i="4" s="1"/>
  <c r="AB160" i="4"/>
  <c r="T161" i="4"/>
  <c r="U161" i="4" s="1" a="1"/>
  <c r="U161" i="4" s="1"/>
  <c r="AB161" i="4"/>
  <c r="T162" i="4"/>
  <c r="U162" i="4" s="1" a="1"/>
  <c r="U162" i="4" s="1"/>
  <c r="AB162" i="4"/>
  <c r="T163" i="4"/>
  <c r="U163" i="4" s="1" a="1"/>
  <c r="U163" i="4" s="1"/>
  <c r="AB163" i="4"/>
  <c r="T164" i="4"/>
  <c r="U164" i="4" s="1" a="1"/>
  <c r="U164" i="4" s="1"/>
  <c r="AB164" i="4"/>
  <c r="T165" i="4"/>
  <c r="U165" i="4" s="1" a="1"/>
  <c r="U165" i="4" s="1"/>
  <c r="AB165" i="4"/>
  <c r="T166" i="4"/>
  <c r="U166" i="4" s="1" a="1"/>
  <c r="U166" i="4" s="1"/>
  <c r="AB166" i="4"/>
  <c r="T167" i="4"/>
  <c r="U167" i="4" s="1" a="1"/>
  <c r="U167" i="4" s="1"/>
  <c r="AB167" i="4"/>
  <c r="T168" i="4"/>
  <c r="U168" i="4" s="1" a="1"/>
  <c r="U168" i="4" s="1"/>
  <c r="AB168" i="4"/>
  <c r="T169" i="4"/>
  <c r="U169" i="4" s="1" a="1"/>
  <c r="U169" i="4" s="1"/>
  <c r="AB169" i="4"/>
  <c r="T170" i="4"/>
  <c r="U170" i="4" s="1" a="1"/>
  <c r="U170" i="4" s="1"/>
  <c r="AB170" i="4"/>
  <c r="T171" i="4"/>
  <c r="U171" i="4" s="1" a="1"/>
  <c r="U171" i="4" s="1"/>
  <c r="AB171" i="4"/>
  <c r="T172" i="4"/>
  <c r="U172" i="4" s="1" a="1"/>
  <c r="U172" i="4" s="1"/>
  <c r="AB172" i="4"/>
  <c r="T173" i="4"/>
  <c r="U173" i="4" s="1" a="1"/>
  <c r="U173" i="4" s="1"/>
  <c r="AB173" i="4"/>
  <c r="T174" i="4"/>
  <c r="U174" i="4" s="1" a="1"/>
  <c r="U174" i="4" s="1"/>
  <c r="AB174" i="4"/>
  <c r="T175" i="4"/>
  <c r="U175" i="4" s="1" a="1"/>
  <c r="U175" i="4" s="1"/>
  <c r="AB175" i="4"/>
  <c r="T176" i="4"/>
  <c r="U176" i="4" s="1" a="1"/>
  <c r="U176" i="4" s="1"/>
  <c r="AB176" i="4"/>
  <c r="T177" i="4"/>
  <c r="U177" i="4" s="1" a="1"/>
  <c r="U177" i="4" s="1"/>
  <c r="AB177" i="4"/>
  <c r="T178" i="4"/>
  <c r="U178" i="4" s="1" a="1"/>
  <c r="U178" i="4" s="1"/>
  <c r="AB178" i="4"/>
  <c r="T179" i="4"/>
  <c r="U179" i="4" s="1" a="1"/>
  <c r="U179" i="4" s="1"/>
  <c r="AB179" i="4"/>
  <c r="T180" i="4"/>
  <c r="U180" i="4" s="1" a="1"/>
  <c r="U180" i="4" s="1"/>
  <c r="AB180" i="4"/>
  <c r="T181" i="4"/>
  <c r="U181" i="4" s="1" a="1"/>
  <c r="U181" i="4" s="1"/>
  <c r="AB181" i="4"/>
  <c r="T182" i="4"/>
  <c r="U182" i="4" s="1" a="1"/>
  <c r="U182" i="4" s="1"/>
  <c r="AB182" i="4"/>
  <c r="T183" i="4"/>
  <c r="U183" i="4" s="1" a="1"/>
  <c r="U183" i="4" s="1"/>
  <c r="AB183" i="4"/>
  <c r="T184" i="4"/>
  <c r="U184" i="4" s="1" a="1"/>
  <c r="U184" i="4" s="1"/>
  <c r="AB184" i="4"/>
  <c r="T185" i="4"/>
  <c r="U185" i="4" s="1" a="1"/>
  <c r="U185" i="4" s="1"/>
  <c r="AB185" i="4"/>
  <c r="T186" i="4"/>
  <c r="U186" i="4" s="1" a="1"/>
  <c r="U186" i="4" s="1"/>
  <c r="AB186" i="4"/>
  <c r="T187" i="4"/>
  <c r="U187" i="4" s="1" a="1"/>
  <c r="U187" i="4" s="1"/>
  <c r="AB187" i="4"/>
  <c r="T188" i="4"/>
  <c r="U188" i="4" s="1" a="1"/>
  <c r="U188" i="4" s="1"/>
  <c r="AB188" i="4"/>
  <c r="T189" i="4"/>
  <c r="U189" i="4" s="1" a="1"/>
  <c r="U189" i="4" s="1"/>
  <c r="AB189" i="4"/>
  <c r="T190" i="4"/>
  <c r="U190" i="4" s="1" a="1"/>
  <c r="U190" i="4" s="1"/>
  <c r="AB190" i="4"/>
  <c r="T191" i="4"/>
  <c r="U191" i="4" s="1" a="1"/>
  <c r="U191" i="4" s="1"/>
  <c r="AB191" i="4"/>
  <c r="T192" i="4"/>
  <c r="U192" i="4" s="1" a="1"/>
  <c r="U192" i="4" s="1"/>
  <c r="AB192" i="4"/>
  <c r="T193" i="4"/>
  <c r="U193" i="4" s="1" a="1"/>
  <c r="U193" i="4" s="1"/>
  <c r="AB193" i="4"/>
  <c r="T194" i="4"/>
  <c r="U194" i="4" s="1" a="1"/>
  <c r="U194" i="4" s="1"/>
  <c r="AB194" i="4"/>
  <c r="T195" i="4"/>
  <c r="U195" i="4" s="1" a="1"/>
  <c r="U195" i="4" s="1"/>
  <c r="AB195" i="4"/>
  <c r="T196" i="4"/>
  <c r="U196" i="4" s="1" a="1"/>
  <c r="U196" i="4" s="1"/>
  <c r="AB196" i="4"/>
  <c r="T197" i="4"/>
  <c r="U197" i="4" s="1" a="1"/>
  <c r="U197" i="4" s="1"/>
  <c r="AB197" i="4"/>
  <c r="T198" i="4"/>
  <c r="U198" i="4" s="1" a="1"/>
  <c r="U198" i="4" s="1"/>
  <c r="AB198" i="4"/>
  <c r="T199" i="4"/>
  <c r="U199" i="4" s="1" a="1"/>
  <c r="U199" i="4" s="1"/>
  <c r="AB199" i="4"/>
  <c r="T200" i="4"/>
  <c r="U200" i="4" s="1" a="1"/>
  <c r="U200" i="4" s="1"/>
  <c r="AB200" i="4"/>
  <c r="T201" i="4"/>
  <c r="U201" i="4" s="1" a="1"/>
  <c r="U201" i="4" s="1"/>
  <c r="AB201" i="4"/>
  <c r="T202" i="4"/>
  <c r="U202" i="4" s="1" a="1"/>
  <c r="U202" i="4" s="1"/>
  <c r="AB202" i="4"/>
  <c r="T203" i="4"/>
  <c r="U203" i="4" s="1" a="1"/>
  <c r="U203" i="4" s="1"/>
  <c r="AB203" i="4"/>
  <c r="T204" i="4"/>
  <c r="U204" i="4" s="1" a="1"/>
  <c r="U204" i="4" s="1"/>
  <c r="AB204" i="4"/>
  <c r="T205" i="4"/>
  <c r="U205" i="4" s="1" a="1"/>
  <c r="U205" i="4" s="1"/>
  <c r="AB205" i="4"/>
  <c r="T206" i="4"/>
  <c r="U206" i="4" s="1" a="1"/>
  <c r="U206" i="4" s="1"/>
  <c r="AB206" i="4"/>
  <c r="T207" i="4"/>
  <c r="U207" i="4" s="1" a="1"/>
  <c r="U207" i="4" s="1"/>
  <c r="AB207" i="4"/>
  <c r="T208" i="4"/>
  <c r="U208" i="4" s="1" a="1"/>
  <c r="U208" i="4" s="1"/>
  <c r="AB208" i="4"/>
  <c r="T209" i="4"/>
  <c r="U209" i="4" s="1" a="1"/>
  <c r="U209" i="4" s="1"/>
  <c r="AB209" i="4"/>
  <c r="T210" i="4"/>
  <c r="U210" i="4" s="1" a="1"/>
  <c r="U210" i="4" s="1"/>
  <c r="AB210" i="4"/>
  <c r="T211" i="4"/>
  <c r="U211" i="4" s="1" a="1"/>
  <c r="U211" i="4" s="1"/>
  <c r="AB211" i="4"/>
  <c r="T212" i="4"/>
  <c r="U212" i="4" s="1" a="1"/>
  <c r="U212" i="4" s="1"/>
  <c r="AB212" i="4"/>
  <c r="T213" i="4"/>
  <c r="U213" i="4" s="1" a="1"/>
  <c r="U213" i="4" s="1"/>
  <c r="AB213" i="4"/>
  <c r="T214" i="4"/>
  <c r="U214" i="4" s="1" a="1"/>
  <c r="U214" i="4" s="1"/>
  <c r="AB214" i="4"/>
  <c r="T215" i="4"/>
  <c r="U215" i="4" s="1" a="1"/>
  <c r="U215" i="4" s="1"/>
  <c r="AB215" i="4"/>
  <c r="T216" i="4"/>
  <c r="U216" i="4" s="1" a="1"/>
  <c r="U216" i="4" s="1"/>
  <c r="AB216" i="4"/>
  <c r="T217" i="4"/>
  <c r="U217" i="4" s="1" a="1"/>
  <c r="U217" i="4" s="1"/>
  <c r="AB217" i="4"/>
  <c r="T218" i="4"/>
  <c r="U218" i="4" s="1" a="1"/>
  <c r="U218" i="4" s="1"/>
  <c r="AB218" i="4"/>
  <c r="T219" i="4"/>
  <c r="U219" i="4" s="1" a="1"/>
  <c r="U219" i="4" s="1"/>
  <c r="AB219" i="4"/>
  <c r="T220" i="4"/>
  <c r="U220" i="4" s="1" a="1"/>
  <c r="U220" i="4" s="1"/>
  <c r="AB220" i="4"/>
  <c r="T221" i="4"/>
  <c r="U221" i="4" s="1" a="1"/>
  <c r="U221" i="4" s="1"/>
  <c r="AB221" i="4"/>
  <c r="T222" i="4"/>
  <c r="U222" i="4" s="1" a="1"/>
  <c r="U222" i="4" s="1"/>
  <c r="AB222" i="4"/>
  <c r="T223" i="4"/>
  <c r="U223" i="4" s="1" a="1"/>
  <c r="U223" i="4" s="1"/>
  <c r="AB223" i="4"/>
  <c r="T224" i="4"/>
  <c r="U224" i="4" s="1" a="1"/>
  <c r="U224" i="4" s="1"/>
  <c r="AB224" i="4"/>
  <c r="T225" i="4"/>
  <c r="U225" i="4" s="1" a="1"/>
  <c r="U225" i="4" s="1"/>
  <c r="AB225" i="4"/>
  <c r="T226" i="4"/>
  <c r="U226" i="4" s="1" a="1"/>
  <c r="U226" i="4" s="1"/>
  <c r="AB226" i="4"/>
  <c r="T227" i="4"/>
  <c r="U227" i="4" s="1" a="1"/>
  <c r="U227" i="4" s="1"/>
  <c r="AB227" i="4"/>
  <c r="T228" i="4"/>
  <c r="U228" i="4" s="1" a="1"/>
  <c r="U228" i="4" s="1"/>
  <c r="AB228" i="4"/>
  <c r="T229" i="4"/>
  <c r="U229" i="4" s="1" a="1"/>
  <c r="U229" i="4" s="1"/>
  <c r="AB229" i="4"/>
  <c r="T230" i="4"/>
  <c r="U230" i="4" s="1" a="1"/>
  <c r="U230" i="4" s="1"/>
  <c r="AB230" i="4"/>
  <c r="T231" i="4"/>
  <c r="U231" i="4" s="1" a="1"/>
  <c r="U231" i="4" s="1"/>
  <c r="AB231" i="4"/>
  <c r="T232" i="4"/>
  <c r="U232" i="4" s="1" a="1"/>
  <c r="U232" i="4" s="1"/>
  <c r="AB232" i="4"/>
  <c r="T233" i="4"/>
  <c r="U233" i="4" s="1" a="1"/>
  <c r="U233" i="4" s="1"/>
  <c r="AB233" i="4"/>
  <c r="T234" i="4"/>
  <c r="U234" i="4" s="1" a="1"/>
  <c r="U234" i="4" s="1"/>
  <c r="AB234" i="4"/>
  <c r="T235" i="4"/>
  <c r="U235" i="4" s="1" a="1"/>
  <c r="U235" i="4" s="1"/>
  <c r="AB235" i="4"/>
  <c r="T236" i="4"/>
  <c r="U236" i="4" s="1" a="1"/>
  <c r="U236" i="4" s="1"/>
  <c r="AB236" i="4"/>
  <c r="T237" i="4"/>
  <c r="U237" i="4" s="1" a="1"/>
  <c r="U237" i="4" s="1"/>
  <c r="AB237" i="4"/>
  <c r="T238" i="4"/>
  <c r="U238" i="4" s="1" a="1"/>
  <c r="U238" i="4" s="1"/>
  <c r="AB238" i="4"/>
  <c r="T239" i="4"/>
  <c r="U239" i="4" s="1" a="1"/>
  <c r="U239" i="4" s="1"/>
  <c r="AB239" i="4"/>
  <c r="T240" i="4"/>
  <c r="U240" i="4" s="1" a="1"/>
  <c r="U240" i="4" s="1"/>
  <c r="AB240" i="4"/>
  <c r="T241" i="4"/>
  <c r="U241" i="4" s="1" a="1"/>
  <c r="U241" i="4" s="1"/>
  <c r="AB241" i="4"/>
  <c r="T242" i="4"/>
  <c r="U242" i="4" s="1" a="1"/>
  <c r="U242" i="4" s="1"/>
  <c r="AB242" i="4"/>
  <c r="T243" i="4"/>
  <c r="U243" i="4" s="1" a="1"/>
  <c r="U243" i="4" s="1"/>
  <c r="AB243" i="4"/>
  <c r="T244" i="4"/>
  <c r="U244" i="4" s="1" a="1"/>
  <c r="U244" i="4" s="1"/>
  <c r="AB244" i="4"/>
  <c r="T245" i="4"/>
  <c r="U245" i="4" s="1" a="1"/>
  <c r="U245" i="4" s="1"/>
  <c r="AB245" i="4"/>
  <c r="T246" i="4"/>
  <c r="U246" i="4" s="1" a="1"/>
  <c r="U246" i="4" s="1"/>
  <c r="AB246" i="4"/>
  <c r="T247" i="4"/>
  <c r="U247" i="4" s="1" a="1"/>
  <c r="U247" i="4" s="1"/>
  <c r="AB247" i="4"/>
  <c r="T248" i="4"/>
  <c r="U248" i="4" s="1" a="1"/>
  <c r="U248" i="4" s="1"/>
  <c r="AB248" i="4"/>
  <c r="T249" i="4"/>
  <c r="U249" i="4" s="1" a="1"/>
  <c r="U249" i="4" s="1"/>
  <c r="AB249" i="4"/>
  <c r="T250" i="4"/>
  <c r="U250" i="4" s="1" a="1"/>
  <c r="U250" i="4" s="1"/>
  <c r="AB250" i="4"/>
  <c r="T251" i="4"/>
  <c r="U251" i="4" s="1" a="1"/>
  <c r="U251" i="4" s="1"/>
  <c r="AB251" i="4"/>
  <c r="T252" i="4"/>
  <c r="U252" i="4" s="1" a="1"/>
  <c r="U252" i="4" s="1"/>
  <c r="AB252" i="4"/>
  <c r="T253" i="4"/>
  <c r="U253" i="4" s="1" a="1"/>
  <c r="U253" i="4" s="1"/>
  <c r="AB253" i="4"/>
  <c r="T254" i="4"/>
  <c r="U254" i="4" s="1" a="1"/>
  <c r="U254" i="4" s="1"/>
  <c r="AB254" i="4"/>
  <c r="T255" i="4"/>
  <c r="U255" i="4" s="1" a="1"/>
  <c r="U255" i="4" s="1"/>
  <c r="AB255" i="4"/>
  <c r="T256" i="4"/>
  <c r="U256" i="4" s="1" a="1"/>
  <c r="U256" i="4" s="1"/>
  <c r="AB256" i="4"/>
  <c r="T257" i="4"/>
  <c r="U257" i="4" s="1" a="1"/>
  <c r="U257" i="4" s="1"/>
  <c r="AB257" i="4"/>
  <c r="T258" i="4"/>
  <c r="U258" i="4" s="1" a="1"/>
  <c r="U258" i="4" s="1"/>
  <c r="AB258" i="4"/>
  <c r="T259" i="4"/>
  <c r="U259" i="4" s="1" a="1"/>
  <c r="U259" i="4" s="1"/>
  <c r="AB259" i="4"/>
  <c r="T260" i="4"/>
  <c r="U260" i="4" s="1" a="1"/>
  <c r="U260" i="4" s="1"/>
  <c r="AB260" i="4"/>
  <c r="T261" i="4"/>
  <c r="U261" i="4" s="1" a="1"/>
  <c r="U261" i="4" s="1"/>
  <c r="AB261" i="4"/>
  <c r="T262" i="4"/>
  <c r="U262" i="4" s="1" a="1"/>
  <c r="U262" i="4" s="1"/>
  <c r="AB262" i="4"/>
  <c r="T263" i="4"/>
  <c r="U263" i="4" s="1" a="1"/>
  <c r="U263" i="4" s="1"/>
  <c r="AB263" i="4"/>
  <c r="T264" i="4"/>
  <c r="U264" i="4" s="1" a="1"/>
  <c r="U264" i="4" s="1"/>
  <c r="AB264" i="4"/>
  <c r="T265" i="4"/>
  <c r="U265" i="4" s="1" a="1"/>
  <c r="U265" i="4" s="1"/>
  <c r="AB265" i="4"/>
  <c r="T266" i="4"/>
  <c r="U266" i="4" s="1" a="1"/>
  <c r="U266" i="4" s="1"/>
  <c r="AB266" i="4"/>
  <c r="T267" i="4"/>
  <c r="U267" i="4" s="1" a="1"/>
  <c r="U267" i="4" s="1"/>
  <c r="AB267" i="4"/>
  <c r="T268" i="4"/>
  <c r="U268" i="4" s="1" a="1"/>
  <c r="U268" i="4" s="1"/>
  <c r="AB268" i="4"/>
  <c r="T269" i="4"/>
  <c r="U269" i="4" s="1" a="1"/>
  <c r="U269" i="4" s="1"/>
  <c r="AB269" i="4"/>
  <c r="T270" i="4"/>
  <c r="U270" i="4" s="1" a="1"/>
  <c r="U270" i="4" s="1"/>
  <c r="AB270" i="4"/>
  <c r="T271" i="4"/>
  <c r="U271" i="4" s="1" a="1"/>
  <c r="U271" i="4" s="1"/>
  <c r="AB271" i="4"/>
  <c r="T272" i="4"/>
  <c r="U272" i="4" s="1" a="1"/>
  <c r="U272" i="4" s="1"/>
  <c r="AB272" i="4"/>
  <c r="T273" i="4"/>
  <c r="U273" i="4" s="1" a="1"/>
  <c r="U273" i="4" s="1"/>
  <c r="AB273" i="4"/>
  <c r="T274" i="4"/>
  <c r="U274" i="4" s="1" a="1"/>
  <c r="U274" i="4" s="1"/>
  <c r="AB274" i="4"/>
  <c r="T275" i="4"/>
  <c r="U275" i="4" s="1" a="1"/>
  <c r="U275" i="4" s="1"/>
  <c r="AB275" i="4"/>
  <c r="T276" i="4"/>
  <c r="U276" i="4" s="1" a="1"/>
  <c r="U276" i="4" s="1"/>
  <c r="AB276" i="4"/>
  <c r="T277" i="4"/>
  <c r="U277" i="4" s="1" a="1"/>
  <c r="U277" i="4" s="1"/>
  <c r="AB277" i="4"/>
  <c r="T278" i="4"/>
  <c r="U278" i="4" s="1" a="1"/>
  <c r="U278" i="4" s="1"/>
  <c r="AB278" i="4"/>
  <c r="T279" i="4"/>
  <c r="U279" i="4" s="1" a="1"/>
  <c r="U279" i="4" s="1"/>
  <c r="AB279" i="4"/>
  <c r="T280" i="4"/>
  <c r="U280" i="4" s="1" a="1"/>
  <c r="U280" i="4" s="1"/>
  <c r="AB280" i="4"/>
  <c r="T281" i="4"/>
  <c r="U281" i="4" s="1" a="1"/>
  <c r="U281" i="4" s="1"/>
  <c r="AB281" i="4"/>
  <c r="T282" i="4"/>
  <c r="U282" i="4" s="1" a="1"/>
  <c r="U282" i="4" s="1"/>
  <c r="AB282" i="4"/>
  <c r="T283" i="4"/>
  <c r="U283" i="4" s="1" a="1"/>
  <c r="U283" i="4" s="1"/>
  <c r="AB283" i="4"/>
  <c r="T284" i="4"/>
  <c r="U284" i="4" s="1" a="1"/>
  <c r="U284" i="4" s="1"/>
  <c r="AB284" i="4"/>
  <c r="T285" i="4"/>
  <c r="U285" i="4" s="1" a="1"/>
  <c r="U285" i="4" s="1"/>
  <c r="AB285" i="4"/>
  <c r="T286" i="4"/>
  <c r="U286" i="4" s="1" a="1"/>
  <c r="U286" i="4" s="1"/>
  <c r="AB286" i="4"/>
  <c r="T287" i="4"/>
  <c r="U287" i="4" s="1" a="1"/>
  <c r="U287" i="4" s="1"/>
  <c r="AB287" i="4"/>
  <c r="T288" i="4"/>
  <c r="U288" i="4" s="1" a="1"/>
  <c r="U288" i="4" s="1"/>
  <c r="AB288" i="4"/>
  <c r="T289" i="4"/>
  <c r="U289" i="4" s="1" a="1"/>
  <c r="U289" i="4" s="1"/>
  <c r="AB289" i="4"/>
  <c r="T290" i="4"/>
  <c r="U290" i="4" s="1" a="1"/>
  <c r="U290" i="4" s="1"/>
  <c r="AB290" i="4"/>
  <c r="T291" i="4"/>
  <c r="U291" i="4" s="1" a="1"/>
  <c r="U291" i="4" s="1"/>
  <c r="AB291" i="4"/>
  <c r="T292" i="4"/>
  <c r="U292" i="4" s="1" a="1"/>
  <c r="U292" i="4" s="1"/>
  <c r="AB292" i="4"/>
  <c r="T293" i="4"/>
  <c r="U293" i="4" s="1" a="1"/>
  <c r="U293" i="4" s="1"/>
  <c r="AB293" i="4"/>
  <c r="T294" i="4"/>
  <c r="U294" i="4" s="1" a="1"/>
  <c r="U294" i="4" s="1"/>
  <c r="AB294" i="4"/>
  <c r="T295" i="4"/>
  <c r="U295" i="4" s="1" a="1"/>
  <c r="U295" i="4" s="1"/>
  <c r="AB295" i="4"/>
  <c r="T296" i="4"/>
  <c r="U296" i="4" s="1" a="1"/>
  <c r="U296" i="4" s="1"/>
  <c r="AB296" i="4"/>
  <c r="T297" i="4"/>
  <c r="U297" i="4" s="1" a="1"/>
  <c r="U297" i="4" s="1"/>
  <c r="AB297" i="4"/>
  <c r="T298" i="4"/>
  <c r="U298" i="4" s="1" a="1"/>
  <c r="U298" i="4" s="1"/>
  <c r="AB298" i="4"/>
  <c r="T299" i="4"/>
  <c r="U299" i="4" s="1" a="1"/>
  <c r="U299" i="4" s="1"/>
  <c r="AB299" i="4"/>
  <c r="T300" i="4"/>
  <c r="U300" i="4" s="1" a="1"/>
  <c r="U300" i="4" s="1"/>
  <c r="AB300" i="4"/>
  <c r="T301" i="4"/>
  <c r="U301" i="4" s="1" a="1"/>
  <c r="U301" i="4" s="1"/>
  <c r="AB301" i="4"/>
  <c r="T302" i="4"/>
  <c r="U302" i="4" s="1" a="1"/>
  <c r="U302" i="4" s="1"/>
  <c r="AB302" i="4"/>
  <c r="T303" i="4"/>
  <c r="U303" i="4" s="1" a="1"/>
  <c r="U303" i="4" s="1"/>
  <c r="AB303" i="4"/>
  <c r="T304" i="4"/>
  <c r="U304" i="4" s="1" a="1"/>
  <c r="U304" i="4" s="1"/>
  <c r="AB304" i="4"/>
  <c r="T305" i="4"/>
  <c r="U305" i="4" s="1" a="1"/>
  <c r="U305" i="4" s="1"/>
  <c r="AB305" i="4"/>
  <c r="T306" i="4"/>
  <c r="U306" i="4" s="1" a="1"/>
  <c r="U306" i="4" s="1"/>
  <c r="AB306" i="4"/>
  <c r="T307" i="4"/>
  <c r="U307" i="4" s="1" a="1"/>
  <c r="U307" i="4" s="1"/>
  <c r="AB307" i="4"/>
  <c r="T308" i="4"/>
  <c r="U308" i="4" s="1" a="1"/>
  <c r="U308" i="4" s="1"/>
  <c r="AB308" i="4"/>
  <c r="T309" i="4"/>
  <c r="U309" i="4" s="1" a="1"/>
  <c r="U309" i="4" s="1"/>
  <c r="AB309" i="4"/>
  <c r="T310" i="4"/>
  <c r="U310" i="4" s="1" a="1"/>
  <c r="U310" i="4" s="1"/>
  <c r="AB310" i="4"/>
  <c r="T311" i="4"/>
  <c r="U311" i="4" s="1" a="1"/>
  <c r="U311" i="4" s="1"/>
  <c r="AB311" i="4"/>
  <c r="T312" i="4"/>
  <c r="U312" i="4" s="1" a="1"/>
  <c r="U312" i="4" s="1"/>
  <c r="AB312" i="4"/>
  <c r="T313" i="4"/>
  <c r="U313" i="4" s="1" a="1"/>
  <c r="U313" i="4" s="1"/>
  <c r="AB313" i="4"/>
  <c r="T314" i="4"/>
  <c r="U314" i="4" s="1" a="1"/>
  <c r="U314" i="4" s="1"/>
  <c r="AB314" i="4"/>
  <c r="T315" i="4"/>
  <c r="U315" i="4" s="1" a="1"/>
  <c r="U315" i="4" s="1"/>
  <c r="AB315" i="4"/>
  <c r="T316" i="4"/>
  <c r="U316" i="4" s="1" a="1"/>
  <c r="U316" i="4" s="1"/>
  <c r="AB316" i="4"/>
  <c r="T317" i="4"/>
  <c r="U317" i="4" s="1" a="1"/>
  <c r="U317" i="4" s="1"/>
  <c r="AB317" i="4"/>
  <c r="T318" i="4"/>
  <c r="U318" i="4" s="1" a="1"/>
  <c r="U318" i="4" s="1"/>
  <c r="AB318" i="4"/>
  <c r="T319" i="4"/>
  <c r="U319" i="4" s="1" a="1"/>
  <c r="U319" i="4" s="1"/>
  <c r="AB319" i="4"/>
  <c r="T320" i="4"/>
  <c r="U320" i="4" s="1" a="1"/>
  <c r="U320" i="4" s="1"/>
  <c r="AB320" i="4"/>
  <c r="T321" i="4"/>
  <c r="U321" i="4" s="1" a="1"/>
  <c r="U321" i="4" s="1"/>
  <c r="AB321" i="4"/>
  <c r="T322" i="4"/>
  <c r="U322" i="4" s="1" a="1"/>
  <c r="U322" i="4" s="1"/>
  <c r="AB322" i="4"/>
  <c r="T323" i="4"/>
  <c r="U323" i="4" s="1" a="1"/>
  <c r="U323" i="4" s="1"/>
  <c r="AB323" i="4"/>
  <c r="T324" i="4"/>
  <c r="U324" i="4" s="1" a="1"/>
  <c r="U324" i="4" s="1"/>
  <c r="AB324" i="4"/>
  <c r="T325" i="4"/>
  <c r="U325" i="4" s="1" a="1"/>
  <c r="U325" i="4" s="1"/>
  <c r="AB325" i="4"/>
  <c r="T326" i="4"/>
  <c r="U326" i="4" s="1" a="1"/>
  <c r="U326" i="4" s="1"/>
  <c r="AB326" i="4"/>
  <c r="T327" i="4"/>
  <c r="U327" i="4" s="1" a="1"/>
  <c r="U327" i="4" s="1"/>
  <c r="AB327" i="4"/>
  <c r="T328" i="4"/>
  <c r="U328" i="4" s="1" a="1"/>
  <c r="U328" i="4" s="1"/>
  <c r="AB328" i="4"/>
  <c r="T329" i="4"/>
  <c r="U329" i="4" s="1" a="1"/>
  <c r="U329" i="4" s="1"/>
  <c r="AB329" i="4"/>
  <c r="T330" i="4"/>
  <c r="U330" i="4" s="1" a="1"/>
  <c r="U330" i="4" s="1"/>
  <c r="AB330" i="4"/>
  <c r="T331" i="4"/>
  <c r="U331" i="4" s="1" a="1"/>
  <c r="U331" i="4" s="1"/>
  <c r="AB331" i="4"/>
  <c r="T332" i="4"/>
  <c r="U332" i="4" s="1" a="1"/>
  <c r="U332" i="4" s="1"/>
  <c r="AB332" i="4"/>
  <c r="T333" i="4"/>
  <c r="U333" i="4" s="1" a="1"/>
  <c r="U333" i="4" s="1"/>
  <c r="AB333" i="4"/>
  <c r="T334" i="4"/>
  <c r="U334" i="4" s="1" a="1"/>
  <c r="U334" i="4" s="1"/>
  <c r="AB334" i="4"/>
  <c r="T335" i="4"/>
  <c r="U335" i="4" s="1" a="1"/>
  <c r="U335" i="4" s="1"/>
  <c r="AB335" i="4"/>
  <c r="T336" i="4"/>
  <c r="U336" i="4" s="1" a="1"/>
  <c r="U336" i="4" s="1"/>
  <c r="AB336" i="4"/>
  <c r="T337" i="4"/>
  <c r="U337" i="4" s="1" a="1"/>
  <c r="U337" i="4" s="1"/>
  <c r="AB337" i="4"/>
  <c r="T338" i="4"/>
  <c r="U338" i="4" s="1" a="1"/>
  <c r="U338" i="4" s="1"/>
  <c r="AB338" i="4"/>
  <c r="T339" i="4"/>
  <c r="U339" i="4" s="1" a="1"/>
  <c r="U339" i="4" s="1"/>
  <c r="AB339" i="4"/>
  <c r="T340" i="4"/>
  <c r="U340" i="4" s="1" a="1"/>
  <c r="U340" i="4" s="1"/>
  <c r="AB340" i="4"/>
  <c r="T341" i="4"/>
  <c r="U341" i="4" s="1" a="1"/>
  <c r="U341" i="4" s="1"/>
  <c r="AB341" i="4"/>
  <c r="T342" i="4"/>
  <c r="U342" i="4" s="1" a="1"/>
  <c r="U342" i="4" s="1"/>
  <c r="AB342" i="4"/>
  <c r="T343" i="4"/>
  <c r="U343" i="4" s="1" a="1"/>
  <c r="U343" i="4" s="1"/>
  <c r="AB343" i="4"/>
  <c r="T344" i="4"/>
  <c r="U344" i="4" s="1" a="1"/>
  <c r="U344" i="4" s="1"/>
  <c r="AB344" i="4"/>
  <c r="T345" i="4"/>
  <c r="U345" i="4" s="1" a="1"/>
  <c r="U345" i="4" s="1"/>
  <c r="AB345" i="4"/>
  <c r="T346" i="4"/>
  <c r="U346" i="4" s="1" a="1"/>
  <c r="U346" i="4" s="1"/>
  <c r="AB346" i="4"/>
  <c r="T347" i="4"/>
  <c r="U347" i="4" s="1" a="1"/>
  <c r="U347" i="4" s="1"/>
  <c r="AB347" i="4"/>
  <c r="T348" i="4"/>
  <c r="U348" i="4" s="1" a="1"/>
  <c r="U348" i="4" s="1"/>
  <c r="AB348" i="4"/>
  <c r="T349" i="4"/>
  <c r="U349" i="4" s="1" a="1"/>
  <c r="U349" i="4" s="1"/>
  <c r="AB349" i="4"/>
  <c r="T350" i="4"/>
  <c r="U350" i="4" s="1" a="1"/>
  <c r="U350" i="4" s="1"/>
  <c r="AB350" i="4"/>
  <c r="T351" i="4"/>
  <c r="U351" i="4" s="1" a="1"/>
  <c r="U351" i="4" s="1"/>
  <c r="AB351" i="4"/>
  <c r="T352" i="4"/>
  <c r="U352" i="4" s="1" a="1"/>
  <c r="U352" i="4" s="1"/>
  <c r="AB352" i="4"/>
  <c r="T353" i="4"/>
  <c r="U353" i="4" s="1" a="1"/>
  <c r="U353" i="4" s="1"/>
  <c r="AB353" i="4"/>
  <c r="T354" i="4"/>
  <c r="U354" i="4" s="1" a="1"/>
  <c r="U354" i="4" s="1"/>
  <c r="AB354" i="4"/>
  <c r="T355" i="4"/>
  <c r="U355" i="4" s="1" a="1"/>
  <c r="U355" i="4" s="1"/>
  <c r="AB355" i="4"/>
  <c r="T356" i="4"/>
  <c r="U356" i="4" s="1" a="1"/>
  <c r="U356" i="4" s="1"/>
  <c r="AB356" i="4"/>
  <c r="T357" i="4"/>
  <c r="U357" i="4" s="1" a="1"/>
  <c r="U357" i="4" s="1"/>
  <c r="AB357" i="4"/>
  <c r="T358" i="4"/>
  <c r="U358" i="4" s="1" a="1"/>
  <c r="U358" i="4" s="1"/>
  <c r="AB358" i="4"/>
  <c r="T359" i="4"/>
  <c r="U359" i="4" s="1" a="1"/>
  <c r="U359" i="4" s="1"/>
  <c r="AB359" i="4"/>
  <c r="T360" i="4"/>
  <c r="U360" i="4" s="1" a="1"/>
  <c r="U360" i="4" s="1"/>
  <c r="AB360" i="4"/>
  <c r="T361" i="4"/>
  <c r="U361" i="4" s="1" a="1"/>
  <c r="U361" i="4" s="1"/>
  <c r="AB361" i="4"/>
  <c r="T362" i="4"/>
  <c r="U362" i="4" s="1" a="1"/>
  <c r="U362" i="4" s="1"/>
  <c r="AB362" i="4"/>
  <c r="T363" i="4"/>
  <c r="U363" i="4" s="1" a="1"/>
  <c r="U363" i="4" s="1"/>
  <c r="AB363" i="4"/>
  <c r="T364" i="4"/>
  <c r="U364" i="4" s="1" a="1"/>
  <c r="U364" i="4" s="1"/>
  <c r="AB364" i="4"/>
  <c r="T365" i="4"/>
  <c r="U365" i="4" s="1" a="1"/>
  <c r="U365" i="4" s="1"/>
  <c r="AB365" i="4"/>
  <c r="T366" i="4"/>
  <c r="U366" i="4" s="1" a="1"/>
  <c r="U366" i="4" s="1"/>
  <c r="AB366" i="4"/>
  <c r="T367" i="4"/>
  <c r="U367" i="4" s="1" a="1"/>
  <c r="U367" i="4" s="1"/>
  <c r="AB367" i="4"/>
  <c r="T368" i="4"/>
  <c r="U368" i="4" s="1" a="1"/>
  <c r="U368" i="4" s="1"/>
  <c r="AB368" i="4"/>
  <c r="T369" i="4"/>
  <c r="U369" i="4" s="1" a="1"/>
  <c r="U369" i="4" s="1"/>
  <c r="AB369" i="4"/>
  <c r="T370" i="4"/>
  <c r="U370" i="4" s="1" a="1"/>
  <c r="U370" i="4" s="1"/>
  <c r="AB370" i="4"/>
  <c r="T371" i="4"/>
  <c r="U371" i="4" s="1" a="1"/>
  <c r="U371" i="4" s="1"/>
  <c r="AB371" i="4"/>
  <c r="T372" i="4"/>
  <c r="U372" i="4" s="1" a="1"/>
  <c r="U372" i="4" s="1"/>
  <c r="AB372" i="4"/>
  <c r="T373" i="4"/>
  <c r="U373" i="4" s="1" a="1"/>
  <c r="U373" i="4" s="1"/>
  <c r="AB373" i="4"/>
  <c r="T374" i="4"/>
  <c r="U374" i="4" s="1" a="1"/>
  <c r="U374" i="4" s="1"/>
  <c r="AB374" i="4"/>
  <c r="T375" i="4"/>
  <c r="U375" i="4" s="1" a="1"/>
  <c r="U375" i="4" s="1"/>
  <c r="AB375" i="4"/>
  <c r="T376" i="4"/>
  <c r="U376" i="4" s="1" a="1"/>
  <c r="U376" i="4" s="1"/>
  <c r="AB376" i="4"/>
  <c r="T377" i="4"/>
  <c r="U377" i="4" s="1" a="1"/>
  <c r="U377" i="4" s="1"/>
  <c r="AB377" i="4"/>
  <c r="T378" i="4"/>
  <c r="U378" i="4" s="1" a="1"/>
  <c r="U378" i="4" s="1"/>
  <c r="AB378" i="4"/>
  <c r="T379" i="4"/>
  <c r="U379" i="4" s="1" a="1"/>
  <c r="U379" i="4" s="1"/>
  <c r="AB379" i="4"/>
  <c r="T380" i="4"/>
  <c r="U380" i="4" s="1" a="1"/>
  <c r="U380" i="4" s="1"/>
  <c r="AB380" i="4"/>
  <c r="T381" i="4"/>
  <c r="U381" i="4" s="1" a="1"/>
  <c r="U381" i="4" s="1"/>
  <c r="AB381" i="4"/>
  <c r="T382" i="4"/>
  <c r="U382" i="4" s="1" a="1"/>
  <c r="U382" i="4" s="1"/>
  <c r="AB382" i="4"/>
  <c r="T383" i="4"/>
  <c r="U383" i="4" s="1" a="1"/>
  <c r="U383" i="4" s="1"/>
  <c r="AB383" i="4"/>
  <c r="T384" i="4"/>
  <c r="U384" i="4" s="1" a="1"/>
  <c r="U384" i="4" s="1"/>
  <c r="AB384" i="4"/>
  <c r="T385" i="4"/>
  <c r="U385" i="4" s="1" a="1"/>
  <c r="U385" i="4" s="1"/>
  <c r="AB385" i="4"/>
  <c r="T386" i="4"/>
  <c r="U386" i="4" s="1" a="1"/>
  <c r="U386" i="4" s="1"/>
  <c r="AB386" i="4"/>
  <c r="T387" i="4"/>
  <c r="U387" i="4" s="1" a="1"/>
  <c r="U387" i="4" s="1"/>
  <c r="AB387" i="4"/>
  <c r="T388" i="4"/>
  <c r="U388" i="4" s="1" a="1"/>
  <c r="U388" i="4" s="1"/>
  <c r="AB388" i="4"/>
  <c r="T389" i="4"/>
  <c r="U389" i="4" s="1" a="1"/>
  <c r="U389" i="4" s="1"/>
  <c r="AB389" i="4"/>
  <c r="T390" i="4"/>
  <c r="U390" i="4" s="1" a="1"/>
  <c r="U390" i="4" s="1"/>
  <c r="AB390" i="4"/>
  <c r="T391" i="4"/>
  <c r="U391" i="4" s="1" a="1"/>
  <c r="U391" i="4" s="1"/>
  <c r="AB391" i="4"/>
  <c r="T392" i="4"/>
  <c r="U392" i="4" s="1" a="1"/>
  <c r="U392" i="4" s="1"/>
  <c r="AB392" i="4"/>
  <c r="T393" i="4"/>
  <c r="U393" i="4" s="1" a="1"/>
  <c r="U393" i="4" s="1"/>
  <c r="AB393" i="4"/>
  <c r="T394" i="4"/>
  <c r="U394" i="4" s="1" a="1"/>
  <c r="U394" i="4" s="1"/>
  <c r="AB394" i="4"/>
  <c r="T395" i="4"/>
  <c r="U395" i="4" s="1" a="1"/>
  <c r="U395" i="4" s="1"/>
  <c r="AB395" i="4"/>
  <c r="T396" i="4"/>
  <c r="U396" i="4" s="1" a="1"/>
  <c r="U396" i="4" s="1"/>
  <c r="AB396" i="4"/>
  <c r="T397" i="4"/>
  <c r="U397" i="4" s="1" a="1"/>
  <c r="U397" i="4" s="1"/>
  <c r="AB397" i="4"/>
  <c r="T398" i="4"/>
  <c r="U398" i="4" s="1" a="1"/>
  <c r="U398" i="4" s="1"/>
  <c r="AB398" i="4"/>
  <c r="T399" i="4"/>
  <c r="U399" i="4" s="1" a="1"/>
  <c r="U399" i="4" s="1"/>
  <c r="AB399" i="4"/>
  <c r="T400" i="4"/>
  <c r="U400" i="4" s="1" a="1"/>
  <c r="U400" i="4" s="1"/>
  <c r="AB400" i="4"/>
  <c r="T401" i="4"/>
  <c r="U401" i="4" s="1" a="1"/>
  <c r="U401" i="4" s="1"/>
  <c r="AB401" i="4"/>
  <c r="T402" i="4"/>
  <c r="U402" i="4" s="1" a="1"/>
  <c r="U402" i="4" s="1"/>
  <c r="AB402" i="4"/>
  <c r="T403" i="4"/>
  <c r="U403" i="4" s="1" a="1"/>
  <c r="U403" i="4" s="1"/>
  <c r="AB403" i="4"/>
  <c r="T404" i="4"/>
  <c r="U404" i="4" s="1" a="1"/>
  <c r="U404" i="4" s="1"/>
  <c r="AB404" i="4"/>
  <c r="T405" i="4"/>
  <c r="U405" i="4" s="1" a="1"/>
  <c r="U405" i="4" s="1"/>
  <c r="AB405" i="4"/>
  <c r="T406" i="4"/>
  <c r="U406" i="4" s="1" a="1"/>
  <c r="U406" i="4" s="1"/>
  <c r="AB406" i="4"/>
  <c r="T407" i="4"/>
  <c r="U407" i="4" s="1" a="1"/>
  <c r="U407" i="4" s="1"/>
  <c r="AB407" i="4"/>
  <c r="T408" i="4"/>
  <c r="U408" i="4" s="1" a="1"/>
  <c r="U408" i="4" s="1"/>
  <c r="AB408" i="4"/>
  <c r="T409" i="4"/>
  <c r="U409" i="4" s="1" a="1"/>
  <c r="U409" i="4" s="1"/>
  <c r="AB409" i="4"/>
  <c r="T410" i="4"/>
  <c r="U410" i="4" s="1" a="1"/>
  <c r="U410" i="4" s="1"/>
  <c r="AB410" i="4"/>
  <c r="T411" i="4"/>
  <c r="U411" i="4" s="1" a="1"/>
  <c r="U411" i="4" s="1"/>
  <c r="AB411" i="4"/>
  <c r="T412" i="4"/>
  <c r="U412" i="4" s="1" a="1"/>
  <c r="U412" i="4" s="1"/>
  <c r="AB412" i="4"/>
  <c r="T413" i="4"/>
  <c r="U413" i="4" s="1" a="1"/>
  <c r="U413" i="4" s="1"/>
  <c r="AB413" i="4"/>
  <c r="T414" i="4"/>
  <c r="U414" i="4" s="1" a="1"/>
  <c r="U414" i="4" s="1"/>
  <c r="AB414" i="4"/>
  <c r="T415" i="4"/>
  <c r="U415" i="4" s="1" a="1"/>
  <c r="U415" i="4" s="1"/>
  <c r="AB415" i="4"/>
  <c r="T416" i="4"/>
  <c r="U416" i="4" s="1" a="1"/>
  <c r="U416" i="4" s="1"/>
  <c r="AB416" i="4"/>
  <c r="T417" i="4"/>
  <c r="U417" i="4" s="1" a="1"/>
  <c r="U417" i="4" s="1"/>
  <c r="AB417" i="4"/>
  <c r="T418" i="4"/>
  <c r="U418" i="4" s="1" a="1"/>
  <c r="U418" i="4" s="1"/>
  <c r="AB418" i="4"/>
  <c r="T419" i="4"/>
  <c r="U419" i="4" s="1" a="1"/>
  <c r="U419" i="4" s="1"/>
  <c r="AB419" i="4"/>
  <c r="T420" i="4"/>
  <c r="U420" i="4" s="1" a="1"/>
  <c r="U420" i="4" s="1"/>
  <c r="AB420" i="4"/>
  <c r="T421" i="4"/>
  <c r="U421" i="4" s="1" a="1"/>
  <c r="U421" i="4" s="1"/>
  <c r="AB421" i="4"/>
  <c r="T422" i="4"/>
  <c r="U422" i="4" s="1" a="1"/>
  <c r="U422" i="4" s="1"/>
  <c r="AB422" i="4"/>
  <c r="T423" i="4"/>
  <c r="U423" i="4" s="1" a="1"/>
  <c r="U423" i="4" s="1"/>
  <c r="AB423" i="4"/>
  <c r="T424" i="4"/>
  <c r="U424" i="4" s="1" a="1"/>
  <c r="U424" i="4" s="1"/>
  <c r="AB424" i="4"/>
  <c r="T425" i="4"/>
  <c r="U425" i="4" s="1" a="1"/>
  <c r="U425" i="4" s="1"/>
  <c r="AB425" i="4"/>
  <c r="T426" i="4"/>
  <c r="U426" i="4" s="1" a="1"/>
  <c r="U426" i="4" s="1"/>
  <c r="AB426" i="4"/>
  <c r="T427" i="4"/>
  <c r="U427" i="4" s="1" a="1"/>
  <c r="U427" i="4" s="1"/>
  <c r="AB427" i="4"/>
  <c r="T428" i="4"/>
  <c r="U428" i="4" s="1" a="1"/>
  <c r="U428" i="4" s="1"/>
  <c r="AB428" i="4"/>
  <c r="T429" i="4"/>
  <c r="U429" i="4" s="1" a="1"/>
  <c r="U429" i="4" s="1"/>
  <c r="AB429" i="4"/>
  <c r="T430" i="4"/>
  <c r="U430" i="4" s="1" a="1"/>
  <c r="U430" i="4" s="1"/>
  <c r="AB430" i="4"/>
  <c r="T431" i="4"/>
  <c r="U431" i="4" s="1" a="1"/>
  <c r="U431" i="4" s="1"/>
  <c r="AB431" i="4"/>
  <c r="T432" i="4"/>
  <c r="U432" i="4" s="1" a="1"/>
  <c r="U432" i="4" s="1"/>
  <c r="AB432" i="4"/>
  <c r="T433" i="4"/>
  <c r="U433" i="4" s="1" a="1"/>
  <c r="U433" i="4" s="1"/>
  <c r="AB433" i="4"/>
  <c r="T434" i="4"/>
  <c r="U434" i="4" s="1" a="1"/>
  <c r="U434" i="4" s="1"/>
  <c r="AB434" i="4"/>
  <c r="T435" i="4"/>
  <c r="U435" i="4" s="1" a="1"/>
  <c r="U435" i="4" s="1"/>
  <c r="AB435" i="4"/>
  <c r="T436" i="4"/>
  <c r="U436" i="4" s="1" a="1"/>
  <c r="U436" i="4" s="1"/>
  <c r="AB436" i="4"/>
  <c r="T437" i="4"/>
  <c r="U437" i="4" s="1" a="1"/>
  <c r="U437" i="4" s="1"/>
  <c r="AB437" i="4"/>
  <c r="T438" i="4"/>
  <c r="U438" i="4" s="1" a="1"/>
  <c r="U438" i="4" s="1"/>
  <c r="AB438" i="4"/>
  <c r="T439" i="4"/>
  <c r="U439" i="4" s="1" a="1"/>
  <c r="U439" i="4" s="1"/>
  <c r="AB439" i="4"/>
  <c r="T440" i="4"/>
  <c r="U440" i="4" s="1" a="1"/>
  <c r="U440" i="4" s="1"/>
  <c r="AB440" i="4"/>
  <c r="T441" i="4"/>
  <c r="U441" i="4" s="1" a="1"/>
  <c r="U441" i="4" s="1"/>
  <c r="AB441" i="4"/>
  <c r="T442" i="4"/>
  <c r="U442" i="4" s="1" a="1"/>
  <c r="U442" i="4" s="1"/>
  <c r="AB442" i="4"/>
  <c r="T443" i="4"/>
  <c r="U443" i="4" s="1" a="1"/>
  <c r="U443" i="4" s="1"/>
  <c r="AB443" i="4"/>
  <c r="T444" i="4"/>
  <c r="U444" i="4" s="1" a="1"/>
  <c r="U444" i="4" s="1"/>
  <c r="AB444" i="4"/>
  <c r="T445" i="4"/>
  <c r="U445" i="4" s="1" a="1"/>
  <c r="U445" i="4" s="1"/>
  <c r="AB445" i="4"/>
  <c r="T446" i="4"/>
  <c r="U446" i="4" s="1" a="1"/>
  <c r="U446" i="4" s="1"/>
  <c r="AB446" i="4"/>
  <c r="T447" i="4"/>
  <c r="U447" i="4" s="1" a="1"/>
  <c r="U447" i="4" s="1"/>
  <c r="AB447" i="4"/>
  <c r="T448" i="4"/>
  <c r="U448" i="4" s="1" a="1"/>
  <c r="U448" i="4" s="1"/>
  <c r="AB448" i="4"/>
  <c r="T449" i="4"/>
  <c r="U449" i="4" s="1" a="1"/>
  <c r="U449" i="4" s="1"/>
  <c r="AB449" i="4"/>
  <c r="T450" i="4"/>
  <c r="U450" i="4" s="1" a="1"/>
  <c r="U450" i="4" s="1"/>
  <c r="AB450" i="4"/>
  <c r="T451" i="4"/>
  <c r="U451" i="4" s="1" a="1"/>
  <c r="U451" i="4" s="1"/>
  <c r="AB451" i="4"/>
  <c r="T452" i="4"/>
  <c r="U452" i="4" s="1" a="1"/>
  <c r="U452" i="4" s="1"/>
  <c r="AB452" i="4"/>
  <c r="T453" i="4"/>
  <c r="U453" i="4" s="1" a="1"/>
  <c r="U453" i="4" s="1"/>
  <c r="AB453" i="4"/>
  <c r="T454" i="4"/>
  <c r="U454" i="4" s="1" a="1"/>
  <c r="U454" i="4" s="1"/>
  <c r="AB454" i="4"/>
  <c r="T455" i="4"/>
  <c r="U455" i="4" s="1" a="1"/>
  <c r="U455" i="4" s="1"/>
  <c r="AB455" i="4"/>
  <c r="T456" i="4"/>
  <c r="U456" i="4" s="1" a="1"/>
  <c r="U456" i="4" s="1"/>
  <c r="AB456" i="4"/>
  <c r="T457" i="4"/>
  <c r="U457" i="4" s="1" a="1"/>
  <c r="U457" i="4" s="1"/>
  <c r="AB457" i="4"/>
  <c r="T458" i="4"/>
  <c r="U458" i="4" s="1" a="1"/>
  <c r="U458" i="4" s="1"/>
  <c r="AB458" i="4"/>
  <c r="T459" i="4"/>
  <c r="U459" i="4" s="1" a="1"/>
  <c r="U459" i="4" s="1"/>
  <c r="AB459" i="4"/>
  <c r="T460" i="4"/>
  <c r="U460" i="4" s="1" a="1"/>
  <c r="U460" i="4" s="1"/>
  <c r="AB460" i="4"/>
  <c r="T461" i="4"/>
  <c r="U461" i="4" s="1" a="1"/>
  <c r="U461" i="4" s="1"/>
  <c r="AB461" i="4"/>
  <c r="T462" i="4"/>
  <c r="U462" i="4" s="1" a="1"/>
  <c r="U462" i="4" s="1"/>
  <c r="AB462" i="4"/>
  <c r="T463" i="4"/>
  <c r="U463" i="4" s="1" a="1"/>
  <c r="U463" i="4" s="1"/>
  <c r="AB463" i="4"/>
  <c r="T464" i="4"/>
  <c r="U464" i="4" s="1" a="1"/>
  <c r="U464" i="4" s="1"/>
  <c r="AB464" i="4"/>
  <c r="T465" i="4"/>
  <c r="U465" i="4" s="1" a="1"/>
  <c r="U465" i="4" s="1"/>
  <c r="AB465" i="4"/>
  <c r="T466" i="4"/>
  <c r="U466" i="4" s="1" a="1"/>
  <c r="U466" i="4" s="1"/>
  <c r="AB466" i="4"/>
  <c r="T467" i="4"/>
  <c r="U467" i="4" s="1" a="1"/>
  <c r="U467" i="4" s="1"/>
  <c r="AB467" i="4"/>
  <c r="T468" i="4"/>
  <c r="U468" i="4" s="1" a="1"/>
  <c r="U468" i="4" s="1"/>
  <c r="AB468" i="4"/>
  <c r="T469" i="4"/>
  <c r="U469" i="4" s="1" a="1"/>
  <c r="U469" i="4" s="1"/>
  <c r="AB469" i="4"/>
  <c r="T470" i="4"/>
  <c r="U470" i="4" s="1" a="1"/>
  <c r="U470" i="4" s="1"/>
  <c r="AB470" i="4"/>
  <c r="T471" i="4"/>
  <c r="U471" i="4" s="1" a="1"/>
  <c r="U471" i="4" s="1"/>
  <c r="AB471" i="4"/>
  <c r="T472" i="4"/>
  <c r="U472" i="4" s="1" a="1"/>
  <c r="U472" i="4" s="1"/>
  <c r="AB472" i="4"/>
  <c r="T473" i="4"/>
  <c r="U473" i="4" s="1" a="1"/>
  <c r="U473" i="4" s="1"/>
  <c r="AB473" i="4"/>
  <c r="T474" i="4"/>
  <c r="U474" i="4" s="1" a="1"/>
  <c r="U474" i="4" s="1"/>
  <c r="AB474" i="4"/>
  <c r="T475" i="4"/>
  <c r="U475" i="4" s="1" a="1"/>
  <c r="U475" i="4" s="1"/>
  <c r="AB475" i="4"/>
  <c r="T476" i="4"/>
  <c r="U476" i="4" s="1" a="1"/>
  <c r="U476" i="4" s="1"/>
  <c r="AB476" i="4"/>
  <c r="T477" i="4"/>
  <c r="U477" i="4" s="1" a="1"/>
  <c r="U477" i="4" s="1"/>
  <c r="AB477" i="4"/>
  <c r="T478" i="4"/>
  <c r="U478" i="4" s="1" a="1"/>
  <c r="U478" i="4" s="1"/>
  <c r="AB478" i="4"/>
  <c r="T479" i="4"/>
  <c r="U479" i="4" s="1" a="1"/>
  <c r="U479" i="4" s="1"/>
  <c r="AB479" i="4"/>
  <c r="T480" i="4"/>
  <c r="U480" i="4" s="1" a="1"/>
  <c r="U480" i="4" s="1"/>
  <c r="AB480" i="4"/>
  <c r="T481" i="4"/>
  <c r="U481" i="4" s="1" a="1"/>
  <c r="U481" i="4" s="1"/>
  <c r="AB481" i="4"/>
  <c r="T482" i="4"/>
  <c r="U482" i="4" s="1" a="1"/>
  <c r="U482" i="4" s="1"/>
  <c r="AB482" i="4"/>
  <c r="T483" i="4"/>
  <c r="U483" i="4" s="1" a="1"/>
  <c r="U483" i="4" s="1"/>
  <c r="AB483" i="4"/>
  <c r="T484" i="4"/>
  <c r="U484" i="4" s="1" a="1"/>
  <c r="U484" i="4" s="1"/>
  <c r="AB484" i="4"/>
  <c r="T485" i="4"/>
  <c r="U485" i="4" s="1" a="1"/>
  <c r="U485" i="4" s="1"/>
  <c r="AB485" i="4"/>
  <c r="T486" i="4"/>
  <c r="U486" i="4" s="1" a="1"/>
  <c r="U486" i="4" s="1"/>
  <c r="AB486" i="4"/>
  <c r="T487" i="4"/>
  <c r="U487" i="4" s="1" a="1"/>
  <c r="U487" i="4" s="1"/>
  <c r="AB487" i="4"/>
  <c r="T488" i="4"/>
  <c r="U488" i="4" s="1" a="1"/>
  <c r="U488" i="4" s="1"/>
  <c r="AB488" i="4"/>
  <c r="T489" i="4"/>
  <c r="U489" i="4" s="1" a="1"/>
  <c r="U489" i="4" s="1"/>
  <c r="AB489" i="4"/>
  <c r="T490" i="4"/>
  <c r="U490" i="4" s="1" a="1"/>
  <c r="U490" i="4" s="1"/>
  <c r="AB490" i="4"/>
  <c r="T491" i="4"/>
  <c r="U491" i="4" s="1" a="1"/>
  <c r="U491" i="4" s="1"/>
  <c r="AB491" i="4"/>
  <c r="T492" i="4"/>
  <c r="U492" i="4" s="1" a="1"/>
  <c r="U492" i="4" s="1"/>
  <c r="AB492" i="4"/>
  <c r="T493" i="4"/>
  <c r="U493" i="4" s="1" a="1"/>
  <c r="U493" i="4" s="1"/>
  <c r="AB493" i="4"/>
  <c r="T494" i="4"/>
  <c r="U494" i="4" s="1" a="1"/>
  <c r="U494" i="4" s="1"/>
  <c r="AB494" i="4"/>
  <c r="T495" i="4"/>
  <c r="U495" i="4" s="1" a="1"/>
  <c r="U495" i="4" s="1"/>
  <c r="AB495" i="4"/>
  <c r="T496" i="4"/>
  <c r="U496" i="4" s="1" a="1"/>
  <c r="U496" i="4" s="1"/>
  <c r="AB496" i="4"/>
  <c r="T497" i="4"/>
  <c r="U497" i="4" s="1" a="1"/>
  <c r="U497" i="4" s="1"/>
  <c r="AB497" i="4"/>
  <c r="T498" i="4"/>
  <c r="U498" i="4" s="1" a="1"/>
  <c r="U498" i="4" s="1"/>
  <c r="AB498" i="4"/>
  <c r="T499" i="4"/>
  <c r="U499" i="4" s="1" a="1"/>
  <c r="U499" i="4" s="1"/>
  <c r="AB499" i="4"/>
  <c r="T500" i="4"/>
  <c r="U500" i="4" s="1" a="1"/>
  <c r="U500" i="4" s="1"/>
  <c r="AB500" i="4"/>
  <c r="T501" i="4"/>
  <c r="U501" i="4" s="1" a="1"/>
  <c r="U501" i="4" s="1"/>
  <c r="AB501" i="4"/>
  <c r="T502" i="4"/>
  <c r="U502" i="4" s="1" a="1"/>
  <c r="U502" i="4" s="1"/>
  <c r="AB502" i="4"/>
  <c r="T503" i="4"/>
  <c r="U503" i="4" s="1" a="1"/>
  <c r="U503" i="4" s="1"/>
  <c r="AB503" i="4"/>
  <c r="T504" i="4"/>
  <c r="U504" i="4" s="1" a="1"/>
  <c r="U504" i="4" s="1"/>
  <c r="AB504" i="4"/>
  <c r="T505" i="4"/>
  <c r="U505" i="4" s="1" a="1"/>
  <c r="U505" i="4" s="1"/>
  <c r="AB505" i="4"/>
  <c r="T506" i="4"/>
  <c r="U506" i="4" s="1" a="1"/>
  <c r="U506" i="4" s="1"/>
  <c r="AB506" i="4"/>
  <c r="T507" i="4"/>
  <c r="U507" i="4" s="1" a="1"/>
  <c r="U507" i="4" s="1"/>
  <c r="AB507" i="4"/>
  <c r="T508" i="4"/>
  <c r="U508" i="4" s="1" a="1"/>
  <c r="U508" i="4" s="1"/>
  <c r="AB508" i="4"/>
  <c r="T509" i="4"/>
  <c r="U509" i="4" s="1" a="1"/>
  <c r="U509" i="4" s="1"/>
  <c r="AB509" i="4"/>
  <c r="T510" i="4"/>
  <c r="U510" i="4" s="1" a="1"/>
  <c r="U510" i="4" s="1"/>
  <c r="AB510" i="4"/>
  <c r="T511" i="4"/>
  <c r="U511" i="4" s="1" a="1"/>
  <c r="U511" i="4" s="1"/>
  <c r="AB511" i="4"/>
  <c r="T512" i="4"/>
  <c r="U512" i="4" s="1" a="1"/>
  <c r="U512" i="4" s="1"/>
  <c r="AB512" i="4"/>
  <c r="T513" i="4"/>
  <c r="U513" i="4" s="1" a="1"/>
  <c r="U513" i="4" s="1"/>
  <c r="AB513" i="4"/>
  <c r="T514" i="4"/>
  <c r="U514" i="4" s="1" a="1"/>
  <c r="U514" i="4" s="1"/>
  <c r="AB514" i="4"/>
  <c r="T515" i="4"/>
  <c r="U515" i="4" s="1" a="1"/>
  <c r="U515" i="4" s="1"/>
  <c r="AB515" i="4"/>
  <c r="T516" i="4"/>
  <c r="U516" i="4" s="1" a="1"/>
  <c r="U516" i="4" s="1"/>
  <c r="AB516" i="4"/>
  <c r="T517" i="4"/>
  <c r="U517" i="4" s="1" a="1"/>
  <c r="U517" i="4" s="1"/>
  <c r="AB517" i="4"/>
  <c r="T518" i="4"/>
  <c r="U518" i="4" s="1" a="1"/>
  <c r="U518" i="4" s="1"/>
  <c r="AB518" i="4"/>
  <c r="T519" i="4"/>
  <c r="U519" i="4" s="1" a="1"/>
  <c r="U519" i="4" s="1"/>
  <c r="AB519" i="4"/>
  <c r="T520" i="4"/>
  <c r="U520" i="4" s="1" a="1"/>
  <c r="U520" i="4" s="1"/>
  <c r="AB520" i="4"/>
  <c r="T521" i="4"/>
  <c r="U521" i="4" s="1" a="1"/>
  <c r="U521" i="4" s="1"/>
  <c r="AB521" i="4"/>
  <c r="T522" i="4"/>
  <c r="U522" i="4" s="1" a="1"/>
  <c r="U522" i="4" s="1"/>
  <c r="AB522" i="4"/>
  <c r="T523" i="4"/>
  <c r="U523" i="4" s="1" a="1"/>
  <c r="U523" i="4" s="1"/>
  <c r="AB523" i="4"/>
  <c r="T524" i="4"/>
  <c r="U524" i="4" s="1" a="1"/>
  <c r="U524" i="4" s="1"/>
  <c r="AB524" i="4"/>
  <c r="T525" i="4"/>
  <c r="U525" i="4" s="1" a="1"/>
  <c r="U525" i="4" s="1"/>
  <c r="AB525" i="4"/>
  <c r="T526" i="4"/>
  <c r="U526" i="4" s="1" a="1"/>
  <c r="U526" i="4" s="1"/>
  <c r="AB526" i="4"/>
  <c r="T527" i="4"/>
  <c r="U527" i="4" s="1" a="1"/>
  <c r="U527" i="4" s="1"/>
  <c r="AB527" i="4"/>
  <c r="T528" i="4"/>
  <c r="U528" i="4" s="1" a="1"/>
  <c r="U528" i="4" s="1"/>
  <c r="AB528" i="4"/>
  <c r="T529" i="4"/>
  <c r="U529" i="4" s="1" a="1"/>
  <c r="U529" i="4" s="1"/>
  <c r="AB529" i="4"/>
  <c r="T530" i="4"/>
  <c r="U530" i="4" s="1" a="1"/>
  <c r="U530" i="4" s="1"/>
  <c r="AB530" i="4"/>
  <c r="T531" i="4"/>
  <c r="U531" i="4" s="1" a="1"/>
  <c r="U531" i="4" s="1"/>
  <c r="AB531" i="4"/>
  <c r="T532" i="4"/>
  <c r="U532" i="4" s="1" a="1"/>
  <c r="U532" i="4" s="1"/>
  <c r="AB532" i="4"/>
  <c r="T533" i="4"/>
  <c r="U533" i="4" s="1" a="1"/>
  <c r="U533" i="4" s="1"/>
  <c r="AB533" i="4"/>
  <c r="T534" i="4"/>
  <c r="U534" i="4" s="1" a="1"/>
  <c r="U534" i="4" s="1"/>
  <c r="AB534" i="4"/>
  <c r="T535" i="4"/>
  <c r="U535" i="4" s="1" a="1"/>
  <c r="U535" i="4" s="1"/>
  <c r="AB535" i="4"/>
  <c r="T536" i="4"/>
  <c r="U536" i="4" s="1" a="1"/>
  <c r="U536" i="4" s="1"/>
  <c r="AB536" i="4"/>
  <c r="T537" i="4"/>
  <c r="U537" i="4" s="1" a="1"/>
  <c r="U537" i="4" s="1"/>
  <c r="AB537" i="4"/>
  <c r="T538" i="4"/>
  <c r="U538" i="4" s="1" a="1"/>
  <c r="U538" i="4" s="1"/>
  <c r="AB538" i="4"/>
  <c r="T539" i="4"/>
  <c r="U539" i="4" s="1" a="1"/>
  <c r="U539" i="4" s="1"/>
  <c r="AB539" i="4"/>
  <c r="T540" i="4"/>
  <c r="U540" i="4" s="1" a="1"/>
  <c r="U540" i="4" s="1"/>
  <c r="AB540" i="4"/>
  <c r="T541" i="4"/>
  <c r="U541" i="4" s="1" a="1"/>
  <c r="U541" i="4" s="1"/>
  <c r="AB541" i="4"/>
  <c r="T542" i="4"/>
  <c r="U542" i="4" s="1" a="1"/>
  <c r="U542" i="4" s="1"/>
  <c r="AB542" i="4"/>
  <c r="T543" i="4"/>
  <c r="U543" i="4" s="1" a="1"/>
  <c r="U543" i="4" s="1"/>
  <c r="AB543" i="4"/>
  <c r="T544" i="4"/>
  <c r="U544" i="4" s="1" a="1"/>
  <c r="U544" i="4" s="1"/>
  <c r="AB544" i="4"/>
  <c r="T545" i="4"/>
  <c r="U545" i="4" s="1" a="1"/>
  <c r="U545" i="4" s="1"/>
  <c r="AB545" i="4"/>
  <c r="T546" i="4"/>
  <c r="U546" i="4" s="1" a="1"/>
  <c r="U546" i="4" s="1"/>
  <c r="AB546" i="4"/>
  <c r="T547" i="4"/>
  <c r="U547" i="4" s="1" a="1"/>
  <c r="U547" i="4" s="1"/>
  <c r="AB547" i="4"/>
  <c r="T548" i="4"/>
  <c r="U548" i="4" s="1" a="1"/>
  <c r="U548" i="4" s="1"/>
  <c r="AB548" i="4"/>
  <c r="T549" i="4"/>
  <c r="U549" i="4" s="1" a="1"/>
  <c r="U549" i="4" s="1"/>
  <c r="AB549" i="4"/>
  <c r="T550" i="4"/>
  <c r="U550" i="4" s="1" a="1"/>
  <c r="U550" i="4" s="1"/>
  <c r="AB550" i="4"/>
  <c r="T551" i="4"/>
  <c r="U551" i="4" s="1" a="1"/>
  <c r="U551" i="4" s="1"/>
  <c r="AB551" i="4"/>
  <c r="T552" i="4"/>
  <c r="U552" i="4" s="1" a="1"/>
  <c r="U552" i="4" s="1"/>
  <c r="AB552" i="4"/>
  <c r="T553" i="4"/>
  <c r="U553" i="4" s="1" a="1"/>
  <c r="U553" i="4" s="1"/>
  <c r="AB553" i="4"/>
  <c r="T554" i="4"/>
  <c r="U554" i="4" s="1" a="1"/>
  <c r="U554" i="4" s="1"/>
  <c r="AB554" i="4"/>
  <c r="T555" i="4"/>
  <c r="U555" i="4" s="1" a="1"/>
  <c r="U555" i="4" s="1"/>
  <c r="AB555" i="4"/>
  <c r="T556" i="4"/>
  <c r="U556" i="4" s="1" a="1"/>
  <c r="U556" i="4" s="1"/>
  <c r="AB556" i="4"/>
  <c r="T557" i="4"/>
  <c r="U557" i="4" s="1" a="1"/>
  <c r="U557" i="4" s="1"/>
  <c r="AB557" i="4"/>
  <c r="T558" i="4"/>
  <c r="U558" i="4" s="1" a="1"/>
  <c r="U558" i="4" s="1"/>
  <c r="AB558" i="4"/>
  <c r="T559" i="4"/>
  <c r="U559" i="4" s="1" a="1"/>
  <c r="U559" i="4" s="1"/>
  <c r="AB559" i="4"/>
  <c r="T560" i="4"/>
  <c r="U560" i="4" s="1" a="1"/>
  <c r="U560" i="4" s="1"/>
  <c r="AB560" i="4"/>
  <c r="T561" i="4"/>
  <c r="U561" i="4" s="1" a="1"/>
  <c r="U561" i="4" s="1"/>
  <c r="AB561" i="4"/>
  <c r="T562" i="4"/>
  <c r="U562" i="4" s="1" a="1"/>
  <c r="U562" i="4" s="1"/>
  <c r="AB562" i="4"/>
  <c r="T563" i="4"/>
  <c r="U563" i="4" s="1" a="1"/>
  <c r="U563" i="4" s="1"/>
  <c r="AB563" i="4"/>
  <c r="T564" i="4"/>
  <c r="U564" i="4" s="1" a="1"/>
  <c r="U564" i="4" s="1"/>
  <c r="AB564" i="4"/>
  <c r="T565" i="4"/>
  <c r="U565" i="4" s="1" a="1"/>
  <c r="U565" i="4" s="1"/>
  <c r="AB565" i="4"/>
  <c r="T566" i="4"/>
  <c r="U566" i="4" s="1" a="1"/>
  <c r="U566" i="4" s="1"/>
  <c r="AB566" i="4"/>
  <c r="T567" i="4"/>
  <c r="U567" i="4" s="1" a="1"/>
  <c r="U567" i="4" s="1"/>
  <c r="AB567" i="4"/>
  <c r="T568" i="4"/>
  <c r="U568" i="4" s="1" a="1"/>
  <c r="U568" i="4" s="1"/>
  <c r="AB568" i="4"/>
  <c r="T569" i="4"/>
  <c r="U569" i="4" s="1" a="1"/>
  <c r="U569" i="4" s="1"/>
  <c r="AB569" i="4"/>
  <c r="T570" i="4"/>
  <c r="U570" i="4" s="1" a="1"/>
  <c r="U570" i="4" s="1"/>
  <c r="AB570" i="4"/>
  <c r="T571" i="4"/>
  <c r="U571" i="4" s="1" a="1"/>
  <c r="U571" i="4" s="1"/>
  <c r="AB571" i="4"/>
  <c r="T572" i="4"/>
  <c r="U572" i="4" s="1" a="1"/>
  <c r="U572" i="4" s="1"/>
  <c r="AB572" i="4"/>
  <c r="T573" i="4"/>
  <c r="U573" i="4" s="1" a="1"/>
  <c r="U573" i="4" s="1"/>
  <c r="AB573" i="4"/>
  <c r="T574" i="4"/>
  <c r="U574" i="4" s="1" a="1"/>
  <c r="U574" i="4" s="1"/>
  <c r="AB574" i="4"/>
  <c r="T575" i="4"/>
  <c r="U575" i="4" s="1" a="1"/>
  <c r="U575" i="4" s="1"/>
  <c r="AB575" i="4"/>
  <c r="T576" i="4"/>
  <c r="U576" i="4" s="1" a="1"/>
  <c r="U576" i="4" s="1"/>
  <c r="AB576" i="4"/>
  <c r="T577" i="4"/>
  <c r="U577" i="4" s="1" a="1"/>
  <c r="U577" i="4" s="1"/>
  <c r="AB577" i="4"/>
  <c r="T578" i="4"/>
  <c r="U578" i="4" s="1" a="1"/>
  <c r="U578" i="4" s="1"/>
  <c r="AB578" i="4"/>
  <c r="T579" i="4"/>
  <c r="U579" i="4" s="1" a="1"/>
  <c r="U579" i="4" s="1"/>
  <c r="AB579" i="4"/>
  <c r="T580" i="4"/>
  <c r="U580" i="4" s="1" a="1"/>
  <c r="U580" i="4" s="1"/>
  <c r="AB580" i="4"/>
  <c r="T581" i="4"/>
  <c r="U581" i="4" s="1" a="1"/>
  <c r="U581" i="4" s="1"/>
  <c r="AB581" i="4"/>
  <c r="T582" i="4"/>
  <c r="U582" i="4" s="1" a="1"/>
  <c r="U582" i="4" s="1"/>
  <c r="AB582" i="4"/>
  <c r="T583" i="4"/>
  <c r="U583" i="4" s="1" a="1"/>
  <c r="U583" i="4" s="1"/>
  <c r="AB583" i="4"/>
  <c r="T584" i="4"/>
  <c r="U584" i="4" s="1" a="1"/>
  <c r="U584" i="4" s="1"/>
  <c r="AB584" i="4"/>
  <c r="T585" i="4"/>
  <c r="U585" i="4" s="1" a="1"/>
  <c r="U585" i="4" s="1"/>
  <c r="AB585" i="4"/>
  <c r="T586" i="4"/>
  <c r="U586" i="4" s="1" a="1"/>
  <c r="U586" i="4" s="1"/>
  <c r="AB586" i="4"/>
  <c r="T587" i="4"/>
  <c r="U587" i="4" s="1" a="1"/>
  <c r="U587" i="4" s="1"/>
  <c r="AB587" i="4"/>
  <c r="T588" i="4"/>
  <c r="U588" i="4" s="1" a="1"/>
  <c r="U588" i="4" s="1"/>
  <c r="AB588" i="4"/>
  <c r="T589" i="4"/>
  <c r="U589" i="4" s="1" a="1"/>
  <c r="U589" i="4" s="1"/>
  <c r="AB589" i="4"/>
  <c r="T590" i="4"/>
  <c r="U590" i="4" s="1" a="1"/>
  <c r="U590" i="4" s="1"/>
  <c r="AB590" i="4"/>
  <c r="T591" i="4"/>
  <c r="U591" i="4" s="1" a="1"/>
  <c r="U591" i="4" s="1"/>
  <c r="AB591" i="4"/>
  <c r="T592" i="4"/>
  <c r="U592" i="4" s="1" a="1"/>
  <c r="U592" i="4" s="1"/>
  <c r="AB592" i="4"/>
  <c r="T593" i="4"/>
  <c r="U593" i="4" s="1" a="1"/>
  <c r="U593" i="4" s="1"/>
  <c r="AB593" i="4"/>
  <c r="T594" i="4"/>
  <c r="U594" i="4" s="1" a="1"/>
  <c r="U594" i="4" s="1"/>
  <c r="AB594" i="4"/>
  <c r="T595" i="4"/>
  <c r="U595" i="4" s="1" a="1"/>
  <c r="U595" i="4" s="1"/>
  <c r="AB595" i="4"/>
  <c r="T596" i="4"/>
  <c r="U596" i="4" s="1" a="1"/>
  <c r="U596" i="4" s="1"/>
  <c r="AB596" i="4"/>
  <c r="T597" i="4"/>
  <c r="U597" i="4" s="1" a="1"/>
  <c r="U597" i="4" s="1"/>
  <c r="AB597" i="4"/>
  <c r="T598" i="4"/>
  <c r="U598" i="4" s="1" a="1"/>
  <c r="U598" i="4" s="1"/>
  <c r="AB598" i="4"/>
  <c r="T599" i="4"/>
  <c r="U599" i="4" s="1" a="1"/>
  <c r="U599" i="4" s="1"/>
  <c r="AB599" i="4"/>
  <c r="T600" i="4"/>
  <c r="U600" i="4" s="1" a="1"/>
  <c r="U600" i="4" s="1"/>
  <c r="AB600" i="4"/>
  <c r="T601" i="4"/>
  <c r="U601" i="4" s="1" a="1"/>
  <c r="U601" i="4" s="1"/>
  <c r="AB601" i="4"/>
  <c r="T602" i="4"/>
  <c r="U602" i="4" s="1" a="1"/>
  <c r="U602" i="4" s="1"/>
  <c r="AB602" i="4"/>
  <c r="T603" i="4"/>
  <c r="U603" i="4" s="1" a="1"/>
  <c r="U603" i="4" s="1"/>
  <c r="AB603" i="4"/>
  <c r="T604" i="4"/>
  <c r="U604" i="4" s="1" a="1"/>
  <c r="U604" i="4" s="1"/>
  <c r="AB604" i="4"/>
  <c r="T605" i="4"/>
  <c r="U605" i="4" s="1" a="1"/>
  <c r="U605" i="4" s="1"/>
  <c r="AB605" i="4"/>
  <c r="T606" i="4"/>
  <c r="U606" i="4" s="1" a="1"/>
  <c r="U606" i="4" s="1"/>
  <c r="AB606" i="4"/>
  <c r="T607" i="4"/>
  <c r="U607" i="4" s="1" a="1"/>
  <c r="U607" i="4" s="1"/>
  <c r="AB607" i="4"/>
  <c r="T608" i="4"/>
  <c r="U608" i="4" s="1" a="1"/>
  <c r="U608" i="4" s="1"/>
  <c r="AB608" i="4"/>
  <c r="T609" i="4"/>
  <c r="U609" i="4" s="1" a="1"/>
  <c r="U609" i="4" s="1"/>
  <c r="AB609" i="4"/>
  <c r="T610" i="4"/>
  <c r="U610" i="4" s="1" a="1"/>
  <c r="U610" i="4" s="1"/>
  <c r="AB610" i="4"/>
  <c r="T611" i="4"/>
  <c r="U611" i="4" s="1" a="1"/>
  <c r="U611" i="4" s="1"/>
  <c r="AB611" i="4"/>
  <c r="T612" i="4"/>
  <c r="U612" i="4" s="1" a="1"/>
  <c r="U612" i="4" s="1"/>
  <c r="AB612" i="4"/>
  <c r="T613" i="4"/>
  <c r="U613" i="4" s="1" a="1"/>
  <c r="U613" i="4" s="1"/>
  <c r="AB613" i="4"/>
  <c r="T614" i="4"/>
  <c r="U614" i="4" s="1" a="1"/>
  <c r="U614" i="4" s="1"/>
  <c r="AB614" i="4"/>
  <c r="T615" i="4"/>
  <c r="U615" i="4" s="1" a="1"/>
  <c r="U615" i="4" s="1"/>
  <c r="AB615" i="4"/>
  <c r="T616" i="4"/>
  <c r="U616" i="4" s="1" a="1"/>
  <c r="U616" i="4" s="1"/>
  <c r="AB616" i="4"/>
  <c r="T617" i="4"/>
  <c r="U617" i="4" s="1" a="1"/>
  <c r="U617" i="4" s="1"/>
  <c r="AB617" i="4"/>
  <c r="T618" i="4"/>
  <c r="U618" i="4" s="1" a="1"/>
  <c r="U618" i="4" s="1"/>
  <c r="AB618" i="4"/>
  <c r="T619" i="4"/>
  <c r="U619" i="4" s="1" a="1"/>
  <c r="U619" i="4" s="1"/>
  <c r="AB619" i="4"/>
  <c r="T620" i="4"/>
  <c r="U620" i="4" s="1" a="1"/>
  <c r="U620" i="4" s="1"/>
  <c r="AB620" i="4"/>
  <c r="T621" i="4"/>
  <c r="U621" i="4" s="1" a="1"/>
  <c r="U621" i="4" s="1"/>
  <c r="AB621" i="4"/>
  <c r="T622" i="4"/>
  <c r="U622" i="4" s="1" a="1"/>
  <c r="U622" i="4" s="1"/>
  <c r="AB622" i="4"/>
  <c r="T623" i="4"/>
  <c r="U623" i="4" s="1" a="1"/>
  <c r="U623" i="4" s="1"/>
  <c r="AB623" i="4"/>
  <c r="T624" i="4"/>
  <c r="U624" i="4" s="1" a="1"/>
  <c r="U624" i="4" s="1"/>
  <c r="AB624" i="4"/>
  <c r="T625" i="4"/>
  <c r="U625" i="4" s="1" a="1"/>
  <c r="U625" i="4" s="1"/>
  <c r="AB625" i="4"/>
  <c r="T626" i="4"/>
  <c r="U626" i="4" s="1" a="1"/>
  <c r="U626" i="4" s="1"/>
  <c r="AB626" i="4"/>
  <c r="T627" i="4"/>
  <c r="U627" i="4" s="1" a="1"/>
  <c r="U627" i="4" s="1"/>
  <c r="AB627" i="4"/>
  <c r="T628" i="4"/>
  <c r="U628" i="4" s="1" a="1"/>
  <c r="U628" i="4" s="1"/>
  <c r="AB628" i="4"/>
  <c r="T629" i="4"/>
  <c r="U629" i="4" s="1" a="1"/>
  <c r="U629" i="4" s="1"/>
  <c r="AB629" i="4"/>
  <c r="T630" i="4"/>
  <c r="U630" i="4" s="1" a="1"/>
  <c r="U630" i="4" s="1"/>
  <c r="AB630" i="4"/>
  <c r="T631" i="4"/>
  <c r="U631" i="4" s="1" a="1"/>
  <c r="U631" i="4" s="1"/>
  <c r="AB631" i="4"/>
  <c r="T632" i="4"/>
  <c r="U632" i="4" s="1" a="1"/>
  <c r="U632" i="4" s="1"/>
  <c r="AB632" i="4"/>
  <c r="T633" i="4"/>
  <c r="U633" i="4" s="1" a="1"/>
  <c r="U633" i="4" s="1"/>
  <c r="AB633" i="4"/>
  <c r="T634" i="4"/>
  <c r="U634" i="4" s="1" a="1"/>
  <c r="U634" i="4" s="1"/>
  <c r="AB634" i="4"/>
  <c r="T635" i="4"/>
  <c r="U635" i="4" s="1" a="1"/>
  <c r="U635" i="4" s="1"/>
  <c r="AB635" i="4"/>
  <c r="T636" i="4"/>
  <c r="U636" i="4" s="1" a="1"/>
  <c r="U636" i="4" s="1"/>
  <c r="AB636" i="4"/>
  <c r="T637" i="4"/>
  <c r="U637" i="4" s="1" a="1"/>
  <c r="U637" i="4" s="1"/>
  <c r="AB637" i="4"/>
  <c r="T638" i="4"/>
  <c r="U638" i="4" s="1" a="1"/>
  <c r="U638" i="4" s="1"/>
  <c r="AB638" i="4"/>
  <c r="T639" i="4"/>
  <c r="U639" i="4" s="1" a="1"/>
  <c r="U639" i="4" s="1"/>
  <c r="AB639" i="4"/>
  <c r="T640" i="4"/>
  <c r="U640" i="4" s="1" a="1"/>
  <c r="U640" i="4" s="1"/>
  <c r="AB640" i="4"/>
  <c r="T641" i="4"/>
  <c r="U641" i="4" s="1" a="1"/>
  <c r="U641" i="4" s="1"/>
  <c r="AB641" i="4"/>
  <c r="T642" i="4"/>
  <c r="U642" i="4" s="1" a="1"/>
  <c r="U642" i="4" s="1"/>
  <c r="AB642" i="4"/>
  <c r="T643" i="4"/>
  <c r="U643" i="4" s="1" a="1"/>
  <c r="U643" i="4" s="1"/>
  <c r="AB643" i="4"/>
  <c r="T644" i="4"/>
  <c r="U644" i="4" s="1" a="1"/>
  <c r="U644" i="4" s="1"/>
  <c r="AB644" i="4"/>
  <c r="T645" i="4"/>
  <c r="U645" i="4" s="1" a="1"/>
  <c r="U645" i="4" s="1"/>
  <c r="AB645" i="4"/>
  <c r="T646" i="4"/>
  <c r="U646" i="4" s="1" a="1"/>
  <c r="U646" i="4" s="1"/>
  <c r="AB646" i="4"/>
  <c r="T647" i="4"/>
  <c r="U647" i="4" s="1" a="1"/>
  <c r="U647" i="4" s="1"/>
  <c r="AB647" i="4"/>
  <c r="T648" i="4"/>
  <c r="U648" i="4" s="1" a="1"/>
  <c r="U648" i="4" s="1"/>
  <c r="AB648" i="4"/>
  <c r="T649" i="4"/>
  <c r="U649" i="4" s="1" a="1"/>
  <c r="U649" i="4" s="1"/>
  <c r="AB649" i="4"/>
  <c r="T650" i="4"/>
  <c r="U650" i="4" s="1" a="1"/>
  <c r="U650" i="4" s="1"/>
  <c r="AB650" i="4"/>
  <c r="T651" i="4"/>
  <c r="U651" i="4" s="1" a="1"/>
  <c r="U651" i="4" s="1"/>
  <c r="AB651" i="4"/>
  <c r="T652" i="4"/>
  <c r="U652" i="4" s="1" a="1"/>
  <c r="U652" i="4" s="1"/>
  <c r="AB652" i="4"/>
  <c r="T653" i="4"/>
  <c r="U653" i="4" s="1" a="1"/>
  <c r="U653" i="4" s="1"/>
  <c r="AB653" i="4"/>
  <c r="T654" i="4"/>
  <c r="U654" i="4" s="1" a="1"/>
  <c r="U654" i="4" s="1"/>
  <c r="AB654" i="4"/>
  <c r="T655" i="4"/>
  <c r="U655" i="4" s="1" a="1"/>
  <c r="U655" i="4" s="1"/>
  <c r="AB655" i="4"/>
  <c r="T656" i="4"/>
  <c r="U656" i="4" s="1" a="1"/>
  <c r="U656" i="4" s="1"/>
  <c r="AB656" i="4"/>
  <c r="T657" i="4"/>
  <c r="U657" i="4" s="1" a="1"/>
  <c r="U657" i="4" s="1"/>
  <c r="AB657" i="4"/>
  <c r="T658" i="4"/>
  <c r="U658" i="4" s="1" a="1"/>
  <c r="U658" i="4" s="1"/>
  <c r="AB658" i="4"/>
  <c r="T659" i="4"/>
  <c r="U659" i="4" s="1" a="1"/>
  <c r="U659" i="4" s="1"/>
  <c r="AB659" i="4"/>
  <c r="T660" i="4"/>
  <c r="U660" i="4" s="1" a="1"/>
  <c r="U660" i="4" s="1"/>
  <c r="AB660" i="4"/>
  <c r="T661" i="4"/>
  <c r="U661" i="4" s="1" a="1"/>
  <c r="U661" i="4" s="1"/>
  <c r="AB661" i="4"/>
  <c r="T662" i="4"/>
  <c r="U662" i="4" s="1" a="1"/>
  <c r="U662" i="4" s="1"/>
  <c r="AB662" i="4"/>
  <c r="T663" i="4"/>
  <c r="U663" i="4" s="1" a="1"/>
  <c r="U663" i="4" s="1"/>
  <c r="AB663" i="4"/>
  <c r="T664" i="4"/>
  <c r="U664" i="4" s="1" a="1"/>
  <c r="U664" i="4" s="1"/>
  <c r="AB664" i="4"/>
  <c r="T665" i="4"/>
  <c r="U665" i="4" s="1" a="1"/>
  <c r="U665" i="4" s="1"/>
  <c r="AB665" i="4"/>
  <c r="T666" i="4"/>
  <c r="U666" i="4" s="1" a="1"/>
  <c r="U666" i="4" s="1"/>
  <c r="AB666" i="4"/>
  <c r="T667" i="4"/>
  <c r="U667" i="4" s="1" a="1"/>
  <c r="U667" i="4" s="1"/>
  <c r="AB667" i="4"/>
  <c r="T668" i="4"/>
  <c r="U668" i="4" s="1" a="1"/>
  <c r="U668" i="4" s="1"/>
  <c r="AB668" i="4"/>
  <c r="T669" i="4"/>
  <c r="U669" i="4" s="1" a="1"/>
  <c r="U669" i="4" s="1"/>
  <c r="AB669" i="4"/>
  <c r="T670" i="4"/>
  <c r="U670" i="4" s="1" a="1"/>
  <c r="U670" i="4" s="1"/>
  <c r="AB670" i="4"/>
  <c r="T671" i="4"/>
  <c r="U671" i="4" s="1" a="1"/>
  <c r="U671" i="4" s="1"/>
  <c r="AB671" i="4"/>
  <c r="T672" i="4"/>
  <c r="U672" i="4" s="1" a="1"/>
  <c r="U672" i="4" s="1"/>
  <c r="AB672" i="4"/>
  <c r="T673" i="4"/>
  <c r="U673" i="4" s="1" a="1"/>
  <c r="U673" i="4" s="1"/>
  <c r="AB673" i="4"/>
  <c r="T674" i="4"/>
  <c r="U674" i="4" s="1" a="1"/>
  <c r="U674" i="4" s="1"/>
  <c r="AB674" i="4"/>
  <c r="T675" i="4"/>
  <c r="U675" i="4" s="1" a="1"/>
  <c r="U675" i="4" s="1"/>
  <c r="AB675" i="4"/>
  <c r="T676" i="4"/>
  <c r="U676" i="4" s="1" a="1"/>
  <c r="U676" i="4" s="1"/>
  <c r="AB676" i="4"/>
  <c r="T677" i="4"/>
  <c r="U677" i="4" s="1" a="1"/>
  <c r="U677" i="4" s="1"/>
  <c r="AB677" i="4"/>
  <c r="T678" i="4"/>
  <c r="U678" i="4" s="1" a="1"/>
  <c r="U678" i="4" s="1"/>
  <c r="AB678" i="4"/>
  <c r="T679" i="4"/>
  <c r="U679" i="4" s="1" a="1"/>
  <c r="U679" i="4" s="1"/>
  <c r="AB679" i="4"/>
  <c r="T680" i="4"/>
  <c r="U680" i="4" s="1" a="1"/>
  <c r="U680" i="4" s="1"/>
  <c r="AB680" i="4"/>
  <c r="T681" i="4"/>
  <c r="U681" i="4" s="1" a="1"/>
  <c r="U681" i="4" s="1"/>
  <c r="AB681" i="4"/>
  <c r="T682" i="4"/>
  <c r="U682" i="4" s="1" a="1"/>
  <c r="U682" i="4" s="1"/>
  <c r="AB682" i="4"/>
  <c r="T683" i="4"/>
  <c r="U683" i="4" s="1" a="1"/>
  <c r="U683" i="4" s="1"/>
  <c r="AB683" i="4"/>
  <c r="T684" i="4"/>
  <c r="U684" i="4" s="1" a="1"/>
  <c r="U684" i="4" s="1"/>
  <c r="AB684" i="4"/>
  <c r="T685" i="4"/>
  <c r="U685" i="4" s="1" a="1"/>
  <c r="U685" i="4" s="1"/>
  <c r="AB685" i="4"/>
  <c r="T686" i="4"/>
  <c r="U686" i="4" s="1" a="1"/>
  <c r="U686" i="4" s="1"/>
  <c r="AB686" i="4"/>
  <c r="T687" i="4"/>
  <c r="U687" i="4" s="1" a="1"/>
  <c r="U687" i="4" s="1"/>
  <c r="AB687" i="4"/>
  <c r="T688" i="4"/>
  <c r="U688" i="4" s="1" a="1"/>
  <c r="U688" i="4" s="1"/>
  <c r="AB688" i="4"/>
  <c r="T689" i="4"/>
  <c r="U689" i="4" s="1" a="1"/>
  <c r="U689" i="4" s="1"/>
  <c r="AB689" i="4"/>
  <c r="T690" i="4"/>
  <c r="U690" i="4" s="1" a="1"/>
  <c r="U690" i="4" s="1"/>
  <c r="AB690" i="4"/>
  <c r="T691" i="4"/>
  <c r="U691" i="4" s="1" a="1"/>
  <c r="U691" i="4" s="1"/>
  <c r="AB691" i="4"/>
  <c r="T692" i="4"/>
  <c r="U692" i="4" s="1" a="1"/>
  <c r="U692" i="4" s="1"/>
  <c r="AB692" i="4"/>
  <c r="T693" i="4"/>
  <c r="U693" i="4" s="1" a="1"/>
  <c r="U693" i="4" s="1"/>
  <c r="AB693" i="4"/>
  <c r="T694" i="4"/>
  <c r="U694" i="4" s="1" a="1"/>
  <c r="U694" i="4" s="1"/>
  <c r="AB694" i="4"/>
  <c r="T695" i="4"/>
  <c r="U695" i="4" s="1" a="1"/>
  <c r="U695" i="4" s="1"/>
  <c r="AB695" i="4"/>
  <c r="T696" i="4"/>
  <c r="U696" i="4" s="1" a="1"/>
  <c r="U696" i="4" s="1"/>
  <c r="AB696" i="4"/>
  <c r="T697" i="4"/>
  <c r="U697" i="4" s="1" a="1"/>
  <c r="U697" i="4" s="1"/>
  <c r="AB697" i="4"/>
  <c r="T698" i="4"/>
  <c r="U698" i="4" s="1" a="1"/>
  <c r="U698" i="4" s="1"/>
  <c r="AB698" i="4"/>
  <c r="T699" i="4"/>
  <c r="U699" i="4" s="1" a="1"/>
  <c r="U699" i="4" s="1"/>
  <c r="AB699" i="4"/>
  <c r="T700" i="4"/>
  <c r="U700" i="4" s="1" a="1"/>
  <c r="U700" i="4" s="1"/>
  <c r="AB700" i="4"/>
  <c r="T701" i="4"/>
  <c r="U701" i="4" s="1" a="1"/>
  <c r="U701" i="4" s="1"/>
  <c r="AB701" i="4"/>
  <c r="T702" i="4"/>
  <c r="U702" i="4" s="1" a="1"/>
  <c r="U702" i="4" s="1"/>
  <c r="AB702" i="4"/>
  <c r="T703" i="4"/>
  <c r="U703" i="4" s="1" a="1"/>
  <c r="U703" i="4" s="1"/>
  <c r="AB703" i="4"/>
  <c r="T704" i="4"/>
  <c r="U704" i="4" s="1" a="1"/>
  <c r="U704" i="4" s="1"/>
  <c r="AB704" i="4"/>
  <c r="T705" i="4"/>
  <c r="U705" i="4" s="1" a="1"/>
  <c r="U705" i="4" s="1"/>
  <c r="AB705" i="4"/>
  <c r="T706" i="4"/>
  <c r="U706" i="4" s="1" a="1"/>
  <c r="U706" i="4" s="1"/>
  <c r="AB706" i="4"/>
  <c r="T707" i="4"/>
  <c r="U707" i="4" s="1" a="1"/>
  <c r="U707" i="4" s="1"/>
  <c r="AB707" i="4"/>
  <c r="T708" i="4"/>
  <c r="U708" i="4" s="1" a="1"/>
  <c r="U708" i="4" s="1"/>
  <c r="AB708" i="4"/>
  <c r="T709" i="4"/>
  <c r="U709" i="4" s="1" a="1"/>
  <c r="U709" i="4" s="1"/>
  <c r="AB709" i="4"/>
  <c r="T710" i="4"/>
  <c r="U710" i="4" s="1" a="1"/>
  <c r="U710" i="4" s="1"/>
  <c r="AB710" i="4"/>
  <c r="T711" i="4"/>
  <c r="U711" i="4" s="1" a="1"/>
  <c r="U711" i="4" s="1"/>
  <c r="AB711" i="4"/>
  <c r="T712" i="4"/>
  <c r="U712" i="4" s="1" a="1"/>
  <c r="U712" i="4" s="1"/>
  <c r="AB712" i="4"/>
  <c r="T713" i="4"/>
  <c r="U713" i="4" s="1" a="1"/>
  <c r="U713" i="4" s="1"/>
  <c r="AB713" i="4"/>
  <c r="T714" i="4"/>
  <c r="U714" i="4" s="1" a="1"/>
  <c r="U714" i="4" s="1"/>
  <c r="AB714" i="4"/>
  <c r="T715" i="4"/>
  <c r="U715" i="4" s="1" a="1"/>
  <c r="U715" i="4" s="1"/>
  <c r="AB715" i="4"/>
  <c r="T716" i="4"/>
  <c r="U716" i="4" s="1" a="1"/>
  <c r="U716" i="4" s="1"/>
  <c r="AB716" i="4"/>
  <c r="T717" i="4"/>
  <c r="U717" i="4" s="1" a="1"/>
  <c r="U717" i="4" s="1"/>
  <c r="AB717" i="4"/>
  <c r="T718" i="4"/>
  <c r="U718" i="4" s="1" a="1"/>
  <c r="U718" i="4" s="1"/>
  <c r="AB718" i="4"/>
  <c r="T719" i="4"/>
  <c r="U719" i="4" s="1" a="1"/>
  <c r="U719" i="4" s="1"/>
  <c r="AB719" i="4"/>
  <c r="T720" i="4"/>
  <c r="U720" i="4" s="1" a="1"/>
  <c r="U720" i="4" s="1"/>
  <c r="AB720" i="4"/>
  <c r="T721" i="4"/>
  <c r="U721" i="4" s="1" a="1"/>
  <c r="U721" i="4" s="1"/>
  <c r="AB721" i="4"/>
  <c r="T722" i="4"/>
  <c r="U722" i="4" s="1" a="1"/>
  <c r="U722" i="4" s="1"/>
  <c r="AB722" i="4"/>
  <c r="T723" i="4"/>
  <c r="U723" i="4" s="1" a="1"/>
  <c r="U723" i="4" s="1"/>
  <c r="AB723" i="4"/>
  <c r="T724" i="4"/>
  <c r="U724" i="4" s="1" a="1"/>
  <c r="U724" i="4" s="1"/>
  <c r="AB724" i="4"/>
  <c r="T725" i="4"/>
  <c r="U725" i="4" s="1" a="1"/>
  <c r="U725" i="4" s="1"/>
  <c r="AB725" i="4"/>
  <c r="T726" i="4"/>
  <c r="U726" i="4" s="1" a="1"/>
  <c r="U726" i="4" s="1"/>
  <c r="AB726" i="4"/>
  <c r="T727" i="4"/>
  <c r="U727" i="4" s="1" a="1"/>
  <c r="U727" i="4" s="1"/>
  <c r="AB727" i="4"/>
  <c r="T728" i="4"/>
  <c r="U728" i="4" s="1" a="1"/>
  <c r="U728" i="4" s="1"/>
  <c r="AB728" i="4"/>
  <c r="T729" i="4"/>
  <c r="U729" i="4" s="1" a="1"/>
  <c r="U729" i="4" s="1"/>
  <c r="AB729" i="4"/>
  <c r="T730" i="4"/>
  <c r="U730" i="4" s="1" a="1"/>
  <c r="U730" i="4" s="1"/>
  <c r="AB730" i="4"/>
  <c r="T731" i="4"/>
  <c r="U731" i="4" s="1" a="1"/>
  <c r="U731" i="4" s="1"/>
  <c r="AB731" i="4"/>
  <c r="T732" i="4"/>
  <c r="U732" i="4" s="1" a="1"/>
  <c r="U732" i="4" s="1"/>
  <c r="AB732" i="4"/>
  <c r="T733" i="4"/>
  <c r="U733" i="4" s="1" a="1"/>
  <c r="U733" i="4" s="1"/>
  <c r="AB733" i="4"/>
  <c r="T734" i="4"/>
  <c r="U734" i="4" s="1" a="1"/>
  <c r="U734" i="4" s="1"/>
  <c r="AB734" i="4"/>
  <c r="T735" i="4"/>
  <c r="U735" i="4" s="1" a="1"/>
  <c r="U735" i="4" s="1"/>
  <c r="AB735" i="4"/>
  <c r="T736" i="4"/>
  <c r="U736" i="4" s="1" a="1"/>
  <c r="U736" i="4" s="1"/>
  <c r="AB736" i="4"/>
  <c r="T737" i="4"/>
  <c r="U737" i="4" s="1" a="1"/>
  <c r="U737" i="4" s="1"/>
  <c r="AB737" i="4"/>
  <c r="T738" i="4"/>
  <c r="U738" i="4" s="1" a="1"/>
  <c r="U738" i="4" s="1"/>
  <c r="AB738" i="4"/>
  <c r="T739" i="4"/>
  <c r="U739" i="4" s="1" a="1"/>
  <c r="U739" i="4" s="1"/>
  <c r="AB739" i="4"/>
  <c r="T740" i="4"/>
  <c r="U740" i="4" s="1" a="1"/>
  <c r="U740" i="4" s="1"/>
  <c r="AB740" i="4"/>
  <c r="T741" i="4"/>
  <c r="U741" i="4" s="1" a="1"/>
  <c r="U741" i="4" s="1"/>
  <c r="AB741" i="4"/>
  <c r="T742" i="4"/>
  <c r="U742" i="4" s="1" a="1"/>
  <c r="U742" i="4" s="1"/>
  <c r="AB742" i="4"/>
  <c r="T743" i="4"/>
  <c r="U743" i="4" s="1" a="1"/>
  <c r="U743" i="4" s="1"/>
  <c r="AB743" i="4"/>
  <c r="T744" i="4"/>
  <c r="U744" i="4" s="1" a="1"/>
  <c r="U744" i="4" s="1"/>
  <c r="AB744" i="4"/>
  <c r="T745" i="4"/>
  <c r="U745" i="4" s="1" a="1"/>
  <c r="U745" i="4" s="1"/>
  <c r="AB745" i="4"/>
  <c r="T746" i="4"/>
  <c r="U746" i="4" s="1" a="1"/>
  <c r="U746" i="4" s="1"/>
  <c r="AB746" i="4"/>
  <c r="T747" i="4"/>
  <c r="U747" i="4" s="1" a="1"/>
  <c r="U747" i="4" s="1"/>
  <c r="AB747" i="4"/>
  <c r="T748" i="4"/>
  <c r="U748" i="4" s="1" a="1"/>
  <c r="U748" i="4" s="1"/>
  <c r="AB748" i="4"/>
  <c r="T749" i="4"/>
  <c r="U749" i="4" s="1" a="1"/>
  <c r="U749" i="4" s="1"/>
  <c r="AB749" i="4"/>
  <c r="T750" i="4"/>
  <c r="U750" i="4" s="1" a="1"/>
  <c r="U750" i="4" s="1"/>
  <c r="AB750" i="4"/>
  <c r="T751" i="4"/>
  <c r="U751" i="4" s="1" a="1"/>
  <c r="U751" i="4" s="1"/>
  <c r="AB751" i="4"/>
  <c r="T752" i="4"/>
  <c r="U752" i="4" s="1" a="1"/>
  <c r="U752" i="4" s="1"/>
  <c r="AB752" i="4"/>
  <c r="T753" i="4"/>
  <c r="U753" i="4" s="1" a="1"/>
  <c r="U753" i="4" s="1"/>
  <c r="AB753" i="4"/>
  <c r="T754" i="4"/>
  <c r="U754" i="4" s="1" a="1"/>
  <c r="U754" i="4" s="1"/>
  <c r="AB754" i="4"/>
  <c r="T755" i="4"/>
  <c r="U755" i="4" s="1" a="1"/>
  <c r="U755" i="4" s="1"/>
  <c r="AB755" i="4"/>
  <c r="T756" i="4"/>
  <c r="U756" i="4" s="1" a="1"/>
  <c r="U756" i="4" s="1"/>
  <c r="AB756" i="4"/>
  <c r="T757" i="4"/>
  <c r="U757" i="4" s="1" a="1"/>
  <c r="U757" i="4" s="1"/>
  <c r="AB757" i="4"/>
  <c r="T758" i="4"/>
  <c r="U758" i="4" s="1" a="1"/>
  <c r="U758" i="4" s="1"/>
  <c r="AB758" i="4"/>
  <c r="T759" i="4"/>
  <c r="U759" i="4" s="1" a="1"/>
  <c r="U759" i="4" s="1"/>
  <c r="AB759" i="4"/>
  <c r="T760" i="4"/>
  <c r="U760" i="4" s="1" a="1"/>
  <c r="U760" i="4" s="1"/>
  <c r="AB760" i="4"/>
  <c r="T761" i="4"/>
  <c r="U761" i="4" s="1" a="1"/>
  <c r="U761" i="4" s="1"/>
  <c r="AB761" i="4"/>
  <c r="T762" i="4"/>
  <c r="U762" i="4" s="1" a="1"/>
  <c r="U762" i="4" s="1"/>
  <c r="AB762" i="4"/>
  <c r="T763" i="4"/>
  <c r="U763" i="4" s="1" a="1"/>
  <c r="U763" i="4" s="1"/>
  <c r="AB763" i="4"/>
  <c r="T764" i="4"/>
  <c r="U764" i="4" s="1" a="1"/>
  <c r="U764" i="4" s="1"/>
  <c r="AB764" i="4"/>
  <c r="T765" i="4"/>
  <c r="U765" i="4" s="1" a="1"/>
  <c r="U765" i="4" s="1"/>
  <c r="AB765" i="4"/>
  <c r="T766" i="4"/>
  <c r="U766" i="4" s="1" a="1"/>
  <c r="U766" i="4" s="1"/>
  <c r="AB766" i="4"/>
  <c r="T767" i="4"/>
  <c r="U767" i="4" s="1" a="1"/>
  <c r="U767" i="4" s="1"/>
  <c r="AB767" i="4"/>
  <c r="T768" i="4"/>
  <c r="U768" i="4" s="1" a="1"/>
  <c r="U768" i="4" s="1"/>
  <c r="AB768" i="4"/>
  <c r="T769" i="4"/>
  <c r="U769" i="4" s="1" a="1"/>
  <c r="U769" i="4" s="1"/>
  <c r="AB769" i="4"/>
  <c r="T770" i="4"/>
  <c r="U770" i="4" s="1" a="1"/>
  <c r="U770" i="4" s="1"/>
  <c r="AB770" i="4"/>
  <c r="T771" i="4"/>
  <c r="U771" i="4" s="1" a="1"/>
  <c r="U771" i="4" s="1"/>
  <c r="AB771" i="4"/>
  <c r="T772" i="4"/>
  <c r="U772" i="4" s="1" a="1"/>
  <c r="U772" i="4" s="1"/>
  <c r="AB772" i="4"/>
  <c r="T773" i="4"/>
  <c r="U773" i="4" s="1" a="1"/>
  <c r="U773" i="4" s="1"/>
  <c r="AB773" i="4"/>
  <c r="T774" i="4"/>
  <c r="U774" i="4" s="1" a="1"/>
  <c r="U774" i="4" s="1"/>
  <c r="AB774" i="4"/>
  <c r="T775" i="4"/>
  <c r="U775" i="4" s="1" a="1"/>
  <c r="U775" i="4" s="1"/>
  <c r="AB775" i="4"/>
  <c r="T776" i="4"/>
  <c r="U776" i="4" s="1" a="1"/>
  <c r="U776" i="4" s="1"/>
  <c r="AB776" i="4"/>
  <c r="T777" i="4"/>
  <c r="U777" i="4" s="1" a="1"/>
  <c r="U777" i="4" s="1"/>
  <c r="AB777" i="4"/>
  <c r="T778" i="4"/>
  <c r="U778" i="4" s="1" a="1"/>
  <c r="U778" i="4" s="1"/>
  <c r="AB778" i="4"/>
  <c r="T779" i="4"/>
  <c r="U779" i="4" s="1" a="1"/>
  <c r="U779" i="4" s="1"/>
  <c r="AB779" i="4"/>
  <c r="T780" i="4"/>
  <c r="U780" i="4" s="1" a="1"/>
  <c r="U780" i="4" s="1"/>
  <c r="AB780" i="4"/>
  <c r="T781" i="4"/>
  <c r="U781" i="4" s="1" a="1"/>
  <c r="U781" i="4" s="1"/>
  <c r="AB781" i="4"/>
  <c r="T782" i="4"/>
  <c r="U782" i="4" s="1" a="1"/>
  <c r="U782" i="4" s="1"/>
  <c r="AB782" i="4"/>
  <c r="T783" i="4"/>
  <c r="U783" i="4" s="1" a="1"/>
  <c r="U783" i="4" s="1"/>
  <c r="AB783" i="4"/>
  <c r="T784" i="4"/>
  <c r="U784" i="4" s="1" a="1"/>
  <c r="U784" i="4" s="1"/>
  <c r="AB784" i="4"/>
  <c r="T785" i="4"/>
  <c r="U785" i="4" s="1" a="1"/>
  <c r="U785" i="4" s="1"/>
  <c r="AB785" i="4"/>
  <c r="T786" i="4"/>
  <c r="U786" i="4" s="1" a="1"/>
  <c r="U786" i="4" s="1"/>
  <c r="AB786" i="4"/>
  <c r="T787" i="4"/>
  <c r="U787" i="4" s="1" a="1"/>
  <c r="U787" i="4" s="1"/>
  <c r="AB787" i="4"/>
  <c r="T788" i="4"/>
  <c r="U788" i="4" s="1" a="1"/>
  <c r="U788" i="4" s="1"/>
  <c r="AB788" i="4"/>
  <c r="T789" i="4"/>
  <c r="U789" i="4" s="1" a="1"/>
  <c r="U789" i="4" s="1"/>
  <c r="AB789" i="4"/>
  <c r="T790" i="4"/>
  <c r="U790" i="4" s="1" a="1"/>
  <c r="U790" i="4" s="1"/>
  <c r="AB790" i="4"/>
  <c r="T791" i="4"/>
  <c r="U791" i="4" s="1" a="1"/>
  <c r="U791" i="4" s="1"/>
  <c r="AB791" i="4"/>
  <c r="T792" i="4"/>
  <c r="U792" i="4" s="1" a="1"/>
  <c r="U792" i="4" s="1"/>
  <c r="AB792" i="4"/>
  <c r="T793" i="4"/>
  <c r="U793" i="4" s="1" a="1"/>
  <c r="U793" i="4" s="1"/>
  <c r="AB793" i="4"/>
  <c r="T794" i="4"/>
  <c r="U794" i="4" s="1" a="1"/>
  <c r="U794" i="4" s="1"/>
  <c r="AB794" i="4"/>
  <c r="T795" i="4"/>
  <c r="U795" i="4" s="1" a="1"/>
  <c r="U795" i="4" s="1"/>
  <c r="AB795" i="4"/>
  <c r="T796" i="4"/>
  <c r="U796" i="4" s="1" a="1"/>
  <c r="U796" i="4" s="1"/>
  <c r="AB796" i="4"/>
  <c r="T797" i="4"/>
  <c r="U797" i="4" s="1" a="1"/>
  <c r="U797" i="4" s="1"/>
  <c r="AB797" i="4"/>
  <c r="T798" i="4"/>
  <c r="U798" i="4" s="1" a="1"/>
  <c r="U798" i="4" s="1"/>
  <c r="AB798" i="4"/>
  <c r="T799" i="4"/>
  <c r="U799" i="4" s="1" a="1"/>
  <c r="U799" i="4" s="1"/>
  <c r="AB799" i="4"/>
  <c r="T800" i="4"/>
  <c r="U800" i="4" s="1" a="1"/>
  <c r="U800" i="4" s="1"/>
  <c r="AB800" i="4"/>
  <c r="T801" i="4"/>
  <c r="U801" i="4" s="1" a="1"/>
  <c r="U801" i="4" s="1"/>
  <c r="AB801" i="4"/>
  <c r="T802" i="4"/>
  <c r="U802" i="4" s="1" a="1"/>
  <c r="U802" i="4" s="1"/>
  <c r="AB802" i="4"/>
  <c r="T803" i="4"/>
  <c r="U803" i="4" s="1" a="1"/>
  <c r="U803" i="4" s="1"/>
  <c r="AB803" i="4"/>
  <c r="T804" i="4"/>
  <c r="U804" i="4" s="1" a="1"/>
  <c r="U804" i="4" s="1"/>
  <c r="AB804" i="4"/>
  <c r="T805" i="4"/>
  <c r="U805" i="4" s="1" a="1"/>
  <c r="U805" i="4" s="1"/>
  <c r="AB805" i="4"/>
  <c r="T806" i="4"/>
  <c r="U806" i="4" s="1" a="1"/>
  <c r="U806" i="4" s="1"/>
  <c r="AB806" i="4"/>
  <c r="T807" i="4"/>
  <c r="U807" i="4" s="1" a="1"/>
  <c r="U807" i="4" s="1"/>
  <c r="AB807" i="4"/>
  <c r="T808" i="4"/>
  <c r="U808" i="4" s="1" a="1"/>
  <c r="U808" i="4" s="1"/>
  <c r="AB808" i="4"/>
  <c r="T809" i="4"/>
  <c r="U809" i="4" s="1" a="1"/>
  <c r="U809" i="4" s="1"/>
  <c r="AB809" i="4"/>
  <c r="T810" i="4"/>
  <c r="U810" i="4" s="1" a="1"/>
  <c r="U810" i="4" s="1"/>
  <c r="AB810" i="4"/>
  <c r="T811" i="4"/>
  <c r="U811" i="4" s="1" a="1"/>
  <c r="U811" i="4" s="1"/>
  <c r="AB811" i="4"/>
  <c r="T812" i="4"/>
  <c r="U812" i="4" s="1" a="1"/>
  <c r="U812" i="4" s="1"/>
  <c r="AB812" i="4"/>
  <c r="T813" i="4"/>
  <c r="U813" i="4" s="1" a="1"/>
  <c r="U813" i="4" s="1"/>
  <c r="AB813" i="4"/>
  <c r="T814" i="4"/>
  <c r="U814" i="4" s="1" a="1"/>
  <c r="U814" i="4" s="1"/>
  <c r="AB814" i="4"/>
  <c r="T815" i="4"/>
  <c r="U815" i="4" s="1" a="1"/>
  <c r="U815" i="4" s="1"/>
  <c r="AB815" i="4"/>
  <c r="T816" i="4"/>
  <c r="U816" i="4" s="1" a="1"/>
  <c r="U816" i="4" s="1"/>
  <c r="AB816" i="4"/>
  <c r="T817" i="4"/>
  <c r="U817" i="4" s="1" a="1"/>
  <c r="U817" i="4" s="1"/>
  <c r="AB817" i="4"/>
  <c r="T818" i="4"/>
  <c r="U818" i="4" s="1" a="1"/>
  <c r="U818" i="4" s="1"/>
  <c r="AB818" i="4"/>
  <c r="T819" i="4"/>
  <c r="U819" i="4" s="1" a="1"/>
  <c r="U819" i="4" s="1"/>
  <c r="AB819" i="4"/>
  <c r="T820" i="4"/>
  <c r="U820" i="4" s="1" a="1"/>
  <c r="U820" i="4" s="1"/>
  <c r="AB820" i="4"/>
  <c r="T821" i="4"/>
  <c r="U821" i="4" s="1" a="1"/>
  <c r="U821" i="4" s="1"/>
  <c r="AB821" i="4"/>
  <c r="T822" i="4"/>
  <c r="U822" i="4" s="1" a="1"/>
  <c r="U822" i="4" s="1"/>
  <c r="AB822" i="4"/>
  <c r="T823" i="4"/>
  <c r="U823" i="4" s="1" a="1"/>
  <c r="U823" i="4" s="1"/>
  <c r="AB823" i="4"/>
  <c r="T824" i="4"/>
  <c r="U824" i="4" s="1" a="1"/>
  <c r="U824" i="4" s="1"/>
  <c r="AB824" i="4"/>
  <c r="T825" i="4"/>
  <c r="U825" i="4" s="1" a="1"/>
  <c r="U825" i="4" s="1"/>
  <c r="AB825" i="4"/>
  <c r="T826" i="4"/>
  <c r="U826" i="4" s="1" a="1"/>
  <c r="U826" i="4" s="1"/>
  <c r="AB826" i="4"/>
  <c r="T827" i="4"/>
  <c r="U827" i="4" s="1" a="1"/>
  <c r="U827" i="4" s="1"/>
  <c r="AB827" i="4"/>
  <c r="T828" i="4"/>
  <c r="U828" i="4" s="1" a="1"/>
  <c r="U828" i="4" s="1"/>
  <c r="AB828" i="4"/>
  <c r="T829" i="4"/>
  <c r="U829" i="4" s="1" a="1"/>
  <c r="U829" i="4" s="1"/>
  <c r="AB829" i="4"/>
  <c r="T830" i="4"/>
  <c r="U830" i="4" s="1" a="1"/>
  <c r="U830" i="4" s="1"/>
  <c r="AB830" i="4"/>
  <c r="T831" i="4"/>
  <c r="U831" i="4" s="1" a="1"/>
  <c r="U831" i="4" s="1"/>
  <c r="AB831" i="4"/>
  <c r="T832" i="4"/>
  <c r="U832" i="4" s="1" a="1"/>
  <c r="U832" i="4" s="1"/>
  <c r="AB832" i="4"/>
  <c r="T833" i="4"/>
  <c r="U833" i="4" s="1" a="1"/>
  <c r="U833" i="4" s="1"/>
  <c r="AB833" i="4"/>
  <c r="T834" i="4"/>
  <c r="U834" i="4" s="1" a="1"/>
  <c r="U834" i="4" s="1"/>
  <c r="AB834" i="4"/>
  <c r="T835" i="4"/>
  <c r="U835" i="4" s="1" a="1"/>
  <c r="U835" i="4" s="1"/>
  <c r="AB835" i="4"/>
  <c r="T836" i="4"/>
  <c r="U836" i="4" s="1" a="1"/>
  <c r="U836" i="4" s="1"/>
  <c r="AB836" i="4"/>
  <c r="T837" i="4"/>
  <c r="U837" i="4" s="1" a="1"/>
  <c r="U837" i="4" s="1"/>
  <c r="AB837" i="4"/>
  <c r="T838" i="4"/>
  <c r="U838" i="4" s="1" a="1"/>
  <c r="U838" i="4" s="1"/>
  <c r="AB838" i="4"/>
  <c r="T839" i="4"/>
  <c r="U839" i="4" s="1" a="1"/>
  <c r="U839" i="4" s="1"/>
  <c r="AB839" i="4"/>
  <c r="T840" i="4"/>
  <c r="U840" i="4" s="1" a="1"/>
  <c r="U840" i="4" s="1"/>
  <c r="AB840" i="4"/>
  <c r="T841" i="4"/>
  <c r="U841" i="4" s="1" a="1"/>
  <c r="U841" i="4" s="1"/>
  <c r="AB841" i="4"/>
  <c r="T842" i="4"/>
  <c r="U842" i="4" s="1" a="1"/>
  <c r="U842" i="4" s="1"/>
  <c r="AB842" i="4"/>
  <c r="T843" i="4"/>
  <c r="U843" i="4" s="1" a="1"/>
  <c r="U843" i="4" s="1"/>
  <c r="AB843" i="4"/>
  <c r="T844" i="4"/>
  <c r="U844" i="4" s="1" a="1"/>
  <c r="U844" i="4" s="1"/>
  <c r="AB844" i="4"/>
  <c r="T845" i="4"/>
  <c r="U845" i="4" s="1" a="1"/>
  <c r="U845" i="4" s="1"/>
  <c r="AB845" i="4"/>
  <c r="T846" i="4"/>
  <c r="U846" i="4" s="1" a="1"/>
  <c r="U846" i="4" s="1"/>
  <c r="AB846" i="4"/>
  <c r="T847" i="4"/>
  <c r="U847" i="4" s="1" a="1"/>
  <c r="U847" i="4" s="1"/>
  <c r="AB847" i="4"/>
  <c r="T848" i="4"/>
  <c r="U848" i="4" s="1" a="1"/>
  <c r="U848" i="4" s="1"/>
  <c r="AB848" i="4"/>
  <c r="T849" i="4"/>
  <c r="U849" i="4" s="1" a="1"/>
  <c r="U849" i="4" s="1"/>
  <c r="AB849" i="4"/>
  <c r="T850" i="4"/>
  <c r="U850" i="4" s="1" a="1"/>
  <c r="U850" i="4" s="1"/>
  <c r="AB850" i="4"/>
  <c r="T851" i="4"/>
  <c r="U851" i="4" s="1" a="1"/>
  <c r="U851" i="4" s="1"/>
  <c r="AB851" i="4"/>
  <c r="T852" i="4"/>
  <c r="U852" i="4" s="1" a="1"/>
  <c r="U852" i="4" s="1"/>
  <c r="AB852" i="4"/>
  <c r="T853" i="4"/>
  <c r="U853" i="4" s="1" a="1"/>
  <c r="U853" i="4" s="1"/>
  <c r="AB853" i="4"/>
  <c r="T854" i="4"/>
  <c r="U854" i="4" s="1" a="1"/>
  <c r="U854" i="4" s="1"/>
  <c r="AB854" i="4"/>
  <c r="T855" i="4"/>
  <c r="U855" i="4" s="1" a="1"/>
  <c r="U855" i="4" s="1"/>
  <c r="AB855" i="4"/>
  <c r="T856" i="4"/>
  <c r="U856" i="4" s="1" a="1"/>
  <c r="U856" i="4" s="1"/>
  <c r="AB856" i="4"/>
  <c r="T857" i="4"/>
  <c r="U857" i="4" s="1" a="1"/>
  <c r="U857" i="4" s="1"/>
  <c r="AB857" i="4"/>
  <c r="T858" i="4"/>
  <c r="U858" i="4" s="1" a="1"/>
  <c r="U858" i="4" s="1"/>
  <c r="AB858" i="4"/>
  <c r="T859" i="4"/>
  <c r="U859" i="4" s="1" a="1"/>
  <c r="U859" i="4" s="1"/>
  <c r="AB859" i="4"/>
  <c r="T860" i="4"/>
  <c r="U860" i="4" s="1" a="1"/>
  <c r="U860" i="4" s="1"/>
  <c r="AB860" i="4"/>
  <c r="T861" i="4"/>
  <c r="U861" i="4" s="1" a="1"/>
  <c r="U861" i="4" s="1"/>
  <c r="AB861" i="4"/>
  <c r="T862" i="4"/>
  <c r="U862" i="4" s="1" a="1"/>
  <c r="U862" i="4" s="1"/>
  <c r="AB862" i="4"/>
  <c r="T863" i="4"/>
  <c r="U863" i="4" s="1" a="1"/>
  <c r="U863" i="4" s="1"/>
  <c r="AB863" i="4"/>
  <c r="T864" i="4"/>
  <c r="U864" i="4" s="1" a="1"/>
  <c r="U864" i="4" s="1"/>
  <c r="AB864" i="4"/>
  <c r="T865" i="4"/>
  <c r="U865" i="4" s="1" a="1"/>
  <c r="U865" i="4" s="1"/>
  <c r="AB865" i="4"/>
  <c r="T866" i="4"/>
  <c r="U866" i="4" s="1" a="1"/>
  <c r="U866" i="4" s="1"/>
  <c r="AB866" i="4"/>
  <c r="T867" i="4"/>
  <c r="U867" i="4" s="1" a="1"/>
  <c r="U867" i="4" s="1"/>
  <c r="AB867" i="4"/>
  <c r="T868" i="4"/>
  <c r="U868" i="4" s="1" a="1"/>
  <c r="U868" i="4" s="1"/>
  <c r="AB868" i="4"/>
  <c r="T869" i="4"/>
  <c r="U869" i="4" s="1" a="1"/>
  <c r="U869" i="4" s="1"/>
  <c r="AB869" i="4"/>
  <c r="T870" i="4"/>
  <c r="U870" i="4" s="1" a="1"/>
  <c r="U870" i="4" s="1"/>
  <c r="AB870" i="4"/>
  <c r="T871" i="4"/>
  <c r="U871" i="4" s="1" a="1"/>
  <c r="U871" i="4" s="1"/>
  <c r="AB871" i="4"/>
  <c r="T872" i="4"/>
  <c r="U872" i="4" s="1" a="1"/>
  <c r="U872" i="4" s="1"/>
  <c r="AB872" i="4"/>
  <c r="T873" i="4"/>
  <c r="U873" i="4" s="1" a="1"/>
  <c r="U873" i="4" s="1"/>
  <c r="AB873" i="4"/>
  <c r="T874" i="4"/>
  <c r="U874" i="4" s="1" a="1"/>
  <c r="U874" i="4" s="1"/>
  <c r="AB874" i="4"/>
  <c r="T875" i="4"/>
  <c r="U875" i="4" s="1" a="1"/>
  <c r="U875" i="4" s="1"/>
  <c r="AB875" i="4"/>
  <c r="T876" i="4"/>
  <c r="U876" i="4" s="1" a="1"/>
  <c r="U876" i="4" s="1"/>
  <c r="AB876" i="4"/>
  <c r="T877" i="4"/>
  <c r="U877" i="4" s="1" a="1"/>
  <c r="U877" i="4" s="1"/>
  <c r="AB877" i="4"/>
  <c r="T878" i="4"/>
  <c r="U878" i="4" s="1" a="1"/>
  <c r="U878" i="4" s="1"/>
  <c r="AB878" i="4"/>
  <c r="T879" i="4"/>
  <c r="U879" i="4" s="1" a="1"/>
  <c r="U879" i="4" s="1"/>
  <c r="AB879" i="4"/>
  <c r="T880" i="4"/>
  <c r="U880" i="4" s="1" a="1"/>
  <c r="U880" i="4" s="1"/>
  <c r="AB880" i="4"/>
  <c r="T881" i="4"/>
  <c r="U881" i="4" s="1" a="1"/>
  <c r="U881" i="4" s="1"/>
  <c r="AB881" i="4"/>
  <c r="T882" i="4"/>
  <c r="U882" i="4" s="1" a="1"/>
  <c r="U882" i="4" s="1"/>
  <c r="AB882" i="4"/>
  <c r="T883" i="4"/>
  <c r="U883" i="4" s="1" a="1"/>
  <c r="U883" i="4" s="1"/>
  <c r="AB883" i="4"/>
  <c r="T884" i="4"/>
  <c r="U884" i="4" s="1" a="1"/>
  <c r="U884" i="4" s="1"/>
  <c r="AB884" i="4"/>
  <c r="T885" i="4"/>
  <c r="U885" i="4" s="1" a="1"/>
  <c r="U885" i="4" s="1"/>
  <c r="AB885" i="4"/>
  <c r="T886" i="4"/>
  <c r="U886" i="4" s="1" a="1"/>
  <c r="U886" i="4" s="1"/>
  <c r="AB886" i="4"/>
  <c r="T887" i="4"/>
  <c r="U887" i="4" s="1" a="1"/>
  <c r="U887" i="4" s="1"/>
  <c r="AB887" i="4"/>
  <c r="T888" i="4"/>
  <c r="U888" i="4" s="1" a="1"/>
  <c r="U888" i="4" s="1"/>
  <c r="AB888" i="4"/>
  <c r="T889" i="4"/>
  <c r="U889" i="4" s="1" a="1"/>
  <c r="U889" i="4" s="1"/>
  <c r="AB889" i="4"/>
  <c r="T890" i="4"/>
  <c r="U890" i="4" s="1" a="1"/>
  <c r="U890" i="4" s="1"/>
  <c r="AB890" i="4"/>
  <c r="T891" i="4"/>
  <c r="U891" i="4" s="1" a="1"/>
  <c r="U891" i="4" s="1"/>
  <c r="AB891" i="4"/>
  <c r="T892" i="4"/>
  <c r="U892" i="4" s="1" a="1"/>
  <c r="U892" i="4" s="1"/>
  <c r="AB892" i="4"/>
  <c r="T893" i="4"/>
  <c r="U893" i="4" s="1" a="1"/>
  <c r="U893" i="4" s="1"/>
  <c r="AB893" i="4"/>
  <c r="T894" i="4"/>
  <c r="U894" i="4" s="1" a="1"/>
  <c r="U894" i="4" s="1"/>
  <c r="AB894" i="4"/>
  <c r="T895" i="4"/>
  <c r="U895" i="4" s="1" a="1"/>
  <c r="U895" i="4" s="1"/>
  <c r="AB895" i="4"/>
  <c r="T896" i="4"/>
  <c r="U896" i="4" s="1" a="1"/>
  <c r="U896" i="4" s="1"/>
  <c r="AB896" i="4"/>
  <c r="T897" i="4"/>
  <c r="U897" i="4" s="1" a="1"/>
  <c r="U897" i="4" s="1"/>
  <c r="AB897" i="4"/>
  <c r="T898" i="4"/>
  <c r="U898" i="4" s="1" a="1"/>
  <c r="U898" i="4" s="1"/>
  <c r="AB898" i="4"/>
  <c r="T899" i="4"/>
  <c r="U899" i="4" s="1" a="1"/>
  <c r="U899" i="4" s="1"/>
  <c r="AB899" i="4"/>
  <c r="T900" i="4"/>
  <c r="U900" i="4" s="1" a="1"/>
  <c r="U900" i="4" s="1"/>
  <c r="AB900" i="4"/>
  <c r="T901" i="4"/>
  <c r="U901" i="4" s="1" a="1"/>
  <c r="U901" i="4" s="1"/>
  <c r="AB901" i="4"/>
  <c r="T902" i="4"/>
  <c r="U902" i="4" s="1" a="1"/>
  <c r="U902" i="4" s="1"/>
  <c r="AB902" i="4"/>
  <c r="T903" i="4"/>
  <c r="U903" i="4" s="1" a="1"/>
  <c r="U903" i="4" s="1"/>
  <c r="AB903" i="4"/>
  <c r="T904" i="4"/>
  <c r="U904" i="4" s="1" a="1"/>
  <c r="U904" i="4" s="1"/>
  <c r="AB904" i="4"/>
  <c r="T905" i="4"/>
  <c r="U905" i="4" s="1" a="1"/>
  <c r="U905" i="4" s="1"/>
  <c r="AB905" i="4"/>
  <c r="T906" i="4"/>
  <c r="U906" i="4" s="1" a="1"/>
  <c r="U906" i="4" s="1"/>
  <c r="AB906" i="4"/>
  <c r="T907" i="4"/>
  <c r="U907" i="4" s="1" a="1"/>
  <c r="U907" i="4" s="1"/>
  <c r="AB907" i="4"/>
  <c r="T908" i="4"/>
  <c r="U908" i="4" s="1" a="1"/>
  <c r="U908" i="4" s="1"/>
  <c r="AB908" i="4"/>
  <c r="T909" i="4"/>
  <c r="U909" i="4" s="1" a="1"/>
  <c r="U909" i="4" s="1"/>
  <c r="AB909" i="4"/>
  <c r="T910" i="4"/>
  <c r="U910" i="4" s="1" a="1"/>
  <c r="U910" i="4" s="1"/>
  <c r="AB910" i="4"/>
  <c r="T911" i="4"/>
  <c r="U911" i="4" s="1" a="1"/>
  <c r="U911" i="4" s="1"/>
  <c r="AB911" i="4"/>
  <c r="T912" i="4"/>
  <c r="U912" i="4" s="1" a="1"/>
  <c r="U912" i="4" s="1"/>
  <c r="AB912" i="4"/>
  <c r="T913" i="4"/>
  <c r="U913" i="4" s="1" a="1"/>
  <c r="U913" i="4" s="1"/>
  <c r="AB913" i="4"/>
  <c r="T914" i="4"/>
  <c r="U914" i="4" s="1" a="1"/>
  <c r="U914" i="4" s="1"/>
  <c r="AB914" i="4"/>
  <c r="T915" i="4"/>
  <c r="U915" i="4" s="1" a="1"/>
  <c r="U915" i="4" s="1"/>
  <c r="AB915" i="4"/>
  <c r="T916" i="4"/>
  <c r="U916" i="4" s="1" a="1"/>
  <c r="U916" i="4" s="1"/>
  <c r="AB916" i="4"/>
  <c r="T917" i="4"/>
  <c r="U917" i="4" s="1" a="1"/>
  <c r="U917" i="4" s="1"/>
  <c r="AB917" i="4"/>
  <c r="T918" i="4"/>
  <c r="U918" i="4" s="1" a="1"/>
  <c r="U918" i="4" s="1"/>
  <c r="AB918" i="4"/>
  <c r="T919" i="4"/>
  <c r="U919" i="4" s="1" a="1"/>
  <c r="U919" i="4" s="1"/>
  <c r="AB919" i="4"/>
  <c r="T920" i="4"/>
  <c r="U920" i="4" s="1" a="1"/>
  <c r="U920" i="4" s="1"/>
  <c r="AB920" i="4"/>
  <c r="T921" i="4"/>
  <c r="U921" i="4" s="1" a="1"/>
  <c r="U921" i="4" s="1"/>
  <c r="AB921" i="4"/>
  <c r="T922" i="4"/>
  <c r="U922" i="4" s="1" a="1"/>
  <c r="U922" i="4" s="1"/>
  <c r="AB922" i="4"/>
  <c r="T923" i="4"/>
  <c r="U923" i="4" s="1" a="1"/>
  <c r="U923" i="4" s="1"/>
  <c r="AB923" i="4"/>
  <c r="T924" i="4"/>
  <c r="U924" i="4" s="1" a="1"/>
  <c r="U924" i="4" s="1"/>
  <c r="AB924" i="4"/>
  <c r="T925" i="4"/>
  <c r="U925" i="4" s="1" a="1"/>
  <c r="U925" i="4" s="1"/>
  <c r="AB925" i="4"/>
  <c r="T926" i="4"/>
  <c r="U926" i="4" s="1" a="1"/>
  <c r="U926" i="4" s="1"/>
  <c r="AB926" i="4"/>
  <c r="T927" i="4"/>
  <c r="U927" i="4" s="1" a="1"/>
  <c r="U927" i="4" s="1"/>
  <c r="AB927" i="4"/>
  <c r="T928" i="4"/>
  <c r="U928" i="4" s="1" a="1"/>
  <c r="U928" i="4" s="1"/>
  <c r="AB928" i="4"/>
  <c r="T929" i="4"/>
  <c r="U929" i="4" s="1" a="1"/>
  <c r="U929" i="4" s="1"/>
  <c r="AB929" i="4"/>
  <c r="T930" i="4"/>
  <c r="U930" i="4" s="1" a="1"/>
  <c r="U930" i="4" s="1"/>
  <c r="AB930" i="4"/>
  <c r="T931" i="4"/>
  <c r="U931" i="4" s="1" a="1"/>
  <c r="U931" i="4" s="1"/>
  <c r="AB931" i="4"/>
  <c r="T932" i="4"/>
  <c r="U932" i="4" s="1" a="1"/>
  <c r="U932" i="4" s="1"/>
  <c r="AB932" i="4"/>
  <c r="T933" i="4"/>
  <c r="U933" i="4" s="1" a="1"/>
  <c r="U933" i="4" s="1"/>
  <c r="AB933" i="4"/>
  <c r="T934" i="4"/>
  <c r="U934" i="4" s="1" a="1"/>
  <c r="U934" i="4" s="1"/>
  <c r="AB934" i="4"/>
  <c r="T935" i="4"/>
  <c r="U935" i="4" s="1" a="1"/>
  <c r="U935" i="4" s="1"/>
  <c r="AB935" i="4"/>
  <c r="T936" i="4"/>
  <c r="U936" i="4" s="1" a="1"/>
  <c r="U936" i="4" s="1"/>
  <c r="AB936" i="4"/>
  <c r="T937" i="4"/>
  <c r="U937" i="4" s="1" a="1"/>
  <c r="U937" i="4" s="1"/>
  <c r="AB937" i="4"/>
  <c r="T938" i="4"/>
  <c r="U938" i="4" s="1" a="1"/>
  <c r="U938" i="4" s="1"/>
  <c r="AB938" i="4"/>
  <c r="T939" i="4"/>
  <c r="U939" i="4" s="1" a="1"/>
  <c r="U939" i="4" s="1"/>
  <c r="AB939" i="4"/>
  <c r="T940" i="4"/>
  <c r="U940" i="4" s="1" a="1"/>
  <c r="U940" i="4" s="1"/>
  <c r="AB940" i="4"/>
  <c r="T941" i="4"/>
  <c r="U941" i="4" s="1" a="1"/>
  <c r="U941" i="4" s="1"/>
  <c r="AB941" i="4"/>
  <c r="T942" i="4"/>
  <c r="U942" i="4" s="1" a="1"/>
  <c r="U942" i="4" s="1"/>
  <c r="AB942" i="4"/>
  <c r="T943" i="4"/>
  <c r="U943" i="4" s="1" a="1"/>
  <c r="U943" i="4" s="1"/>
  <c r="AB943" i="4"/>
  <c r="T944" i="4"/>
  <c r="U944" i="4" s="1" a="1"/>
  <c r="U944" i="4" s="1"/>
  <c r="AB944" i="4"/>
  <c r="T945" i="4"/>
  <c r="U945" i="4" s="1" a="1"/>
  <c r="U945" i="4" s="1"/>
  <c r="AB945" i="4"/>
  <c r="T946" i="4"/>
  <c r="U946" i="4" s="1" a="1"/>
  <c r="U946" i="4" s="1"/>
  <c r="AB946" i="4"/>
  <c r="T947" i="4"/>
  <c r="U947" i="4" s="1" a="1"/>
  <c r="U947" i="4" s="1"/>
  <c r="AB947" i="4"/>
  <c r="T948" i="4"/>
  <c r="U948" i="4" s="1" a="1"/>
  <c r="U948" i="4" s="1"/>
  <c r="AB948" i="4"/>
  <c r="T949" i="4"/>
  <c r="U949" i="4" s="1" a="1"/>
  <c r="U949" i="4" s="1"/>
  <c r="AB949" i="4"/>
  <c r="T950" i="4"/>
  <c r="U950" i="4" s="1" a="1"/>
  <c r="U950" i="4" s="1"/>
  <c r="AB950" i="4"/>
  <c r="T951" i="4"/>
  <c r="U951" i="4" s="1" a="1"/>
  <c r="U951" i="4" s="1"/>
  <c r="AB951" i="4"/>
  <c r="T952" i="4"/>
  <c r="U952" i="4" s="1" a="1"/>
  <c r="U952" i="4" s="1"/>
  <c r="AB952" i="4"/>
  <c r="T953" i="4"/>
  <c r="U953" i="4" s="1" a="1"/>
  <c r="U953" i="4" s="1"/>
  <c r="AB953" i="4"/>
  <c r="T954" i="4"/>
  <c r="U954" i="4" s="1" a="1"/>
  <c r="U954" i="4" s="1"/>
  <c r="AB954" i="4"/>
  <c r="T955" i="4"/>
  <c r="U955" i="4" s="1" a="1"/>
  <c r="U955" i="4" s="1"/>
  <c r="AB955" i="4"/>
  <c r="T956" i="4"/>
  <c r="U956" i="4" s="1" a="1"/>
  <c r="U956" i="4" s="1"/>
  <c r="AB956" i="4"/>
  <c r="T957" i="4"/>
  <c r="U957" i="4" s="1" a="1"/>
  <c r="U957" i="4" s="1"/>
  <c r="AB957" i="4"/>
  <c r="T958" i="4"/>
  <c r="U958" i="4" s="1" a="1"/>
  <c r="U958" i="4" s="1"/>
  <c r="AB958" i="4"/>
  <c r="T959" i="4"/>
  <c r="U959" i="4" s="1" a="1"/>
  <c r="U959" i="4" s="1"/>
  <c r="AB959" i="4"/>
  <c r="T960" i="4"/>
  <c r="U960" i="4" s="1" a="1"/>
  <c r="U960" i="4" s="1"/>
  <c r="AB960" i="4"/>
  <c r="T961" i="4"/>
  <c r="U961" i="4" s="1" a="1"/>
  <c r="U961" i="4" s="1"/>
  <c r="AB961" i="4"/>
  <c r="T962" i="4"/>
  <c r="U962" i="4" s="1" a="1"/>
  <c r="U962" i="4" s="1"/>
  <c r="AB962" i="4"/>
  <c r="T963" i="4"/>
  <c r="U963" i="4" s="1" a="1"/>
  <c r="U963" i="4" s="1"/>
  <c r="AB963" i="4"/>
  <c r="T964" i="4"/>
  <c r="U964" i="4" s="1" a="1"/>
  <c r="U964" i="4" s="1"/>
  <c r="AB964" i="4"/>
  <c r="T965" i="4"/>
  <c r="U965" i="4" s="1" a="1"/>
  <c r="U965" i="4" s="1"/>
  <c r="AB965" i="4"/>
  <c r="T966" i="4"/>
  <c r="U966" i="4" s="1" a="1"/>
  <c r="U966" i="4" s="1"/>
  <c r="AB966" i="4"/>
  <c r="T967" i="4"/>
  <c r="U967" i="4" s="1" a="1"/>
  <c r="U967" i="4" s="1"/>
  <c r="AB967" i="4"/>
  <c r="T968" i="4"/>
  <c r="U968" i="4" s="1" a="1"/>
  <c r="U968" i="4" s="1"/>
  <c r="AB968" i="4"/>
  <c r="T969" i="4"/>
  <c r="U969" i="4" s="1" a="1"/>
  <c r="U969" i="4" s="1"/>
  <c r="AB969" i="4"/>
  <c r="T970" i="4"/>
  <c r="U970" i="4" s="1" a="1"/>
  <c r="U970" i="4" s="1"/>
  <c r="AB970" i="4"/>
  <c r="T971" i="4"/>
  <c r="U971" i="4" s="1" a="1"/>
  <c r="U971" i="4" s="1"/>
  <c r="AB971" i="4"/>
  <c r="T972" i="4"/>
  <c r="U972" i="4" s="1" a="1"/>
  <c r="U972" i="4" s="1"/>
  <c r="AB972" i="4"/>
  <c r="T973" i="4"/>
  <c r="U973" i="4" s="1" a="1"/>
  <c r="U973" i="4" s="1"/>
  <c r="AB973" i="4"/>
  <c r="T974" i="4"/>
  <c r="U974" i="4" s="1" a="1"/>
  <c r="U974" i="4" s="1"/>
  <c r="AB974" i="4"/>
  <c r="T975" i="4"/>
  <c r="U975" i="4" s="1" a="1"/>
  <c r="U975" i="4" s="1"/>
  <c r="AB975" i="4"/>
  <c r="T976" i="4"/>
  <c r="U976" i="4" s="1" a="1"/>
  <c r="U976" i="4" s="1"/>
  <c r="AB976" i="4"/>
  <c r="T977" i="4"/>
  <c r="U977" i="4" s="1" a="1"/>
  <c r="U977" i="4" s="1"/>
  <c r="AB977" i="4"/>
  <c r="T978" i="4"/>
  <c r="U978" i="4" s="1" a="1"/>
  <c r="U978" i="4" s="1"/>
  <c r="AB978" i="4"/>
  <c r="T979" i="4"/>
  <c r="U979" i="4" s="1" a="1"/>
  <c r="U979" i="4" s="1"/>
  <c r="AB979" i="4"/>
  <c r="T980" i="4"/>
  <c r="U980" i="4" s="1" a="1"/>
  <c r="U980" i="4" s="1"/>
  <c r="AB980" i="4"/>
  <c r="T981" i="4"/>
  <c r="U981" i="4" s="1" a="1"/>
  <c r="U981" i="4" s="1"/>
  <c r="AB981" i="4"/>
  <c r="T982" i="4"/>
  <c r="U982" i="4" s="1" a="1"/>
  <c r="U982" i="4" s="1"/>
  <c r="AB982" i="4"/>
  <c r="T983" i="4"/>
  <c r="U983" i="4" s="1" a="1"/>
  <c r="U983" i="4" s="1"/>
  <c r="AB983" i="4"/>
  <c r="T984" i="4"/>
  <c r="U984" i="4" s="1" a="1"/>
  <c r="U984" i="4" s="1"/>
  <c r="AB984" i="4"/>
  <c r="T985" i="4"/>
  <c r="U985" i="4" s="1" a="1"/>
  <c r="U985" i="4" s="1"/>
  <c r="AB985" i="4"/>
  <c r="T986" i="4"/>
  <c r="U986" i="4" s="1" a="1"/>
  <c r="U986" i="4" s="1"/>
  <c r="AB986" i="4"/>
  <c r="T987" i="4"/>
  <c r="U987" i="4" s="1" a="1"/>
  <c r="U987" i="4" s="1"/>
  <c r="AB987" i="4"/>
  <c r="T988" i="4"/>
  <c r="U988" i="4" s="1" a="1"/>
  <c r="U988" i="4" s="1"/>
  <c r="AB988" i="4"/>
  <c r="T989" i="4"/>
  <c r="U989" i="4" s="1" a="1"/>
  <c r="U989" i="4" s="1"/>
  <c r="AB989" i="4"/>
  <c r="T990" i="4"/>
  <c r="U990" i="4" s="1" a="1"/>
  <c r="U990" i="4" s="1"/>
  <c r="AB990" i="4"/>
  <c r="T991" i="4"/>
  <c r="U991" i="4" s="1" a="1"/>
  <c r="U991" i="4" s="1"/>
  <c r="AB991" i="4"/>
  <c r="T992" i="4"/>
  <c r="U992" i="4" s="1" a="1"/>
  <c r="U992" i="4" s="1"/>
  <c r="AB992" i="4"/>
  <c r="T993" i="4"/>
  <c r="U993" i="4" s="1" a="1"/>
  <c r="U993" i="4" s="1"/>
  <c r="AB993" i="4"/>
  <c r="T994" i="4"/>
  <c r="U994" i="4" s="1" a="1"/>
  <c r="U994" i="4" s="1"/>
  <c r="AB994" i="4"/>
  <c r="T995" i="4"/>
  <c r="U995" i="4" s="1" a="1"/>
  <c r="U995" i="4" s="1"/>
  <c r="AB995" i="4"/>
  <c r="T996" i="4"/>
  <c r="U996" i="4" s="1" a="1"/>
  <c r="U996" i="4" s="1"/>
  <c r="AB996" i="4"/>
  <c r="T997" i="4"/>
  <c r="U997" i="4" s="1" a="1"/>
  <c r="U997" i="4" s="1"/>
  <c r="AB997" i="4"/>
  <c r="T998" i="4"/>
  <c r="U998" i="4" s="1" a="1"/>
  <c r="U998" i="4" s="1"/>
  <c r="AB998" i="4"/>
  <c r="T999" i="4"/>
  <c r="U999" i="4" s="1" a="1"/>
  <c r="U999" i="4" s="1"/>
  <c r="AB999" i="4"/>
  <c r="T1000" i="4"/>
  <c r="U1000" i="4" s="1" a="1"/>
  <c r="U1000" i="4" s="1"/>
  <c r="AB1000" i="4"/>
  <c r="T1001" i="4"/>
  <c r="U1001" i="4" s="1" a="1"/>
  <c r="U1001" i="4" s="1"/>
  <c r="AB1001" i="4"/>
  <c r="T1002" i="4"/>
  <c r="U1002" i="4" s="1" a="1"/>
  <c r="U1002" i="4" s="1"/>
  <c r="AB1002" i="4"/>
  <c r="T1003" i="4"/>
  <c r="U1003" i="4" s="1" a="1"/>
  <c r="U1003" i="4" s="1"/>
  <c r="AB1003" i="4"/>
  <c r="T1004" i="4"/>
  <c r="U1004" i="4" s="1" a="1"/>
  <c r="U1004" i="4" s="1"/>
  <c r="AB1004" i="4"/>
  <c r="T1005" i="4"/>
  <c r="U1005" i="4" s="1" a="1"/>
  <c r="U1005" i="4" s="1"/>
  <c r="AB1005" i="4"/>
  <c r="T1006" i="4"/>
  <c r="U1006" i="4" s="1" a="1"/>
  <c r="U1006" i="4" s="1"/>
  <c r="AB1006" i="4"/>
  <c r="T1007" i="4"/>
  <c r="U1007" i="4" s="1" a="1"/>
  <c r="U1007" i="4" s="1"/>
  <c r="AB1007" i="4"/>
  <c r="T1008" i="4"/>
  <c r="U1008" i="4" s="1" a="1"/>
  <c r="U1008" i="4" s="1"/>
  <c r="AB1008" i="4"/>
  <c r="T1009" i="4"/>
  <c r="U1009" i="4" s="1" a="1"/>
  <c r="U1009" i="4" s="1"/>
  <c r="AB1009" i="4"/>
  <c r="T1010" i="4"/>
  <c r="U1010" i="4" s="1" a="1"/>
  <c r="U1010" i="4" s="1"/>
  <c r="AB1010" i="4"/>
  <c r="T1011" i="4"/>
  <c r="U1011" i="4" s="1" a="1"/>
  <c r="U1011" i="4" s="1"/>
  <c r="AB1011" i="4"/>
  <c r="T1012" i="4"/>
  <c r="U1012" i="4" s="1" a="1"/>
  <c r="U1012" i="4" s="1"/>
  <c r="AB1012" i="4"/>
  <c r="T1013" i="4"/>
  <c r="U1013" i="4" s="1" a="1"/>
  <c r="U1013" i="4" s="1"/>
  <c r="AB1013" i="4"/>
  <c r="T1014" i="4"/>
  <c r="U1014" i="4" s="1" a="1"/>
  <c r="U1014" i="4" s="1"/>
  <c r="AB1014" i="4"/>
  <c r="T1015" i="4"/>
  <c r="U1015" i="4" s="1" a="1"/>
  <c r="U1015" i="4" s="1"/>
  <c r="AB1015" i="4"/>
  <c r="T1016" i="4"/>
  <c r="U1016" i="4" s="1" a="1"/>
  <c r="U1016" i="4" s="1"/>
  <c r="AB1016" i="4"/>
  <c r="T1017" i="4"/>
  <c r="U1017" i="4" s="1" a="1"/>
  <c r="U1017" i="4" s="1"/>
  <c r="AB1017" i="4"/>
  <c r="T1018" i="4"/>
  <c r="U1018" i="4" s="1" a="1"/>
  <c r="U1018" i="4" s="1"/>
  <c r="AB1018" i="4"/>
  <c r="T1019" i="4"/>
  <c r="U1019" i="4" s="1" a="1"/>
  <c r="U1019" i="4" s="1"/>
  <c r="AB1019" i="4"/>
  <c r="T1020" i="4"/>
  <c r="U1020" i="4" s="1" a="1"/>
  <c r="U1020" i="4" s="1"/>
  <c r="AB1020" i="4"/>
  <c r="T1021" i="4"/>
  <c r="U1021" i="4" s="1" a="1"/>
  <c r="U1021" i="4" s="1"/>
  <c r="AB1021" i="4"/>
  <c r="T1022" i="4"/>
  <c r="U1022" i="4" s="1" a="1"/>
  <c r="U1022" i="4" s="1"/>
  <c r="AB1022" i="4"/>
  <c r="T1023" i="4"/>
  <c r="U1023" i="4" s="1" a="1"/>
  <c r="U1023" i="4" s="1"/>
  <c r="AB1023" i="4"/>
  <c r="T1024" i="4"/>
  <c r="U1024" i="4" s="1" a="1"/>
  <c r="U1024" i="4" s="1"/>
  <c r="AB1024" i="4"/>
  <c r="T1025" i="4"/>
  <c r="U1025" i="4" s="1" a="1"/>
  <c r="U1025" i="4" s="1"/>
  <c r="AB1025" i="4"/>
  <c r="T1026" i="4"/>
  <c r="U1026" i="4" s="1" a="1"/>
  <c r="U1026" i="4" s="1"/>
  <c r="AB1026" i="4"/>
  <c r="T1027" i="4"/>
  <c r="U1027" i="4" s="1" a="1"/>
  <c r="U1027" i="4" s="1"/>
  <c r="AB1027" i="4"/>
  <c r="T1028" i="4"/>
  <c r="U1028" i="4" s="1" a="1"/>
  <c r="U1028" i="4" s="1"/>
  <c r="AB1028" i="4"/>
  <c r="T1029" i="4"/>
  <c r="U1029" i="4" s="1" a="1"/>
  <c r="U1029" i="4" s="1"/>
  <c r="AB1029" i="4"/>
  <c r="T1030" i="4"/>
  <c r="U1030" i="4" s="1" a="1"/>
  <c r="U1030" i="4" s="1"/>
  <c r="AB1030" i="4"/>
  <c r="T1031" i="4"/>
  <c r="U1031" i="4" s="1" a="1"/>
  <c r="U1031" i="4" s="1"/>
  <c r="AB1031" i="4"/>
  <c r="T1032" i="4"/>
  <c r="U1032" i="4" s="1" a="1"/>
  <c r="U1032" i="4" s="1"/>
  <c r="AB1032" i="4"/>
  <c r="T1033" i="4"/>
  <c r="U1033" i="4" s="1" a="1"/>
  <c r="U1033" i="4" s="1"/>
  <c r="AB1033" i="4"/>
  <c r="T1034" i="4"/>
  <c r="U1034" i="4" s="1" a="1"/>
  <c r="U1034" i="4" s="1"/>
  <c r="AB1034" i="4"/>
  <c r="T1035" i="4"/>
  <c r="U1035" i="4" s="1" a="1"/>
  <c r="U1035" i="4" s="1"/>
  <c r="AB1035" i="4"/>
  <c r="T1036" i="4"/>
  <c r="U1036" i="4" s="1" a="1"/>
  <c r="U1036" i="4" s="1"/>
  <c r="AB1036" i="4"/>
  <c r="T1037" i="4"/>
  <c r="U1037" i="4" s="1" a="1"/>
  <c r="U1037" i="4" s="1"/>
  <c r="AB1037" i="4"/>
  <c r="T1038" i="4"/>
  <c r="U1038" i="4" s="1" a="1"/>
  <c r="U1038" i="4" s="1"/>
  <c r="AB1038" i="4"/>
  <c r="T1039" i="4"/>
  <c r="U1039" i="4" s="1" a="1"/>
  <c r="U1039" i="4" s="1"/>
  <c r="AB1039" i="4"/>
  <c r="T1040" i="4"/>
  <c r="U1040" i="4" s="1" a="1"/>
  <c r="U1040" i="4" s="1"/>
  <c r="AB1040" i="4"/>
  <c r="T1041" i="4"/>
  <c r="U1041" i="4" s="1" a="1"/>
  <c r="U1041" i="4" s="1"/>
  <c r="AB1041" i="4"/>
  <c r="T1042" i="4"/>
  <c r="U1042" i="4" s="1" a="1"/>
  <c r="U1042" i="4" s="1"/>
  <c r="AB1042" i="4"/>
  <c r="T1043" i="4"/>
  <c r="U1043" i="4" s="1" a="1"/>
  <c r="U1043" i="4" s="1"/>
  <c r="AB1043" i="4"/>
  <c r="T1044" i="4"/>
  <c r="U1044" i="4" s="1" a="1"/>
  <c r="U1044" i="4" s="1"/>
  <c r="AB1044" i="4"/>
  <c r="T1045" i="4"/>
  <c r="U1045" i="4" s="1" a="1"/>
  <c r="U1045" i="4" s="1"/>
  <c r="AB1045" i="4"/>
  <c r="T1046" i="4"/>
  <c r="U1046" i="4" s="1" a="1"/>
  <c r="U1046" i="4" s="1"/>
  <c r="AB1046" i="4"/>
  <c r="T1047" i="4"/>
  <c r="U1047" i="4" s="1" a="1"/>
  <c r="U1047" i="4" s="1"/>
  <c r="AB1047" i="4"/>
  <c r="T1048" i="4"/>
  <c r="U1048" i="4" s="1" a="1"/>
  <c r="U1048" i="4" s="1"/>
  <c r="AB1048" i="4"/>
  <c r="T1049" i="4"/>
  <c r="U1049" i="4" s="1" a="1"/>
  <c r="U1049" i="4" s="1"/>
  <c r="AB1049" i="4"/>
  <c r="T1050" i="4"/>
  <c r="U1050" i="4" s="1" a="1"/>
  <c r="U1050" i="4" s="1"/>
  <c r="AB1050" i="4"/>
  <c r="T1051" i="4"/>
  <c r="U1051" i="4" s="1" a="1"/>
  <c r="U1051" i="4" s="1"/>
  <c r="AB1051" i="4"/>
  <c r="T1052" i="4"/>
  <c r="U1052" i="4" s="1" a="1"/>
  <c r="U1052" i="4" s="1"/>
  <c r="AB1052" i="4"/>
  <c r="T1053" i="4"/>
  <c r="U1053" i="4" s="1" a="1"/>
  <c r="U1053" i="4" s="1"/>
  <c r="AB1053" i="4"/>
  <c r="T1054" i="4"/>
  <c r="U1054" i="4" s="1" a="1"/>
  <c r="U1054" i="4" s="1"/>
  <c r="AB1054" i="4"/>
  <c r="T1055" i="4"/>
  <c r="U1055" i="4" s="1" a="1"/>
  <c r="U1055" i="4" s="1"/>
  <c r="AB1055" i="4"/>
  <c r="T1056" i="4"/>
  <c r="U1056" i="4" s="1" a="1"/>
  <c r="U1056" i="4" s="1"/>
  <c r="AB1056" i="4"/>
  <c r="T1057" i="4"/>
  <c r="U1057" i="4" s="1" a="1"/>
  <c r="U1057" i="4" s="1"/>
  <c r="AB1057" i="4"/>
  <c r="T1058" i="4"/>
  <c r="U1058" i="4" s="1" a="1"/>
  <c r="U1058" i="4" s="1"/>
  <c r="AB1058" i="4"/>
  <c r="T1059" i="4"/>
  <c r="U1059" i="4" s="1" a="1"/>
  <c r="U1059" i="4" s="1"/>
  <c r="AB1059" i="4"/>
  <c r="T1060" i="4"/>
  <c r="U1060" i="4" s="1" a="1"/>
  <c r="U1060" i="4" s="1"/>
  <c r="AB1060" i="4"/>
  <c r="T1061" i="4"/>
  <c r="U1061" i="4" s="1" a="1"/>
  <c r="U1061" i="4" s="1"/>
  <c r="AB1061" i="4"/>
  <c r="T1062" i="4"/>
  <c r="U1062" i="4" s="1" a="1"/>
  <c r="U1062" i="4" s="1"/>
  <c r="AB1062" i="4"/>
  <c r="T1063" i="4"/>
  <c r="U1063" i="4" s="1" a="1"/>
  <c r="U1063" i="4" s="1"/>
  <c r="AB1063" i="4"/>
  <c r="T1064" i="4"/>
  <c r="U1064" i="4" s="1" a="1"/>
  <c r="U1064" i="4" s="1"/>
  <c r="AB1064" i="4"/>
  <c r="T1065" i="4"/>
  <c r="U1065" i="4" s="1" a="1"/>
  <c r="U1065" i="4" s="1"/>
  <c r="AB1065" i="4"/>
  <c r="T1066" i="4"/>
  <c r="U1066" i="4" s="1" a="1"/>
  <c r="U1066" i="4" s="1"/>
  <c r="AB1066" i="4"/>
  <c r="T1067" i="4"/>
  <c r="U1067" i="4" s="1" a="1"/>
  <c r="U1067" i="4" s="1"/>
  <c r="AB1067" i="4"/>
  <c r="T1068" i="4"/>
  <c r="U1068" i="4" s="1" a="1"/>
  <c r="U1068" i="4" s="1"/>
  <c r="AB1068" i="4"/>
  <c r="T1069" i="4"/>
  <c r="U1069" i="4" s="1" a="1"/>
  <c r="U1069" i="4" s="1"/>
  <c r="AB1069" i="4"/>
  <c r="T1070" i="4"/>
  <c r="U1070" i="4" s="1" a="1"/>
  <c r="U1070" i="4" s="1"/>
  <c r="AB1070" i="4"/>
  <c r="AB1613" i="4"/>
  <c r="AB1612" i="4"/>
  <c r="AB1611" i="4"/>
  <c r="AB1610" i="4"/>
  <c r="AB1609" i="4"/>
  <c r="AB1608" i="4"/>
  <c r="AB1607" i="4"/>
  <c r="AB1606" i="4"/>
  <c r="AB1605" i="4"/>
  <c r="AB1604" i="4"/>
  <c r="AB1603" i="4"/>
  <c r="AB1602" i="4"/>
  <c r="AB1601" i="4"/>
  <c r="AB1600" i="4"/>
  <c r="AB1599" i="4"/>
  <c r="AB1598" i="4"/>
  <c r="AB1597" i="4"/>
  <c r="AB1596" i="4"/>
  <c r="AB1595" i="4"/>
  <c r="AB1594" i="4"/>
  <c r="AB1593" i="4"/>
  <c r="AB1592" i="4"/>
  <c r="AB1591" i="4"/>
  <c r="AB1590" i="4"/>
  <c r="AB1589" i="4"/>
  <c r="AB1588" i="4"/>
  <c r="AB1587" i="4"/>
  <c r="AB1586" i="4"/>
  <c r="AB1585" i="4"/>
  <c r="AB1584" i="4"/>
  <c r="AB1583" i="4"/>
  <c r="AB1582" i="4"/>
  <c r="AB1581" i="4"/>
  <c r="AB1580" i="4"/>
  <c r="AB1579" i="4"/>
  <c r="AB1578" i="4"/>
  <c r="AB1577" i="4"/>
  <c r="AB1576" i="4"/>
  <c r="AB1575" i="4"/>
  <c r="AB1574" i="4"/>
  <c r="AB1573" i="4"/>
  <c r="AB1572" i="4"/>
  <c r="AB1571" i="4"/>
  <c r="AB1570" i="4"/>
  <c r="AB1569" i="4"/>
  <c r="AB1568" i="4"/>
  <c r="AB1567" i="4"/>
  <c r="AB1566" i="4"/>
  <c r="AB1565" i="4"/>
  <c r="AB1564" i="4"/>
  <c r="AB1563" i="4"/>
  <c r="AB1562" i="4"/>
  <c r="AB1561" i="4"/>
  <c r="AB1560" i="4"/>
  <c r="AB1559" i="4"/>
  <c r="AB1558" i="4"/>
  <c r="AB1557" i="4"/>
  <c r="AB1556" i="4"/>
  <c r="AB1555" i="4"/>
  <c r="AB1554" i="4"/>
  <c r="AB1553" i="4"/>
  <c r="AB1552" i="4"/>
  <c r="AB1551" i="4"/>
  <c r="AB1550" i="4"/>
  <c r="AB1549" i="4"/>
  <c r="AB1548" i="4"/>
  <c r="AB1547" i="4"/>
  <c r="AB1546" i="4"/>
  <c r="AB1545" i="4"/>
  <c r="AB1544" i="4"/>
  <c r="AB1543" i="4"/>
  <c r="AB1542" i="4"/>
  <c r="AB1541" i="4"/>
  <c r="AB1540" i="4"/>
  <c r="AB1539" i="4"/>
  <c r="AB1538" i="4"/>
  <c r="AB1537" i="4"/>
  <c r="AB1536" i="4"/>
  <c r="AB1535" i="4"/>
  <c r="AB1534" i="4"/>
  <c r="AB1533" i="4"/>
  <c r="AB1532" i="4"/>
  <c r="AB1531" i="4"/>
  <c r="AB1530" i="4"/>
  <c r="AB1529" i="4"/>
  <c r="AB1528" i="4"/>
  <c r="AB1527" i="4"/>
  <c r="AB1526" i="4"/>
  <c r="AB1525" i="4"/>
  <c r="AB1524" i="4"/>
  <c r="AB1523" i="4"/>
  <c r="AB1522" i="4"/>
  <c r="AB1521" i="4"/>
  <c r="AB1520" i="4"/>
  <c r="AB1519" i="4"/>
  <c r="AB1518" i="4"/>
  <c r="AB1517" i="4"/>
  <c r="AB1516" i="4"/>
  <c r="AB1515" i="4"/>
  <c r="AB1514" i="4"/>
  <c r="AB1513" i="4"/>
  <c r="AB1512" i="4"/>
  <c r="AB1511" i="4"/>
  <c r="AB1510" i="4"/>
  <c r="AB1509" i="4"/>
  <c r="AB1508" i="4"/>
  <c r="AB1507" i="4"/>
  <c r="AB1506" i="4"/>
  <c r="AB1505" i="4"/>
  <c r="AB1504" i="4"/>
  <c r="AB1503" i="4"/>
  <c r="AB1502" i="4"/>
  <c r="AB1501" i="4"/>
  <c r="AB1500" i="4"/>
  <c r="AB1499" i="4"/>
  <c r="AB1498" i="4"/>
  <c r="AB1497" i="4"/>
  <c r="AB1496" i="4"/>
  <c r="AB1495" i="4"/>
  <c r="AB1494" i="4"/>
  <c r="AB1493" i="4"/>
  <c r="AB1492" i="4"/>
  <c r="AB1491" i="4"/>
  <c r="AB1490" i="4"/>
  <c r="AB1489" i="4"/>
  <c r="AB1488" i="4"/>
  <c r="AB1487" i="4"/>
  <c r="AB1486" i="4"/>
  <c r="AB1485" i="4"/>
  <c r="AB1484" i="4"/>
  <c r="AB1483" i="4"/>
  <c r="AB1482" i="4"/>
  <c r="AB1481" i="4"/>
  <c r="AB1480" i="4"/>
  <c r="AB1479" i="4"/>
  <c r="AB1478" i="4"/>
  <c r="AB1477" i="4"/>
  <c r="AB1476" i="4"/>
  <c r="AB1475" i="4"/>
  <c r="AB1474" i="4"/>
  <c r="AB1473" i="4"/>
  <c r="AB1472" i="4"/>
  <c r="AB1471" i="4"/>
  <c r="AB1470" i="4"/>
  <c r="AB1469" i="4"/>
  <c r="AB1468" i="4"/>
  <c r="AB1467" i="4"/>
  <c r="AB1466" i="4"/>
  <c r="AB1465" i="4"/>
  <c r="AB1464" i="4"/>
  <c r="AB1463" i="4"/>
  <c r="AB1462" i="4"/>
  <c r="AB1461" i="4"/>
  <c r="AB1460" i="4"/>
  <c r="AB1459" i="4"/>
  <c r="AB1458" i="4"/>
  <c r="AB1457" i="4"/>
  <c r="AB1456" i="4"/>
  <c r="AB1455" i="4"/>
  <c r="AB1454" i="4"/>
  <c r="AB1453" i="4"/>
  <c r="AB1452" i="4"/>
  <c r="AB1451" i="4"/>
  <c r="AB1450" i="4"/>
  <c r="AB1449" i="4"/>
  <c r="AB1448" i="4"/>
  <c r="AB1447" i="4"/>
  <c r="AB1446" i="4"/>
  <c r="AB1445" i="4"/>
  <c r="AB1444" i="4"/>
  <c r="AB1443" i="4"/>
  <c r="AB1442" i="4"/>
  <c r="AB1441" i="4"/>
  <c r="AB1440" i="4"/>
  <c r="AB1439" i="4"/>
  <c r="AB1438" i="4"/>
  <c r="AB1437" i="4"/>
  <c r="AB1436" i="4"/>
  <c r="AB1435" i="4"/>
  <c r="AB1434" i="4"/>
  <c r="AB1433" i="4"/>
  <c r="AB1432" i="4"/>
  <c r="AB1431" i="4"/>
  <c r="AB1430" i="4"/>
  <c r="AB1429" i="4"/>
  <c r="AB1428" i="4"/>
  <c r="AB1427" i="4"/>
  <c r="AB1426" i="4"/>
  <c r="AB1425" i="4"/>
  <c r="AB1424" i="4"/>
  <c r="AB1423" i="4"/>
  <c r="AB1422" i="4"/>
  <c r="AB1421" i="4"/>
  <c r="AB1420" i="4"/>
  <c r="AB1419" i="4"/>
  <c r="AB1418" i="4"/>
  <c r="AB1417" i="4"/>
  <c r="AB1416" i="4"/>
  <c r="AB1415" i="4"/>
  <c r="AB1414" i="4"/>
  <c r="AB1413" i="4"/>
  <c r="AB1412" i="4"/>
  <c r="AB1411" i="4"/>
  <c r="AB1410" i="4"/>
  <c r="AB1409" i="4"/>
  <c r="AB1408" i="4"/>
  <c r="AB1407" i="4"/>
  <c r="AB1406" i="4"/>
  <c r="AB1405" i="4"/>
  <c r="AB1404" i="4"/>
  <c r="AB1403" i="4"/>
  <c r="AB1402" i="4"/>
  <c r="AB1401" i="4"/>
  <c r="AB1400" i="4"/>
  <c r="AB1399" i="4"/>
  <c r="AB1398" i="4"/>
  <c r="AB1397" i="4"/>
  <c r="AB1396" i="4"/>
  <c r="AB1395" i="4"/>
  <c r="AB1394" i="4"/>
  <c r="AB1393" i="4"/>
  <c r="AB1392" i="4"/>
  <c r="AB1391" i="4"/>
  <c r="AB1390" i="4"/>
  <c r="AB1389" i="4"/>
  <c r="AB1388" i="4"/>
  <c r="AB1387" i="4"/>
  <c r="AB1386" i="4"/>
  <c r="AB1385" i="4"/>
  <c r="AB1384" i="4"/>
  <c r="AB1383" i="4"/>
  <c r="AB1382" i="4"/>
  <c r="AB1381" i="4"/>
  <c r="AB1380" i="4"/>
  <c r="AB1379" i="4"/>
  <c r="AB1378" i="4"/>
  <c r="AB1377" i="4"/>
  <c r="AB1376" i="4"/>
  <c r="AB1375" i="4"/>
  <c r="AB1374" i="4"/>
  <c r="AB1373" i="4"/>
  <c r="AB1372" i="4"/>
  <c r="AB1371" i="4"/>
  <c r="AB1370" i="4"/>
  <c r="AB1369" i="4"/>
  <c r="AB1368" i="4"/>
  <c r="AB1367" i="4"/>
  <c r="AB1366" i="4"/>
  <c r="AB1365" i="4"/>
  <c r="AB1364" i="4"/>
  <c r="AB1363" i="4"/>
  <c r="AB1362" i="4"/>
  <c r="AB1361" i="4"/>
  <c r="AB1360" i="4"/>
  <c r="AB1359" i="4"/>
  <c r="AB1358" i="4"/>
  <c r="AB1357" i="4"/>
  <c r="AB1356" i="4"/>
  <c r="AB1355" i="4"/>
  <c r="AB1354" i="4"/>
  <c r="AB1353" i="4"/>
  <c r="AB1352" i="4"/>
  <c r="AB1351" i="4"/>
  <c r="AB1350" i="4"/>
  <c r="AB1349" i="4"/>
  <c r="AB1348" i="4"/>
  <c r="AB1347" i="4"/>
  <c r="AB1346" i="4"/>
  <c r="AB1345" i="4"/>
  <c r="AB1344" i="4"/>
  <c r="AB1343" i="4"/>
  <c r="AB1342" i="4"/>
  <c r="AB1341" i="4"/>
  <c r="AB1340" i="4"/>
  <c r="AB1339" i="4"/>
  <c r="AB1338" i="4"/>
  <c r="AB1337" i="4"/>
  <c r="AB1336" i="4"/>
  <c r="AB1335" i="4"/>
  <c r="AB1334" i="4"/>
  <c r="AB1333" i="4"/>
  <c r="AB1332" i="4"/>
  <c r="AB1331" i="4"/>
  <c r="AB1330" i="4"/>
  <c r="AB1329" i="4"/>
  <c r="AB1328" i="4"/>
  <c r="AB1327" i="4"/>
  <c r="AB1326" i="4"/>
  <c r="AB1325" i="4"/>
  <c r="AB1324" i="4"/>
  <c r="AB1323" i="4"/>
  <c r="AB1322" i="4"/>
  <c r="AB1321" i="4"/>
  <c r="AB1320" i="4"/>
  <c r="AB1319" i="4"/>
  <c r="AB1318" i="4"/>
  <c r="AB1317" i="4"/>
  <c r="AB1316" i="4"/>
  <c r="AB1315" i="4"/>
  <c r="AB1314" i="4"/>
  <c r="AB1313" i="4"/>
  <c r="AB1312" i="4"/>
  <c r="AB1311" i="4"/>
  <c r="AB1310" i="4"/>
  <c r="AB1309" i="4"/>
  <c r="AB1308" i="4"/>
  <c r="AB1307" i="4"/>
  <c r="AB1306" i="4"/>
  <c r="AB1305" i="4"/>
  <c r="AB1304" i="4"/>
  <c r="AB1303" i="4"/>
  <c r="AB1302" i="4"/>
  <c r="AB1301" i="4"/>
  <c r="AB1300" i="4"/>
  <c r="AB1299" i="4"/>
  <c r="AB1298" i="4"/>
  <c r="AB1297" i="4"/>
  <c r="AB1296" i="4"/>
  <c r="AB1295" i="4"/>
  <c r="AB1294" i="4"/>
  <c r="AB1293" i="4"/>
  <c r="AB1292" i="4"/>
  <c r="AB1291" i="4"/>
  <c r="AB1290" i="4"/>
  <c r="AB1289" i="4"/>
  <c r="AB1288" i="4"/>
  <c r="AB1287" i="4"/>
  <c r="AB1286" i="4"/>
  <c r="AB1285" i="4"/>
  <c r="AB1284" i="4"/>
  <c r="AB1283" i="4"/>
  <c r="AB1282" i="4"/>
  <c r="AB1281" i="4"/>
  <c r="AB1280" i="4"/>
  <c r="AB1279" i="4"/>
  <c r="AB1278" i="4"/>
  <c r="AB1277" i="4"/>
  <c r="AB1276" i="4"/>
  <c r="AB1275" i="4"/>
  <c r="AB1274" i="4"/>
  <c r="AB1273" i="4"/>
  <c r="AB1272" i="4"/>
  <c r="AB1271" i="4"/>
  <c r="AB1270" i="4"/>
  <c r="AB1269" i="4"/>
  <c r="AB1268" i="4"/>
  <c r="AB1267" i="4"/>
  <c r="AB1266" i="4"/>
  <c r="AB1265" i="4"/>
  <c r="AB1264" i="4"/>
  <c r="AB1263" i="4"/>
  <c r="AB1262" i="4"/>
  <c r="AB1261" i="4"/>
  <c r="AB1260" i="4"/>
  <c r="AB1259" i="4"/>
  <c r="AB1258" i="4"/>
  <c r="AB1257" i="4"/>
  <c r="AB1256" i="4"/>
  <c r="AB1255" i="4"/>
  <c r="AB1254" i="4"/>
  <c r="AB1253" i="4"/>
  <c r="AB1252" i="4"/>
  <c r="AB1251" i="4"/>
  <c r="AB1250" i="4"/>
  <c r="AB1249" i="4"/>
  <c r="AB1248" i="4"/>
  <c r="AB1247" i="4"/>
  <c r="AB1246" i="4"/>
  <c r="AB1245" i="4"/>
  <c r="AB1244" i="4"/>
  <c r="AB1243" i="4"/>
  <c r="AB1242" i="4"/>
  <c r="AB1241" i="4"/>
  <c r="AB1240" i="4"/>
  <c r="AB1239" i="4"/>
  <c r="AB1238" i="4"/>
  <c r="AB1237" i="4"/>
  <c r="AB1236" i="4"/>
  <c r="AB1235" i="4"/>
  <c r="AB1234" i="4"/>
  <c r="AB1233" i="4"/>
  <c r="AB1232" i="4"/>
  <c r="AB1231" i="4"/>
  <c r="AB1230" i="4"/>
  <c r="AB1229" i="4"/>
  <c r="AB1228" i="4"/>
  <c r="AB1227" i="4"/>
  <c r="AB1226" i="4"/>
  <c r="AB1225" i="4"/>
  <c r="AB1224" i="4"/>
  <c r="AB1223" i="4"/>
  <c r="AB1222" i="4"/>
  <c r="AB1221" i="4"/>
  <c r="AB1220" i="4"/>
  <c r="AB1219" i="4"/>
  <c r="AB1218" i="4"/>
  <c r="AB1217" i="4"/>
  <c r="AB1216" i="4"/>
  <c r="AB1215" i="4"/>
  <c r="AB1214" i="4"/>
  <c r="AB1213" i="4"/>
  <c r="AB1212" i="4"/>
  <c r="AB1211" i="4"/>
  <c r="AB1210" i="4"/>
  <c r="AB1209" i="4"/>
  <c r="AB1208" i="4"/>
  <c r="AB1207" i="4"/>
  <c r="AB1206" i="4"/>
  <c r="AB1205" i="4"/>
  <c r="AB1204" i="4"/>
  <c r="AB1203" i="4"/>
  <c r="AB1202" i="4"/>
  <c r="AB1201" i="4"/>
  <c r="AB1200" i="4"/>
  <c r="AB1199" i="4"/>
  <c r="AB1198" i="4"/>
  <c r="AB1197" i="4"/>
  <c r="AB1196" i="4"/>
  <c r="AB1195" i="4"/>
  <c r="AB1194" i="4"/>
  <c r="AB1193" i="4"/>
  <c r="AB1192" i="4"/>
  <c r="AB1191" i="4"/>
  <c r="AB1190" i="4"/>
  <c r="AB1189" i="4"/>
  <c r="AB1188" i="4"/>
  <c r="AB1187" i="4"/>
  <c r="AB1186" i="4"/>
  <c r="AB1185" i="4"/>
  <c r="AB1184" i="4"/>
  <c r="AB1183" i="4"/>
  <c r="AB1182" i="4"/>
  <c r="AB1181" i="4"/>
  <c r="AB1180" i="4"/>
  <c r="AB1179" i="4"/>
  <c r="AB1178" i="4"/>
  <c r="AB1177" i="4"/>
  <c r="AB1176" i="4"/>
  <c r="AB1175" i="4"/>
  <c r="AB1174" i="4"/>
  <c r="AB1173" i="4"/>
  <c r="AB1172" i="4"/>
  <c r="AB1171" i="4"/>
  <c r="AB1170" i="4"/>
  <c r="AB1169" i="4"/>
  <c r="AB1168" i="4"/>
  <c r="AB1167" i="4"/>
  <c r="AB1166" i="4"/>
  <c r="AB1165" i="4"/>
  <c r="AB1164" i="4"/>
  <c r="AB1163" i="4"/>
  <c r="AB1162" i="4"/>
  <c r="AB1161" i="4"/>
  <c r="AB1160" i="4"/>
  <c r="AB1159" i="4"/>
  <c r="AB1158" i="4"/>
  <c r="AB1157" i="4"/>
  <c r="AB1156" i="4"/>
  <c r="AB1155" i="4"/>
  <c r="AB1154" i="4"/>
  <c r="AB1153" i="4"/>
  <c r="AB1152" i="4"/>
  <c r="AB1151" i="4"/>
  <c r="AB1150" i="4"/>
  <c r="AB1149" i="4"/>
  <c r="AB1148" i="4"/>
  <c r="AB1147" i="4"/>
  <c r="AB1146" i="4"/>
  <c r="AB1145" i="4"/>
  <c r="AB1144" i="4"/>
  <c r="AB1143" i="4"/>
  <c r="AB1142" i="4"/>
  <c r="AB1141" i="4"/>
  <c r="AB1140" i="4"/>
  <c r="AB1139" i="4"/>
  <c r="AB1138" i="4"/>
  <c r="AB1137" i="4"/>
  <c r="AB1136" i="4"/>
  <c r="AB1135" i="4"/>
  <c r="AB1134" i="4"/>
  <c r="AB1133" i="4"/>
  <c r="AB1132" i="4"/>
  <c r="AB1131" i="4"/>
  <c r="AB1130" i="4"/>
  <c r="AB1129" i="4"/>
  <c r="AB1128" i="4"/>
  <c r="AB1127" i="4"/>
  <c r="AB1126" i="4"/>
  <c r="AB1125" i="4"/>
  <c r="AB1124" i="4"/>
  <c r="AB1123" i="4"/>
  <c r="AB1122" i="4"/>
  <c r="AB1121" i="4"/>
  <c r="AB1120" i="4"/>
  <c r="AB1119" i="4"/>
  <c r="AB1118" i="4"/>
  <c r="AB1117" i="4"/>
  <c r="AB1116" i="4"/>
  <c r="AB1115" i="4"/>
  <c r="AB1114" i="4"/>
  <c r="AB1113" i="4"/>
  <c r="AB1112" i="4"/>
  <c r="AB1111" i="4"/>
  <c r="AB1110" i="4"/>
  <c r="AB1109" i="4"/>
  <c r="AB1108" i="4"/>
  <c r="AB1107" i="4"/>
  <c r="AB1106" i="4"/>
  <c r="AB1105" i="4"/>
  <c r="AB1104" i="4"/>
  <c r="AB1103" i="4"/>
  <c r="AB1102" i="4"/>
  <c r="AB1101" i="4"/>
  <c r="AB1100" i="4"/>
  <c r="AB1099" i="4"/>
  <c r="AB1098" i="4"/>
  <c r="AB1097" i="4"/>
  <c r="AB1096" i="4"/>
  <c r="AB1095" i="4"/>
  <c r="AB1094" i="4"/>
  <c r="AB1093" i="4"/>
  <c r="AB1092" i="4"/>
  <c r="AB1091" i="4"/>
  <c r="AB1090" i="4"/>
  <c r="AB1089" i="4"/>
  <c r="AB1088" i="4"/>
  <c r="AB1087" i="4"/>
  <c r="AB1086" i="4"/>
  <c r="AB1085" i="4"/>
  <c r="AB1084" i="4"/>
  <c r="AB1083" i="4"/>
  <c r="AB1082" i="4"/>
  <c r="AB1081" i="4"/>
  <c r="AB1080" i="4"/>
  <c r="AB1079" i="4"/>
  <c r="AB1078" i="4"/>
  <c r="AB1077" i="4"/>
  <c r="AB1076" i="4"/>
  <c r="AB1075" i="4"/>
  <c r="AB1074" i="4"/>
  <c r="AB1073" i="4"/>
  <c r="AB1072" i="4"/>
  <c r="AB1071" i="4"/>
  <c r="AB60" i="4"/>
  <c r="AB59" i="4"/>
  <c r="AB56" i="4"/>
  <c r="AB57" i="4"/>
  <c r="AB58" i="4"/>
  <c r="AB49" i="4"/>
  <c r="AB50" i="4"/>
  <c r="AB51" i="4"/>
  <c r="AB52" i="4"/>
  <c r="AB53" i="4"/>
  <c r="AB54" i="4"/>
  <c r="AB55" i="4"/>
  <c r="AB45" i="4"/>
  <c r="AB46" i="4"/>
  <c r="AB47" i="4"/>
  <c r="AB48" i="4"/>
  <c r="AB40" i="4"/>
  <c r="AB41" i="4"/>
  <c r="AB42" i="4"/>
  <c r="AB43" i="4"/>
  <c r="AB44" i="4"/>
  <c r="AB36" i="4"/>
  <c r="AB37" i="4"/>
  <c r="AB38" i="4"/>
  <c r="AB39" i="4"/>
  <c r="AB32" i="4"/>
  <c r="AB33" i="4"/>
  <c r="AB34" i="4"/>
  <c r="AB35" i="4"/>
  <c r="AB22" i="4"/>
  <c r="AB23" i="4"/>
  <c r="AB24" i="4"/>
  <c r="AB25" i="4"/>
  <c r="AB26" i="4"/>
  <c r="AB27" i="4"/>
  <c r="AB28" i="4"/>
  <c r="AB29" i="4"/>
  <c r="AB30" i="4"/>
  <c r="AB31" i="4"/>
  <c r="AB19" i="4"/>
  <c r="AB20" i="4"/>
  <c r="AB21" i="4"/>
  <c r="AB15" i="4"/>
  <c r="AB16" i="4"/>
  <c r="AB17" i="4"/>
  <c r="AB18" i="4"/>
  <c r="AB10" i="4"/>
  <c r="AB11" i="4"/>
  <c r="AB12" i="4"/>
  <c r="AB13" i="4"/>
  <c r="AB14" i="4"/>
  <c r="AB6" i="4"/>
  <c r="AB7" i="4"/>
  <c r="AB8" i="4"/>
  <c r="AB9" i="4"/>
  <c r="AB3" i="4"/>
  <c r="AB4" i="4"/>
  <c r="AB5" i="4"/>
  <c r="AB2" i="4"/>
  <c r="T1613" i="4"/>
  <c r="U1613" i="4" s="1" a="1"/>
  <c r="U1613" i="4" s="1"/>
  <c r="T1612" i="4"/>
  <c r="U1612" i="4" s="1" a="1"/>
  <c r="U1612" i="4" s="1"/>
  <c r="T1611" i="4"/>
  <c r="U1611" i="4" s="1" a="1"/>
  <c r="U1611" i="4" s="1"/>
  <c r="T1610" i="4"/>
  <c r="U1610" i="4" s="1" a="1"/>
  <c r="U1610" i="4" s="1"/>
  <c r="T1609" i="4"/>
  <c r="U1609" i="4" s="1" a="1"/>
  <c r="U1609" i="4" s="1"/>
  <c r="T1608" i="4"/>
  <c r="U1608" i="4" s="1" a="1"/>
  <c r="U1608" i="4" s="1"/>
  <c r="T1607" i="4"/>
  <c r="U1607" i="4" s="1" a="1"/>
  <c r="U1607" i="4" s="1"/>
  <c r="T1606" i="4"/>
  <c r="U1606" i="4" s="1" a="1"/>
  <c r="U1606" i="4" s="1"/>
  <c r="T1605" i="4"/>
  <c r="U1605" i="4" s="1" a="1"/>
  <c r="U1605" i="4" s="1"/>
  <c r="T1604" i="4"/>
  <c r="U1604" i="4" s="1" a="1"/>
  <c r="U1604" i="4" s="1"/>
  <c r="T1603" i="4"/>
  <c r="U1603" i="4" s="1" a="1"/>
  <c r="U1603" i="4" s="1"/>
  <c r="T1602" i="4"/>
  <c r="U1602" i="4" s="1" a="1"/>
  <c r="U1602" i="4" s="1"/>
  <c r="T1601" i="4"/>
  <c r="U1601" i="4" s="1" a="1"/>
  <c r="U1601" i="4" s="1"/>
  <c r="T1600" i="4"/>
  <c r="U1600" i="4" s="1" a="1"/>
  <c r="U1600" i="4" s="1"/>
  <c r="T1599" i="4"/>
  <c r="U1599" i="4" s="1" a="1"/>
  <c r="U1599" i="4" s="1"/>
  <c r="T1598" i="4"/>
  <c r="U1598" i="4" s="1" a="1"/>
  <c r="U1598" i="4" s="1"/>
  <c r="T1597" i="4"/>
  <c r="U1597" i="4" s="1" a="1"/>
  <c r="U1597" i="4" s="1"/>
  <c r="T1596" i="4"/>
  <c r="U1596" i="4" s="1" a="1"/>
  <c r="U1596" i="4" s="1"/>
  <c r="T1595" i="4"/>
  <c r="U1595" i="4" s="1" a="1"/>
  <c r="U1595" i="4" s="1"/>
  <c r="T1594" i="4"/>
  <c r="U1594" i="4" s="1" a="1"/>
  <c r="U1594" i="4" s="1"/>
  <c r="T1593" i="4"/>
  <c r="U1593" i="4" s="1" a="1"/>
  <c r="U1593" i="4" s="1"/>
  <c r="T1592" i="4"/>
  <c r="U1592" i="4" s="1" a="1"/>
  <c r="U1592" i="4" s="1"/>
  <c r="T1591" i="4"/>
  <c r="U1591" i="4" s="1" a="1"/>
  <c r="U1591" i="4" s="1"/>
  <c r="T1590" i="4"/>
  <c r="U1590" i="4" s="1" a="1"/>
  <c r="U1590" i="4" s="1"/>
  <c r="T1589" i="4"/>
  <c r="U1589" i="4" s="1" a="1"/>
  <c r="U1589" i="4" s="1"/>
  <c r="T1588" i="4"/>
  <c r="U1588" i="4" s="1" a="1"/>
  <c r="U1588" i="4" s="1"/>
  <c r="T1587" i="4"/>
  <c r="U1587" i="4" s="1" a="1"/>
  <c r="U1587" i="4" s="1"/>
  <c r="T1586" i="4"/>
  <c r="U1586" i="4" s="1" a="1"/>
  <c r="U1586" i="4" s="1"/>
  <c r="T1585" i="4"/>
  <c r="U1585" i="4" s="1" a="1"/>
  <c r="U1585" i="4" s="1"/>
  <c r="T1584" i="4"/>
  <c r="U1584" i="4" s="1" a="1"/>
  <c r="U1584" i="4" s="1"/>
  <c r="T1583" i="4"/>
  <c r="U1583" i="4" s="1" a="1"/>
  <c r="U1583" i="4" s="1"/>
  <c r="T1582" i="4"/>
  <c r="U1582" i="4" s="1" a="1"/>
  <c r="U1582" i="4" s="1"/>
  <c r="T1581" i="4"/>
  <c r="U1581" i="4" s="1" a="1"/>
  <c r="U1581" i="4" s="1"/>
  <c r="T1580" i="4"/>
  <c r="U1580" i="4" s="1" a="1"/>
  <c r="U1580" i="4" s="1"/>
  <c r="T1579" i="4"/>
  <c r="U1579" i="4" s="1" a="1"/>
  <c r="U1579" i="4" s="1"/>
  <c r="T1578" i="4"/>
  <c r="U1578" i="4" s="1" a="1"/>
  <c r="U1578" i="4" s="1"/>
  <c r="T1577" i="4"/>
  <c r="U1577" i="4" s="1" a="1"/>
  <c r="U1577" i="4" s="1"/>
  <c r="T1576" i="4"/>
  <c r="U1576" i="4" s="1" a="1"/>
  <c r="U1576" i="4" s="1"/>
  <c r="T1575" i="4"/>
  <c r="U1575" i="4" s="1" a="1"/>
  <c r="U1575" i="4" s="1"/>
  <c r="T1574" i="4"/>
  <c r="U1574" i="4" s="1" a="1"/>
  <c r="U1574" i="4" s="1"/>
  <c r="T1573" i="4"/>
  <c r="U1573" i="4" s="1" a="1"/>
  <c r="U1573" i="4" s="1"/>
  <c r="T1572" i="4"/>
  <c r="U1572" i="4" s="1" a="1"/>
  <c r="U1572" i="4" s="1"/>
  <c r="T1571" i="4"/>
  <c r="U1571" i="4" s="1" a="1"/>
  <c r="U1571" i="4" s="1"/>
  <c r="T1570" i="4"/>
  <c r="U1570" i="4" s="1" a="1"/>
  <c r="U1570" i="4" s="1"/>
  <c r="T1569" i="4"/>
  <c r="U1569" i="4" s="1" a="1"/>
  <c r="U1569" i="4" s="1"/>
  <c r="T1568" i="4"/>
  <c r="U1568" i="4" s="1" a="1"/>
  <c r="U1568" i="4" s="1"/>
  <c r="T1567" i="4"/>
  <c r="U1567" i="4" s="1" a="1"/>
  <c r="U1567" i="4" s="1"/>
  <c r="T1566" i="4"/>
  <c r="U1566" i="4" s="1" a="1"/>
  <c r="U1566" i="4" s="1"/>
  <c r="T1565" i="4"/>
  <c r="U1565" i="4" s="1" a="1"/>
  <c r="U1565" i="4" s="1"/>
  <c r="T1564" i="4"/>
  <c r="U1564" i="4" s="1" a="1"/>
  <c r="U1564" i="4" s="1"/>
  <c r="T1563" i="4"/>
  <c r="U1563" i="4" s="1" a="1"/>
  <c r="U1563" i="4" s="1"/>
  <c r="T1562" i="4"/>
  <c r="U1562" i="4" s="1" a="1"/>
  <c r="U1562" i="4" s="1"/>
  <c r="T1561" i="4"/>
  <c r="U1561" i="4" s="1" a="1"/>
  <c r="U1561" i="4" s="1"/>
  <c r="T1560" i="4"/>
  <c r="U1560" i="4" s="1" a="1"/>
  <c r="U1560" i="4" s="1"/>
  <c r="T1559" i="4"/>
  <c r="U1559" i="4" s="1" a="1"/>
  <c r="U1559" i="4" s="1"/>
  <c r="T1558" i="4"/>
  <c r="U1558" i="4" s="1" a="1"/>
  <c r="U1558" i="4" s="1"/>
  <c r="T1557" i="4"/>
  <c r="U1557" i="4" s="1" a="1"/>
  <c r="U1557" i="4" s="1"/>
  <c r="T1556" i="4"/>
  <c r="U1556" i="4" s="1" a="1"/>
  <c r="U1556" i="4" s="1"/>
  <c r="T1555" i="4"/>
  <c r="U1555" i="4" s="1" a="1"/>
  <c r="U1555" i="4" s="1"/>
  <c r="T1554" i="4"/>
  <c r="U1554" i="4" s="1" a="1"/>
  <c r="U1554" i="4" s="1"/>
  <c r="T1553" i="4"/>
  <c r="U1553" i="4" s="1" a="1"/>
  <c r="U1553" i="4" s="1"/>
  <c r="T1552" i="4"/>
  <c r="U1552" i="4" s="1" a="1"/>
  <c r="U1552" i="4" s="1"/>
  <c r="T1551" i="4"/>
  <c r="U1551" i="4" s="1" a="1"/>
  <c r="U1551" i="4" s="1"/>
  <c r="T1550" i="4"/>
  <c r="U1550" i="4" s="1" a="1"/>
  <c r="U1550" i="4" s="1"/>
  <c r="T1549" i="4"/>
  <c r="U1549" i="4" s="1" a="1"/>
  <c r="U1549" i="4" s="1"/>
  <c r="T1548" i="4"/>
  <c r="U1548" i="4" s="1" a="1"/>
  <c r="U1548" i="4" s="1"/>
  <c r="T1547" i="4"/>
  <c r="U1547" i="4" s="1" a="1"/>
  <c r="U1547" i="4" s="1"/>
  <c r="T1546" i="4"/>
  <c r="U1546" i="4" s="1" a="1"/>
  <c r="U1546" i="4" s="1"/>
  <c r="T1545" i="4"/>
  <c r="U1545" i="4" s="1" a="1"/>
  <c r="U1545" i="4" s="1"/>
  <c r="T1544" i="4"/>
  <c r="U1544" i="4" s="1" a="1"/>
  <c r="U1544" i="4" s="1"/>
  <c r="T1543" i="4"/>
  <c r="U1543" i="4" s="1" a="1"/>
  <c r="U1543" i="4" s="1"/>
  <c r="T1542" i="4"/>
  <c r="U1542" i="4" s="1" a="1"/>
  <c r="U1542" i="4" s="1"/>
  <c r="T1541" i="4"/>
  <c r="U1541" i="4" s="1" a="1"/>
  <c r="U1541" i="4" s="1"/>
  <c r="T1540" i="4"/>
  <c r="U1540" i="4" s="1" a="1"/>
  <c r="U1540" i="4" s="1"/>
  <c r="T1539" i="4"/>
  <c r="U1539" i="4" s="1" a="1"/>
  <c r="U1539" i="4" s="1"/>
  <c r="T1538" i="4"/>
  <c r="U1538" i="4" s="1" a="1"/>
  <c r="U1538" i="4" s="1"/>
  <c r="T1537" i="4"/>
  <c r="U1537" i="4" s="1" a="1"/>
  <c r="U1537" i="4" s="1"/>
  <c r="T1536" i="4"/>
  <c r="U1536" i="4" s="1" a="1"/>
  <c r="U1536" i="4" s="1"/>
  <c r="T1535" i="4"/>
  <c r="U1535" i="4" s="1" a="1"/>
  <c r="U1535" i="4" s="1"/>
  <c r="T1534" i="4"/>
  <c r="U1534" i="4" s="1" a="1"/>
  <c r="U1534" i="4" s="1"/>
  <c r="T1533" i="4"/>
  <c r="U1533" i="4" s="1" a="1"/>
  <c r="U1533" i="4" s="1"/>
  <c r="T1532" i="4"/>
  <c r="U1532" i="4" s="1" a="1"/>
  <c r="U1532" i="4" s="1"/>
  <c r="T1531" i="4"/>
  <c r="U1531" i="4" s="1" a="1"/>
  <c r="U1531" i="4" s="1"/>
  <c r="T1530" i="4"/>
  <c r="U1530" i="4" s="1" a="1"/>
  <c r="U1530" i="4" s="1"/>
  <c r="T1529" i="4"/>
  <c r="U1529" i="4" s="1" a="1"/>
  <c r="U1529" i="4" s="1"/>
  <c r="T1528" i="4"/>
  <c r="U1528" i="4" s="1" a="1"/>
  <c r="U1528" i="4" s="1"/>
  <c r="T1527" i="4"/>
  <c r="U1527" i="4" s="1" a="1"/>
  <c r="U1527" i="4" s="1"/>
  <c r="T1526" i="4"/>
  <c r="U1526" i="4" s="1" a="1"/>
  <c r="U1526" i="4" s="1"/>
  <c r="T1525" i="4"/>
  <c r="U1525" i="4" s="1" a="1"/>
  <c r="U1525" i="4" s="1"/>
  <c r="T1524" i="4"/>
  <c r="U1524" i="4" s="1" a="1"/>
  <c r="U1524" i="4" s="1"/>
  <c r="T1523" i="4"/>
  <c r="U1523" i="4" s="1" a="1"/>
  <c r="U1523" i="4" s="1"/>
  <c r="T1522" i="4"/>
  <c r="U1522" i="4" s="1" a="1"/>
  <c r="U1522" i="4" s="1"/>
  <c r="T1521" i="4"/>
  <c r="U1521" i="4" s="1" a="1"/>
  <c r="U1521" i="4" s="1"/>
  <c r="T1520" i="4"/>
  <c r="U1520" i="4" s="1" a="1"/>
  <c r="U1520" i="4" s="1"/>
  <c r="T1519" i="4"/>
  <c r="U1519" i="4" s="1" a="1"/>
  <c r="U1519" i="4" s="1"/>
  <c r="T1518" i="4"/>
  <c r="U1518" i="4" s="1" a="1"/>
  <c r="U1518" i="4" s="1"/>
  <c r="T1517" i="4"/>
  <c r="U1517" i="4" s="1" a="1"/>
  <c r="U1517" i="4" s="1"/>
  <c r="T1516" i="4"/>
  <c r="U1516" i="4" s="1" a="1"/>
  <c r="U1516" i="4" s="1"/>
  <c r="T1515" i="4"/>
  <c r="U1515" i="4" s="1" a="1"/>
  <c r="U1515" i="4" s="1"/>
  <c r="T1514" i="4"/>
  <c r="U1514" i="4" s="1" a="1"/>
  <c r="U1514" i="4" s="1"/>
  <c r="T1513" i="4"/>
  <c r="U1513" i="4" s="1" a="1"/>
  <c r="U1513" i="4" s="1"/>
  <c r="T1512" i="4"/>
  <c r="U1512" i="4" s="1" a="1"/>
  <c r="U1512" i="4" s="1"/>
  <c r="T1511" i="4"/>
  <c r="U1511" i="4" s="1" a="1"/>
  <c r="U1511" i="4" s="1"/>
  <c r="T1510" i="4"/>
  <c r="U1510" i="4" s="1" a="1"/>
  <c r="U1510" i="4" s="1"/>
  <c r="T1509" i="4"/>
  <c r="U1509" i="4" s="1" a="1"/>
  <c r="U1509" i="4" s="1"/>
  <c r="T1508" i="4"/>
  <c r="U1508" i="4" s="1" a="1"/>
  <c r="U1508" i="4" s="1"/>
  <c r="T1507" i="4"/>
  <c r="U1507" i="4" s="1" a="1"/>
  <c r="U1507" i="4" s="1"/>
  <c r="T1506" i="4"/>
  <c r="U1506" i="4" s="1" a="1"/>
  <c r="U1506" i="4" s="1"/>
  <c r="T1505" i="4"/>
  <c r="U1505" i="4" s="1" a="1"/>
  <c r="U1505" i="4" s="1"/>
  <c r="T1504" i="4"/>
  <c r="U1504" i="4" s="1" a="1"/>
  <c r="U1504" i="4" s="1"/>
  <c r="T1503" i="4"/>
  <c r="U1503" i="4" s="1" a="1"/>
  <c r="U1503" i="4" s="1"/>
  <c r="T1502" i="4"/>
  <c r="U1502" i="4" s="1" a="1"/>
  <c r="U1502" i="4" s="1"/>
  <c r="T1501" i="4"/>
  <c r="U1501" i="4" s="1" a="1"/>
  <c r="U1501" i="4" s="1"/>
  <c r="T1500" i="4"/>
  <c r="U1500" i="4" s="1" a="1"/>
  <c r="U1500" i="4" s="1"/>
  <c r="T1499" i="4"/>
  <c r="U1499" i="4" s="1" a="1"/>
  <c r="U1499" i="4" s="1"/>
  <c r="T1498" i="4"/>
  <c r="U1498" i="4" s="1" a="1"/>
  <c r="U1498" i="4" s="1"/>
  <c r="T1497" i="4"/>
  <c r="U1497" i="4" s="1" a="1"/>
  <c r="U1497" i="4" s="1"/>
  <c r="T1496" i="4"/>
  <c r="U1496" i="4" s="1" a="1"/>
  <c r="U1496" i="4" s="1"/>
  <c r="T1495" i="4"/>
  <c r="U1495" i="4" s="1" a="1"/>
  <c r="U1495" i="4" s="1"/>
  <c r="T1494" i="4"/>
  <c r="U1494" i="4" s="1" a="1"/>
  <c r="U1494" i="4" s="1"/>
  <c r="T1493" i="4"/>
  <c r="U1493" i="4" s="1" a="1"/>
  <c r="U1493" i="4" s="1"/>
  <c r="T1492" i="4"/>
  <c r="U1492" i="4" s="1" a="1"/>
  <c r="U1492" i="4" s="1"/>
  <c r="T1491" i="4"/>
  <c r="U1491" i="4" s="1" a="1"/>
  <c r="U1491" i="4" s="1"/>
  <c r="T1490" i="4"/>
  <c r="U1490" i="4" s="1" a="1"/>
  <c r="U1490" i="4" s="1"/>
  <c r="T1489" i="4"/>
  <c r="U1489" i="4" s="1" a="1"/>
  <c r="U1489" i="4" s="1"/>
  <c r="T1488" i="4"/>
  <c r="U1488" i="4" s="1" a="1"/>
  <c r="U1488" i="4" s="1"/>
  <c r="T1487" i="4"/>
  <c r="U1487" i="4" s="1" a="1"/>
  <c r="U1487" i="4" s="1"/>
  <c r="T1486" i="4"/>
  <c r="U1486" i="4" s="1" a="1"/>
  <c r="U1486" i="4" s="1"/>
  <c r="T1485" i="4"/>
  <c r="U1485" i="4" s="1" a="1"/>
  <c r="U1485" i="4" s="1"/>
  <c r="T1484" i="4"/>
  <c r="U1484" i="4" s="1" a="1"/>
  <c r="U1484" i="4" s="1"/>
  <c r="T1483" i="4"/>
  <c r="U1483" i="4" s="1" a="1"/>
  <c r="U1483" i="4" s="1"/>
  <c r="T1482" i="4"/>
  <c r="U1482" i="4" s="1" a="1"/>
  <c r="U1482" i="4" s="1"/>
  <c r="T1481" i="4"/>
  <c r="U1481" i="4" s="1" a="1"/>
  <c r="U1481" i="4" s="1"/>
  <c r="T1480" i="4"/>
  <c r="U1480" i="4" s="1" a="1"/>
  <c r="U1480" i="4" s="1"/>
  <c r="T1479" i="4"/>
  <c r="U1479" i="4" s="1" a="1"/>
  <c r="U1479" i="4" s="1"/>
  <c r="T1478" i="4"/>
  <c r="U1478" i="4" s="1" a="1"/>
  <c r="U1478" i="4" s="1"/>
  <c r="T1477" i="4"/>
  <c r="U1477" i="4" s="1" a="1"/>
  <c r="U1477" i="4" s="1"/>
  <c r="T1476" i="4"/>
  <c r="U1476" i="4" s="1" a="1"/>
  <c r="U1476" i="4" s="1"/>
  <c r="T1475" i="4"/>
  <c r="U1475" i="4" s="1" a="1"/>
  <c r="U1475" i="4" s="1"/>
  <c r="T1474" i="4"/>
  <c r="U1474" i="4" s="1" a="1"/>
  <c r="U1474" i="4" s="1"/>
  <c r="T1473" i="4"/>
  <c r="U1473" i="4" s="1" a="1"/>
  <c r="U1473" i="4" s="1"/>
  <c r="T1472" i="4"/>
  <c r="U1472" i="4" s="1" a="1"/>
  <c r="U1472" i="4" s="1"/>
  <c r="T1471" i="4"/>
  <c r="U1471" i="4" s="1" a="1"/>
  <c r="U1471" i="4" s="1"/>
  <c r="T1470" i="4"/>
  <c r="U1470" i="4" s="1" a="1"/>
  <c r="U1470" i="4" s="1"/>
  <c r="T1469" i="4"/>
  <c r="U1469" i="4" s="1" a="1"/>
  <c r="U1469" i="4" s="1"/>
  <c r="T1468" i="4"/>
  <c r="U1468" i="4" s="1" a="1"/>
  <c r="U1468" i="4" s="1"/>
  <c r="T1467" i="4"/>
  <c r="U1467" i="4" s="1" a="1"/>
  <c r="U1467" i="4" s="1"/>
  <c r="T1466" i="4"/>
  <c r="U1466" i="4" s="1" a="1"/>
  <c r="U1466" i="4" s="1"/>
  <c r="T1465" i="4"/>
  <c r="U1465" i="4" s="1" a="1"/>
  <c r="U1465" i="4" s="1"/>
  <c r="T1464" i="4"/>
  <c r="U1464" i="4" s="1" a="1"/>
  <c r="U1464" i="4" s="1"/>
  <c r="T1463" i="4"/>
  <c r="U1463" i="4" s="1" a="1"/>
  <c r="U1463" i="4" s="1"/>
  <c r="T1462" i="4"/>
  <c r="U1462" i="4" s="1" a="1"/>
  <c r="U1462" i="4" s="1"/>
  <c r="T1461" i="4"/>
  <c r="U1461" i="4" s="1" a="1"/>
  <c r="U1461" i="4" s="1"/>
  <c r="T1460" i="4"/>
  <c r="U1460" i="4" s="1" a="1"/>
  <c r="U1460" i="4" s="1"/>
  <c r="T1459" i="4"/>
  <c r="U1459" i="4" s="1" a="1"/>
  <c r="U1459" i="4" s="1"/>
  <c r="T1458" i="4"/>
  <c r="U1458" i="4" s="1" a="1"/>
  <c r="U1458" i="4" s="1"/>
  <c r="T1457" i="4"/>
  <c r="U1457" i="4" s="1" a="1"/>
  <c r="U1457" i="4" s="1"/>
  <c r="T1456" i="4"/>
  <c r="U1456" i="4" s="1" a="1"/>
  <c r="U1456" i="4" s="1"/>
  <c r="T1455" i="4"/>
  <c r="U1455" i="4" s="1" a="1"/>
  <c r="U1455" i="4" s="1"/>
  <c r="T1454" i="4"/>
  <c r="U1454" i="4" s="1" a="1"/>
  <c r="U1454" i="4" s="1"/>
  <c r="T1453" i="4"/>
  <c r="U1453" i="4" s="1" a="1"/>
  <c r="U1453" i="4" s="1"/>
  <c r="T1452" i="4"/>
  <c r="U1452" i="4" s="1" a="1"/>
  <c r="U1452" i="4" s="1"/>
  <c r="T1451" i="4"/>
  <c r="U1451" i="4" s="1" a="1"/>
  <c r="U1451" i="4" s="1"/>
  <c r="T1450" i="4"/>
  <c r="U1450" i="4" s="1" a="1"/>
  <c r="U1450" i="4" s="1"/>
  <c r="T1449" i="4"/>
  <c r="U1449" i="4" s="1" a="1"/>
  <c r="U1449" i="4" s="1"/>
  <c r="T1448" i="4"/>
  <c r="U1448" i="4" s="1" a="1"/>
  <c r="U1448" i="4" s="1"/>
  <c r="T1447" i="4"/>
  <c r="U1447" i="4" s="1" a="1"/>
  <c r="U1447" i="4" s="1"/>
  <c r="T1446" i="4"/>
  <c r="U1446" i="4" s="1" a="1"/>
  <c r="U1446" i="4" s="1"/>
  <c r="T1445" i="4"/>
  <c r="U1445" i="4" s="1" a="1"/>
  <c r="U1445" i="4" s="1"/>
  <c r="T1444" i="4"/>
  <c r="U1444" i="4" s="1" a="1"/>
  <c r="U1444" i="4" s="1"/>
  <c r="T1443" i="4"/>
  <c r="U1443" i="4" s="1" a="1"/>
  <c r="U1443" i="4" s="1"/>
  <c r="T1442" i="4"/>
  <c r="U1442" i="4" s="1" a="1"/>
  <c r="U1442" i="4" s="1"/>
  <c r="T1441" i="4"/>
  <c r="U1441" i="4" s="1" a="1"/>
  <c r="U1441" i="4" s="1"/>
  <c r="T1440" i="4"/>
  <c r="U1440" i="4" s="1" a="1"/>
  <c r="U1440" i="4" s="1"/>
  <c r="T1439" i="4"/>
  <c r="U1439" i="4" s="1" a="1"/>
  <c r="U1439" i="4" s="1"/>
  <c r="T1438" i="4"/>
  <c r="U1438" i="4" s="1" a="1"/>
  <c r="U1438" i="4" s="1"/>
  <c r="T1437" i="4"/>
  <c r="U1437" i="4" s="1" a="1"/>
  <c r="U1437" i="4" s="1"/>
  <c r="T1436" i="4"/>
  <c r="U1436" i="4" s="1" a="1"/>
  <c r="U1436" i="4" s="1"/>
  <c r="T1435" i="4"/>
  <c r="U1435" i="4" s="1" a="1"/>
  <c r="U1435" i="4" s="1"/>
  <c r="T1434" i="4"/>
  <c r="U1434" i="4" s="1" a="1"/>
  <c r="U1434" i="4" s="1"/>
  <c r="T1433" i="4"/>
  <c r="U1433" i="4" s="1" a="1"/>
  <c r="U1433" i="4" s="1"/>
  <c r="T1432" i="4"/>
  <c r="U1432" i="4" s="1" a="1"/>
  <c r="U1432" i="4" s="1"/>
  <c r="T1431" i="4"/>
  <c r="U1431" i="4" s="1" a="1"/>
  <c r="U1431" i="4" s="1"/>
  <c r="T1430" i="4"/>
  <c r="U1430" i="4" s="1" a="1"/>
  <c r="U1430" i="4" s="1"/>
  <c r="T1429" i="4"/>
  <c r="U1429" i="4" s="1" a="1"/>
  <c r="U1429" i="4" s="1"/>
  <c r="T1428" i="4"/>
  <c r="U1428" i="4" s="1" a="1"/>
  <c r="U1428" i="4" s="1"/>
  <c r="T1427" i="4"/>
  <c r="U1427" i="4" s="1" a="1"/>
  <c r="U1427" i="4" s="1"/>
  <c r="T1426" i="4"/>
  <c r="U1426" i="4" s="1" a="1"/>
  <c r="U1426" i="4" s="1"/>
  <c r="T1425" i="4"/>
  <c r="U1425" i="4" s="1" a="1"/>
  <c r="U1425" i="4" s="1"/>
  <c r="T1424" i="4"/>
  <c r="U1424" i="4" s="1" a="1"/>
  <c r="U1424" i="4" s="1"/>
  <c r="T1423" i="4"/>
  <c r="U1423" i="4" s="1" a="1"/>
  <c r="U1423" i="4" s="1"/>
  <c r="T1422" i="4"/>
  <c r="U1422" i="4" s="1" a="1"/>
  <c r="U1422" i="4" s="1"/>
  <c r="T1421" i="4"/>
  <c r="U1421" i="4" s="1" a="1"/>
  <c r="U1421" i="4" s="1"/>
  <c r="T1420" i="4"/>
  <c r="U1420" i="4" s="1" a="1"/>
  <c r="U1420" i="4" s="1"/>
  <c r="T1419" i="4"/>
  <c r="U1419" i="4" s="1" a="1"/>
  <c r="U1419" i="4" s="1"/>
  <c r="T1418" i="4"/>
  <c r="U1418" i="4" s="1" a="1"/>
  <c r="U1418" i="4" s="1"/>
  <c r="T1417" i="4"/>
  <c r="U1417" i="4" s="1" a="1"/>
  <c r="U1417" i="4" s="1"/>
  <c r="T1416" i="4"/>
  <c r="U1416" i="4" s="1" a="1"/>
  <c r="U1416" i="4" s="1"/>
  <c r="T1415" i="4"/>
  <c r="U1415" i="4" s="1" a="1"/>
  <c r="U1415" i="4" s="1"/>
  <c r="T1414" i="4"/>
  <c r="U1414" i="4" s="1" a="1"/>
  <c r="U1414" i="4" s="1"/>
  <c r="T1413" i="4"/>
  <c r="U1413" i="4" s="1" a="1"/>
  <c r="U1413" i="4" s="1"/>
  <c r="T1412" i="4"/>
  <c r="U1412" i="4" s="1" a="1"/>
  <c r="U1412" i="4" s="1"/>
  <c r="T1411" i="4"/>
  <c r="U1411" i="4" s="1" a="1"/>
  <c r="U1411" i="4" s="1"/>
  <c r="T1410" i="4"/>
  <c r="U1410" i="4" s="1" a="1"/>
  <c r="U1410" i="4" s="1"/>
  <c r="T1409" i="4"/>
  <c r="U1409" i="4" s="1" a="1"/>
  <c r="U1409" i="4" s="1"/>
  <c r="T1408" i="4"/>
  <c r="U1408" i="4" s="1" a="1"/>
  <c r="U1408" i="4" s="1"/>
  <c r="T1407" i="4"/>
  <c r="U1407" i="4" s="1" a="1"/>
  <c r="U1407" i="4" s="1"/>
  <c r="T1406" i="4"/>
  <c r="U1406" i="4" s="1" a="1"/>
  <c r="U1406" i="4" s="1"/>
  <c r="T1405" i="4"/>
  <c r="U1405" i="4" s="1" a="1"/>
  <c r="U1405" i="4" s="1"/>
  <c r="T1404" i="4"/>
  <c r="U1404" i="4" s="1" a="1"/>
  <c r="U1404" i="4" s="1"/>
  <c r="T1403" i="4"/>
  <c r="U1403" i="4" s="1" a="1"/>
  <c r="U1403" i="4" s="1"/>
  <c r="T1402" i="4"/>
  <c r="U1402" i="4" s="1" a="1"/>
  <c r="U1402" i="4" s="1"/>
  <c r="T1401" i="4"/>
  <c r="U1401" i="4" s="1" a="1"/>
  <c r="U1401" i="4" s="1"/>
  <c r="T1400" i="4"/>
  <c r="U1400" i="4" s="1" a="1"/>
  <c r="U1400" i="4" s="1"/>
  <c r="T1399" i="4"/>
  <c r="U1399" i="4" s="1" a="1"/>
  <c r="U1399" i="4" s="1"/>
  <c r="T1398" i="4"/>
  <c r="U1398" i="4" s="1" a="1"/>
  <c r="U1398" i="4" s="1"/>
  <c r="T1397" i="4"/>
  <c r="U1397" i="4" s="1" a="1"/>
  <c r="U1397" i="4" s="1"/>
  <c r="T1396" i="4"/>
  <c r="U1396" i="4" s="1" a="1"/>
  <c r="U1396" i="4" s="1"/>
  <c r="T1395" i="4"/>
  <c r="U1395" i="4" s="1" a="1"/>
  <c r="U1395" i="4" s="1"/>
  <c r="T1394" i="4"/>
  <c r="U1394" i="4" s="1" a="1"/>
  <c r="U1394" i="4" s="1"/>
  <c r="T1393" i="4"/>
  <c r="U1393" i="4" s="1" a="1"/>
  <c r="U1393" i="4" s="1"/>
  <c r="T1392" i="4"/>
  <c r="U1392" i="4" s="1" a="1"/>
  <c r="U1392" i="4" s="1"/>
  <c r="T1391" i="4"/>
  <c r="U1391" i="4" s="1" a="1"/>
  <c r="U1391" i="4" s="1"/>
  <c r="T1390" i="4"/>
  <c r="U1390" i="4" s="1" a="1"/>
  <c r="U1390" i="4" s="1"/>
  <c r="T1389" i="4"/>
  <c r="U1389" i="4" s="1" a="1"/>
  <c r="U1389" i="4" s="1"/>
  <c r="T1388" i="4"/>
  <c r="U1388" i="4" s="1" a="1"/>
  <c r="U1388" i="4" s="1"/>
  <c r="T1387" i="4"/>
  <c r="U1387" i="4" s="1" a="1"/>
  <c r="U1387" i="4" s="1"/>
  <c r="T1386" i="4"/>
  <c r="U1386" i="4" s="1" a="1"/>
  <c r="U1386" i="4" s="1"/>
  <c r="T1385" i="4"/>
  <c r="U1385" i="4" s="1" a="1"/>
  <c r="U1385" i="4" s="1"/>
  <c r="T1384" i="4"/>
  <c r="U1384" i="4" s="1" a="1"/>
  <c r="U1384" i="4" s="1"/>
  <c r="T1383" i="4"/>
  <c r="U1383" i="4" s="1" a="1"/>
  <c r="U1383" i="4" s="1"/>
  <c r="T1382" i="4"/>
  <c r="U1382" i="4" s="1" a="1"/>
  <c r="U1382" i="4" s="1"/>
  <c r="T1381" i="4"/>
  <c r="U1381" i="4" s="1" a="1"/>
  <c r="U1381" i="4" s="1"/>
  <c r="T1380" i="4"/>
  <c r="U1380" i="4" s="1" a="1"/>
  <c r="U1380" i="4" s="1"/>
  <c r="T1379" i="4"/>
  <c r="U1379" i="4" s="1" a="1"/>
  <c r="U1379" i="4" s="1"/>
  <c r="T1378" i="4"/>
  <c r="U1378" i="4" s="1" a="1"/>
  <c r="U1378" i="4" s="1"/>
  <c r="T1377" i="4"/>
  <c r="U1377" i="4" s="1" a="1"/>
  <c r="U1377" i="4" s="1"/>
  <c r="T1376" i="4"/>
  <c r="U1376" i="4" s="1" a="1"/>
  <c r="U1376" i="4" s="1"/>
  <c r="T1375" i="4"/>
  <c r="U1375" i="4" s="1" a="1"/>
  <c r="U1375" i="4" s="1"/>
  <c r="T1374" i="4"/>
  <c r="U1374" i="4" s="1" a="1"/>
  <c r="U1374" i="4" s="1"/>
  <c r="T1373" i="4"/>
  <c r="U1373" i="4" s="1" a="1"/>
  <c r="U1373" i="4" s="1"/>
  <c r="T1372" i="4"/>
  <c r="U1372" i="4" s="1" a="1"/>
  <c r="U1372" i="4" s="1"/>
  <c r="T1371" i="4"/>
  <c r="U1371" i="4" s="1" a="1"/>
  <c r="U1371" i="4" s="1"/>
  <c r="T1370" i="4"/>
  <c r="U1370" i="4" s="1" a="1"/>
  <c r="U1370" i="4" s="1"/>
  <c r="T1369" i="4"/>
  <c r="U1369" i="4" s="1" a="1"/>
  <c r="U1369" i="4" s="1"/>
  <c r="T1368" i="4"/>
  <c r="U1368" i="4" s="1" a="1"/>
  <c r="U1368" i="4" s="1"/>
  <c r="T1367" i="4"/>
  <c r="U1367" i="4" s="1" a="1"/>
  <c r="U1367" i="4" s="1"/>
  <c r="T1366" i="4"/>
  <c r="U1366" i="4" s="1" a="1"/>
  <c r="U1366" i="4" s="1"/>
  <c r="T1365" i="4"/>
  <c r="U1365" i="4" s="1" a="1"/>
  <c r="U1365" i="4" s="1"/>
  <c r="T1364" i="4"/>
  <c r="U1364" i="4" s="1" a="1"/>
  <c r="U1364" i="4" s="1"/>
  <c r="T1362" i="4"/>
  <c r="U1362" i="4" s="1" a="1"/>
  <c r="U1362" i="4" s="1"/>
  <c r="T1361" i="4"/>
  <c r="U1361" i="4" s="1" a="1"/>
  <c r="U1361" i="4" s="1"/>
  <c r="T1360" i="4"/>
  <c r="U1360" i="4" s="1" a="1"/>
  <c r="U1360" i="4" s="1"/>
  <c r="T1359" i="4"/>
  <c r="U1359" i="4" s="1" a="1"/>
  <c r="U1359" i="4" s="1"/>
  <c r="T1358" i="4"/>
  <c r="U1358" i="4" s="1" a="1"/>
  <c r="U1358" i="4" s="1"/>
  <c r="T1357" i="4"/>
  <c r="U1357" i="4" s="1" a="1"/>
  <c r="U1357" i="4" s="1"/>
  <c r="T1356" i="4"/>
  <c r="U1356" i="4" s="1" a="1"/>
  <c r="U1356" i="4" s="1"/>
  <c r="T1355" i="4"/>
  <c r="U1355" i="4" s="1" a="1"/>
  <c r="U1355" i="4" s="1"/>
  <c r="T1354" i="4"/>
  <c r="U1354" i="4" s="1" a="1"/>
  <c r="U1354" i="4" s="1"/>
  <c r="T1353" i="4"/>
  <c r="U1353" i="4" s="1" a="1"/>
  <c r="U1353" i="4" s="1"/>
  <c r="T1352" i="4"/>
  <c r="U1352" i="4" s="1" a="1"/>
  <c r="U1352" i="4" s="1"/>
  <c r="T1351" i="4"/>
  <c r="U1351" i="4" s="1" a="1"/>
  <c r="U1351" i="4" s="1"/>
  <c r="T1350" i="4"/>
  <c r="U1350" i="4" s="1" a="1"/>
  <c r="U1350" i="4" s="1"/>
  <c r="T1349" i="4"/>
  <c r="U1349" i="4" s="1" a="1"/>
  <c r="U1349" i="4" s="1"/>
  <c r="T1348" i="4"/>
  <c r="U1348" i="4" s="1" a="1"/>
  <c r="U1348" i="4" s="1"/>
  <c r="T1347" i="4"/>
  <c r="U1347" i="4" s="1" a="1"/>
  <c r="U1347" i="4" s="1"/>
  <c r="T1346" i="4"/>
  <c r="U1346" i="4" s="1" a="1"/>
  <c r="U1346" i="4" s="1"/>
  <c r="T1345" i="4"/>
  <c r="U1345" i="4" s="1" a="1"/>
  <c r="U1345" i="4" s="1"/>
  <c r="T1344" i="4"/>
  <c r="U1344" i="4" s="1" a="1"/>
  <c r="U1344" i="4" s="1"/>
  <c r="T1343" i="4"/>
  <c r="U1343" i="4" s="1" a="1"/>
  <c r="U1343" i="4" s="1"/>
  <c r="T1342" i="4"/>
  <c r="U1342" i="4" s="1" a="1"/>
  <c r="U1342" i="4" s="1"/>
  <c r="T1341" i="4"/>
  <c r="U1341" i="4" s="1" a="1"/>
  <c r="U1341" i="4" s="1"/>
  <c r="T1340" i="4"/>
  <c r="U1340" i="4" s="1" a="1"/>
  <c r="U1340" i="4" s="1"/>
  <c r="T1339" i="4"/>
  <c r="U1339" i="4" s="1" a="1"/>
  <c r="U1339" i="4" s="1"/>
  <c r="T1338" i="4"/>
  <c r="U1338" i="4" s="1" a="1"/>
  <c r="U1338" i="4" s="1"/>
  <c r="T1337" i="4"/>
  <c r="U1337" i="4" s="1" a="1"/>
  <c r="U1337" i="4" s="1"/>
  <c r="T1336" i="4"/>
  <c r="U1336" i="4" s="1" a="1"/>
  <c r="U1336" i="4" s="1"/>
  <c r="T1335" i="4"/>
  <c r="U1335" i="4" s="1" a="1"/>
  <c r="U1335" i="4" s="1"/>
  <c r="T1334" i="4"/>
  <c r="U1334" i="4" s="1" a="1"/>
  <c r="U1334" i="4" s="1"/>
  <c r="T1333" i="4"/>
  <c r="U1333" i="4" s="1" a="1"/>
  <c r="U1333" i="4" s="1"/>
  <c r="T1332" i="4"/>
  <c r="U1332" i="4" s="1" a="1"/>
  <c r="U1332" i="4" s="1"/>
  <c r="T1331" i="4"/>
  <c r="U1331" i="4" s="1" a="1"/>
  <c r="U1331" i="4" s="1"/>
  <c r="T1330" i="4"/>
  <c r="U1330" i="4" s="1" a="1"/>
  <c r="U1330" i="4" s="1"/>
  <c r="T1329" i="4"/>
  <c r="U1329" i="4" s="1" a="1"/>
  <c r="U1329" i="4" s="1"/>
  <c r="T1328" i="4"/>
  <c r="U1328" i="4" s="1" a="1"/>
  <c r="U1328" i="4" s="1"/>
  <c r="T1327" i="4"/>
  <c r="U1327" i="4" s="1" a="1"/>
  <c r="U1327" i="4" s="1"/>
  <c r="T1326" i="4"/>
  <c r="U1326" i="4" s="1" a="1"/>
  <c r="U1326" i="4" s="1"/>
  <c r="T1325" i="4"/>
  <c r="U1325" i="4" s="1" a="1"/>
  <c r="U1325" i="4" s="1"/>
  <c r="T1324" i="4"/>
  <c r="U1324" i="4" s="1" a="1"/>
  <c r="U1324" i="4" s="1"/>
  <c r="T1323" i="4"/>
  <c r="U1323" i="4" s="1" a="1"/>
  <c r="U1323" i="4" s="1"/>
  <c r="T1322" i="4"/>
  <c r="U1322" i="4" s="1" a="1"/>
  <c r="U1322" i="4" s="1"/>
  <c r="T1321" i="4"/>
  <c r="U1321" i="4" s="1" a="1"/>
  <c r="U1321" i="4" s="1"/>
  <c r="T1320" i="4"/>
  <c r="U1320" i="4" s="1" a="1"/>
  <c r="U1320" i="4" s="1"/>
  <c r="T1319" i="4"/>
  <c r="U1319" i="4" s="1" a="1"/>
  <c r="U1319" i="4" s="1"/>
  <c r="T1318" i="4"/>
  <c r="U1318" i="4" s="1" a="1"/>
  <c r="U1318" i="4" s="1"/>
  <c r="T1317" i="4"/>
  <c r="U1317" i="4" s="1" a="1"/>
  <c r="U1317" i="4" s="1"/>
  <c r="T1316" i="4"/>
  <c r="U1316" i="4" s="1" a="1"/>
  <c r="U1316" i="4" s="1"/>
  <c r="T1315" i="4"/>
  <c r="U1315" i="4" s="1" a="1"/>
  <c r="U1315" i="4" s="1"/>
  <c r="T1314" i="4"/>
  <c r="U1314" i="4" s="1" a="1"/>
  <c r="U1314" i="4" s="1"/>
  <c r="T1313" i="4"/>
  <c r="U1313" i="4" s="1" a="1"/>
  <c r="U1313" i="4" s="1"/>
  <c r="T1312" i="4"/>
  <c r="U1312" i="4" s="1" a="1"/>
  <c r="U1312" i="4" s="1"/>
  <c r="T1311" i="4"/>
  <c r="U1311" i="4" s="1" a="1"/>
  <c r="U1311" i="4" s="1"/>
  <c r="T1310" i="4"/>
  <c r="U1310" i="4" s="1" a="1"/>
  <c r="U1310" i="4" s="1"/>
  <c r="T1309" i="4"/>
  <c r="U1309" i="4" s="1" a="1"/>
  <c r="U1309" i="4" s="1"/>
  <c r="T1308" i="4"/>
  <c r="U1308" i="4" s="1" a="1"/>
  <c r="U1308" i="4" s="1"/>
  <c r="T1307" i="4"/>
  <c r="U1307" i="4" s="1" a="1"/>
  <c r="U1307" i="4" s="1"/>
  <c r="T1306" i="4"/>
  <c r="U1306" i="4" s="1" a="1"/>
  <c r="U1306" i="4" s="1"/>
  <c r="T1305" i="4"/>
  <c r="U1305" i="4" s="1" a="1"/>
  <c r="U1305" i="4" s="1"/>
  <c r="T1304" i="4"/>
  <c r="U1304" i="4" s="1" a="1"/>
  <c r="U1304" i="4" s="1"/>
  <c r="T1303" i="4"/>
  <c r="U1303" i="4" s="1" a="1"/>
  <c r="U1303" i="4" s="1"/>
  <c r="T1302" i="4"/>
  <c r="U1302" i="4" s="1" a="1"/>
  <c r="U1302" i="4" s="1"/>
  <c r="T1301" i="4"/>
  <c r="U1301" i="4" s="1" a="1"/>
  <c r="U1301" i="4" s="1"/>
  <c r="T1300" i="4"/>
  <c r="U1300" i="4" s="1" a="1"/>
  <c r="U1300" i="4" s="1"/>
  <c r="T1299" i="4"/>
  <c r="U1299" i="4" s="1" a="1"/>
  <c r="U1299" i="4" s="1"/>
  <c r="T1298" i="4"/>
  <c r="U1298" i="4" s="1" a="1"/>
  <c r="U1298" i="4" s="1"/>
  <c r="T1297" i="4"/>
  <c r="U1297" i="4" s="1" a="1"/>
  <c r="U1297" i="4" s="1"/>
  <c r="T1296" i="4"/>
  <c r="U1296" i="4" s="1" a="1"/>
  <c r="U1296" i="4" s="1"/>
  <c r="T1295" i="4"/>
  <c r="U1295" i="4" s="1" a="1"/>
  <c r="U1295" i="4" s="1"/>
  <c r="T1294" i="4"/>
  <c r="U1294" i="4" s="1" a="1"/>
  <c r="U1294" i="4" s="1"/>
  <c r="T1293" i="4"/>
  <c r="U1293" i="4" s="1" a="1"/>
  <c r="U1293" i="4" s="1"/>
  <c r="T1292" i="4"/>
  <c r="U1292" i="4" s="1" a="1"/>
  <c r="U1292" i="4" s="1"/>
  <c r="T1291" i="4"/>
  <c r="U1291" i="4" s="1" a="1"/>
  <c r="U1291" i="4" s="1"/>
  <c r="T1290" i="4"/>
  <c r="U1290" i="4" s="1" a="1"/>
  <c r="U1290" i="4" s="1"/>
  <c r="T1289" i="4"/>
  <c r="U1289" i="4" s="1" a="1"/>
  <c r="U1289" i="4" s="1"/>
  <c r="T1288" i="4"/>
  <c r="U1288" i="4" s="1" a="1"/>
  <c r="U1288" i="4" s="1"/>
  <c r="T1287" i="4"/>
  <c r="U1287" i="4" s="1" a="1"/>
  <c r="U1287" i="4" s="1"/>
  <c r="T1286" i="4"/>
  <c r="U1286" i="4" s="1" a="1"/>
  <c r="U1286" i="4" s="1"/>
  <c r="T1285" i="4"/>
  <c r="U1285" i="4" s="1" a="1"/>
  <c r="U1285" i="4" s="1"/>
  <c r="T1284" i="4"/>
  <c r="U1284" i="4" s="1" a="1"/>
  <c r="U1284" i="4" s="1"/>
  <c r="T1283" i="4"/>
  <c r="U1283" i="4" s="1" a="1"/>
  <c r="U1283" i="4" s="1"/>
  <c r="T1282" i="4"/>
  <c r="U1282" i="4" s="1" a="1"/>
  <c r="U1282" i="4" s="1"/>
  <c r="T1281" i="4"/>
  <c r="U1281" i="4" s="1" a="1"/>
  <c r="U1281" i="4" s="1"/>
  <c r="T1280" i="4"/>
  <c r="U1280" i="4" s="1" a="1"/>
  <c r="U1280" i="4" s="1"/>
  <c r="T1279" i="4"/>
  <c r="U1279" i="4" s="1" a="1"/>
  <c r="U1279" i="4" s="1"/>
  <c r="T1278" i="4"/>
  <c r="U1278" i="4" s="1" a="1"/>
  <c r="U1278" i="4" s="1"/>
  <c r="T1277" i="4"/>
  <c r="U1277" i="4" s="1" a="1"/>
  <c r="U1277" i="4" s="1"/>
  <c r="T1276" i="4"/>
  <c r="U1276" i="4" s="1" a="1"/>
  <c r="U1276" i="4" s="1"/>
  <c r="T1275" i="4"/>
  <c r="U1275" i="4" s="1" a="1"/>
  <c r="U1275" i="4" s="1"/>
  <c r="T1274" i="4"/>
  <c r="U1274" i="4" s="1" a="1"/>
  <c r="U1274" i="4" s="1"/>
  <c r="T1273" i="4"/>
  <c r="U1273" i="4" s="1" a="1"/>
  <c r="U1273" i="4" s="1"/>
  <c r="T1272" i="4"/>
  <c r="U1272" i="4" s="1" a="1"/>
  <c r="U1272" i="4" s="1"/>
  <c r="T1271" i="4"/>
  <c r="U1271" i="4" s="1" a="1"/>
  <c r="U1271" i="4" s="1"/>
  <c r="T1270" i="4"/>
  <c r="U1270" i="4" s="1" a="1"/>
  <c r="U1270" i="4" s="1"/>
  <c r="T1269" i="4"/>
  <c r="U1269" i="4" s="1" a="1"/>
  <c r="U1269" i="4" s="1"/>
  <c r="T1268" i="4"/>
  <c r="U1268" i="4" s="1" a="1"/>
  <c r="U1268" i="4" s="1"/>
  <c r="T1267" i="4"/>
  <c r="U1267" i="4" s="1" a="1"/>
  <c r="U1267" i="4" s="1"/>
  <c r="T1266" i="4"/>
  <c r="U1266" i="4" s="1" a="1"/>
  <c r="U1266" i="4" s="1"/>
  <c r="T1265" i="4"/>
  <c r="U1265" i="4" s="1" a="1"/>
  <c r="U1265" i="4" s="1"/>
  <c r="T1264" i="4"/>
  <c r="U1264" i="4" s="1" a="1"/>
  <c r="U1264" i="4" s="1"/>
  <c r="T1263" i="4"/>
  <c r="U1263" i="4" s="1" a="1"/>
  <c r="U1263" i="4" s="1"/>
  <c r="T1262" i="4"/>
  <c r="U1262" i="4" s="1" a="1"/>
  <c r="U1262" i="4" s="1"/>
  <c r="T1261" i="4"/>
  <c r="U1261" i="4" s="1" a="1"/>
  <c r="U1261" i="4" s="1"/>
  <c r="T1260" i="4"/>
  <c r="U1260" i="4" s="1" a="1"/>
  <c r="U1260" i="4" s="1"/>
  <c r="T1259" i="4"/>
  <c r="U1259" i="4" s="1" a="1"/>
  <c r="U1259" i="4" s="1"/>
  <c r="T1258" i="4"/>
  <c r="U1258" i="4" s="1" a="1"/>
  <c r="U1258" i="4" s="1"/>
  <c r="T1257" i="4"/>
  <c r="U1257" i="4" s="1" a="1"/>
  <c r="U1257" i="4" s="1"/>
  <c r="T1256" i="4"/>
  <c r="U1256" i="4" s="1" a="1"/>
  <c r="U1256" i="4" s="1"/>
  <c r="T1255" i="4"/>
  <c r="U1255" i="4" s="1" a="1"/>
  <c r="U1255" i="4" s="1"/>
  <c r="T1254" i="4"/>
  <c r="U1254" i="4" s="1" a="1"/>
  <c r="U1254" i="4" s="1"/>
  <c r="T1253" i="4"/>
  <c r="U1253" i="4" s="1" a="1"/>
  <c r="U1253" i="4" s="1"/>
  <c r="T1252" i="4"/>
  <c r="U1252" i="4" s="1" a="1"/>
  <c r="U1252" i="4" s="1"/>
  <c r="T1251" i="4"/>
  <c r="U1251" i="4" s="1" a="1"/>
  <c r="U1251" i="4" s="1"/>
  <c r="T1250" i="4"/>
  <c r="U1250" i="4" s="1" a="1"/>
  <c r="U1250" i="4" s="1"/>
  <c r="T1249" i="4"/>
  <c r="U1249" i="4" s="1" a="1"/>
  <c r="U1249" i="4" s="1"/>
  <c r="T1248" i="4"/>
  <c r="U1248" i="4" s="1" a="1"/>
  <c r="U1248" i="4" s="1"/>
  <c r="T1247" i="4"/>
  <c r="U1247" i="4" s="1" a="1"/>
  <c r="U1247" i="4" s="1"/>
  <c r="T1246" i="4"/>
  <c r="U1246" i="4" s="1" a="1"/>
  <c r="U1246" i="4" s="1"/>
  <c r="T1245" i="4"/>
  <c r="U1245" i="4" s="1" a="1"/>
  <c r="U1245" i="4" s="1"/>
  <c r="T1244" i="4"/>
  <c r="U1244" i="4" s="1" a="1"/>
  <c r="U1244" i="4" s="1"/>
  <c r="T1243" i="4"/>
  <c r="U1243" i="4" s="1" a="1"/>
  <c r="U1243" i="4" s="1"/>
  <c r="T1242" i="4"/>
  <c r="U1242" i="4" s="1" a="1"/>
  <c r="U1242" i="4" s="1"/>
  <c r="T1241" i="4"/>
  <c r="U1241" i="4" s="1" a="1"/>
  <c r="U1241" i="4" s="1"/>
  <c r="T1240" i="4"/>
  <c r="U1240" i="4" s="1" a="1"/>
  <c r="U1240" i="4" s="1"/>
  <c r="T1239" i="4"/>
  <c r="U1239" i="4" s="1" a="1"/>
  <c r="U1239" i="4" s="1"/>
  <c r="T1238" i="4"/>
  <c r="U1238" i="4" s="1" a="1"/>
  <c r="U1238" i="4" s="1"/>
  <c r="T1237" i="4"/>
  <c r="U1237" i="4" s="1" a="1"/>
  <c r="U1237" i="4" s="1"/>
  <c r="T1236" i="4"/>
  <c r="U1236" i="4" s="1" a="1"/>
  <c r="U1236" i="4" s="1"/>
  <c r="T1235" i="4"/>
  <c r="U1235" i="4" s="1" a="1"/>
  <c r="U1235" i="4" s="1"/>
  <c r="T1234" i="4"/>
  <c r="U1234" i="4" s="1" a="1"/>
  <c r="U1234" i="4" s="1"/>
  <c r="T1233" i="4"/>
  <c r="U1233" i="4" s="1" a="1"/>
  <c r="U1233" i="4" s="1"/>
  <c r="T1232" i="4"/>
  <c r="U1232" i="4" s="1" a="1"/>
  <c r="U1232" i="4" s="1"/>
  <c r="T1231" i="4"/>
  <c r="U1231" i="4" s="1" a="1"/>
  <c r="U1231" i="4" s="1"/>
  <c r="T1230" i="4"/>
  <c r="U1230" i="4" s="1" a="1"/>
  <c r="U1230" i="4" s="1"/>
  <c r="T1229" i="4"/>
  <c r="U1229" i="4" s="1" a="1"/>
  <c r="U1229" i="4" s="1"/>
  <c r="T1228" i="4"/>
  <c r="U1228" i="4" s="1" a="1"/>
  <c r="U1228" i="4" s="1"/>
  <c r="T1227" i="4"/>
  <c r="U1227" i="4" s="1" a="1"/>
  <c r="U1227" i="4" s="1"/>
  <c r="T1226" i="4"/>
  <c r="U1226" i="4" s="1" a="1"/>
  <c r="U1226" i="4" s="1"/>
  <c r="T1225" i="4"/>
  <c r="U1225" i="4" s="1" a="1"/>
  <c r="U1225" i="4" s="1"/>
  <c r="T1224" i="4"/>
  <c r="U1224" i="4" s="1" a="1"/>
  <c r="U1224" i="4" s="1"/>
  <c r="T1223" i="4"/>
  <c r="U1223" i="4" s="1" a="1"/>
  <c r="U1223" i="4" s="1"/>
  <c r="T1222" i="4"/>
  <c r="U1222" i="4" s="1" a="1"/>
  <c r="U1222" i="4" s="1"/>
  <c r="T1221" i="4"/>
  <c r="U1221" i="4" s="1" a="1"/>
  <c r="U1221" i="4" s="1"/>
  <c r="T1220" i="4"/>
  <c r="U1220" i="4" s="1" a="1"/>
  <c r="U1220" i="4" s="1"/>
  <c r="T1219" i="4"/>
  <c r="U1219" i="4" s="1" a="1"/>
  <c r="U1219" i="4" s="1"/>
  <c r="T1218" i="4"/>
  <c r="U1218" i="4" s="1" a="1"/>
  <c r="U1218" i="4" s="1"/>
  <c r="T1217" i="4"/>
  <c r="U1217" i="4" s="1" a="1"/>
  <c r="U1217" i="4" s="1"/>
  <c r="T1216" i="4"/>
  <c r="U1216" i="4" s="1" a="1"/>
  <c r="U1216" i="4" s="1"/>
  <c r="T1215" i="4"/>
  <c r="U1215" i="4" s="1" a="1"/>
  <c r="U1215" i="4" s="1"/>
  <c r="T1214" i="4"/>
  <c r="U1214" i="4" s="1" a="1"/>
  <c r="U1214" i="4" s="1"/>
  <c r="T1213" i="4"/>
  <c r="U1213" i="4" s="1" a="1"/>
  <c r="U1213" i="4" s="1"/>
  <c r="T1212" i="4"/>
  <c r="U1212" i="4" s="1" a="1"/>
  <c r="U1212" i="4" s="1"/>
  <c r="T1211" i="4"/>
  <c r="U1211" i="4" s="1" a="1"/>
  <c r="U1211" i="4" s="1"/>
  <c r="T1210" i="4"/>
  <c r="U1210" i="4" s="1" a="1"/>
  <c r="U1210" i="4" s="1"/>
  <c r="T1209" i="4"/>
  <c r="U1209" i="4" s="1" a="1"/>
  <c r="U1209" i="4" s="1"/>
  <c r="T1208" i="4"/>
  <c r="U1208" i="4" s="1" a="1"/>
  <c r="U1208" i="4" s="1"/>
  <c r="T1207" i="4"/>
  <c r="U1207" i="4" s="1" a="1"/>
  <c r="U1207" i="4" s="1"/>
  <c r="T1206" i="4"/>
  <c r="U1206" i="4" s="1" a="1"/>
  <c r="U1206" i="4" s="1"/>
  <c r="T1205" i="4"/>
  <c r="U1205" i="4" s="1" a="1"/>
  <c r="U1205" i="4" s="1"/>
  <c r="T1204" i="4"/>
  <c r="U1204" i="4" s="1" a="1"/>
  <c r="U1204" i="4" s="1"/>
  <c r="T1203" i="4"/>
  <c r="U1203" i="4" s="1" a="1"/>
  <c r="U1203" i="4" s="1"/>
  <c r="T1202" i="4"/>
  <c r="U1202" i="4" s="1" a="1"/>
  <c r="U1202" i="4" s="1"/>
  <c r="T1201" i="4"/>
  <c r="U1201" i="4" s="1" a="1"/>
  <c r="U1201" i="4" s="1"/>
  <c r="T1200" i="4"/>
  <c r="U1200" i="4" s="1" a="1"/>
  <c r="U1200" i="4" s="1"/>
  <c r="T1199" i="4"/>
  <c r="U1199" i="4" s="1" a="1"/>
  <c r="U1199" i="4" s="1"/>
  <c r="T1198" i="4"/>
  <c r="U1198" i="4" s="1" a="1"/>
  <c r="U1198" i="4" s="1"/>
  <c r="T1197" i="4"/>
  <c r="U1197" i="4" s="1" a="1"/>
  <c r="U1197" i="4" s="1"/>
  <c r="T1196" i="4"/>
  <c r="U1196" i="4" s="1" a="1"/>
  <c r="U1196" i="4" s="1"/>
  <c r="T1195" i="4"/>
  <c r="U1195" i="4" s="1" a="1"/>
  <c r="U1195" i="4" s="1"/>
  <c r="T1194" i="4"/>
  <c r="U1194" i="4" s="1" a="1"/>
  <c r="U1194" i="4" s="1"/>
  <c r="T1193" i="4"/>
  <c r="U1193" i="4" s="1" a="1"/>
  <c r="U1193" i="4" s="1"/>
  <c r="T1192" i="4"/>
  <c r="U1192" i="4" s="1" a="1"/>
  <c r="U1192" i="4" s="1"/>
  <c r="T1191" i="4"/>
  <c r="U1191" i="4" s="1" a="1"/>
  <c r="U1191" i="4" s="1"/>
  <c r="T1190" i="4"/>
  <c r="U1190" i="4" s="1" a="1"/>
  <c r="U1190" i="4" s="1"/>
  <c r="T1189" i="4"/>
  <c r="U1189" i="4" s="1" a="1"/>
  <c r="U1189" i="4" s="1"/>
  <c r="T1188" i="4"/>
  <c r="U1188" i="4" s="1" a="1"/>
  <c r="U1188" i="4" s="1"/>
  <c r="T1187" i="4"/>
  <c r="U1187" i="4" s="1" a="1"/>
  <c r="U1187" i="4" s="1"/>
  <c r="T1186" i="4"/>
  <c r="U1186" i="4" s="1" a="1"/>
  <c r="U1186" i="4" s="1"/>
  <c r="T1185" i="4"/>
  <c r="U1185" i="4" s="1" a="1"/>
  <c r="U1185" i="4" s="1"/>
  <c r="T1184" i="4"/>
  <c r="U1184" i="4" s="1" a="1"/>
  <c r="U1184" i="4" s="1"/>
  <c r="T1183" i="4"/>
  <c r="U1183" i="4" s="1" a="1"/>
  <c r="U1183" i="4" s="1"/>
  <c r="T1182" i="4"/>
  <c r="U1182" i="4" s="1" a="1"/>
  <c r="U1182" i="4" s="1"/>
  <c r="T1181" i="4"/>
  <c r="U1181" i="4" s="1" a="1"/>
  <c r="U1181" i="4" s="1"/>
  <c r="T1180" i="4"/>
  <c r="U1180" i="4" s="1" a="1"/>
  <c r="U1180" i="4" s="1"/>
  <c r="T1179" i="4"/>
  <c r="U1179" i="4" s="1" a="1"/>
  <c r="U1179" i="4" s="1"/>
  <c r="T1178" i="4"/>
  <c r="U1178" i="4" s="1" a="1"/>
  <c r="U1178" i="4" s="1"/>
  <c r="T1177" i="4"/>
  <c r="U1177" i="4" s="1" a="1"/>
  <c r="U1177" i="4" s="1"/>
  <c r="T1176" i="4"/>
  <c r="U1176" i="4" s="1" a="1"/>
  <c r="U1176" i="4" s="1"/>
  <c r="T1175" i="4"/>
  <c r="U1175" i="4" s="1" a="1"/>
  <c r="U1175" i="4" s="1"/>
  <c r="T1174" i="4"/>
  <c r="U1174" i="4" s="1" a="1"/>
  <c r="U1174" i="4" s="1"/>
  <c r="T1173" i="4"/>
  <c r="U1173" i="4" s="1" a="1"/>
  <c r="U1173" i="4" s="1"/>
  <c r="T1172" i="4"/>
  <c r="U1172" i="4" s="1" a="1"/>
  <c r="U1172" i="4" s="1"/>
  <c r="T1171" i="4"/>
  <c r="U1171" i="4" s="1" a="1"/>
  <c r="U1171" i="4" s="1"/>
  <c r="T1170" i="4"/>
  <c r="U1170" i="4" s="1" a="1"/>
  <c r="U1170" i="4" s="1"/>
  <c r="T1169" i="4"/>
  <c r="U1169" i="4" s="1" a="1"/>
  <c r="U1169" i="4" s="1"/>
  <c r="T1168" i="4"/>
  <c r="U1168" i="4" s="1" a="1"/>
  <c r="U1168" i="4" s="1"/>
  <c r="T1167" i="4"/>
  <c r="U1167" i="4" s="1" a="1"/>
  <c r="U1167" i="4" s="1"/>
  <c r="T1166" i="4"/>
  <c r="U1166" i="4" s="1" a="1"/>
  <c r="U1166" i="4" s="1"/>
  <c r="T1165" i="4"/>
  <c r="U1165" i="4" s="1" a="1"/>
  <c r="U1165" i="4" s="1"/>
  <c r="T1164" i="4"/>
  <c r="U1164" i="4" s="1" a="1"/>
  <c r="U1164" i="4" s="1"/>
  <c r="T1163" i="4"/>
  <c r="U1163" i="4" s="1" a="1"/>
  <c r="U1163" i="4" s="1"/>
  <c r="T1162" i="4"/>
  <c r="U1162" i="4" s="1" a="1"/>
  <c r="U1162" i="4" s="1"/>
  <c r="T1161" i="4"/>
  <c r="U1161" i="4" s="1" a="1"/>
  <c r="U1161" i="4" s="1"/>
  <c r="T1160" i="4"/>
  <c r="U1160" i="4" s="1" a="1"/>
  <c r="U1160" i="4" s="1"/>
  <c r="T1159" i="4"/>
  <c r="U1159" i="4" s="1" a="1"/>
  <c r="U1159" i="4" s="1"/>
  <c r="T1158" i="4"/>
  <c r="U1158" i="4" s="1" a="1"/>
  <c r="U1158" i="4" s="1"/>
  <c r="T1157" i="4"/>
  <c r="U1157" i="4" s="1" a="1"/>
  <c r="U1157" i="4" s="1"/>
  <c r="T1156" i="4"/>
  <c r="U1156" i="4" s="1" a="1"/>
  <c r="U1156" i="4" s="1"/>
  <c r="T1155" i="4"/>
  <c r="U1155" i="4" s="1" a="1"/>
  <c r="U1155" i="4" s="1"/>
  <c r="T1154" i="4"/>
  <c r="U1154" i="4" s="1" a="1"/>
  <c r="U1154" i="4" s="1"/>
  <c r="T1153" i="4"/>
  <c r="U1153" i="4" s="1" a="1"/>
  <c r="U1153" i="4" s="1"/>
  <c r="T1152" i="4"/>
  <c r="U1152" i="4" s="1" a="1"/>
  <c r="U1152" i="4" s="1"/>
  <c r="T1151" i="4"/>
  <c r="U1151" i="4" s="1" a="1"/>
  <c r="U1151" i="4" s="1"/>
  <c r="T1150" i="4"/>
  <c r="U1150" i="4" s="1" a="1"/>
  <c r="U1150" i="4" s="1"/>
  <c r="T1149" i="4"/>
  <c r="U1149" i="4" s="1" a="1"/>
  <c r="U1149" i="4" s="1"/>
  <c r="T1148" i="4"/>
  <c r="U1148" i="4" s="1" a="1"/>
  <c r="U1148" i="4" s="1"/>
  <c r="T1147" i="4"/>
  <c r="U1147" i="4" s="1" a="1"/>
  <c r="U1147" i="4" s="1"/>
  <c r="T1146" i="4"/>
  <c r="U1146" i="4" s="1" a="1"/>
  <c r="U1146" i="4" s="1"/>
  <c r="T1145" i="4"/>
  <c r="U1145" i="4" s="1" a="1"/>
  <c r="U1145" i="4" s="1"/>
  <c r="T1144" i="4"/>
  <c r="U1144" i="4" s="1" a="1"/>
  <c r="U1144" i="4" s="1"/>
  <c r="T1143" i="4"/>
  <c r="U1143" i="4" s="1" a="1"/>
  <c r="U1143" i="4" s="1"/>
  <c r="T1142" i="4"/>
  <c r="U1142" i="4" s="1" a="1"/>
  <c r="U1142" i="4" s="1"/>
  <c r="T1141" i="4"/>
  <c r="U1141" i="4" s="1" a="1"/>
  <c r="U1141" i="4" s="1"/>
  <c r="T1140" i="4"/>
  <c r="U1140" i="4" s="1" a="1"/>
  <c r="U1140" i="4" s="1"/>
  <c r="T1139" i="4"/>
  <c r="U1139" i="4" s="1" a="1"/>
  <c r="U1139" i="4" s="1"/>
  <c r="T1138" i="4"/>
  <c r="U1138" i="4" s="1" a="1"/>
  <c r="U1138" i="4" s="1"/>
  <c r="T1137" i="4"/>
  <c r="U1137" i="4" s="1" a="1"/>
  <c r="U1137" i="4" s="1"/>
  <c r="T1136" i="4"/>
  <c r="U1136" i="4" s="1" a="1"/>
  <c r="U1136" i="4" s="1"/>
  <c r="T1135" i="4"/>
  <c r="U1135" i="4" s="1" a="1"/>
  <c r="U1135" i="4" s="1"/>
  <c r="T1134" i="4"/>
  <c r="U1134" i="4" s="1" a="1"/>
  <c r="U1134" i="4" s="1"/>
  <c r="T1133" i="4"/>
  <c r="U1133" i="4" s="1" a="1"/>
  <c r="U1133" i="4" s="1"/>
  <c r="T1132" i="4"/>
  <c r="U1132" i="4" s="1" a="1"/>
  <c r="U1132" i="4" s="1"/>
  <c r="T1131" i="4"/>
  <c r="U1131" i="4" s="1" a="1"/>
  <c r="U1131" i="4" s="1"/>
  <c r="T1130" i="4"/>
  <c r="U1130" i="4" s="1" a="1"/>
  <c r="U1130" i="4" s="1"/>
  <c r="T1129" i="4"/>
  <c r="U1129" i="4" s="1" a="1"/>
  <c r="U1129" i="4" s="1"/>
  <c r="T1128" i="4"/>
  <c r="U1128" i="4" s="1" a="1"/>
  <c r="U1128" i="4" s="1"/>
  <c r="T1127" i="4"/>
  <c r="U1127" i="4" s="1" a="1"/>
  <c r="U1127" i="4" s="1"/>
  <c r="T1126" i="4"/>
  <c r="U1126" i="4" s="1" a="1"/>
  <c r="U1126" i="4" s="1"/>
  <c r="T1125" i="4"/>
  <c r="U1125" i="4" s="1" a="1"/>
  <c r="U1125" i="4" s="1"/>
  <c r="T1124" i="4"/>
  <c r="U1124" i="4" s="1" a="1"/>
  <c r="U1124" i="4" s="1"/>
  <c r="T1123" i="4"/>
  <c r="U1123" i="4" s="1" a="1"/>
  <c r="U1123" i="4" s="1"/>
  <c r="T1122" i="4"/>
  <c r="U1122" i="4" s="1" a="1"/>
  <c r="U1122" i="4" s="1"/>
  <c r="T1121" i="4"/>
  <c r="U1121" i="4" s="1" a="1"/>
  <c r="U1121" i="4" s="1"/>
  <c r="T1120" i="4"/>
  <c r="U1120" i="4" s="1" a="1"/>
  <c r="U1120" i="4" s="1"/>
  <c r="T1119" i="4"/>
  <c r="U1119" i="4" s="1" a="1"/>
  <c r="U1119" i="4" s="1"/>
  <c r="T1118" i="4"/>
  <c r="U1118" i="4" s="1" a="1"/>
  <c r="U1118" i="4" s="1"/>
  <c r="T1117" i="4"/>
  <c r="U1117" i="4" s="1" a="1"/>
  <c r="U1117" i="4" s="1"/>
  <c r="T1116" i="4"/>
  <c r="U1116" i="4" s="1" a="1"/>
  <c r="U1116" i="4" s="1"/>
  <c r="T1115" i="4"/>
  <c r="U1115" i="4" s="1" a="1"/>
  <c r="U1115" i="4" s="1"/>
  <c r="T1114" i="4"/>
  <c r="U1114" i="4" s="1" a="1"/>
  <c r="U1114" i="4" s="1"/>
  <c r="T1113" i="4"/>
  <c r="U1113" i="4" s="1" a="1"/>
  <c r="U1113" i="4" s="1"/>
  <c r="T1112" i="4"/>
  <c r="U1112" i="4" s="1" a="1"/>
  <c r="U1112" i="4" s="1"/>
  <c r="T1111" i="4"/>
  <c r="U1111" i="4" s="1" a="1"/>
  <c r="U1111" i="4" s="1"/>
  <c r="T1110" i="4"/>
  <c r="U1110" i="4" s="1" a="1"/>
  <c r="U1110" i="4" s="1"/>
  <c r="T1109" i="4"/>
  <c r="U1109" i="4" s="1" a="1"/>
  <c r="U1109" i="4" s="1"/>
  <c r="T1108" i="4"/>
  <c r="U1108" i="4" s="1" a="1"/>
  <c r="U1108" i="4" s="1"/>
  <c r="T1107" i="4"/>
  <c r="U1107" i="4" s="1" a="1"/>
  <c r="U1107" i="4" s="1"/>
  <c r="T1106" i="4"/>
  <c r="U1106" i="4" s="1" a="1"/>
  <c r="U1106" i="4" s="1"/>
  <c r="T1105" i="4"/>
  <c r="U1105" i="4" s="1" a="1"/>
  <c r="U1105" i="4" s="1"/>
  <c r="T1104" i="4"/>
  <c r="U1104" i="4" s="1" a="1"/>
  <c r="U1104" i="4" s="1"/>
  <c r="T1103" i="4"/>
  <c r="U1103" i="4" s="1" a="1"/>
  <c r="U1103" i="4" s="1"/>
  <c r="T1102" i="4"/>
  <c r="U1102" i="4" s="1" a="1"/>
  <c r="U1102" i="4" s="1"/>
  <c r="T1101" i="4"/>
  <c r="U1101" i="4" s="1" a="1"/>
  <c r="U1101" i="4" s="1"/>
  <c r="T1100" i="4"/>
  <c r="U1100" i="4" s="1" a="1"/>
  <c r="U1100" i="4" s="1"/>
  <c r="T1099" i="4"/>
  <c r="U1099" i="4" s="1" a="1"/>
  <c r="U1099" i="4" s="1"/>
  <c r="T1098" i="4"/>
  <c r="U1098" i="4" s="1" a="1"/>
  <c r="U1098" i="4" s="1"/>
  <c r="T1097" i="4"/>
  <c r="U1097" i="4" s="1" a="1"/>
  <c r="U1097" i="4" s="1"/>
  <c r="T1096" i="4"/>
  <c r="U1096" i="4" s="1" a="1"/>
  <c r="U1096" i="4" s="1"/>
  <c r="T1095" i="4"/>
  <c r="U1095" i="4" s="1" a="1"/>
  <c r="U1095" i="4" s="1"/>
  <c r="T1094" i="4"/>
  <c r="U1094" i="4" s="1" a="1"/>
  <c r="U1094" i="4" s="1"/>
  <c r="T1093" i="4"/>
  <c r="U1093" i="4" s="1" a="1"/>
  <c r="U1093" i="4" s="1"/>
  <c r="T1092" i="4"/>
  <c r="U1092" i="4" s="1" a="1"/>
  <c r="U1092" i="4" s="1"/>
  <c r="T1091" i="4"/>
  <c r="U1091" i="4" s="1" a="1"/>
  <c r="U1091" i="4" s="1"/>
  <c r="T1090" i="4"/>
  <c r="U1090" i="4" s="1" a="1"/>
  <c r="U1090" i="4" s="1"/>
  <c r="T1089" i="4"/>
  <c r="U1089" i="4" s="1" a="1"/>
  <c r="U1089" i="4" s="1"/>
  <c r="T1088" i="4"/>
  <c r="U1088" i="4" s="1" a="1"/>
  <c r="U1088" i="4" s="1"/>
  <c r="T1087" i="4"/>
  <c r="U1087" i="4" s="1" a="1"/>
  <c r="U1087" i="4" s="1"/>
  <c r="T1086" i="4"/>
  <c r="U1086" i="4" s="1" a="1"/>
  <c r="U1086" i="4" s="1"/>
  <c r="T1085" i="4"/>
  <c r="U1085" i="4" s="1" a="1"/>
  <c r="U1085" i="4" s="1"/>
  <c r="T1084" i="4"/>
  <c r="U1084" i="4" s="1" a="1"/>
  <c r="U1084" i="4" s="1"/>
  <c r="T1083" i="4"/>
  <c r="U1083" i="4" s="1" a="1"/>
  <c r="U1083" i="4" s="1"/>
  <c r="T1082" i="4"/>
  <c r="U1082" i="4" s="1" a="1"/>
  <c r="U1082" i="4" s="1"/>
  <c r="T1081" i="4"/>
  <c r="U1081" i="4" s="1" a="1"/>
  <c r="U1081" i="4" s="1"/>
  <c r="T1080" i="4"/>
  <c r="U1080" i="4" s="1" a="1"/>
  <c r="U1080" i="4" s="1"/>
  <c r="T1079" i="4"/>
  <c r="U1079" i="4" s="1" a="1"/>
  <c r="U1079" i="4" s="1"/>
  <c r="T1078" i="4"/>
  <c r="U1078" i="4" s="1" a="1"/>
  <c r="U1078" i="4" s="1"/>
  <c r="T1077" i="4"/>
  <c r="U1077" i="4" s="1" a="1"/>
  <c r="U1077" i="4" s="1"/>
  <c r="T1076" i="4"/>
  <c r="U1076" i="4" s="1" a="1"/>
  <c r="U1076" i="4" s="1"/>
  <c r="T1075" i="4"/>
  <c r="U1075" i="4" s="1" a="1"/>
  <c r="U1075" i="4" s="1"/>
  <c r="T1074" i="4"/>
  <c r="U1074" i="4" s="1" a="1"/>
  <c r="U1074" i="4" s="1"/>
  <c r="T1073" i="4"/>
  <c r="U1073" i="4" s="1" a="1"/>
  <c r="U1073" i="4" s="1"/>
  <c r="T1363" i="4"/>
  <c r="U1363" i="4" s="1" a="1"/>
  <c r="U1363" i="4" s="1"/>
  <c r="T1072" i="4"/>
  <c r="U1072" i="4" s="1" a="1"/>
  <c r="U1072" i="4" s="1"/>
  <c r="T1071" i="4"/>
  <c r="U1071" i="4" s="1" a="1"/>
  <c r="U1071" i="4" s="1"/>
  <c r="T60" i="4"/>
  <c r="U60" i="4" s="1" a="1"/>
  <c r="U60" i="4" s="1"/>
  <c r="T59" i="4"/>
  <c r="U59" i="4" s="1" a="1"/>
  <c r="U59" i="4" s="1"/>
  <c r="T58" i="4"/>
  <c r="U58" i="4" s="1" a="1"/>
  <c r="U58" i="4" s="1"/>
  <c r="T57" i="4"/>
  <c r="U57" i="4" s="1" a="1"/>
  <c r="U57" i="4" s="1"/>
  <c r="T56" i="4"/>
  <c r="U56" i="4" s="1" a="1"/>
  <c r="U56" i="4" s="1"/>
  <c r="T55" i="4"/>
  <c r="U55" i="4" s="1" a="1"/>
  <c r="U55" i="4" s="1"/>
  <c r="T54" i="4"/>
  <c r="U54" i="4" s="1" a="1"/>
  <c r="U54" i="4" s="1"/>
  <c r="T53" i="4"/>
  <c r="U53" i="4" s="1" a="1"/>
  <c r="U53" i="4" s="1"/>
  <c r="T52" i="4"/>
  <c r="U52" i="4" s="1" a="1"/>
  <c r="U52" i="4" s="1"/>
  <c r="T51" i="4"/>
  <c r="U51" i="4" s="1" a="1"/>
  <c r="U51" i="4" s="1"/>
  <c r="T50" i="4"/>
  <c r="U50" i="4" s="1" a="1"/>
  <c r="U50" i="4" s="1"/>
  <c r="T49" i="4"/>
  <c r="U49" i="4" s="1" a="1"/>
  <c r="U49" i="4" s="1"/>
  <c r="T48" i="4"/>
  <c r="U48" i="4" s="1" a="1"/>
  <c r="U48" i="4" s="1"/>
  <c r="T47" i="4"/>
  <c r="U47" i="4" s="1" a="1"/>
  <c r="U47" i="4" s="1"/>
  <c r="T46" i="4"/>
  <c r="U46" i="4" s="1" a="1"/>
  <c r="U46" i="4" s="1"/>
  <c r="T45" i="4"/>
  <c r="U45" i="4" s="1" a="1"/>
  <c r="U45" i="4" s="1"/>
  <c r="T44" i="4"/>
  <c r="U44" i="4" s="1" a="1"/>
  <c r="U44" i="4" s="1"/>
  <c r="T43" i="4"/>
  <c r="U43" i="4" s="1" a="1"/>
  <c r="U43" i="4" s="1"/>
  <c r="T42" i="4"/>
  <c r="U42" i="4" s="1" a="1"/>
  <c r="U42" i="4" s="1"/>
  <c r="T41" i="4"/>
  <c r="U41" i="4" s="1" a="1"/>
  <c r="U41" i="4" s="1"/>
  <c r="T40" i="4"/>
  <c r="U40" i="4" s="1" a="1"/>
  <c r="U40" i="4" s="1"/>
  <c r="T39" i="4"/>
  <c r="U39" i="4" s="1" a="1"/>
  <c r="U39" i="4" s="1"/>
  <c r="T38" i="4"/>
  <c r="U38" i="4" s="1" a="1"/>
  <c r="U38" i="4" s="1"/>
  <c r="T37" i="4"/>
  <c r="U37" i="4" s="1" a="1"/>
  <c r="U37" i="4" s="1"/>
  <c r="T36" i="4"/>
  <c r="U36" i="4" s="1" a="1"/>
  <c r="U36" i="4" s="1"/>
  <c r="T35" i="4"/>
  <c r="U35" i="4" s="1" a="1"/>
  <c r="U35" i="4" s="1"/>
  <c r="T34" i="4"/>
  <c r="U34" i="4" s="1" a="1"/>
  <c r="U34" i="4" s="1"/>
  <c r="T33" i="4"/>
  <c r="U33" i="4" s="1" a="1"/>
  <c r="U33" i="4" s="1"/>
  <c r="T32" i="4"/>
  <c r="U32" i="4" s="1" a="1"/>
  <c r="U32" i="4" s="1"/>
  <c r="T31" i="4"/>
  <c r="U31" i="4" s="1" a="1"/>
  <c r="U31" i="4" s="1"/>
  <c r="T30" i="4"/>
  <c r="U30" i="4" s="1" a="1"/>
  <c r="U30" i="4" s="1"/>
  <c r="T29" i="4"/>
  <c r="U29" i="4" s="1" a="1"/>
  <c r="U29" i="4" s="1"/>
  <c r="T28" i="4"/>
  <c r="U28" i="4" s="1" a="1"/>
  <c r="U28" i="4" s="1"/>
  <c r="T27" i="4"/>
  <c r="U27" i="4" s="1" a="1"/>
  <c r="U27" i="4" s="1"/>
  <c r="T26" i="4"/>
  <c r="U26" i="4" s="1" a="1"/>
  <c r="U26" i="4" s="1"/>
  <c r="T25" i="4"/>
  <c r="U25" i="4" s="1" a="1"/>
  <c r="U25" i="4" s="1"/>
  <c r="T24" i="4"/>
  <c r="U24" i="4" s="1" a="1"/>
  <c r="U24" i="4" s="1"/>
  <c r="T23" i="4"/>
  <c r="U23" i="4" s="1" a="1"/>
  <c r="U23" i="4" s="1"/>
  <c r="T22" i="4"/>
  <c r="U22" i="4" s="1" a="1"/>
  <c r="U22" i="4" s="1"/>
  <c r="T21" i="4"/>
  <c r="U21" i="4" s="1" a="1"/>
  <c r="U21" i="4" s="1"/>
  <c r="T20" i="4"/>
  <c r="U20" i="4" s="1" a="1"/>
  <c r="U20" i="4" s="1"/>
  <c r="T19" i="4"/>
  <c r="U19" i="4" s="1" a="1"/>
  <c r="U19" i="4" s="1"/>
  <c r="T18" i="4"/>
  <c r="U18" i="4" s="1" a="1"/>
  <c r="U18" i="4" s="1"/>
  <c r="T17" i="4"/>
  <c r="U17" i="4" s="1" a="1"/>
  <c r="U17" i="4" s="1"/>
  <c r="T16" i="4"/>
  <c r="U16" i="4" s="1" a="1"/>
  <c r="U16" i="4" s="1"/>
  <c r="T15" i="4"/>
  <c r="U15" i="4" s="1" a="1"/>
  <c r="U15" i="4" s="1"/>
  <c r="T14" i="4"/>
  <c r="U14" i="4" s="1" a="1"/>
  <c r="U14" i="4" s="1"/>
  <c r="T13" i="4"/>
  <c r="U13" i="4" s="1" a="1"/>
  <c r="U13" i="4" s="1"/>
  <c r="T12" i="4"/>
  <c r="U12" i="4" s="1" a="1"/>
  <c r="U12" i="4" s="1"/>
  <c r="T11" i="4"/>
  <c r="U11" i="4" s="1" a="1"/>
  <c r="U11" i="4" s="1"/>
  <c r="T10" i="4"/>
  <c r="U10" i="4" s="1" a="1"/>
  <c r="U10" i="4" s="1"/>
  <c r="T9" i="4"/>
  <c r="U9" i="4" s="1" a="1"/>
  <c r="U9" i="4" s="1"/>
  <c r="T8" i="4"/>
  <c r="U8" i="4" s="1" a="1"/>
  <c r="U8" i="4" s="1"/>
  <c r="T7" i="4"/>
  <c r="U7" i="4" s="1" a="1"/>
  <c r="U7" i="4" s="1"/>
  <c r="T3" i="4"/>
  <c r="U3" i="4" s="1" a="1"/>
  <c r="U3" i="4" s="1"/>
  <c r="T4" i="4"/>
  <c r="U4" i="4" s="1" a="1"/>
  <c r="U4" i="4" s="1"/>
  <c r="T5" i="4"/>
  <c r="U5" i="4" s="1" a="1"/>
  <c r="U5" i="4" s="1"/>
  <c r="T6" i="4"/>
  <c r="U6" i="4" s="1" a="1"/>
  <c r="U6" i="4" s="1"/>
  <c r="T2" i="4"/>
  <c r="U2" i="4" s="1" a="1"/>
  <c r="U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<sst xmlns="http://schemas.openxmlformats.org/spreadsheetml/2006/main" count="62040" uniqueCount="4584">
  <si>
    <t>ID</t>
  </si>
  <si>
    <t>_VisitNumber_</t>
  </si>
  <si>
    <t>Age</t>
  </si>
  <si>
    <t>Sex</t>
  </si>
  <si>
    <t>AddressState</t>
  </si>
  <si>
    <t>Community</t>
  </si>
  <si>
    <t>¿PPOO?</t>
  </si>
  <si>
    <t>PPOO_ID</t>
  </si>
  <si>
    <t>HR_1st</t>
  </si>
  <si>
    <t>HR_2nd</t>
  </si>
  <si>
    <t>SBP_1st</t>
  </si>
  <si>
    <t>DBP_1st</t>
  </si>
  <si>
    <t>BP_Category_1st</t>
  </si>
  <si>
    <t>SBP_2nd</t>
  </si>
  <si>
    <t>DBP_2nd</t>
  </si>
  <si>
    <t>BP_Category_2nd</t>
  </si>
  <si>
    <t>BP_Final</t>
  </si>
  <si>
    <t>Weight_kg</t>
  </si>
  <si>
    <t>Height_cm</t>
  </si>
  <si>
    <t>BMI</t>
  </si>
  <si>
    <t>Glucose_1st</t>
  </si>
  <si>
    <t>Glucose_2nd</t>
  </si>
  <si>
    <t>Glucose_gt200</t>
  </si>
  <si>
    <t>Creatinine_1st</t>
  </si>
  <si>
    <t>Creatinine_2nd</t>
  </si>
  <si>
    <t>eGFR_1st</t>
  </si>
  <si>
    <t>eGFR_2nd</t>
  </si>
  <si>
    <t>CKD_Stage_1st</t>
  </si>
  <si>
    <t>CKD_Stage_2nd</t>
  </si>
  <si>
    <t>CKD_Final_Classification</t>
  </si>
  <si>
    <t>Kidney_Diabetes</t>
  </si>
  <si>
    <t>LE HAN DICHO QUE TIENE DM?</t>
  </si>
  <si>
    <t>LE HAN DICHO QUE TIENE HTA</t>
  </si>
  <si>
    <t>HISTORIA PERSONAL LITIASIS</t>
  </si>
  <si>
    <t>ITU RECURRENTE</t>
  </si>
  <si>
    <t>OTRA CONDICIÓN PERSONAL</t>
  </si>
  <si>
    <t>CUÁL OTRA CONDICION PERSONAL</t>
  </si>
  <si>
    <t>TTO_ERC</t>
  </si>
  <si>
    <t>ANTEC. FLIAR ERC</t>
  </si>
  <si>
    <t>OTROS ANTEC FLIRES</t>
  </si>
  <si>
    <t>HTA_Treatment</t>
  </si>
  <si>
    <t>MMG Actual</t>
  </si>
  <si>
    <t>Resultado MMG</t>
  </si>
  <si>
    <t>Consumo AINEs</t>
  </si>
  <si>
    <t>Pap_CancerDeath</t>
  </si>
  <si>
    <t>PAP Actual</t>
  </si>
  <si>
    <t>Fecha PAP</t>
  </si>
  <si>
    <t>Dg 1 (HTA)</t>
  </si>
  <si>
    <t>Dg 2 (DM)</t>
  </si>
  <si>
    <t>DIAGNOSTICO 3 SP u O</t>
  </si>
  <si>
    <t>DIAGNOSTICO 4 ERC</t>
  </si>
  <si>
    <t xml:space="preserve"> OTROS Dg</t>
  </si>
  <si>
    <t>Evaluation</t>
  </si>
  <si>
    <t>ACCIÓN 1 pesquisa HTA</t>
  </si>
  <si>
    <t>Pesquisa DM2</t>
  </si>
  <si>
    <t>Exam</t>
  </si>
  <si>
    <t>ACCIÓN 2 EXAMENES</t>
  </si>
  <si>
    <t>ACCION 3 IMÁGENES</t>
  </si>
  <si>
    <t xml:space="preserve">ACCION 4 DERIVACIONES </t>
  </si>
  <si>
    <t>ACCIOS 5 OTROS</t>
  </si>
  <si>
    <t>TABACO</t>
  </si>
  <si>
    <t>OH</t>
  </si>
  <si>
    <t>SIFILIS_test</t>
  </si>
  <si>
    <t>HIV_test</t>
  </si>
  <si>
    <t>TB_criteria</t>
  </si>
  <si>
    <t>TB_test</t>
  </si>
  <si>
    <t>Blood</t>
  </si>
  <si>
    <t>Glucosuria</t>
  </si>
  <si>
    <t>Proteinuria</t>
  </si>
  <si>
    <t>Date</t>
  </si>
  <si>
    <t>CKD_KDIGO_G</t>
  </si>
  <si>
    <t>Cunco</t>
  </si>
  <si>
    <t>Stage 2 HTN</t>
  </si>
  <si>
    <t>Más de 60</t>
  </si>
  <si>
    <t>Cuando sea necesario</t>
  </si>
  <si>
    <t>Pesquisa HTA (control seriado)</t>
  </si>
  <si>
    <t>Prequisa de Hipertensión</t>
  </si>
  <si>
    <t xml:space="preserve">Orina, RAC, PTGO, Glucosa, creatinina, BUN, hemograma </t>
  </si>
  <si>
    <t>morbilidad y revisión de exámenes</t>
  </si>
  <si>
    <t>Neg</t>
  </si>
  <si>
    <t>Normal</t>
  </si>
  <si>
    <t>Cesfam asc</t>
  </si>
  <si>
    <t>Stage 1 HTN</t>
  </si>
  <si>
    <t>left blank</t>
  </si>
  <si>
    <t>Diabetes Mellitus 2</t>
  </si>
  <si>
    <t>Glicemia ayunas alterada</t>
  </si>
  <si>
    <t>Prequisa de Diabetes Mellitus</t>
  </si>
  <si>
    <t>Norm</t>
  </si>
  <si>
    <t>Mapuche</t>
  </si>
  <si>
    <t>Hipertension y diabetes</t>
  </si>
  <si>
    <t>2024</t>
  </si>
  <si>
    <t>Malnutrición por exceso</t>
  </si>
  <si>
    <t>Riesgo dm2 , Glicemia 100 rac 30</t>
  </si>
  <si>
    <t>glicemia en ayunas y RAC</t>
  </si>
  <si>
    <t>morbilidad</t>
  </si>
  <si>
    <t>30</t>
  </si>
  <si>
    <t>Hypertensive Crisis</t>
  </si>
  <si>
    <t>Hipertension y diabetes y ERC</t>
  </si>
  <si>
    <t>10-2024</t>
  </si>
  <si>
    <t>PA elevada: 181/100 luego 176/95. Se hizo perfil de PA antes y valores salieron alterados (diagnostico).
IMC 38,7 
Malos habitos alimenticios, cena a las 1 am aprox</t>
  </si>
  <si>
    <t>Perfil lipidico, Perfil hepatico</t>
  </si>
  <si>
    <t>ingreso PSCV</t>
  </si>
  <si>
    <t xml:space="preserve">Tratamiento HTA. Mejorar nutricion </t>
  </si>
  <si>
    <t>HIPOACUSIA BILATERAL</t>
  </si>
  <si>
    <t>2023</t>
  </si>
  <si>
    <t>Enfermedad Renal Crónica</t>
  </si>
  <si>
    <t>Proteina orina 500
Diabetica de larga data en control con insulina basal, rapida, enalapril</t>
  </si>
  <si>
    <t>Solicito Creatinina, glucosa, Electrolitos, Perfil lipidico, Hb1AC</t>
  </si>
  <si>
    <t>diabetología y nefrología (hospital digital)</t>
  </si>
  <si>
    <t>500</t>
  </si>
  <si>
    <t>Artrosis</t>
  </si>
  <si>
    <t xml:space="preserve">Diabtes hypertension
</t>
  </si>
  <si>
    <t>1-4 al día</t>
  </si>
  <si>
    <t>Riesgo TBC</t>
  </si>
  <si>
    <t xml:space="preserve">Toma prednisona y metotrexato por artritis.
Tos hace mas 2 semanas
PA 149/95 
</t>
  </si>
  <si>
    <t>Radiografia de torax</t>
  </si>
  <si>
    <t>Hipotiroidismo</t>
  </si>
  <si>
    <t>Cardiopatias</t>
  </si>
  <si>
    <t>Elevated</t>
  </si>
  <si>
    <t>LEUCEMIA ,INSUFICIENCIA AORTICA</t>
  </si>
  <si>
    <t>HTA</t>
  </si>
  <si>
    <t>50</t>
  </si>
  <si>
    <t>Cesfam los laureles</t>
  </si>
  <si>
    <t>Ulceras gastricas</t>
  </si>
  <si>
    <t>Insuficiencia renal cronica, poliglobulia, hidronefrosis bilateral, hipertension</t>
  </si>
  <si>
    <t>Alterada</t>
  </si>
  <si>
    <t>Nunca</t>
  </si>
  <si>
    <t>Agosto 2024</t>
  </si>
  <si>
    <t>Malnutrición por Exceso</t>
  </si>
  <si>
    <t>Cifras tensionales elevadas</t>
  </si>
  <si>
    <t>1994</t>
  </si>
  <si>
    <t>DIABETES MELLITUS</t>
  </si>
  <si>
    <t>Creatinina 1,2 y pa elevada en ambas tomas</t>
  </si>
  <si>
    <t>creatinina y RAC</t>
  </si>
  <si>
    <t>ecografía renal</t>
  </si>
  <si>
    <t>morbilidad y nefrología (hospital digital)</t>
  </si>
  <si>
    <t xml:space="preserve">Diabetes, hipertension </t>
  </si>
  <si>
    <t>2022</t>
  </si>
  <si>
    <t xml:space="preserve">Dg previo de HTA en tratamiento. Ahora con PA fuera de rango optimo, pero refiere haber hecho ejercicio recientemente.                                            IMC alto </t>
  </si>
  <si>
    <t>perfil de presión arterial</t>
  </si>
  <si>
    <t>control PSCV</t>
  </si>
  <si>
    <t>tratamiento HTA</t>
  </si>
  <si>
    <t>DOLOR DE CADERA DERECHA</t>
  </si>
  <si>
    <t>DM</t>
  </si>
  <si>
    <t>Se detecta PA alta ahora. Sin antecedentes familiares de ACV. IMC 33,6</t>
  </si>
  <si>
    <t>Perfil lipidico, perfil hepatico</t>
  </si>
  <si>
    <t xml:space="preserve">PA elevada ahora. Se indica pesquisa de PA para dg e iniciar tto.                        IMC alto </t>
  </si>
  <si>
    <t>Perfil lipidico, perfil hepatico, Hb1Ac</t>
  </si>
  <si>
    <t>Hta</t>
  </si>
  <si>
    <t>Antecedente familiar de cancer gastrico.                                                                PA elevada ahora (refiere estar muy estresada por situacion familiar)</t>
  </si>
  <si>
    <t>Freire</t>
  </si>
  <si>
    <t>08/2024</t>
  </si>
  <si>
    <t>Julio 2025</t>
  </si>
  <si>
    <t>Tabaquismo</t>
  </si>
  <si>
    <t xml:space="preserve">Fuma 1 cajetilla diaria, desde los 26 años.                                                      Intentos previos de supender TBQ, fallidos.                                              IMC 30,4.                                                           </t>
  </si>
  <si>
    <t>cese del hábito tabáquico</t>
  </si>
  <si>
    <t xml:space="preserve">Iam </t>
  </si>
  <si>
    <t>PA alta en control. Refiere haber hecho ejercicio recien.                                  Dice que controles de PA previos fueron normales.</t>
  </si>
  <si>
    <t>3A</t>
  </si>
  <si>
    <t>Hipertension</t>
  </si>
  <si>
    <t>HTA previa en tto con losartan, carvedilol y otros que no recuerda. Hoy no se los toma. Control PA ahora elevado.                                                             Crea elevada (1.1)</t>
  </si>
  <si>
    <t>Perfil renal, perfil lipidico, Orina completa</t>
  </si>
  <si>
    <t>Ingreso PSCV</t>
  </si>
  <si>
    <t>Cefam asc</t>
  </si>
  <si>
    <t>HTA previa en tto, pero hoy no se tomo medicamentos. PA salio primer control alto, luego normal.                                                                                   
Tiene obesidad, se dan indicaciones cambio estilo vida.                                  Glicemia y funcion renal ok.</t>
  </si>
  <si>
    <t xml:space="preserve">PA alta, resto normal. Refiere haberse chequeado PA antes, pero no le diagnosticaron. </t>
  </si>
  <si>
    <t>Arritmias cardiacas</t>
  </si>
  <si>
    <t>Cesfam Villa Alegre</t>
  </si>
  <si>
    <t>Temuco</t>
  </si>
  <si>
    <t>Diabetes</t>
  </si>
  <si>
    <t>Beber problema</t>
  </si>
  <si>
    <t>Glicemia post prandial mayor a 140, pa elevada</t>
  </si>
  <si>
    <t>DM HTA</t>
  </si>
  <si>
    <t>Presion arterial elevada</t>
  </si>
  <si>
    <t>actividad física</t>
  </si>
  <si>
    <t>Peso, PA, glicemia y funcion renal en rango. Se sugiere mas actividad fisica.</t>
  </si>
  <si>
    <t>Epilepsia, dislipidemias, hipotiroidismo</t>
  </si>
  <si>
    <t>Diabetes e hipertension</t>
  </si>
  <si>
    <t>Unas pocas al mes</t>
  </si>
  <si>
    <t xml:space="preserve">PA inicialmente elevada pero al recontrol disminuye, glicemia y renal normal.                        </t>
  </si>
  <si>
    <t>Hospital Cunco</t>
  </si>
  <si>
    <t>Tiroides (no recuerda cual) y dlp</t>
  </si>
  <si>
    <t>Cifras tensionales elevadas, Ya esta en control por dislipidemia, debencontrolarse  presion arterial</t>
  </si>
  <si>
    <t>HIPOTIROIDISMO EN TRATAMIENTO</t>
  </si>
  <si>
    <t xml:space="preserve">HTA , ASMA </t>
  </si>
  <si>
    <t>07/2024</t>
  </si>
  <si>
    <t xml:space="preserve">Peso bien. PA primera toma alta pero segunda normal. Glicemia y renal normal. </t>
  </si>
  <si>
    <t>Diciembre 2024</t>
  </si>
  <si>
    <t xml:space="preserve">Litiasis renal </t>
  </si>
  <si>
    <t xml:space="preserve">Buen peso, PA, glicemia y riñon.                                                                      Tiene historia de litiasis renal a repeticion. Se refuerzan medidas de prevencion para formacion de litiasis renal. </t>
  </si>
  <si>
    <t>PTH, TSH</t>
  </si>
  <si>
    <t>urología</t>
  </si>
  <si>
    <t>prevención litiasis</t>
  </si>
  <si>
    <t>Asma, depresion leve</t>
  </si>
  <si>
    <t xml:space="preserve">Diabetes hipertension </t>
  </si>
  <si>
    <t xml:space="preserve">DM HIJO </t>
  </si>
  <si>
    <t>ERC</t>
  </si>
  <si>
    <t>Sospecha de hyperplasia prostatica</t>
  </si>
  <si>
    <t>Trae creatinina ambulatoria de 1,44 con potasio de 6.0 de julio y agosto. Tiene indicado enalapril 20 mg cada 12 horas, entre otros antihta y en domicilio tiene duastolicas hasta 42</t>
  </si>
  <si>
    <t>creatinina, urea, ELP, RAC, OC</t>
  </si>
  <si>
    <t>ecografía renal y vesicoprostática</t>
  </si>
  <si>
    <t>bajar enalapril a 10 mg cada 12 horas</t>
  </si>
  <si>
    <t>Escoliosis con discopatia lumbar</t>
  </si>
  <si>
    <t>Diabetes, hta</t>
  </si>
  <si>
    <t>Refiere tener escoliosis, no controlada con medico. Ocasionalmente se automedica AINES por ese motivo.                                                                  HTA en tratamiento con losartan, pero no cumple bien tto (toma mitad dosis). Se explica que dosifique al doble el losartan.</t>
  </si>
  <si>
    <t>morbilidad, kinesioterapia</t>
  </si>
  <si>
    <t>aumentar dosis de losartán al doble</t>
  </si>
  <si>
    <t xml:space="preserve">Cancer de rinon </t>
  </si>
  <si>
    <t>Hipertenso en tto con olmesartan y amlodipino, recomendado por cardiologo. PA hoy elevada.                                                                              IMC 30,4. Se recomienda bajar de peso, dejar sal, hacer ejercicio.</t>
  </si>
  <si>
    <t>cardiología</t>
  </si>
  <si>
    <t>actividad física, bajar de peso, bajar la sal</t>
  </si>
  <si>
    <t>Iam 2023, hernia lumbar</t>
  </si>
  <si>
    <t>Paciente diabetico en tto. Ayer no se administro insulina NPH porque estaba con episodios de vomitos y malestar. Glicemia hoy en 457.                                             PA normal, Creatinina alterada (dice estar deshidratado ahora).</t>
  </si>
  <si>
    <t>Funcion renal, examen de orina, ELP</t>
  </si>
  <si>
    <t>Cecosf las villas</t>
  </si>
  <si>
    <t>Dolor persistente de estomago, artrosis</t>
  </si>
  <si>
    <t>Diabetes, hta, dlp</t>
  </si>
  <si>
    <t xml:space="preserve">HTA en tto con losartan, pero solo toma 1 comprimido diario. Se explica que debe doblar la dosis (1 am y 1 pm). Glucosa, orina y rinon normales. 
Se sugiere bajar de peso por IMC 37. </t>
  </si>
  <si>
    <t>3B</t>
  </si>
  <si>
    <t xml:space="preserve">INCONTINENCIA URINARIA </t>
  </si>
  <si>
    <t xml:space="preserve"> crisis hypertensive</t>
  </si>
  <si>
    <t>Crisis hipertensiva, esta sin medicamentos desde hoy se le acabaron.  Creatinina 1,6 pero tiene un rac 1500 previamente</t>
  </si>
  <si>
    <t>Control PSCV, nefrología  (hospital digital), urgencia por crisis HTA</t>
  </si>
  <si>
    <t>Paciente con hipotiroidismo en tto con levotiroxina. 
IMC 39,4. Se refuerza cambio estilo vida y bajar de peso
HTA en tto con enalapril (solo 1 comprimido am). Se refuerza doblar dosis (agregar otro comprimido pm)</t>
  </si>
  <si>
    <t>TSH, T4l</t>
  </si>
  <si>
    <t>morbilidad, control PSCV</t>
  </si>
  <si>
    <t>bajar de peso, aumentar dosis de enalapril al doble.</t>
  </si>
  <si>
    <t xml:space="preserve">Cecosf las villas </t>
  </si>
  <si>
    <t xml:space="preserve">Prolapso vaginal, hernia lumbar </t>
  </si>
  <si>
    <t>Erc en hemodialisis, diabetes</t>
  </si>
  <si>
    <t>Hace 1 mes con dg de HTA. En tto con losartan c12 hrs y amlodipino. Refiere ocasionalmente sentirse mareada si no toma remedios (hoy no se lo tomo).
DM2 en tto con metformina.
Orina y funcion renal normales.</t>
  </si>
  <si>
    <t xml:space="preserve">PA elevada, obesidad (IMC 37,1). Resto normal.                                                    </t>
  </si>
  <si>
    <t>Hospital cunco</t>
  </si>
  <si>
    <t>Infarto (sept 2023)</t>
  </si>
  <si>
    <t>Infarto, hta, diabetes</t>
  </si>
  <si>
    <t>Antecedente de IAM. En tto con atorvastatina, aspirina y otros que no recuerda. Se controla con cardiologia. 
Sobrepeso, PA hoy normal, glicemia/orina/fx renal normal.
Refiere tener sequedad en pene (balanitis). Uno de sus medicamentos lo hace orinar mucho. Se indica clotrimazol.</t>
  </si>
  <si>
    <t>tratamiento de balanitis</t>
  </si>
  <si>
    <t xml:space="preserve">Hospital de Cunco </t>
  </si>
  <si>
    <t xml:space="preserve">Gastritis </t>
  </si>
  <si>
    <t xml:space="preserve">Diabetes </t>
  </si>
  <si>
    <t xml:space="preserve">Paciente hipertensa en tto con enalapril (adherencia irregular) y prediabetica. 
PA e IMC elevados. Glicemia, orina y riñon normales. </t>
  </si>
  <si>
    <t>Obesidad (IMC 41)
PA elevada. Padre hipertenso
Glicemia post prandial elevada. Se solicitan examenes obs pre diabetes. 
Se sugiere control con nutricion pero no quiere.</t>
  </si>
  <si>
    <t>glicemia, Hb1Ac, perfil hepatico, perfil lipidico, funcion renal</t>
  </si>
  <si>
    <t xml:space="preserve">IAM PAPA , TIO </t>
  </si>
  <si>
    <t xml:space="preserve">HTA en tratamiento con losartan y amlodipino. PA hoy fuera de rango. Refiere tomar solo 1 comprimido al dia, por lo que se explica que la doble. </t>
  </si>
  <si>
    <t xml:space="preserve">LUPUS </t>
  </si>
  <si>
    <t xml:space="preserve">HTA ABUELA </t>
  </si>
  <si>
    <t>2025</t>
  </si>
  <si>
    <t>IMC 31,4. Refiere hacer pesas y cardio. Se aconseja dejar masas y sal. En control con nutricionista.
PA alta 
Resto normal.</t>
  </si>
  <si>
    <t>bajar la sal y carbohidratos</t>
  </si>
  <si>
    <t>Cancer a los riñones, hta, diabetes, dlp, artrosis</t>
  </si>
  <si>
    <t>Debe hacerse pesquisa de hta</t>
  </si>
  <si>
    <t>Prequisa de Hipertensión
Nutritionists</t>
  </si>
  <si>
    <t>2020</t>
  </si>
  <si>
    <t xml:space="preserve">IMC 29. Se sugiere realizar actividad fisica y mejorar alimentacion.
PA, glicemia, orina y renal normales. </t>
  </si>
  <si>
    <t xml:space="preserve">DISLIPIDEMIA GLICEMIA </t>
  </si>
  <si>
    <t>PA elevada
Obesidad IMC 40. Se sugiere cambios estilo vida y alimentacion.
Glicemia, orina y riñon normal</t>
  </si>
  <si>
    <t xml:space="preserve">Hipotiroidismo </t>
  </si>
  <si>
    <t xml:space="preserve">Diabetica en tto con metformina, hipotiroidismo en tto con levotiroxina
PA, glicemia y orina normales
Creatinina alta (1.87) </t>
  </si>
  <si>
    <t>Funcion renal, examen orina, albuminuria, ELP, Hb1Ac, perfil lipidico</t>
  </si>
  <si>
    <t xml:space="preserve">MAMA DM </t>
  </si>
  <si>
    <t>Obesidad IMC 38,2
PA alta. Sin familiares hipertensos.
Resto normal</t>
  </si>
  <si>
    <t xml:space="preserve">Trombosis </t>
  </si>
  <si>
    <t>Paciente hipertenso severo en abandono de tratamiento (no retiro mas despues de los pri,eros 3 meses)</t>
  </si>
  <si>
    <t>control PSCV, morbilidad</t>
  </si>
  <si>
    <t>aumentar dosis de losartán al doble, aumentar dosis de amlodipino a 10 mg</t>
  </si>
  <si>
    <t>psr las hortensias</t>
  </si>
  <si>
    <t xml:space="preserve">ARRITMIA PAPA, IAM HERMANA </t>
  </si>
  <si>
    <t>PA elevada. 
Glicemia ok
Proteinas en orina en limite (30)</t>
  </si>
  <si>
    <t>Perfil PA, funcion renal, perfil lipidico, RAC, ELP, orina completa</t>
  </si>
  <si>
    <t>Hta, dm</t>
  </si>
  <si>
    <t xml:space="preserve">Posta Las Hortensias </t>
  </si>
  <si>
    <t>PA muy alta, refiere que antes no le habian dicho.
Glicemia, orina y fx renal normales.
IMC alterado 34,1</t>
  </si>
  <si>
    <t>perfil lipidico, glicemia, funcion renal, ELP</t>
  </si>
  <si>
    <t>PA elevada
IMC alterado, 30.5
Fuma 5 cigarros diarios, OH ocasional</t>
  </si>
  <si>
    <t>OSTEOPOROSIS , LESION COLUMNA EN TRATAMIENTO PADRE LAS CASAS FISIOTERAPIA</t>
  </si>
  <si>
    <t>HTA PADRE</t>
  </si>
  <si>
    <t xml:space="preserve">Dolor cronico intratable Osteoporosis Facetaria </t>
  </si>
  <si>
    <t>Glicemia ayuno : 112 Crea: 0,82</t>
  </si>
  <si>
    <t>Psr leufuche</t>
  </si>
  <si>
    <t>PA alta, resto normal</t>
  </si>
  <si>
    <t>Diabetico o prediabetico (no sabe) en tto con metformina, glicemia ahora normal. Funcion renal normal.
PA elevada
Se sugiere que baje de peso y disminuya consuma de sal.</t>
  </si>
  <si>
    <t>HTA Y DM PADRE</t>
  </si>
  <si>
    <t>Peso elevado, IMC 34.1. No esta en control con nutricionista
PA elevada. Se sugiere disminuir consumo sal.</t>
  </si>
  <si>
    <t>Acudir a consultorio para pesquisa HTA</t>
  </si>
  <si>
    <t>bajar la sal</t>
  </si>
  <si>
    <t>HIGADO GRASO, COLELITIASIS</t>
  </si>
  <si>
    <t xml:space="preserve">HTA ABUELA  PATERNA </t>
  </si>
  <si>
    <t>12/2024</t>
  </si>
  <si>
    <t>Tendinitis brazo derecho</t>
  </si>
  <si>
    <t xml:space="preserve">Tendinitis </t>
  </si>
  <si>
    <t>Crea: 1,24</t>
  </si>
  <si>
    <t xml:space="preserve">DISLIPIDEMIA , HIPOTIROIDISMO, VARICES NO OPERADAS , ARTROSIS DE CADERA </t>
  </si>
  <si>
    <t>En tto con metformina 1 vez al dia, pero ahora glicemia alterada en 267. Se sugiere doblar dosis.
PA alterada, se sugiere doblar dosis de losartan.
Refiere estar en el programa SCV, pero esta sin stock de medicamentos.
Se sugiere bajar de peso, IMC 37.7</t>
  </si>
  <si>
    <t>aumetar dosis de metformina al doble</t>
  </si>
  <si>
    <t>Villarrica</t>
  </si>
  <si>
    <t>Dm</t>
  </si>
  <si>
    <t>Hipertension,Glice,ia 264 en paciente don diabetes conocida</t>
  </si>
  <si>
    <t xml:space="preserve">Prequisa de Hipertensión
</t>
  </si>
  <si>
    <t>control PSCV, nutricionista</t>
  </si>
  <si>
    <t xml:space="preserve">Posta Quechurehue </t>
  </si>
  <si>
    <t xml:space="preserve">Dislipidemia </t>
  </si>
  <si>
    <t>MAMA DIABETES HTA HIPOTIROIDISMO 
HERMANA HTA?</t>
  </si>
  <si>
    <t>4</t>
  </si>
  <si>
    <t xml:space="preserve">Operado de la prostata, artrosis, </t>
  </si>
  <si>
    <t>Mama y Papa HTA</t>
  </si>
  <si>
    <t xml:space="preserve">No </t>
  </si>
  <si>
    <t>DM mama</t>
  </si>
  <si>
    <t>Cardiaca</t>
  </si>
  <si>
    <t>AM: HTA hace 4 meses(sin tratamiento) 
FQ: sin tratamiento, las boto</t>
  </si>
  <si>
    <t>Los laureles</t>
  </si>
  <si>
    <t>Padre marcapasos</t>
  </si>
  <si>
    <t>PA elevada, segunda toma 158/102. No es primera vez que sale alta una toma aislada, pero se estudio y salio normal.  Acudir a consultorio para pesquisa PA. Posible delantal blanco. No se tomo muestra de orina.</t>
  </si>
  <si>
    <t xml:space="preserve">AM: HTA sin tratamiento. Suspendio tratamietno. ERC.Seguimiento ERC. HTA sin tratamiento, 
FQ: losartan. </t>
  </si>
  <si>
    <t>Prequisa de Hipertensión
Prequisa de Diabetes Mellitus
Ingreso PSCV</t>
  </si>
  <si>
    <t xml:space="preserve">Creatinina, glucosa </t>
  </si>
  <si>
    <t>seguir ERC</t>
  </si>
  <si>
    <t xml:space="preserve">Crea alterada en 1.56. Refiere no chequearse hace mucho, pero no sabe de tener </t>
  </si>
  <si>
    <t xml:space="preserve">PA e IMC altos.
</t>
  </si>
  <si>
    <t>Secof Las Villas</t>
  </si>
  <si>
    <t>DM MAMA</t>
  </si>
  <si>
    <t>PA elevada.  Crea elevada Control PA en domicilio. Acudir a consultorio con resultado de examenes y con perfil PA</t>
  </si>
  <si>
    <t xml:space="preserve">Funcion renal, crea, ELP, </t>
  </si>
  <si>
    <t xml:space="preserve">Hiperplasia prostatica benigna </t>
  </si>
  <si>
    <t>DM hermano</t>
  </si>
  <si>
    <t>Beber Problema Tabaquismo</t>
  </si>
  <si>
    <t xml:space="preserve">HTA fuera de rango.  FQ: Losartan x 2, hidroclorotiazdida, amlodipino,  ATV.  HTA fuera de rango con dano organo blanco. Control con examenes. 
</t>
  </si>
  <si>
    <t xml:space="preserve">Prequisa de Hipertensión  </t>
  </si>
  <si>
    <t>Crea, HTA.ERC</t>
  </si>
  <si>
    <t xml:space="preserve">
</t>
  </si>
  <si>
    <t>control  PSCV</t>
  </si>
  <si>
    <t xml:space="preserve">Artrosis rodilla </t>
  </si>
  <si>
    <t>Papa marcapasos</t>
  </si>
  <si>
    <t xml:space="preserve">Fundo caracas </t>
  </si>
  <si>
    <t>Hipertiroidismo</t>
  </si>
  <si>
    <t>HIGADO EVALUADO CON MACHI</t>
  </si>
  <si>
    <t xml:space="preserve">Crea alterada. Repetir con laboratorio.
PA, glicemia, orina y funcion renal normal.
Bajar un poco peso. </t>
  </si>
  <si>
    <t>Funcion renal, orina, perfil lipidico, glucosa, RAC, antigeno prostatico.</t>
  </si>
  <si>
    <t>Esteatosis hepatica</t>
  </si>
  <si>
    <t xml:space="preserve">Cardiopatia, hipertension </t>
  </si>
  <si>
    <t xml:space="preserve">Sin antecedentes. 
Esteatosis hepatica. 
</t>
  </si>
  <si>
    <t>nutricionista</t>
  </si>
  <si>
    <t xml:space="preserve">Usar Metformina. 
Seguimiento nutricional, baja de peso. 
Baja de OH. </t>
  </si>
  <si>
    <t>DM2 papa</t>
  </si>
  <si>
    <t xml:space="preserve">Diverticulitis, hipotroidismo </t>
  </si>
  <si>
    <t xml:space="preserve">HTA, ca pancreas </t>
  </si>
  <si>
    <t xml:space="preserve">HTA en tratamiento. </t>
  </si>
  <si>
    <t>Creatinina</t>
  </si>
  <si>
    <t>MAMA IAM OBESIDAD MORBIDA</t>
  </si>
  <si>
    <t xml:space="preserve">En control con medico por obesidad IMC 41, probable etiologia endocrina en estudio.
PA elevada, sin tto.
</t>
  </si>
  <si>
    <t>Funcion renal,ELP, RAC, Crea, perfil lipidico</t>
  </si>
  <si>
    <t>CESFAM Los Laureles</t>
  </si>
  <si>
    <t>PA elevada, sin tto. Crea elevada. Sin examenes previos este año</t>
  </si>
  <si>
    <t>Funcion renal, lipidico, elp, orina, antigeno prostatico</t>
  </si>
  <si>
    <t>HTA papa</t>
  </si>
  <si>
    <t xml:space="preserve">Control con examens </t>
  </si>
  <si>
    <t>ARTROSIS</t>
  </si>
  <si>
    <t xml:space="preserve">ABUELA DIABETES </t>
  </si>
  <si>
    <t xml:space="preserve">Losartan x2, metformina x2, hidroclotiazina x1, amlodipino. </t>
  </si>
  <si>
    <t>Control de HTA, fuera de rango. 
Control DM HbA1C</t>
  </si>
  <si>
    <t xml:space="preserve">DM madre </t>
  </si>
  <si>
    <t>Consume ibuprofeno por dolor. Se explica que lo debe suspender y se repita examenes por Crea elevada.</t>
  </si>
  <si>
    <t>Se hizo examenes hace 1 mes pero nunca obtuvo resultados. Solicito funcion renal, orina, RAC, ELP</t>
  </si>
  <si>
    <t>Control consultorio con resultado examenes</t>
  </si>
  <si>
    <t xml:space="preserve">Fuma 4 cigarros al dia desde hace poco. Tambien subio de peso.  PA ahora esta elevada. </t>
  </si>
  <si>
    <t>Renal, lipidico, orina, ELP, RAC</t>
  </si>
  <si>
    <t>Control PA en casa. Si esta alterada acudir a medico.</t>
  </si>
  <si>
    <t xml:space="preserve">HTA en tto con losartan y amlodipino cada 24 hrs. Se explica que doble dosis losartan, y amlodipino lo tome am. </t>
  </si>
  <si>
    <t>Control PA en casa</t>
  </si>
  <si>
    <t>Control de ERC</t>
  </si>
  <si>
    <t xml:space="preserve">Crea elevada </t>
  </si>
  <si>
    <t xml:space="preserve">Suspension ibuprofeno y control con examenes lo antes posible </t>
  </si>
  <si>
    <t>Artritis reumatoide</t>
  </si>
  <si>
    <t>Problemas cardiacos</t>
  </si>
  <si>
    <t xml:space="preserve">Crea alta </t>
  </si>
  <si>
    <t>Funcion renal, orina completa, rac, elp, antigeno prostatico</t>
  </si>
  <si>
    <t>Ir a medico con resultado de examenes</t>
  </si>
  <si>
    <t xml:space="preserve">MAMA HTA </t>
  </si>
  <si>
    <t>ASMA SIN TRATAMIENTO DE ALTA</t>
  </si>
  <si>
    <t xml:space="preserve">ABUELA DM </t>
  </si>
  <si>
    <t>Pitrufquén</t>
  </si>
  <si>
    <t>HTA fuera de rango. Obs delantal blanco, control al proximo control</t>
  </si>
  <si>
    <t>Control DM, busqueda de infertildiad</t>
  </si>
  <si>
    <t>Fundo Caracas</t>
  </si>
  <si>
    <t>Fumador ocasional, 2/3 cigarros
IMC alto, sugerimos cambio estilo vida y comer sano.
Semana pasada consumio ibuprofeno de 600 por lumbago, ya suspendido.</t>
  </si>
  <si>
    <t>Fx renal OC RAC, ELP</t>
  </si>
  <si>
    <t>Control con medico con resultados lab</t>
  </si>
  <si>
    <t>ABUELAS DM EN TRATAMIENTIO</t>
  </si>
  <si>
    <t xml:space="preserve">Calculos biliares </t>
  </si>
  <si>
    <t xml:space="preserve">Control con examenes de laboratorio 
Derivar a hospital de referencia para colecistectomia electiva. Riesgo de complicacion </t>
  </si>
  <si>
    <t xml:space="preserve">HTA PAPA </t>
  </si>
  <si>
    <t>Crea alta
Bajar de peso</t>
  </si>
  <si>
    <t>Fx renal, OC, ELP, RAC</t>
  </si>
  <si>
    <t>Control PA en casa. Si persiste alta consultar a medico. 
IMC alto, se sugiere cambios estilo vida.</t>
  </si>
  <si>
    <t xml:space="preserve">ABUELO </t>
  </si>
  <si>
    <t>Soplo al corazon</t>
  </si>
  <si>
    <t xml:space="preserve">Presion en rango de HTA. 
Obesidad rango 1 </t>
  </si>
  <si>
    <t xml:space="preserve">Sana previamente. </t>
  </si>
  <si>
    <t xml:space="preserve">Monitoreo PA en domocilio. Y control de sale fuera de rango </t>
  </si>
  <si>
    <t>DM2</t>
  </si>
  <si>
    <t>HTA en tto con losartan 1 diario. Se recomienda aumentar dosis 2 veces al dia.
IMC alto, se recomienda bajar de peso, comer sano, y hacer ejecicio.</t>
  </si>
  <si>
    <t xml:space="preserve">Optimizar tto con losartan. Seguimiento de PA en domicilio. </t>
  </si>
  <si>
    <t xml:space="preserve">Fuma 15 cigarrillo diarios 
Consume antiinflamatorios por lumbago. </t>
  </si>
  <si>
    <t>Lab control basico</t>
  </si>
  <si>
    <t>Control con medico con resultado de examenes</t>
  </si>
  <si>
    <t xml:space="preserve">ALERGIA PIROXICAM </t>
  </si>
  <si>
    <t>HTA PAPA</t>
  </si>
  <si>
    <t>HTA en tto con losaratan 1 vez al dia. 
Crea alterada. Dice que tiene examenes de lab en la ACHS pronto.</t>
  </si>
  <si>
    <t>Creatinina, OC, ELP, RAC</t>
  </si>
  <si>
    <t xml:space="preserve">Optimizar tto con losartan 2 veces al dia, y control de PA. </t>
  </si>
  <si>
    <t>Epigastralgia cronica
Fue estudiado con EDA
TAC AP</t>
  </si>
  <si>
    <t>Consulta de Morbilidad</t>
  </si>
  <si>
    <t xml:space="preserve">Sano </t>
  </si>
  <si>
    <t xml:space="preserve">Control con examenes  tomados en consultorio. 
Sin conflicto actual. </t>
  </si>
  <si>
    <t xml:space="preserve">HTA DM MAMA </t>
  </si>
  <si>
    <t xml:space="preserve">Sobrepeso. </t>
  </si>
  <si>
    <t xml:space="preserve">Control con examenes 
</t>
  </si>
  <si>
    <t>IMC alto, se sugiere bajar de peso con ejercicio y alimentacion saludable
Se sugiere hacer examenes cada 6 meses</t>
  </si>
  <si>
    <t>Funcion renal, ELP, OC, RAC, TSH, T4l, hemograma</t>
  </si>
  <si>
    <t>Control en consultorio con resultados lab.</t>
  </si>
  <si>
    <t xml:space="preserve">Control con nutricionista </t>
  </si>
  <si>
    <t xml:space="preserve">Obesidad </t>
  </si>
  <si>
    <t xml:space="preserve">Control con peso y nutricionista. </t>
  </si>
  <si>
    <t>Arritmias</t>
  </si>
  <si>
    <t xml:space="preserve">Eutirox </t>
  </si>
  <si>
    <t>Prequisa de Hipertensión
Ingreso PSCV</t>
  </si>
  <si>
    <t xml:space="preserve">Control con examenes de laboratorio 
monitoreo PA en consultorio </t>
  </si>
  <si>
    <t xml:space="preserve">PA en rangos de HTA. Crea elevada. </t>
  </si>
  <si>
    <t xml:space="preserve">Seguimiento en COnsultorio con proximo control. </t>
  </si>
  <si>
    <t>HTA en tto con losartan c 24 hrs y HCT. 
Crea alta</t>
  </si>
  <si>
    <t>Fx renal, OC, RAC, ELP, hemograma, lipidico, antigeno prostatico</t>
  </si>
  <si>
    <t>Control lab y consultar a medico con resultados</t>
  </si>
  <si>
    <t>Todo bien. Le doy orden de examenes de lab porque quiere controlarse.</t>
  </si>
  <si>
    <t>Control con medico con resultados lab.</t>
  </si>
  <si>
    <t xml:space="preserve">Antecedente de ca cervicouterino </t>
  </si>
  <si>
    <t xml:space="preserve">Control con examenes. Crea </t>
  </si>
  <si>
    <t xml:space="preserve">HERNIA TORACICA EN ESPERA EN CX </t>
  </si>
  <si>
    <t>DM MAMA 
HTA PAPA</t>
  </si>
  <si>
    <t xml:space="preserve">Antecedentes dislipidemia, crea elevada, obessidad. </t>
  </si>
  <si>
    <t xml:space="preserve">Control con resultados la proxima semana
</t>
  </si>
  <si>
    <t>Arritmia sinusal</t>
  </si>
  <si>
    <t xml:space="preserve">ABUELO MATERNO IAM </t>
  </si>
  <si>
    <t>HIPERTENSION</t>
  </si>
  <si>
    <t xml:space="preserve">Fuma 3 cig al dia
IMC alto, se sugiere cambios estilo vida. 
Resto normal. </t>
  </si>
  <si>
    <t>Controles de laboratorio anual.</t>
  </si>
  <si>
    <t>Los Laureles</t>
  </si>
  <si>
    <t>hipotirodismo, deperesion</t>
  </si>
  <si>
    <t>Padre (HD), Hermanos, (HD)</t>
  </si>
  <si>
    <t>3/9/2025</t>
  </si>
  <si>
    <t>CESFAM</t>
  </si>
  <si>
    <t>Cesfam</t>
  </si>
  <si>
    <t>Enfermedad cardiaca</t>
  </si>
  <si>
    <t>Cesfar</t>
  </si>
  <si>
    <t>Tabaquismo, PAP/Mamografia no Vigente</t>
  </si>
  <si>
    <t>Paciente con sospecha de hta, malnutrition por exceso y tabaquismo</t>
  </si>
  <si>
    <t>Prequisa de Hipertensión
Consulta de Morbilidad Nutricionista cease habito tabaquico</t>
  </si>
  <si>
    <t>Quechua</t>
  </si>
  <si>
    <t>Dislipidemia</t>
  </si>
  <si>
    <t>HTA y DM</t>
  </si>
  <si>
    <t>Glicemia pp 152</t>
  </si>
  <si>
    <t>Controles habituales en PSCV</t>
  </si>
  <si>
    <t>Enfermedad renal - enfermedad cardiaca</t>
  </si>
  <si>
    <t>Retomar control de cronico</t>
  </si>
  <si>
    <t xml:space="preserve">Enfermedad cardiaca (hijo) y cancer hermana. </t>
  </si>
  <si>
    <t>Prostatitis, artrosis</t>
  </si>
  <si>
    <t xml:space="preserve">Funcion renal adecuada para su edad </t>
  </si>
  <si>
    <t>Glicemia post prandial 148</t>
  </si>
  <si>
    <t xml:space="preserve">Ttgo </t>
  </si>
  <si>
    <t>Hipertension, diabetes</t>
  </si>
  <si>
    <t>29/07/2025</t>
  </si>
  <si>
    <t>Tumor de prostata</t>
  </si>
  <si>
    <t>C los laureles</t>
  </si>
  <si>
    <t>DLP</t>
  </si>
  <si>
    <t>HTA DM2</t>
  </si>
  <si>
    <t>Cestra Los Lourdes</t>
  </si>
  <si>
    <t>Neuropatia diabetica</t>
  </si>
  <si>
    <t>Hta, diabetes</t>
  </si>
  <si>
    <t>Hipotiroidismo, dislipidemia</t>
  </si>
  <si>
    <t>Hta fuera de rango</t>
  </si>
  <si>
    <t>Debe hacer actividad fisica
Ajuste de tratamiento anti hat</t>
  </si>
  <si>
    <t>2017</t>
  </si>
  <si>
    <t xml:space="preserve">No sabe </t>
  </si>
  <si>
    <t>Hta, acv (madre)</t>
  </si>
  <si>
    <t>Hft cunco</t>
  </si>
  <si>
    <t>Anemia severa</t>
  </si>
  <si>
    <t>Insuficiencia renal, hipertension, diabetes</t>
  </si>
  <si>
    <t>Sin utero</t>
  </si>
  <si>
    <t>150</t>
  </si>
  <si>
    <t>Cesfam Los Laureles</t>
  </si>
  <si>
    <t>Depresion</t>
  </si>
  <si>
    <t>No recuerda</t>
  </si>
  <si>
    <t xml:space="preserve">C los laureles </t>
  </si>
  <si>
    <t xml:space="preserve">Dm, infarto </t>
  </si>
  <si>
    <t>Artrosis cadera, rodilla, pies, quiste en mama izquierda</t>
  </si>
  <si>
    <t>Diabetes hipertension</t>
  </si>
  <si>
    <t>Cesfam los Laureles</t>
  </si>
  <si>
    <t>Hipertension, ACV</t>
  </si>
  <si>
    <t>Delcahue</t>
  </si>
  <si>
    <t>DLP,Artrosis de Cadera</t>
  </si>
  <si>
    <t>Cesfam cunco</t>
  </si>
  <si>
    <t>Dm. Hta</t>
  </si>
  <si>
    <t>HFC Cunco</t>
  </si>
  <si>
    <t>CESFAM Curarrehue</t>
  </si>
  <si>
    <t>Curarrehue</t>
  </si>
  <si>
    <t>Paciente hipertensa sin buena adherencia al tratamiento</t>
  </si>
  <si>
    <t>Examenes normales</t>
  </si>
  <si>
    <t>Control en consultorio, mantener terapia indicada (diuretico y estatina)</t>
  </si>
  <si>
    <t>CESFAM CURARREHUE</t>
  </si>
  <si>
    <t xml:space="preserve">Derivado por presion elevada y obesidad. Mal dormir anoche por su trabajo. Ademas relata tabaquismo 15 cig/dia. </t>
  </si>
  <si>
    <t>Medicion domiciliaria de presion arterial y consulta en consultorio. Ademas control con nutricionista.</t>
  </si>
  <si>
    <t>PSR Caren</t>
  </si>
  <si>
    <t>Vertigo (Lavado de oido)</t>
  </si>
  <si>
    <t>Hermana HTA</t>
  </si>
  <si>
    <t>2 anos</t>
  </si>
  <si>
    <t>Consulta por presion elevada. Mala adherencia a terapia antihipertensiva</t>
  </si>
  <si>
    <t>Adherir a terapia y consultar para tomar aspirina</t>
  </si>
  <si>
    <t>Presion elevada y obesidad</t>
  </si>
  <si>
    <t>Realizar perfil de presion arterial para eventual ingreso al PSCV</t>
  </si>
  <si>
    <t>10</t>
  </si>
  <si>
    <t>Hernia Lumar (Toma de ANALGESICOS)</t>
  </si>
  <si>
    <t>HTA MAMA</t>
  </si>
  <si>
    <t>Paciente derivado por presion alta y obesidad. Usuario de losartan 2 x dia.</t>
  </si>
  <si>
    <t>Derivar a consultorio para agregar amlodipino y atorvastatina</t>
  </si>
  <si>
    <t>Miopia y astigmatismo</t>
  </si>
  <si>
    <t>HTA, DLP, Hipotiroidismo, Insuficiencia Renal</t>
  </si>
  <si>
    <t>Presion elevada y obesidad. Menciona haber tomado cafe hace poco. trabaja en cesfam</t>
  </si>
  <si>
    <t>Control habitual en consultorio, tomar presion alejado del cafe</t>
  </si>
  <si>
    <t>Cesfam curarrehue</t>
  </si>
  <si>
    <t>DPL</t>
  </si>
  <si>
    <t xml:space="preserve">Presion alta y sobrepeso. Sin adherencia a diuretico indicado. </t>
  </si>
  <si>
    <t xml:space="preserve">Adherir a tratamiento, tomar mitad de hidroclorotiazida. Dieta baja en sodio. </t>
  </si>
  <si>
    <t>CESCOF MAITE</t>
  </si>
  <si>
    <t>HTA Mama</t>
  </si>
  <si>
    <t>Hipertenso, no tomo su medicacion esta manana por olvido. Obesidad</t>
  </si>
  <si>
    <t>Adherir a tratamiento, realizar perfil lipidico, control en consultorio. Actividad fisica y mejorar dietal’</t>
  </si>
  <si>
    <t>CESCOF MAITEN</t>
  </si>
  <si>
    <t>DMII MAMA</t>
  </si>
  <si>
    <t>Hipertensa con buena adherencia que persiste con presiones elevada</t>
  </si>
  <si>
    <t>Aumentar losartan 2 veces al dia. Control seriado PA en domicilio. Control en consultorio. Con nutricionista.</t>
  </si>
  <si>
    <t>PSR Maite</t>
  </si>
  <si>
    <t>Extraccion molar reciente</t>
  </si>
  <si>
    <t>HTA PADRES</t>
  </si>
  <si>
    <t>CESAFAM Curarrehue</t>
  </si>
  <si>
    <t>Enfermedad de Kron</t>
  </si>
  <si>
    <t>FIBROMIALGIA / HERNIA LUMBARES</t>
  </si>
  <si>
    <t>DMII Abuelos</t>
  </si>
  <si>
    <t>Tendinitis tobillo izquierdo</t>
  </si>
  <si>
    <t>DM, HTA</t>
  </si>
  <si>
    <t>Presion elevada y sobrepeso.</t>
  </si>
  <si>
    <t>Perfil de presion arterial en consultorio</t>
  </si>
  <si>
    <t>Ca de mama en tto, DLP</t>
  </si>
  <si>
    <t>HTA, DM, enfermedades cardiacas</t>
  </si>
  <si>
    <t>Cancer mama tratado, Cancer uterine</t>
  </si>
  <si>
    <t>DLP, hipotiroidismo, resistencia a la insulina, HTA. Toma mitad de losartan 1 vez al dia.</t>
  </si>
  <si>
    <t>Tomar losartan mitad 2 veces al dia. Adherir a dieta y actividad fisica. Control en consulorio. Consultar por ozempic.</t>
  </si>
  <si>
    <t>Quiste Renal</t>
  </si>
  <si>
    <t>DMII Mama</t>
  </si>
  <si>
    <t>CESFAM Currarehue</t>
  </si>
  <si>
    <t>Hernia estomacal??</t>
  </si>
  <si>
    <t>DM, HTA, enfermedades cardiacas</t>
  </si>
  <si>
    <t>03/2025</t>
  </si>
  <si>
    <t>Sin adherencia a tratamiento, usa hierbas medicinales. Proteinuria de 109.</t>
  </si>
  <si>
    <t>Educacion. Examenes de laboratorio.</t>
  </si>
  <si>
    <t>100</t>
  </si>
  <si>
    <t>Papa HTA</t>
  </si>
  <si>
    <t xml:space="preserve">Sin controles. Obesidad, presion alta. </t>
  </si>
  <si>
    <t>Obesidad
Presion elevada
Azucar 130 en ayunas. Padres diabeticos
Proteinuria</t>
  </si>
  <si>
    <t>Examanes de lab</t>
  </si>
  <si>
    <t>Colelitiasis</t>
  </si>
  <si>
    <t>Proteinuria 30. Reglas abundante.</t>
  </si>
  <si>
    <t>Examenes de lab y control en consultorio</t>
  </si>
  <si>
    <t>Ulcera gastrica, DLP</t>
  </si>
  <si>
    <t>Cancer a los riñones, HTA, tiroide (no sabe cual)</t>
  </si>
  <si>
    <t>Sobrepeso. Enalapril 1 x d</t>
  </si>
  <si>
    <t>Tomar enalapril 2 x d</t>
  </si>
  <si>
    <t>POSTA CATRIPULLI</t>
  </si>
  <si>
    <t>Fibromialgia</t>
  </si>
  <si>
    <t>Fibromyalgia, Sjogren</t>
  </si>
  <si>
    <t>Losartan 2 x d.
Hidroxicloroquina, Pregabalina y SOS celecoxib (dia por medio)
Citalopram</t>
  </si>
  <si>
    <t>Actividad fisica
Evitar antiinflamatorio
Control oftalmologico</t>
  </si>
  <si>
    <t>Colecistectomia - Mioma Uterino</t>
  </si>
  <si>
    <t>Operada Ca de mama, infarto hace 15 años, arritmias cardiacas, artrosis, fibromialgia</t>
  </si>
  <si>
    <t>Infarto, HTA</t>
  </si>
  <si>
    <t>Cancer mama, Infarto</t>
  </si>
  <si>
    <t>Parametros controlados.</t>
  </si>
  <si>
    <t>Mantener adherencia a tratamiento y seguimiento cancer de mama</t>
  </si>
  <si>
    <t>Sin alteraciones</t>
  </si>
  <si>
    <t>Presion alta a pesar de tratamiento. No toma amlodipino</t>
  </si>
  <si>
    <t>Tomar amlodipino ademas de su medicacion habitual
Educacion</t>
  </si>
  <si>
    <t>CA RENAL</t>
  </si>
  <si>
    <t>Bien</t>
  </si>
  <si>
    <t>Metformina dapaglifozina. Viene del gimnasio</t>
  </si>
  <si>
    <t>Hta por ejercicio.
Synduo 10-1000</t>
  </si>
  <si>
    <t>CESFAM Currarrehue</t>
  </si>
  <si>
    <t>Higado graso, DLP</t>
  </si>
  <si>
    <t>DM, HTA, enfermedad cardiaca</t>
  </si>
  <si>
    <t>Adherir a tratamiento</t>
  </si>
  <si>
    <t>DMII Hermanas</t>
  </si>
  <si>
    <t>2015</t>
  </si>
  <si>
    <t xml:space="preserve">Infecciones urinarias recurrentes
</t>
  </si>
  <si>
    <t xml:space="preserve">Control con matrona </t>
  </si>
  <si>
    <t>Sobrepeso</t>
  </si>
  <si>
    <t>Educacion</t>
  </si>
  <si>
    <t xml:space="preserve">Disfusion ejecutiva / Sospecha Depresion / Trastorno del animo </t>
  </si>
  <si>
    <t>DMII ABUELO Y PAPA
HTA MAMA y HERMANA</t>
  </si>
  <si>
    <t>Depression</t>
  </si>
  <si>
    <t xml:space="preserve">Sertralina y metilfenidato
</t>
  </si>
  <si>
    <t>Educacion, actividad fisica</t>
  </si>
  <si>
    <t>Rinitis cronica</t>
  </si>
  <si>
    <t>Insuficiencia renal, DM</t>
  </si>
  <si>
    <t>Proteinuria
AF de DM y ERC</t>
  </si>
  <si>
    <t>Examenes de orina y creatinina serica</t>
  </si>
  <si>
    <t xml:space="preserve">CESFAM CURARREHUE </t>
  </si>
  <si>
    <t>Pucón</t>
  </si>
  <si>
    <t>Hipercolesterolemia / Ureterosele y Rinon hipertrofico</t>
  </si>
  <si>
    <t xml:space="preserve">Prediabetes MAMA
</t>
  </si>
  <si>
    <t>Historia de asimetria renal</t>
  </si>
  <si>
    <t>Ecografia renal</t>
  </si>
  <si>
    <t xml:space="preserve">Proteinuria. </t>
  </si>
  <si>
    <t>Examenes orina</t>
  </si>
  <si>
    <t>Posta catripulli</t>
  </si>
  <si>
    <t>Catripulli</t>
  </si>
  <si>
    <t>Presion alta</t>
  </si>
  <si>
    <t>Realizar control seriado PA</t>
  </si>
  <si>
    <t>ERC MAMA</t>
  </si>
  <si>
    <t xml:space="preserve">Nefrectomia Derecha x CA </t>
  </si>
  <si>
    <t xml:space="preserve">PAPA HTA
</t>
  </si>
  <si>
    <t>Minor Reno pro cancer renal</t>
  </si>
  <si>
    <t xml:space="preserve">Monorreno
Proteinuria de 500
</t>
  </si>
  <si>
    <t>Hospital Digital, Nefrología</t>
  </si>
  <si>
    <t>Control con nefro</t>
  </si>
  <si>
    <t>Artrosis, sindrome vertiginoso, depresion</t>
  </si>
  <si>
    <t>HTA, DM, infarto, falla renal</t>
  </si>
  <si>
    <t>Cesfam curarehue</t>
  </si>
  <si>
    <t>Presion elevada</t>
  </si>
  <si>
    <t>Perfil de PA</t>
  </si>
  <si>
    <t>PAPA HTA</t>
  </si>
  <si>
    <t>Cesafm currrarrehue</t>
  </si>
  <si>
    <t>Enalapril 2 x d
ATV</t>
  </si>
  <si>
    <t>Agregar amlodipino a tratamiento</t>
  </si>
  <si>
    <t>Artrosis, herpes zoster</t>
  </si>
  <si>
    <t>Insuficiencia renal, DM, HTA, enfermedad cardiaca</t>
  </si>
  <si>
    <t>Perfil presion</t>
  </si>
  <si>
    <t>DEPRESION / HEMOLA PERSISTENTE</t>
  </si>
  <si>
    <t>HTA MAMA y PAPA
DMII PAPA</t>
  </si>
  <si>
    <t xml:space="preserve">Embarazo molar
</t>
  </si>
  <si>
    <t>PSR Catripulli</t>
  </si>
  <si>
    <t>Sano
PA elevada por delantal blanco</t>
  </si>
  <si>
    <t>Posta catripulle</t>
  </si>
  <si>
    <t>Gastritis</t>
  </si>
  <si>
    <t>Perfil pa</t>
  </si>
  <si>
    <t>Sobrepeso
Aborto hace poco</t>
  </si>
  <si>
    <t>Educacion para bajar de peso
Control con matrona</t>
  </si>
  <si>
    <t>Hta delantal blanco</t>
  </si>
  <si>
    <t>250</t>
  </si>
  <si>
    <t>Migrana Cronica</t>
  </si>
  <si>
    <t>HTA PAPA y Hermanos</t>
  </si>
  <si>
    <t>DM1</t>
  </si>
  <si>
    <t>Venlafaxina, bupropion
Losartan 2 x d
AF de DM1</t>
  </si>
  <si>
    <t>Educacion
Examen lab glicemia hbai</t>
  </si>
  <si>
    <t>Sd. Turner</t>
  </si>
  <si>
    <t>HTA, enfermedades cardiacas</t>
  </si>
  <si>
    <t>Turner</t>
  </si>
  <si>
    <t>Es lab</t>
  </si>
  <si>
    <t>Currarrehue</t>
  </si>
  <si>
    <t>Vigente</t>
  </si>
  <si>
    <t>Alergias Varias</t>
  </si>
  <si>
    <t>DMII ABUELA</t>
  </si>
  <si>
    <t>Proteinuria
Ayer hizo ejercicio</t>
  </si>
  <si>
    <t>Tomar rac con primera orina de la manana</t>
  </si>
  <si>
    <t>Hipotiroidismo, artrosis</t>
  </si>
  <si>
    <t>Arthritis rheumatoid, Hipotiroidismo</t>
  </si>
  <si>
    <t xml:space="preserve">TBQ activo
PA elevada porque toma prednisona 20mg/dia
</t>
  </si>
  <si>
    <t xml:space="preserve">Sugerir atb preventivo por sus antecedentes y medicacion </t>
  </si>
  <si>
    <t>Esquizofrenia</t>
  </si>
  <si>
    <t>Retraso mental en control con neurologo
Fcos: neuroleptico?
Conflicto con su hermana</t>
  </si>
  <si>
    <t>CAD. Paciente cursando con CAD glicemia 593 mg/dl y cetonas en orina, sintomatica, sin compromiso de conciencia.</t>
  </si>
  <si>
    <t>Servicio de Urgencias</t>
  </si>
  <si>
    <t>Glicemia 593 + cetonas en orina</t>
  </si>
  <si>
    <t>Es derivada a SU más cercano, para completar estudio y realizar manejo y tratamiento.</t>
  </si>
  <si>
    <t>Cesfam curarrhue</t>
  </si>
  <si>
    <t>Hipotiroidismo, ACV, ITU RECURRENTE</t>
  </si>
  <si>
    <t>Itu recurrente</t>
  </si>
  <si>
    <t>Control para tratamiento ATB profilactico
Estrogenos vaginales
Aumentar losartan 2 x d</t>
  </si>
  <si>
    <t>CaCu</t>
  </si>
  <si>
    <t>MAMA HTA y PAPA</t>
  </si>
  <si>
    <t>Paciente con historia de HTA de regular control, toma irregular de medicamentos.</t>
  </si>
  <si>
    <t xml:space="preserve">Se aconseja mejor adherencia a tratamiento. 
Menor injesta de sal.
Hacer actividad física.
Control de cardiovascular. </t>
  </si>
  <si>
    <t>Csfam curarrehue</t>
  </si>
  <si>
    <t>Pterigeon</t>
  </si>
  <si>
    <t>Hipotiroidismo,artrosis, diabetes</t>
  </si>
  <si>
    <t>Cesfam de curarrehue</t>
  </si>
  <si>
    <t>Apendicectomia / GLICEMIA ALTA</t>
  </si>
  <si>
    <t>DMII TIAS Y TIOS PAPA
HTA TIOS Y TIAS</t>
  </si>
  <si>
    <t>ERC, DM, HTA, enfermedad cardiaca</t>
  </si>
  <si>
    <t>Cesfam Curarrahue</t>
  </si>
  <si>
    <t>HTA PAPA Y MAMA</t>
  </si>
  <si>
    <t>Asma</t>
  </si>
  <si>
    <t>HTA, DM</t>
  </si>
  <si>
    <t>Hta por esfuerzo previo/delantal blanco
AF regular</t>
  </si>
  <si>
    <t>Control habitual</t>
  </si>
  <si>
    <t>CESFAM curarrehue</t>
  </si>
  <si>
    <t>Diabetes e hypertension en los padres</t>
  </si>
  <si>
    <t>Sana</t>
  </si>
  <si>
    <t>CESFAM PUCON</t>
  </si>
  <si>
    <t>Artritis Reumatoide / Pielonefritis e Hidronefrosis (15 anos)</t>
  </si>
  <si>
    <t xml:space="preserve">DMII ABUELA </t>
  </si>
  <si>
    <t>AM: artritis reumatoide inactiva
Fcos: no
IMC alto. Se recomienda bajar de peso, mas aun por su artritis
PA en limite. Se controla regularmente y PA normales
Renal ok</t>
  </si>
  <si>
    <t>Cesfam Curarrehue</t>
  </si>
  <si>
    <t>Colon irritable</t>
  </si>
  <si>
    <t>Calculos renales</t>
  </si>
  <si>
    <t>Litiasis y nefrosis izquierda cronico</t>
  </si>
  <si>
    <t>Tia y abuella con dano renal</t>
  </si>
  <si>
    <t xml:space="preserve">Monorreno funcional </t>
  </si>
  <si>
    <t>Esteatosis hepática, litiasis renal, monorrena funcional.
Paciente con historia de calculo coleriforme con dano de rinon izquierdo en proceso para nefrectomia.</t>
  </si>
  <si>
    <t>Prequisa de Hipertensión
Consulta de Morbilidad
Nutrición 
Ejercicio
Neurological por monorreno
Eventualmente cirugía bariatrica</t>
  </si>
  <si>
    <t>Trae cintigrama renal: alteracion cintigrafica de rinon izquierdo sugerentes de dano cronico, sin poder descartar compromiso agudo actual. Severa hipoperfuaion renal izquierda</t>
  </si>
  <si>
    <t>Mayor ingesta de agua: tomar agua para tomar orinar mas de 2,5 litros de agua. 
Evitar consumo de sal (incluido conservas y productis altos en sodio). 
Bajar de peso (candidata a cx bariatrica). 
Pesquiza HTA y control con médico.
Seguir en control con urología y luego derivar a nefrología</t>
  </si>
  <si>
    <t>2021</t>
  </si>
  <si>
    <t>AM: HTA hace 20a (papá hipertenso)
Fcos: losartan y HCTZ
PA ahora alta</t>
  </si>
  <si>
    <t>Perfil PA</t>
  </si>
  <si>
    <t>Diabetes padres</t>
  </si>
  <si>
    <t>Hta delantal blanco
Artrosis de cadera izquierda</t>
  </si>
  <si>
    <t>Educacion para bajar de peso
Evaluacion por TMT por atrosis cadera</t>
  </si>
  <si>
    <t>Tratamiento por depresion</t>
  </si>
  <si>
    <t>07/2025</t>
  </si>
  <si>
    <t xml:space="preserve">AM: obesidad, depresion
TBQ suspendido hace 1 año, desde ahi ha aumentado de peso. Hoy en dia tratando de bajar de peso
PA se la controla regularmente, siempre en rango. Ahora levemente alta pero se vino corriendo.
</t>
  </si>
  <si>
    <t xml:space="preserve">AM: HTA
Fcos: telmisartan e HCT. Adherencia regular.
Se refuerza que tenga mejor adherencia a tto y coma sin sal.
</t>
  </si>
  <si>
    <t>Monitoreo PA en casa</t>
  </si>
  <si>
    <t>Asma en tratamiento</t>
  </si>
  <si>
    <t xml:space="preserve">Diabetes hermanas </t>
  </si>
  <si>
    <t xml:space="preserve">AM: HTA
Fcos: losartan medio comprimido 2 veces al dia
Se recomienda aumentar dosis a 1 comprimido losartan 2 veces al dia para lograr metas de 130/80. Tambien comer sin sal.
</t>
  </si>
  <si>
    <t>Tiroides con endocrinologa</t>
  </si>
  <si>
    <t xml:space="preserve">Paciente con historia familiar de HTA se constata presiones elevadas en operativo de salud. </t>
  </si>
  <si>
    <t>Prequisa de Hipertensión
Consulta de Morbilidad</t>
  </si>
  <si>
    <t>Disminuir consumo se sal.
Pesquisa HTA.</t>
  </si>
  <si>
    <t>Hipotiroidismo en tratamiento y en espera de evaluacion por urologo por protatitis TVP en 4 ocasiones en tratamiento</t>
  </si>
  <si>
    <t>AF: DM2, hipotiroidismo, trombosis EEII
Fco: metformina, insulina, anticoagulante permanente
Poca actividad fisica
Hoy no se inyecto insulina</t>
  </si>
  <si>
    <t>Control en consultorio para controlar DM y PA</t>
  </si>
  <si>
    <t>AM: no
No fuma ni OH
Sedentaria
IMC alto 38,9 pero refiere que antes pesaba mas. 
PA alta en dos tomas. Papa HTA</t>
  </si>
  <si>
    <t>Acudir a consultorio para perfil de presion</t>
  </si>
  <si>
    <t>DOLOR LUMBAR SIN EVALUACION , HACE ANOS LE ENCONTRARON QUISTE EN SENO IZQUIERDO ACTUALMENTE LE DUELE</t>
  </si>
  <si>
    <t>HTA HERMANA Y IR EN ETAPA 2-3EN TRATAMIENTO</t>
  </si>
  <si>
    <t>Obesidad, probabale HTA.</t>
  </si>
  <si>
    <t xml:space="preserve">Cambios del estilo de vida: menos sal, actividad fisica.
Pesquisa HTA y posterior control de salud cardiovascular. </t>
  </si>
  <si>
    <t>Cesfam Currarrehue</t>
  </si>
  <si>
    <t>PA alta. Nunca antes se habia controlado presion.
Obesa, se da educacion breve</t>
  </si>
  <si>
    <t>Ir a consultorio para pesquisa PA</t>
  </si>
  <si>
    <t>Tiroidectomia total</t>
  </si>
  <si>
    <t>Papa con dm2</t>
  </si>
  <si>
    <t>Hipotiroidismo quirurgico</t>
  </si>
  <si>
    <t>Prequisa de Hipertensión
Consulta de Morbilidad
Nutrición</t>
  </si>
  <si>
    <t xml:space="preserve">Pesquisa y control medico posterior
Evitar ultraprocesados y conservas altas en sodio
Hacer ejercicio.
Consulta con nutricionista
</t>
  </si>
  <si>
    <t>Diabetes, hipertension y emfermedad renal en dialisis</t>
  </si>
  <si>
    <t>Sin tratamiento para DM
Proteinuria 30</t>
  </si>
  <si>
    <t>Examenes lab</t>
  </si>
  <si>
    <t>CESFAM de Curarrehue</t>
  </si>
  <si>
    <t>Fco: amitriptilina
Toma naproxeno 4-5 al mes y celecoxib SOS
Dolor cabeza, labilidad emocional, mal dormir</t>
  </si>
  <si>
    <t>Control con matrona para PAP y mamo y evaluar manejo menopausia</t>
  </si>
  <si>
    <t>DM, enfermedades cardiacas</t>
  </si>
  <si>
    <t>Antecedente de Preeclampsia</t>
  </si>
  <si>
    <t>Presion arterial alterada</t>
  </si>
  <si>
    <t>Cambios de estilo de vida: menos sal, actividad fisica, bajar de peso.
Pesquisa HTA y control medico posterior. 
Seguimiento anual de funcion renal por antecedente de preeclampsia</t>
  </si>
  <si>
    <t>Miopia</t>
  </si>
  <si>
    <t>Papa monorreno</t>
  </si>
  <si>
    <t xml:space="preserve">Obs HTA secundaria </t>
  </si>
  <si>
    <t>Prequisa de Hipertensión
Consulta de Morbilidad
Ecografia renal
Posible derivación a nefrología.</t>
  </si>
  <si>
    <t xml:space="preserve">Antecedente familiar de monorreno congenito. </t>
  </si>
  <si>
    <t xml:space="preserve">Ecografía abdominal/renal doppler.
Examenes de laboratorio
</t>
  </si>
  <si>
    <t>MADRE: DM2</t>
  </si>
  <si>
    <t>Neuralgia trigemina, depresion</t>
  </si>
  <si>
    <t>HTA, enfermerdad cardiaca</t>
  </si>
  <si>
    <t>AM: HTA, neuralgia trigemino
Fcos: losartan, espironolactona, carbamazepina, tramadol, parche lidocaina, amitriptilina, pregabalina, celecoxib
Repeticion PA: 221/119
Urgencia hipertensiva</t>
  </si>
  <si>
    <t xml:space="preserve">PROBLEMAS EN ESPALDA , ASTIGAMTISMO </t>
  </si>
  <si>
    <t>Antecedente familiar de HTA, presión arterial alterada.</t>
  </si>
  <si>
    <t>Cambios de estilo de vida: actividad fisica , menos sal, bajar de peso.
Pesquisa HTA y control médico posterior.</t>
  </si>
  <si>
    <t>Lipedema</t>
  </si>
  <si>
    <t>Padre DM2</t>
  </si>
  <si>
    <t>Hipotiroidismo, asma</t>
  </si>
  <si>
    <t xml:space="preserve">AM: HTA hace 6 años, hipotiroidismo
Fcos: losartan (1 comp c/12 hrs), levotiroxina, inhaladores
AF: mama y hermanos diabeticos
PA actual muy alta
Proteina orina 30
</t>
  </si>
  <si>
    <t>Glucosa, colesterol, orina, crea, bun, elp, RAC</t>
  </si>
  <si>
    <t xml:space="preserve">Control con resultado examenes </t>
  </si>
  <si>
    <t>Higado graso</t>
  </si>
  <si>
    <t>HTA, transpante rinon, enfermedades cardiacas</t>
  </si>
  <si>
    <t xml:space="preserve">CX TUMOR EN LAS TROMPAS  </t>
  </si>
  <si>
    <t xml:space="preserve">Hno </t>
  </si>
  <si>
    <t>Proteinuria 30</t>
  </si>
  <si>
    <t>Examen de orina</t>
  </si>
  <si>
    <t>Hipotiroidismo, higado grado, DLP</t>
  </si>
  <si>
    <t xml:space="preserve">AM: Hta,DM2, hipotiroidismo, dlp
Fcos: losartan 1 comp c/12 hrs, ATV
Ahora IMC, PA y RAC alterados
Trabaja en CESFAM CV
</t>
  </si>
  <si>
    <t>RAC en 3 meses</t>
  </si>
  <si>
    <t>Monitoreo de PA en su CESFAM
Si RAC sigue con albuminoria mod-severa agregar isglt2</t>
  </si>
  <si>
    <t>DOLOR LUMBAR , ARTROSISI , ASMA? BRONQUITIS?</t>
  </si>
  <si>
    <t xml:space="preserve">MAMA ERC YA FALLECIO </t>
  </si>
  <si>
    <t>Muchos medicamentos
Mala adherencia</t>
  </si>
  <si>
    <t>Tomar amlodipino
Adherir a tratamiento
Examenes lab</t>
  </si>
  <si>
    <t xml:space="preserve">CESFAM Curarrehue </t>
  </si>
  <si>
    <t>IMC alto (obesidad). Sedentaria
Primera toma PA alterado, segunda limite.
Resto normal.</t>
  </si>
  <si>
    <t>Acudir a cesfam para perfil PA</t>
  </si>
  <si>
    <t>Hipertensiony diabetes</t>
  </si>
  <si>
    <t>PA elevada vs hta delantal blanco</t>
  </si>
  <si>
    <t xml:space="preserve">Perfil de presion arterial </t>
  </si>
  <si>
    <t>MASA RENAL EN RINON DERECHO 6 CMS DESCUBIERTO 2024</t>
  </si>
  <si>
    <t xml:space="preserve">MAMA HTA IAM ACV </t>
  </si>
  <si>
    <t>Historia de altoriesgo cardiovascular familiar</t>
  </si>
  <si>
    <t>Masa renal inespecifica al lado del rinon derecho</t>
  </si>
  <si>
    <t>Pesquisa HTA, control medico posterior
Ecogarfia renal.</t>
  </si>
  <si>
    <t>PA ahora elevada. Ultimo control hace 3-4 meses en EMPA, y refiere que PA estaba en rango.</t>
  </si>
  <si>
    <t>Acudir a cesfam para pesquisa HTA</t>
  </si>
  <si>
    <t>Privado</t>
  </si>
  <si>
    <t>Perdida de un rinn abuelo</t>
  </si>
  <si>
    <t>Positivo en proteinuria en tira reactiva, ademas de presion aarteriales alteradas. 
Se entrega orden de examenes para confirmacion de proteinuria.</t>
  </si>
  <si>
    <t xml:space="preserve">Pesquisa HTA
Examen de lab proteinuria. </t>
  </si>
  <si>
    <t>Diabetes, hipotiriodismo, hipertiroidismo, psoriasis, enfermedades cardiacas</t>
  </si>
  <si>
    <t>Paciente sin AM. No se controla hace años. Sedentario. Ahora con PA elevada</t>
  </si>
  <si>
    <t xml:space="preserve">Acudir a cesfam con resultados perfil PA </t>
  </si>
  <si>
    <t>Tinnitus, hipoacusia, disminucion de la vision</t>
  </si>
  <si>
    <t xml:space="preserve">Presiones alteradas </t>
  </si>
  <si>
    <t>Pesuisa de HTA y posterior control con medico.</t>
  </si>
  <si>
    <t xml:space="preserve">Sin AM. Todos los años se hace chequeo preventivo.
No fuma
Sin fcos
Ahora con PA y glicemia alteradas.
</t>
  </si>
  <si>
    <t>Prequisa de Hipertensión
Prequisa de Diabetes Mellitus</t>
  </si>
  <si>
    <t xml:space="preserve">Perfil PA, glicemia, Hb1Ac, PTGO, funcion renal, Orina, ELP, RAC, </t>
  </si>
  <si>
    <t>Acudir a cesfam con resultado examenes</t>
  </si>
  <si>
    <t>Consulta de Morbilidad
Nutritionists
Eventually derivacion a cirugía bariatrica.</t>
  </si>
  <si>
    <t>Colecistectomia reciente. HTA mal control.</t>
  </si>
  <si>
    <t xml:space="preserve">Cambios estilo de vida: menos sal, bajar de peso, actividad fisica.
Control con medico para ajuste tratramie to
</t>
  </si>
  <si>
    <t>IMC alto. Educacion</t>
  </si>
  <si>
    <t>2018</t>
  </si>
  <si>
    <t xml:space="preserve">AM: HTA, dlp
Fcos: AAS, losartan 50 mg al dia, rosuvastatina
PA ahora alta. No se controla PA en casa. </t>
  </si>
  <si>
    <t>Perfil PA y control en cesfam</t>
  </si>
  <si>
    <t>PSR CAREN-TRANCURA</t>
  </si>
  <si>
    <t>MADE HTA</t>
  </si>
  <si>
    <t>Historia de cistitis a repeticion hoy con proteinuria</t>
  </si>
  <si>
    <t>Alteracion de la presion arterial pero con estudio reciente normal</t>
  </si>
  <si>
    <t xml:space="preserve">Se deja examanes de control con lab para constatar proteinuria.
No pesquisa por estudio reciente. </t>
  </si>
  <si>
    <t>Cancer de mamas</t>
  </si>
  <si>
    <t>Hipetension</t>
  </si>
  <si>
    <t>Enfermedad renal, hipertension y diabetes</t>
  </si>
  <si>
    <t xml:space="preserve">En verano con PA alta, se hizo el seguimiento pero falto el holter.
sana, poca sal.
Embarazos previos sin SHE
</t>
  </si>
  <si>
    <t>Holter PA más eco renal. Control en consultorio con resultados.</t>
  </si>
  <si>
    <t>POSTA CAREN</t>
  </si>
  <si>
    <t xml:space="preserve">Presion arterial elevada
Gicemia elevada , en rango normal post pandrial
</t>
  </si>
  <si>
    <t>Alto consumo de cafe y tabaco.</t>
  </si>
  <si>
    <t>Migrana dia por medio</t>
  </si>
  <si>
    <t>HTA arterial n diagnosticada</t>
  </si>
  <si>
    <t>Se entrega instruccion para pesquisa y posterior control medico</t>
  </si>
  <si>
    <t>Cambios en estilo de vida recientemente, ha bajado de peso, hace actividad fisica y mejoro alimentacion.</t>
  </si>
  <si>
    <t>IMC elevado. Proteinuria</t>
  </si>
  <si>
    <t>Se solicita examenes para constatar perdida de proteinas en la orina.
Fomentar cambios de etsilo de vida</t>
  </si>
  <si>
    <t>COLON IRRITABLE</t>
  </si>
  <si>
    <t xml:space="preserve">ABUELA: </t>
  </si>
  <si>
    <t>Disfonia en tto particular</t>
  </si>
  <si>
    <t>Vgente</t>
  </si>
  <si>
    <t>Hipotiroidismo / Artritis</t>
  </si>
  <si>
    <t>06/2025</t>
  </si>
  <si>
    <t>Presiones fuera de rango, mana control con medico para ajuste de teraapia</t>
  </si>
  <si>
    <t>Seguimiento en control CV</t>
  </si>
  <si>
    <t xml:space="preserve">Hipertension, diabetica </t>
  </si>
  <si>
    <t>En control</t>
  </si>
  <si>
    <t>Losartan 50 cada 12. Amlodopinio y ATV.</t>
  </si>
  <si>
    <t>Control hta y pap</t>
  </si>
  <si>
    <t>MIGRAÑA</t>
  </si>
  <si>
    <t>PADRE, ABUELOS: DM2</t>
  </si>
  <si>
    <t>PA alta. Ultimo control hace 4 meses y pa era normal</t>
  </si>
  <si>
    <t>Perfil PA. Ir a consultorio</t>
  </si>
  <si>
    <t>5</t>
  </si>
  <si>
    <t>Colesterol alto</t>
  </si>
  <si>
    <t>HTA MAMA Y HERMANO</t>
  </si>
  <si>
    <t>MADRE: HTA</t>
  </si>
  <si>
    <t>ERC PAPA Y MAMA E HTA</t>
  </si>
  <si>
    <t xml:space="preserve">Diabetes
</t>
  </si>
  <si>
    <t>DISLIPIDEMIA</t>
  </si>
  <si>
    <t>MAMA DM2</t>
  </si>
  <si>
    <t>Paciente con mal control metbolico, era usuaria de insulina pero la suspendio.
Se educa y da pauta de insulina.</t>
  </si>
  <si>
    <t>Glicemia 377</t>
  </si>
  <si>
    <t>Se da perfil de glicemia, nueva pauta de insulinoterapia
Control en cesfam para dano de organo blanco</t>
  </si>
  <si>
    <t>DMII MAMA Y ABUELA</t>
  </si>
  <si>
    <t>Ulceras duodenales</t>
  </si>
  <si>
    <t>Diabetes e hipertesion</t>
  </si>
  <si>
    <t>Activo fisicamente
Suplementos: vit b, omega, creatina, magnesio, vit c, q10</t>
  </si>
  <si>
    <t>Leve sobrepeso</t>
  </si>
  <si>
    <t xml:space="preserve">Diabetes e hipertension </t>
  </si>
  <si>
    <t>Filtracion disminuida</t>
  </si>
  <si>
    <t xml:space="preserve">HTA </t>
  </si>
  <si>
    <t>Consulta de Morbilidad
Ingreso PSCV</t>
  </si>
  <si>
    <t>Se relizo pesquisa hace un mes y no vuelve a médico y hoy PA elevada nuevamente.</t>
  </si>
  <si>
    <t>Control con medicina e ingreso a PSCV
Cambios de estilo de vida: bajar de peso, menor consumo de sal, actividad fisica</t>
  </si>
  <si>
    <t>COLON IRRITABLE, INTOLERANCIA A LA LACTOSA</t>
  </si>
  <si>
    <t>PADRE DM2</t>
  </si>
  <si>
    <t>Diabetes, hipertension</t>
  </si>
  <si>
    <t>Proteinuria por ejercicio
Triatleta</t>
  </si>
  <si>
    <t>No requiere seguimiento</t>
  </si>
  <si>
    <t>Trabajo administrativo
Activo fisicamente
Proteinuria</t>
  </si>
  <si>
    <t>Presion elevada y VFG diminuida</t>
  </si>
  <si>
    <t>Examenes de lab
Perfil de presion domiciliario</t>
  </si>
  <si>
    <t>ABUELO DM2</t>
  </si>
  <si>
    <t>Ant cardiopatia</t>
  </si>
  <si>
    <t>Examen lab</t>
  </si>
  <si>
    <t>CRISIS DE PANICO</t>
  </si>
  <si>
    <t>PADRES Y HNOS: HTA</t>
  </si>
  <si>
    <t>JULIO 2025</t>
  </si>
  <si>
    <t>Antecedente de preeclampsia</t>
  </si>
  <si>
    <t>Amtecedentes de preeclapsia y HTA al control</t>
  </si>
  <si>
    <t>Pesquisa y posterior control medico posterior
Ex lab renal por antecedente de preeclampsia
Ex lab metabolico
Ex orina cndo acabe la menstruación 
Cambios en estilo de vida</t>
  </si>
  <si>
    <t>PROSTATA , DOLOR LUMBAR Y CANSANCIO AL CAMINAR FATIGA DE PIERNAS</t>
  </si>
  <si>
    <t xml:space="preserve">DM Y USUARIO DE MARCAPASOS HERMANO </t>
  </si>
  <si>
    <t>HPB,Hipoacusia, Tabaquismo, Artrosis, Enfermedad arterial occlusive bilateral</t>
  </si>
  <si>
    <t>Presion arterial eleveda</t>
  </si>
  <si>
    <t>Pesquisa y control con medico posteriormente 
Cambios en el estilo de vida: menos sal, actividad fisica</t>
  </si>
  <si>
    <t>HIPOVITAMINOSIS D</t>
  </si>
  <si>
    <t>Sindrome antifosfolipido</t>
  </si>
  <si>
    <t>PA elevada</t>
  </si>
  <si>
    <t>Perfil de PA een casa</t>
  </si>
  <si>
    <t xml:space="preserve">MAMA IRCT ETAPA 5 </t>
  </si>
  <si>
    <t>Dislipidemias</t>
  </si>
  <si>
    <t>HIPOTIROIDISMO, DM2, TUMOR RENAL</t>
  </si>
  <si>
    <t>Tiroidectomia,Tumorectomia renal, Enfermedad coronaria</t>
  </si>
  <si>
    <t>Fcos: eutirox, bromuro ipatropio, budesonia, escitalopram, zopiclona, carvedilol, dapaglifozina, losartan
04/09/25: TSH 41.8</t>
  </si>
  <si>
    <t>Repeticion PA 204/112 - 186/95</t>
  </si>
  <si>
    <t>Aumentar dosis de levotiroxina
Control con especialista</t>
  </si>
  <si>
    <t>Helicobacter pilory Trastorno ansioso</t>
  </si>
  <si>
    <t>Consulta de Morbilidad
Prequisa de Hipertensión
Ingreso PSCV</t>
  </si>
  <si>
    <t>Ultimo control de HTA hace un ano. Leve disminucion de la funcion remal crea 1.09 VFG 59</t>
  </si>
  <si>
    <t>Cambios estilo de vida
Consulta medica para ajuste de tratamiento
Examenes de laboratorio por funcion renal inadecuada.</t>
  </si>
  <si>
    <t>N/a</t>
  </si>
  <si>
    <t>Hipertensa diabetes</t>
  </si>
  <si>
    <t xml:space="preserve">Fcos: insulina, losartan (2xd), ATV (2xd), metformina, aspirina </t>
  </si>
  <si>
    <t>Control en consultorio</t>
  </si>
  <si>
    <t>CA DE MAMAS OPERADA GNAGLIOS BILATERAL CA CV HISTERECTOMIA TOTAL</t>
  </si>
  <si>
    <t>Ca de MAMA, CA cu</t>
  </si>
  <si>
    <t>Proteinuria.  Examenes preoperatorios para incontinencia urinaria</t>
  </si>
  <si>
    <t xml:space="preserve">Tiene examenes recientes y control medico pendiente. </t>
  </si>
  <si>
    <t>Soplo Coronario</t>
  </si>
  <si>
    <t>Proteina en orina</t>
  </si>
  <si>
    <t>Repetir examenes orina y funcion renal
Ex lab basico
Consulta medico con resultado</t>
  </si>
  <si>
    <t xml:space="preserve">COLON IRRITABLE SIN TRATAMIENTO </t>
  </si>
  <si>
    <t>PAPA DM</t>
  </si>
  <si>
    <t>Perfil PA en domiciliio</t>
  </si>
  <si>
    <t>Tabasco</t>
  </si>
  <si>
    <t>Marzo 2024</t>
  </si>
  <si>
    <t>Aqua chile</t>
  </si>
  <si>
    <t>Hipercolesterolemia</t>
  </si>
  <si>
    <t>Diabetes insulino reqeriente</t>
  </si>
  <si>
    <t>Aquachile</t>
  </si>
  <si>
    <t xml:space="preserve">
Paciente hipertensa en ambas tomas y alteracion de vfg</t>
  </si>
  <si>
    <t>Prequisa de Hipertensión, nuticionista, examenes</t>
  </si>
  <si>
    <t>Vfg &lt; 60</t>
  </si>
  <si>
    <t>Requiere estudio y seguimiento</t>
  </si>
  <si>
    <t>Hipotiroidismo artrosis</t>
  </si>
  <si>
    <t>Examines de creatinine</t>
  </si>
  <si>
    <t>AquaChile</t>
  </si>
  <si>
    <t>10/2024</t>
  </si>
  <si>
    <t>Aguahuile</t>
  </si>
  <si>
    <t>Glucemio postprondial &gt;140</t>
  </si>
  <si>
    <t>04/2025</t>
  </si>
  <si>
    <t>DM2, HTA</t>
  </si>
  <si>
    <t xml:space="preserve"> Esfam curarrehue</t>
  </si>
  <si>
    <t>Erct etapa 3</t>
  </si>
  <si>
    <t>Octubre 2024</t>
  </si>
  <si>
    <t>Erc</t>
  </si>
  <si>
    <t xml:space="preserve">Diabetes cancer renal </t>
  </si>
  <si>
    <t>Independiente</t>
  </si>
  <si>
    <t>HTA- DM</t>
  </si>
  <si>
    <t>Paciente refire HTA de delantal blanco</t>
  </si>
  <si>
    <t>Cesfam ACS</t>
  </si>
  <si>
    <t>DM - HTA - ACV padres</t>
  </si>
  <si>
    <t>Hta -DM 2 fuera de metas</t>
  </si>
  <si>
    <t>Control pack y adjusted de medicamentos hta segun p/a</t>
  </si>
  <si>
    <t>Cesfam Cholchol</t>
  </si>
  <si>
    <t>Cholchol</t>
  </si>
  <si>
    <t xml:space="preserve">Dolor en flanco derecho intermitente
</t>
  </si>
  <si>
    <t xml:space="preserve">Prequisa de Diabetes Mellitus
Consulta de Morbilidad
Ecografia renal </t>
  </si>
  <si>
    <t>Examen de glucosa alterado</t>
  </si>
  <si>
    <t xml:space="preserve">Control glicemia y examenes basicos.
Ecografia renal por posible litiasis intermitente, evaluar funcion </t>
  </si>
  <si>
    <t xml:space="preserve">Cesfam cholchol </t>
  </si>
  <si>
    <t xml:space="preserve">Cardiopata abuelo, hermano fallecido por enfermedad renal </t>
  </si>
  <si>
    <t>En otras oportunidades le habian dicho que debia chequearse la presion pero no habia ralizado la pesquisa</t>
  </si>
  <si>
    <t>PA alta y obesidad</t>
  </si>
  <si>
    <t>Se envia para pesquisa y cambios de estilo de vida</t>
  </si>
  <si>
    <t xml:space="preserve">CESFAM CHOLCHOL. </t>
  </si>
  <si>
    <t>Artrosis, Colitis Ulcerosa, HTA</t>
  </si>
  <si>
    <t>HTA, Ca Cu</t>
  </si>
  <si>
    <t>Colitis ulcerosa</t>
  </si>
  <si>
    <t>Dolor lumbar larga data, orina con espuma. Toma celecoxib 5 al mes. Aspecto renal por baja estatura</t>
  </si>
  <si>
    <t>IMC 30, trae eco sugerente de nefropatia cronica</t>
  </si>
  <si>
    <t>Preferir PCT 500 mg, 2 comp cada 8 horas en caso de dolor. Evitar celecoxib</t>
  </si>
  <si>
    <t>Hipotiroidismo. DLP</t>
  </si>
  <si>
    <t>No tomo losartan esta manana</t>
  </si>
  <si>
    <t>Control chronic</t>
  </si>
  <si>
    <t>obesidad, PA 158/62, glicemia ayuno 125</t>
  </si>
  <si>
    <t>Aumentar a losartan 2xd
Control con examenes de lab</t>
  </si>
  <si>
    <t xml:space="preserve">Erc e hipertension </t>
  </si>
  <si>
    <t>Prediabetes</t>
  </si>
  <si>
    <t>IMC 37,2, G ayuno 105</t>
  </si>
  <si>
    <t>Metformina 1000 XR</t>
  </si>
  <si>
    <t>Hipotiroidismo, DLP</t>
  </si>
  <si>
    <t>Diabetes (mama y hermana)</t>
  </si>
  <si>
    <t>Ha estado sin medicamentos desde hace 2 meses.</t>
  </si>
  <si>
    <t>Obesidad e HTA</t>
  </si>
  <si>
    <t>Control de morbiliad para repetir receta y ajuste de faramacos</t>
  </si>
  <si>
    <t>Cesfam Chol Chol</t>
  </si>
  <si>
    <t>Carcinoma testicular operado. Depresion.</t>
  </si>
  <si>
    <t>Madre y padre con diabetes</t>
  </si>
  <si>
    <t>CESFAM CHOLCHOLL</t>
  </si>
  <si>
    <t xml:space="preserve">Artrosis, Usuario de Marcapasos </t>
  </si>
  <si>
    <t>Cesfam cholchol</t>
  </si>
  <si>
    <t xml:space="preserve">Abuela HTA </t>
  </si>
  <si>
    <t xml:space="preserve">2023 </t>
  </si>
  <si>
    <t xml:space="preserve">Tumor mamas y vertigo </t>
  </si>
  <si>
    <t>Un solo losartan y mal control de PA.</t>
  </si>
  <si>
    <t>Glicemia de ayunas alteradas HTA y obesidad</t>
  </si>
  <si>
    <t>Se envia a control con medico para ajuste de medicamentos 
Se recomienda control de glicemia de ayunas y examenes de laboratorio en caso de alza persistente</t>
  </si>
  <si>
    <t xml:space="preserve">Protesis de rodilla derecha. </t>
  </si>
  <si>
    <t>Hermano hipertension y sospecha de diabetes</t>
  </si>
  <si>
    <t xml:space="preserve">Orina espumosa e historia de examenes alterados de la funcion renal. </t>
  </si>
  <si>
    <t>Proteinuria y disminucion de la funcion renal</t>
  </si>
  <si>
    <t>Control funcion renal y proteinuria
Y cambio de farmacos enalapirl 10 dos veces al dia</t>
  </si>
  <si>
    <t>Alteracion de la presion arterial y obesidad</t>
  </si>
  <si>
    <t>Pesquisa y control medico
Vacuna de influenza 2025</t>
  </si>
  <si>
    <t xml:space="preserve">Madre y hermano ERC, 2 tios fallecidos por ERC asociado a pancreatitis </t>
  </si>
  <si>
    <t>Cesfam Chol chol</t>
  </si>
  <si>
    <t>Hermana, diabetes e hipertension</t>
  </si>
  <si>
    <t>HPBP</t>
  </si>
  <si>
    <t>Inadecuada terapia farmacologica: enalapril cada 24 horas.</t>
  </si>
  <si>
    <t>PA alterada 173/93</t>
  </si>
  <si>
    <t>Ajuste de terapia farmacologica y posterior control medico
Cambios del estilo de vida: menos sal, deporte y alimentacion saludable.</t>
  </si>
  <si>
    <t xml:space="preserve">CESFAM CHOLCHOL </t>
  </si>
  <si>
    <t>Enfermedad Cardiaca</t>
  </si>
  <si>
    <t xml:space="preserve">Obesidad grado 1 
</t>
  </si>
  <si>
    <t>Prequisa de Diabetes Mellitus
Ingreso PSCV</t>
  </si>
  <si>
    <t xml:space="preserve">Hemoglucotest 114 en ayunas </t>
  </si>
  <si>
    <t xml:space="preserve">Pesquiza dm2 
Ptgo, tsh, perfil lipidico 
Ecotomografia mamaria 
Pap
</t>
  </si>
  <si>
    <t>Hipertiroidismo, Resistencia de Insulina.</t>
  </si>
  <si>
    <t xml:space="preserve">DM2, Hipertension </t>
  </si>
  <si>
    <t>09-09-2025</t>
  </si>
  <si>
    <t>Asma infantil</t>
  </si>
  <si>
    <t xml:space="preserve">Cesfam Chol Chol </t>
  </si>
  <si>
    <t>Madre y abuelos con diabetes. Madre hipertension</t>
  </si>
  <si>
    <t xml:space="preserve">Cesfam </t>
  </si>
  <si>
    <t>Sjogren</t>
  </si>
  <si>
    <t>Hipertension, diabetes, enfermedad renal</t>
  </si>
  <si>
    <t>Familia con antecdentes de HTA</t>
  </si>
  <si>
    <t xml:space="preserve">Pesquisa de PA </t>
  </si>
  <si>
    <t>Protesis de cadera y hombro derecho</t>
  </si>
  <si>
    <t>Hta y resistenci a a la insulina (padre)</t>
  </si>
  <si>
    <t>PA alterada y proteinuria</t>
  </si>
  <si>
    <t>Control PA y examenes de laboratorio</t>
  </si>
  <si>
    <t xml:space="preserve">Hipertension y dm madre </t>
  </si>
  <si>
    <t>Artrosis columns</t>
  </si>
  <si>
    <t>Tiene examenes recientes. Toma celcoxib 1x semana y ketorolaco ocasional</t>
  </si>
  <si>
    <t xml:space="preserve">Control chronic </t>
  </si>
  <si>
    <t>Glicemia ayuno 101</t>
  </si>
  <si>
    <t>Educacion, preferir PCT o dipirona</t>
  </si>
  <si>
    <t>Padre, madre y hermano</t>
  </si>
  <si>
    <t>Baja de peso voluntaria
DM II sin tto</t>
  </si>
  <si>
    <t xml:space="preserve">Hta </t>
  </si>
  <si>
    <t>Panel de PA a CESFAM</t>
  </si>
  <si>
    <t>CESFAM CHOLCHOL</t>
  </si>
  <si>
    <t>IAM (padre)</t>
  </si>
  <si>
    <t xml:space="preserve">Padre hta </t>
  </si>
  <si>
    <t>Orina completa y RAC</t>
  </si>
  <si>
    <t>Psr aillinco</t>
  </si>
  <si>
    <t>Galvarino</t>
  </si>
  <si>
    <t>Hta, dm, erc</t>
  </si>
  <si>
    <t xml:space="preserve">Enfermedad cardiaca (no especifica) </t>
  </si>
  <si>
    <t>PA alteraada sin toma de sus medicamnetos de hoy y proteinuria</t>
  </si>
  <si>
    <t>Control examenes de laboratorio y control con medico con resultados.</t>
  </si>
  <si>
    <t xml:space="preserve">Dm2, HTA,Hipertiroidismo </t>
  </si>
  <si>
    <t xml:space="preserve">Dm2, HTA, Hipertiroidismo. </t>
  </si>
  <si>
    <t>HGt 356</t>
  </si>
  <si>
    <t xml:space="preserve">Control descompensado </t>
  </si>
  <si>
    <t>Cesfam Padre Las Casas</t>
  </si>
  <si>
    <t>Higado graso.</t>
  </si>
  <si>
    <t>Padre con hipertension</t>
  </si>
  <si>
    <t>Recien incia nuevo ajuste de Insulina, aun fuera de metas, no se estaba tomando la metformina.
Losartan 5- mg una vez al dia</t>
  </si>
  <si>
    <t>PA alterada y glicemia 404, cetonas en orina negativas</t>
  </si>
  <si>
    <t>Se agrega losarta 50 mg cada 12 horas y reinicio de de metformina
Control con medico en caso de necesidad de ajuste</t>
  </si>
  <si>
    <t>HIPOTIROIDISMO</t>
  </si>
  <si>
    <t>HTA, DM2</t>
  </si>
  <si>
    <t>Cesfam Chol CHol</t>
  </si>
  <si>
    <t>Padre y madre diabetes</t>
  </si>
  <si>
    <t xml:space="preserve">Pesquisa de PA y examenes de lab para constatar proteinuria. </t>
  </si>
  <si>
    <t xml:space="preserve">Dm ambas abuelas, abuelo con hta, abuela con requerimiento de HD. </t>
  </si>
  <si>
    <t>Este año, no recuerda fecha</t>
  </si>
  <si>
    <t xml:space="preserve">Dic 2024 </t>
  </si>
  <si>
    <t>PSR Aillinco</t>
  </si>
  <si>
    <t xml:space="preserve">Retinopatia diabetics, Hipotiroidismo </t>
  </si>
  <si>
    <t>VFG 35, proteinuria</t>
  </si>
  <si>
    <t>Control rutinario cada 3 meses. No AINEs</t>
  </si>
  <si>
    <t>Perfil de presion en domicilio</t>
  </si>
  <si>
    <t>Cesfam Amanecer Temuco</t>
  </si>
  <si>
    <t>Madre hipertension. Padre diabtes</t>
  </si>
  <si>
    <t>MAMA DIABETICA E HIPERTENSA, PAPA HIPERTENSO</t>
  </si>
  <si>
    <t xml:space="preserve">Hipertension </t>
  </si>
  <si>
    <t xml:space="preserve">2024 </t>
  </si>
  <si>
    <t>CEFAM CHOLCHOL</t>
  </si>
  <si>
    <t xml:space="preserve">HTA, Resistencia a la insulina. </t>
  </si>
  <si>
    <t xml:space="preserve">MANGA GASTRICA </t>
  </si>
  <si>
    <t>HERMANA EN HD, PADRE ACV, HTA, DM.</t>
  </si>
  <si>
    <t>2021 CON VPH</t>
  </si>
  <si>
    <t>Posta Malalchi bajo</t>
  </si>
  <si>
    <t>Madre diabetes</t>
  </si>
  <si>
    <t>PA alterada en control en el consultorio</t>
  </si>
  <si>
    <t>Seguir control medico indicado</t>
  </si>
  <si>
    <t xml:space="preserve">MADRE HIPERTENSA </t>
  </si>
  <si>
    <t>Hta, cirrosis</t>
  </si>
  <si>
    <t>PA delantal blanco</t>
  </si>
  <si>
    <t>Obesidad, PA elevada 143/84</t>
  </si>
  <si>
    <t>Educacion alimentacion</t>
  </si>
  <si>
    <t>Cesfam cholchoo</t>
  </si>
  <si>
    <t xml:space="preserve">2025 </t>
  </si>
  <si>
    <t>Guilliam Barre, ACV 2025</t>
  </si>
  <si>
    <t>Madre hipertension</t>
  </si>
  <si>
    <t>CESFAM CHOL CHOL</t>
  </si>
  <si>
    <t xml:space="preserve">Cardiaca </t>
  </si>
  <si>
    <t>DLP, Hipotiroidismo, Tractostorno del animo, DETERIORO COGNITIVO?</t>
  </si>
  <si>
    <t>Toma enalapril 10 mg al dia</t>
  </si>
  <si>
    <t>Aumenta la dosis de enalapril. 
Mantener cambios en la alimentacion.</t>
  </si>
  <si>
    <t>CANCER UTERINO GRADO I DE ALTA. EN REMISION. FX DE HUMERO TRATAD TRATADA.</t>
  </si>
  <si>
    <t xml:space="preserve">PAPA DIABETICO E HIPERTENSO </t>
  </si>
  <si>
    <t>EL AÑO ANTES PASADO, NO RECUERDA FECHA.</t>
  </si>
  <si>
    <t xml:space="preserve">Hipertension y dm </t>
  </si>
  <si>
    <t xml:space="preserve">CEFAM Chol Chol </t>
  </si>
  <si>
    <t>Padre hipertension</t>
  </si>
  <si>
    <t>Presion elevada por ejercicio</t>
  </si>
  <si>
    <t>Control cronico</t>
  </si>
  <si>
    <t xml:space="preserve">MAMA HIPERTENSA, TIAS DIABETICAS </t>
  </si>
  <si>
    <t>OCTUBRE 2024</t>
  </si>
  <si>
    <t>Cesfam cholchil</t>
  </si>
  <si>
    <t>Depresion, ansiedad</t>
  </si>
  <si>
    <t>Enfermedades cardiacas</t>
  </si>
  <si>
    <t xml:space="preserve">Erc madre </t>
  </si>
  <si>
    <t>Glicemia aumentada por ayuno prolongado</t>
  </si>
  <si>
    <t>Glicemia ayuno 105</t>
  </si>
  <si>
    <t>CESFAM PUEBLO NUEVO</t>
  </si>
  <si>
    <t>Dm2</t>
  </si>
  <si>
    <t>Hace crossfit</t>
  </si>
  <si>
    <t>PA 164/105</t>
  </si>
  <si>
    <t>Hta, enf cardiacas</t>
  </si>
  <si>
    <t>PA elevada, obesidad</t>
  </si>
  <si>
    <t>Examenes de lab y control</t>
  </si>
  <si>
    <t>Ingreso PSCV
Consulta de Morbilidad</t>
  </si>
  <si>
    <t xml:space="preserve">Insulinorequeiriemite y metformina 1 vez al dia. </t>
  </si>
  <si>
    <t>Ajuste terapia diabetes y HTA</t>
  </si>
  <si>
    <t>Diabtes e hipertension</t>
  </si>
  <si>
    <t>Monorreno por cancer renal</t>
  </si>
  <si>
    <t>Seguimiento pot nefrologia</t>
  </si>
  <si>
    <t xml:space="preserve">Hta, dm </t>
  </si>
  <si>
    <t>No toma medicamentos para la presion arterial</t>
  </si>
  <si>
    <t>Ajuste terapia faramacologico y examenes de labportaoria por glicemia alterada</t>
  </si>
  <si>
    <t xml:space="preserve">CESFAM CHOL CHOL </t>
  </si>
  <si>
    <t xml:space="preserve">Antecedente de HTA y DM 2 en la familia </t>
  </si>
  <si>
    <t xml:space="preserve">PA alterada </t>
  </si>
  <si>
    <t>Pesquisa y cambios de estilo de vida</t>
  </si>
  <si>
    <t>Hermanos con hipertension</t>
  </si>
  <si>
    <t xml:space="preserve">HELICOBACTER PYLORI TRATADA. </t>
  </si>
  <si>
    <t xml:space="preserve">Hta, dm, dislipidemia, hipotiroidismo </t>
  </si>
  <si>
    <t>Posta Malanche bajo</t>
  </si>
  <si>
    <t xml:space="preserve">ABUELOS PATERNOS DIABETICOS E HIPERTENSOS </t>
  </si>
  <si>
    <t>NUNCA</t>
  </si>
  <si>
    <t>Operado cardiaco, hta, cancer</t>
  </si>
  <si>
    <t>Bypass coronation IAM</t>
  </si>
  <si>
    <t xml:space="preserve">Tiene control para 2 de octubre. 
</t>
  </si>
  <si>
    <t>Consulta de Morbilidad
Hospital Digital, Nefrología
Derivar nefrologia</t>
  </si>
  <si>
    <t xml:space="preserve">No toma medicamentos </t>
  </si>
  <si>
    <t>Derivar a nefrologia con examenes por deterioro de funcion renal y proteinuria
Control con medico para terapia faarmacologica</t>
  </si>
  <si>
    <t xml:space="preserve">CEFCAM CHOL CHOL </t>
  </si>
  <si>
    <t>Hipoglicemias previas por glibenclamida. Madre en dialisis</t>
  </si>
  <si>
    <t>Glibenclamida 1xd ademas de tratamiento habitual.</t>
  </si>
  <si>
    <t xml:space="preserve">GLAUCOMA EN TRATAMIENTO. TVP PIERNA IZQUIERDA. </t>
  </si>
  <si>
    <t>HERMANO DIABETICO</t>
  </si>
  <si>
    <t xml:space="preserve">SEPTIEMBRE 2024 </t>
  </si>
  <si>
    <t>IMC 37,7. PA 153/74</t>
  </si>
  <si>
    <t>IAM</t>
  </si>
  <si>
    <t>Madre diabetes, prima se dializa</t>
  </si>
  <si>
    <t>Tabaquismo, ANGINA INESTABLE</t>
  </si>
  <si>
    <t>Prequisa de Hipertensión
Prequisa de Diabetes Mellitus
Ingreso PSCV
Consulta de Morbilidad</t>
  </si>
  <si>
    <t>Obesidad, HTA</t>
  </si>
  <si>
    <t xml:space="preserve">Posta malalche </t>
  </si>
  <si>
    <t>psr malalche</t>
  </si>
  <si>
    <t>Varices</t>
  </si>
  <si>
    <t>Hta, dm, enf cardiacas, asma</t>
  </si>
  <si>
    <t>No adhiere al tratamiento</t>
  </si>
  <si>
    <t>PA 161/103</t>
  </si>
  <si>
    <t xml:space="preserve">HTA, Resistencia a la insulina, Hipertiroidismo </t>
  </si>
  <si>
    <t>HTA, Ca</t>
  </si>
  <si>
    <t>DLP, Hipotiroidismo</t>
  </si>
  <si>
    <t>IMC 36,T. PA 163/89. Proteinuria</t>
  </si>
  <si>
    <t>Evitar AINES</t>
  </si>
  <si>
    <t>Posta malalche</t>
  </si>
  <si>
    <t xml:space="preserve">HTA, DM II descompensada </t>
  </si>
  <si>
    <t xml:space="preserve">HTA, DM II, Proteinuria </t>
  </si>
  <si>
    <t>Solicito examenes de control</t>
  </si>
  <si>
    <t xml:space="preserve">Cesfam Padre Las Casas </t>
  </si>
  <si>
    <t>Bipolaridad</t>
  </si>
  <si>
    <t>Prima con ERC</t>
  </si>
  <si>
    <t xml:space="preserve">PAPA DMIR, HERMANA DM NIR </t>
  </si>
  <si>
    <t>Tiene un perfil de PA 146/90</t>
  </si>
  <si>
    <t>IMC 31,6. PA 143/88</t>
  </si>
  <si>
    <t>Psr malalche</t>
  </si>
  <si>
    <t>Operado de prostata</t>
  </si>
  <si>
    <t xml:space="preserve">HIPO OO HIPERTIROIDISMO, NO SABE. </t>
  </si>
  <si>
    <t xml:space="preserve">HERMANO EN HD, HIPERTENSO. HERMANA Y PAPA DIABETICO. </t>
  </si>
  <si>
    <t>HACE MUCHOS AÑOS</t>
  </si>
  <si>
    <t xml:space="preserve">Hipotiroidismo, EPOC poor biomasas </t>
  </si>
  <si>
    <t>Sin diagnostico de diabetes</t>
  </si>
  <si>
    <t>Prequisa de Diabetes Mellitus
Consulta de Morbilidad</t>
  </si>
  <si>
    <t>Hiperglicemia proteinuria</t>
  </si>
  <si>
    <t xml:space="preserve">Pesquisa de diabetes y control con examanes de laboratorio
Posterior control con medico </t>
  </si>
  <si>
    <t>Cesfam Nueva Imperial</t>
  </si>
  <si>
    <t>Hija fallece por ERC</t>
  </si>
  <si>
    <t xml:space="preserve">CESFAM Chol Chol </t>
  </si>
  <si>
    <t>Dm2, Asma</t>
  </si>
  <si>
    <t>Cesfam imperial</t>
  </si>
  <si>
    <t xml:space="preserve">Operado de quiste renal </t>
  </si>
  <si>
    <t xml:space="preserve">Erc </t>
  </si>
  <si>
    <t>Dm, insuficiencia cardiaca y renal</t>
  </si>
  <si>
    <t>Paciente con diagntico reciente de ERC</t>
  </si>
  <si>
    <t>Proteinuria y mala VFG</t>
  </si>
  <si>
    <t xml:space="preserve">Cambios de estilo de vida, adherencia farmacologica y control con medico </t>
  </si>
  <si>
    <t>Hermanos hipertension</t>
  </si>
  <si>
    <t xml:space="preserve">Hd no se tomo losartan </t>
  </si>
  <si>
    <t>Mantener control y farmacos de uso habitual.</t>
  </si>
  <si>
    <t>HTA, DM2. DLP</t>
  </si>
  <si>
    <t>HTA, ERC</t>
  </si>
  <si>
    <t>Examenes lab y perfil presion</t>
  </si>
  <si>
    <t>PA 157/74. VFG disminuido</t>
  </si>
  <si>
    <t>Gastrtitis</t>
  </si>
  <si>
    <t xml:space="preserve">LUPUS, HIPOTIROIDISMO, ARTROSIS SIN TTO POR QUE NO HA RETIRADO LOS MEDICAMENTOS. </t>
  </si>
  <si>
    <t xml:space="preserve">DIABETES E HIPERTENSION </t>
  </si>
  <si>
    <t xml:space="preserve">NO RECUERDA </t>
  </si>
  <si>
    <t>Cesfam Imperial</t>
  </si>
  <si>
    <t>Enfermedades cardiacas, artritis</t>
  </si>
  <si>
    <t xml:space="preserve">Cardiopatia </t>
  </si>
  <si>
    <t xml:space="preserve">Obesidad morbida proteinuria y baja VFG </t>
  </si>
  <si>
    <t xml:space="preserve">Examenes y control con medico </t>
  </si>
  <si>
    <t xml:space="preserve">Cesfam chol Chol </t>
  </si>
  <si>
    <t>Cesfam chol chol</t>
  </si>
  <si>
    <t>Hipotiroisdismo y resistencia a la insulina</t>
  </si>
  <si>
    <t>Papa diabetico y dialisis</t>
  </si>
  <si>
    <t>Sindrome metabolico</t>
  </si>
  <si>
    <t xml:space="preserve">Multiples familiares con ERC en dialisis </t>
  </si>
  <si>
    <t>Proteinuria y funcion renal disminuida</t>
  </si>
  <si>
    <t xml:space="preserve">Cambios de estilo de vida
Examenes de laboratori y ecografia renal
Control medico con examenes. </t>
  </si>
  <si>
    <t xml:space="preserve">CESFGAM CHOLCHOL </t>
  </si>
  <si>
    <t xml:space="preserve">HIPOTIROIDISMO, LA GOTA. </t>
  </si>
  <si>
    <t xml:space="preserve">HERMANA DMNIR </t>
  </si>
  <si>
    <t>HACE 2 AÑOS</t>
  </si>
  <si>
    <t>Hipotiroidismo, GOTA</t>
  </si>
  <si>
    <t xml:space="preserve">Ahora con dolor de estomago. </t>
  </si>
  <si>
    <t>Candesartan 8 mg hoy no se lo tomo PA alterada</t>
  </si>
  <si>
    <t xml:space="preserve">Mantener control farmacologico
Pedir hora medica para dolor de estomago </t>
  </si>
  <si>
    <t>IMC 34,4. VFG 56</t>
  </si>
  <si>
    <t>Ingreso mas AMA</t>
  </si>
  <si>
    <t>Operado de apendicitis y hernia inguinal.</t>
  </si>
  <si>
    <t xml:space="preserve">CA GASTRICO PAPA Y MAMA.
MAMA DIABETICA. </t>
  </si>
  <si>
    <t>Tuvo accidente automovilistico hoy y no se coloco su insulina</t>
  </si>
  <si>
    <t>Control cronico descompensado</t>
  </si>
  <si>
    <t>HGT 402</t>
  </si>
  <si>
    <t>HTA delantal blanco</t>
  </si>
  <si>
    <t>Posta Malalche bajo</t>
  </si>
  <si>
    <t>Madre hipertensa</t>
  </si>
  <si>
    <t>Proteiuria, HTA</t>
  </si>
  <si>
    <t xml:space="preserve">Control con examenes de laboratorio pesquisa de HTA
KNT para lumbociatica
Cambios de estilo de vida. </t>
  </si>
  <si>
    <t>Onicomicosis</t>
  </si>
  <si>
    <t>Dm, enf cardiacas, erc</t>
  </si>
  <si>
    <t>Chol chol</t>
  </si>
  <si>
    <t>Calculos renales  y diabetes</t>
  </si>
  <si>
    <t>Liquen Plano</t>
  </si>
  <si>
    <t>Proteinuria. No sabe si tiene DM ni que meds toma</t>
  </si>
  <si>
    <t>Prequisa de Diabetes Mellitus
Control cronico</t>
  </si>
  <si>
    <t>Artritis, hipotiroidismo, dislipidemia</t>
  </si>
  <si>
    <t>Hta, cardiopatia</t>
  </si>
  <si>
    <t>Artritis</t>
  </si>
  <si>
    <t>Agosto 2025</t>
  </si>
  <si>
    <t>PA 159/80</t>
  </si>
  <si>
    <t>Control y ajuste de tratamiento</t>
  </si>
  <si>
    <t>Cirrosis hepatica</t>
  </si>
  <si>
    <t>Cesfan chol chol</t>
  </si>
  <si>
    <t xml:space="preserve">Dolor lumbar intermitente </t>
  </si>
  <si>
    <t xml:space="preserve">308 mg/dl sin cetonas en orina </t>
  </si>
  <si>
    <t>KNT para dolor lumbar 
Control con medicamentos de diabetes</t>
  </si>
  <si>
    <t>Posta Malalche</t>
  </si>
  <si>
    <t>HTA de delantal blanco</t>
  </si>
  <si>
    <t>PA elevada pero por delantal blanco. Malnutricion por exceso</t>
  </si>
  <si>
    <t>Examenes de laboratorio anuales</t>
  </si>
  <si>
    <t>Higado graso, dlp</t>
  </si>
  <si>
    <t>Dm, cancer</t>
  </si>
  <si>
    <t>DM II sin tto 
PA elevada 
Sd homro doloro izquiedo</t>
  </si>
  <si>
    <t>Prequisa de Diabetes Mellitus
Prequisa de Hipertensión
Ingreso PSCV</t>
  </si>
  <si>
    <t xml:space="preserve">HTA, GAA </t>
  </si>
  <si>
    <t xml:space="preserve">HTA 
Contro con examensa </t>
  </si>
  <si>
    <t>COLECISTECTOMIA, PROTESIS DE CADER OCTUBRE 2024</t>
  </si>
  <si>
    <t>Psr rapahue</t>
  </si>
  <si>
    <t>Glicemia ayuna 118</t>
  </si>
  <si>
    <t>Hiperplasia prostatica y sin control previo</t>
  </si>
  <si>
    <t>IMC 30,5</t>
  </si>
  <si>
    <t>Examenes de lab. Ecografia vesical y renal</t>
  </si>
  <si>
    <t xml:space="preserve">Hermana dm 
FQ: sulfato mg, omega 3 
Glemia ayuna 116 </t>
  </si>
  <si>
    <t xml:space="preserve">HTA, glicemia oost prandial 151, obesidad grado 2 </t>
  </si>
  <si>
    <t xml:space="preserve">Sin antecedentes dialisis 
Control con examenes </t>
  </si>
  <si>
    <t>Trombosis</t>
  </si>
  <si>
    <t>Incio reciente de tratamiento con metformina.</t>
  </si>
  <si>
    <t xml:space="preserve">PA fuera de rango. </t>
  </si>
  <si>
    <t xml:space="preserve">Ajuste de terapia farmacologico
Cambios de estilo de vida. </t>
  </si>
  <si>
    <t xml:space="preserve">ABUELO PATERNO HIPERTESION, PADRE HIPERTENSO Y CON CX CARDIACA. </t>
  </si>
  <si>
    <t>2016</t>
  </si>
  <si>
    <t>Hijos hipertension</t>
  </si>
  <si>
    <t>Hipotiroidismo, FA en NACO</t>
  </si>
  <si>
    <t xml:space="preserve">Presiones altas por tomar mate y venirse caminando para control </t>
  </si>
  <si>
    <t xml:space="preserve">Buena adherencia a tratamiento. </t>
  </si>
  <si>
    <t xml:space="preserve">Cambios de estilo de vida. Mantener adherencia a tratamiento. </t>
  </si>
  <si>
    <t>Ant de preeclampsia. Inicio HTA a los 32 anos.</t>
  </si>
  <si>
    <t>Consulta de Morbilidad
Hospital Digital, Nefrología</t>
  </si>
  <si>
    <t>IMC 33,9</t>
  </si>
  <si>
    <t>Estudio HTA 2daria</t>
  </si>
  <si>
    <t>CESFAM LABRANZA</t>
  </si>
  <si>
    <t>Buena presion arterial y buena nivel de glicemia</t>
  </si>
  <si>
    <t>Baja VFG</t>
  </si>
  <si>
    <t xml:space="preserve">Mantener buenos estilos de vida, buena adherencia a tratamiento, no sal no azucar. Evitar antiinflamatorios. </t>
  </si>
  <si>
    <t xml:space="preserve">PROSTATITIS </t>
  </si>
  <si>
    <t xml:space="preserve">HERMANOS HIPERTENSOS, PADRE HIPERTENSO </t>
  </si>
  <si>
    <t xml:space="preserve">Mala adherencia a tratamiento </t>
  </si>
  <si>
    <t xml:space="preserve">Ajuste de medicamentos y cambios de estilo de vida. </t>
  </si>
  <si>
    <t xml:space="preserve">Cardiopatia en tto </t>
  </si>
  <si>
    <t>Hipertension, ERC hermano</t>
  </si>
  <si>
    <t xml:space="preserve">Enfermedad renal </t>
  </si>
  <si>
    <t xml:space="preserve">Proteinuria 500 y VFG baja </t>
  </si>
  <si>
    <t xml:space="preserve">Examenes de laboratorio
Control con medico para ajuste de terapia y control de examenes
Derivacion para nefrologia
</t>
  </si>
  <si>
    <t>Vertigo dx en 2023</t>
  </si>
  <si>
    <t xml:space="preserve">Padre hipertenso, madre hipertensa y DMNIR </t>
  </si>
  <si>
    <t>+ 5 años</t>
  </si>
  <si>
    <t xml:space="preserve">HTA, DM II, obesidad 
Enalapril, Metformina 
</t>
  </si>
  <si>
    <t xml:space="preserve">Pesquiza erc 
</t>
  </si>
  <si>
    <t>HTA, Dipstick + 30</t>
  </si>
  <si>
    <t xml:space="preserve">Obs ERC
Examenea control </t>
  </si>
  <si>
    <t>Hipotitisdismo</t>
  </si>
  <si>
    <t>Hipertensio y diabetes</t>
  </si>
  <si>
    <t xml:space="preserve">HERMANO HIPERTENSION Y DIABETES </t>
  </si>
  <si>
    <t>NO RECUERDA</t>
  </si>
  <si>
    <t>Compensar HTA</t>
  </si>
  <si>
    <t>Perfil y control cronico</t>
  </si>
  <si>
    <t>PSR malalche</t>
  </si>
  <si>
    <t>ERC, cancer</t>
  </si>
  <si>
    <t>Discapacidad fisica</t>
  </si>
  <si>
    <t>Icntinencia urinaria y prolapso</t>
  </si>
  <si>
    <t>5-10 al día</t>
  </si>
  <si>
    <t xml:space="preserve">AM: DM II 
FQ: metformina, atv, bupropion, quetiapina, clonazepam, 
</t>
  </si>
  <si>
    <t xml:space="preserve">Pesquiza HTA
Monitoreo PA y control con medico con resultado </t>
  </si>
  <si>
    <t xml:space="preserve">Historia de patologia cardiovascular familiar, habia tenido l apresion elevada antes. 
</t>
  </si>
  <si>
    <t>PA alterada y proteinuria. AF con IAM</t>
  </si>
  <si>
    <t xml:space="preserve">Ex de laboratorio y control posterior con medico
Pesquisa de hta </t>
  </si>
  <si>
    <t>Hermana diabetes</t>
  </si>
  <si>
    <t>PA 181/116. Nueva toma 166/105</t>
  </si>
  <si>
    <t>Hipotiroidismo, Nefropatia membranous</t>
  </si>
  <si>
    <t>En lista de trasplante</t>
  </si>
  <si>
    <t xml:space="preserve">AM: dislipidemia 
Ant de PA alta 
</t>
  </si>
  <si>
    <t xml:space="preserve">Proteinuria, HTA </t>
  </si>
  <si>
    <t xml:space="preserve">Control de proteinuria 
Monitoreo PA </t>
  </si>
  <si>
    <t>CESFAM CHOCHOL</t>
  </si>
  <si>
    <t>PPROSTATITIS CX 2022</t>
  </si>
  <si>
    <t xml:space="preserve">HTA alta, obesidas </t>
  </si>
  <si>
    <t xml:space="preserve">Derivo a consultorio para pesquiza </t>
  </si>
  <si>
    <t>Cefalea, tinitus</t>
  </si>
  <si>
    <t xml:space="preserve">Dm, hta </t>
  </si>
  <si>
    <t>No sabe quue farmacos toma</t>
  </si>
  <si>
    <t>PA alterada</t>
  </si>
  <si>
    <t>Control de PA y ajuste farmacologico</t>
  </si>
  <si>
    <t>Insuficiencia renal cronica</t>
  </si>
  <si>
    <t>Hta, dm, enfermedad cardiaca, cancer</t>
  </si>
  <si>
    <t>Hernias abdominales</t>
  </si>
  <si>
    <t xml:space="preserve">Cesfam amanecer </t>
  </si>
  <si>
    <t xml:space="preserve">Dm </t>
  </si>
  <si>
    <t>VFG 54</t>
  </si>
  <si>
    <t>Examenes y control</t>
  </si>
  <si>
    <t>HERMANOS DIABETES, HIPERTENSOS.</t>
  </si>
  <si>
    <t xml:space="preserve">Nicturia hace 1 ano 
Sin hematuria 
</t>
  </si>
  <si>
    <t xml:space="preserve">HTA, proteinuria </t>
  </si>
  <si>
    <t xml:space="preserve">Proteinuria 
LUTS 
Control con examsnes, proteinuria positiva </t>
  </si>
  <si>
    <t xml:space="preserve">CESFAM DE CHOLCHOL </t>
  </si>
  <si>
    <t xml:space="preserve">MAMA DMIR </t>
  </si>
  <si>
    <t>Litiasis renal have 5 anos</t>
  </si>
  <si>
    <t>Dolor lumbar</t>
  </si>
  <si>
    <t>Control con examenes</t>
  </si>
  <si>
    <t>CESFAM Cholchol</t>
  </si>
  <si>
    <t>Hta, dm, enfermedades cardiacas</t>
  </si>
  <si>
    <t xml:space="preserve">Hta,dm </t>
  </si>
  <si>
    <t xml:space="preserve">ITU reciente. </t>
  </si>
  <si>
    <t>Gestas 3 
Sin preeclampsia 
Proteinuria 30
Madre: hta, hipoT</t>
  </si>
  <si>
    <t xml:space="preserve">Control examen de control </t>
  </si>
  <si>
    <t xml:space="preserve">2 cirugias de arterias coronarias </t>
  </si>
  <si>
    <t xml:space="preserve">IAM y bypass coronario </t>
  </si>
  <si>
    <t xml:space="preserve">PA levemente aumetnado pero fuera de rango por alto riesgo cardiovascular. 
Alto consumo de antiinflamatorios. </t>
  </si>
  <si>
    <t>Disminucion de la velocidad de filtracion glomerular</t>
  </si>
  <si>
    <t xml:space="preserve">Control con examenes del laboratorio reciente y KNT </t>
  </si>
  <si>
    <t>Discapacidad visual</t>
  </si>
  <si>
    <t>Tia abuela hipertension, diabetes</t>
  </si>
  <si>
    <t>DLP, Resistencia a la insulina, QuiSte renal</t>
  </si>
  <si>
    <t>Examn orina</t>
  </si>
  <si>
    <t>ACV</t>
  </si>
  <si>
    <t>HTA, enfermedades cardiacas, cancer</t>
  </si>
  <si>
    <t>losartan x 2, ASS, metformina, ATV</t>
  </si>
  <si>
    <t xml:space="preserve">HTA, DM II </t>
  </si>
  <si>
    <t xml:space="preserve">HTA descompensada 
Control descompensado </t>
  </si>
  <si>
    <t>Ca de mama isquierda operada</t>
  </si>
  <si>
    <t>La Pintana</t>
  </si>
  <si>
    <t>Hija diabetes</t>
  </si>
  <si>
    <t>Proteinuria 100</t>
  </si>
  <si>
    <t xml:space="preserve">Solicitar examenes de laboratorio </t>
  </si>
  <si>
    <t>Cancer cutaneo, operada de hernia humbilical</t>
  </si>
  <si>
    <t>Pa alterada de delantal blanco</t>
  </si>
  <si>
    <t xml:space="preserve">Control de presion seriada en domicilio
Control medico </t>
  </si>
  <si>
    <t xml:space="preserve">Hipotiroidismo, Artritis Reumatoide.  </t>
  </si>
  <si>
    <t xml:space="preserve">HTA, Enfermerdad Cardiaca,DM2. </t>
  </si>
  <si>
    <t xml:space="preserve">FQ: metrotexato, ATV, leflunamida, omeprazol, eutirox 50mcg 
Obs orina proteinuria 
No ITU
</t>
  </si>
  <si>
    <t xml:space="preserve">Proteinuria </t>
  </si>
  <si>
    <t xml:space="preserve">Control con examenes </t>
  </si>
  <si>
    <t xml:space="preserve">cesfam Chol Chol </t>
  </si>
  <si>
    <t>Hipertension, lupus</t>
  </si>
  <si>
    <t xml:space="preserve">Antecedente de ACV por lo que la presion esta fuera de control.
</t>
  </si>
  <si>
    <t>PA elevada y VFG elevada y proteinuira</t>
  </si>
  <si>
    <t xml:space="preserve">Toma de presion en domicilio para evaluar la presion 
Control con examenes de laboratorio </t>
  </si>
  <si>
    <t>Resistencia insulina</t>
  </si>
  <si>
    <t xml:space="preserve">Sindrome metabolico </t>
  </si>
  <si>
    <t>Proteinuria y sindrome metabolico</t>
  </si>
  <si>
    <t>Examenes pesquisa de presion arterial. 
Control medico y uso de anticonceptivos.</t>
  </si>
  <si>
    <t>VFG 53</t>
  </si>
  <si>
    <t>Examenes</t>
  </si>
  <si>
    <t xml:space="preserve">Sano 
Sin controles previos </t>
  </si>
  <si>
    <t xml:space="preserve">Control con oc y rac </t>
  </si>
  <si>
    <t>Mala adherencia a tratamiento</t>
  </si>
  <si>
    <t>VFG baja, proteinuria, PA en rango de crisis</t>
  </si>
  <si>
    <t>Control con ex de laboratorio y control medico con resultado
Ajuste de terapia farmacologica</t>
  </si>
  <si>
    <t>Crea 1,51</t>
  </si>
  <si>
    <t>Vuelve  en horas con creatinina plasmatica en 1.</t>
  </si>
  <si>
    <t xml:space="preserve">Prolapso vaginal </t>
  </si>
  <si>
    <t xml:space="preserve">Madre hipertensa </t>
  </si>
  <si>
    <t xml:space="preserve">Disminucion de la velocidad de filtracion glomerular. </t>
  </si>
  <si>
    <t>Examenes y control con medico
Cambios de los estilos de vida.</t>
  </si>
  <si>
    <t>Padre insuficiencia cardia</t>
  </si>
  <si>
    <t xml:space="preserve">Poca orina </t>
  </si>
  <si>
    <t>Crea alta</t>
  </si>
  <si>
    <t>Reevaaur con examenes de lab funcion renal.</t>
  </si>
  <si>
    <t>Artrosis lumbar</t>
  </si>
  <si>
    <t>HTA, DM, enfermedad cardiaca</t>
  </si>
  <si>
    <t xml:space="preserve">Ambos padres hipertensos </t>
  </si>
  <si>
    <t>Enero 2025</t>
  </si>
  <si>
    <t>DLP, rinitis alergica, asma</t>
  </si>
  <si>
    <t>HTA, cancer</t>
  </si>
  <si>
    <t xml:space="preserve">Hipot, dlp asma 
Ant itu </t>
  </si>
  <si>
    <t xml:space="preserve">Posile erc 
Derivada con examenes </t>
  </si>
  <si>
    <t>DM e HTA</t>
  </si>
  <si>
    <t>Sospecha calculoa renales por dolor</t>
  </si>
  <si>
    <t>Papa con DMIR</t>
  </si>
  <si>
    <t>Malformacion brazo derecho connatal</t>
  </si>
  <si>
    <t>Examenes control</t>
  </si>
  <si>
    <t>DLP, biopsia de mama  2018 benigno.</t>
  </si>
  <si>
    <t>ACV 2016</t>
  </si>
  <si>
    <t>Hoy</t>
  </si>
  <si>
    <t>Aneurisma cerebral</t>
  </si>
  <si>
    <t>Naproxeno hasta 6 veces al dia</t>
  </si>
  <si>
    <t xml:space="preserve">ERC HTA DM II Ca Gastrico </t>
  </si>
  <si>
    <t>Disminucion de la velocidad de filtracion glomerular.</t>
  </si>
  <si>
    <t>Examenes de control y control con medico con resultados</t>
  </si>
  <si>
    <t>ERC, Etapa V en HD.</t>
  </si>
  <si>
    <t xml:space="preserve">Padre hupertenso, DMNIR, ACV 2023 </t>
  </si>
  <si>
    <t>TIA en 2025</t>
  </si>
  <si>
    <t>Historia reciente de TIA. 
Tratamiento insuficiencte de DM2 solo una metformina</t>
  </si>
  <si>
    <t>Gilcemia en 168 y HbA1c 10.1</t>
  </si>
  <si>
    <t xml:space="preserve">Aumento dosis de Metformina y control con medico. </t>
  </si>
  <si>
    <t>Leve desgaste cadera</t>
  </si>
  <si>
    <t>HTA, DM, enfermedad cadiaca, cancer</t>
  </si>
  <si>
    <t xml:space="preserve">Proteinuria 
ERC 47 3a ??
FQ: losartan, amlodipino </t>
  </si>
  <si>
    <t xml:space="preserve">ERC sin conocer 
Control con examenes </t>
  </si>
  <si>
    <t xml:space="preserve">Dm, ht, cardiopatia </t>
  </si>
  <si>
    <t>Hermana diabetes e hipertension</t>
  </si>
  <si>
    <t xml:space="preserve">Mal control de PA actual y ambulatorio </t>
  </si>
  <si>
    <t xml:space="preserve">Control cn medico y ajuste farmacologico </t>
  </si>
  <si>
    <t xml:space="preserve">Artritis y artrosis </t>
  </si>
  <si>
    <t>Hace muchos años</t>
  </si>
  <si>
    <t>Arthritis y artrosis, Marcapasos</t>
  </si>
  <si>
    <t>Sincope reciente a repeticion pese a uso de marcapasos
Proteinuria</t>
  </si>
  <si>
    <t>PA alta y proteinuria</t>
  </si>
  <si>
    <t>Examenes de laboratorio y control medico 
Interrogar marcapasos y derivacion a a cardiologia</t>
  </si>
  <si>
    <t>Estudio por nodulo en tiroides.</t>
  </si>
  <si>
    <t>HTA, DM, enfermedades cardiaca, cancer</t>
  </si>
  <si>
    <t>Prediabetes, Nodule tiroideo</t>
  </si>
  <si>
    <t xml:space="preserve">Examenes y control </t>
  </si>
  <si>
    <t>Hipotiroidismo controlado sin medicamentos</t>
  </si>
  <si>
    <t>Papa ERC, diabetes, hipertension</t>
  </si>
  <si>
    <t>Hipotiroidismo, Diabetes e hypertension gestational, Preeclampsia</t>
  </si>
  <si>
    <t>DM2,HTA.</t>
  </si>
  <si>
    <t>Fq: losartan, furosemida, carvedilol</t>
  </si>
  <si>
    <t>Cesfam de cholchol</t>
  </si>
  <si>
    <t>Apnea, hipopnea</t>
  </si>
  <si>
    <t xml:space="preserve">Padre con diabetes </t>
  </si>
  <si>
    <t xml:space="preserve">fq: enalapril, metformina, gemfibrozila, vildagliptina, sahos </t>
  </si>
  <si>
    <t xml:space="preserve">Derivada a broncopulmonar </t>
  </si>
  <si>
    <t>CESFAM San Jose de Chuchunco</t>
  </si>
  <si>
    <t>Trastorno bipolar</t>
  </si>
  <si>
    <t>TAB en tratamiento con lamotrigina</t>
  </si>
  <si>
    <t>Asintomatica</t>
  </si>
  <si>
    <t>Consulta de Morbilidad
Prequisa de Hipertensión</t>
  </si>
  <si>
    <t xml:space="preserve">Examenes de laboratorio y control con medico
Eventual derivacion a nefrologia </t>
  </si>
  <si>
    <t>Madre con hta, DMNIR, ERC no en HD</t>
  </si>
  <si>
    <t>Abril 2025</t>
  </si>
  <si>
    <t xml:space="preserve">Meningioma </t>
  </si>
  <si>
    <t xml:space="preserve">Hta,dm,cardiopatia </t>
  </si>
  <si>
    <t>Obs prostatitis</t>
  </si>
  <si>
    <t xml:space="preserve">PSA 6.15, hematuria, proteinuria </t>
  </si>
  <si>
    <t>Derivarar a SU por prostatits y obs falla renal aguda</t>
  </si>
  <si>
    <t>Resistencia a la insulina</t>
  </si>
  <si>
    <t>HTA, Insuficiencia renal, enfermedades cardiacas</t>
  </si>
  <si>
    <t xml:space="preserve">Losartan, carvedilol, hidroclotiazida 
Metformina </t>
  </si>
  <si>
    <t xml:space="preserve">VFG disminuisa </t>
  </si>
  <si>
    <t>Obs ERC 
Derivada nurva imperial</t>
  </si>
  <si>
    <t>Bypass gastric</t>
  </si>
  <si>
    <t xml:space="preserve">Hipotiroidismo, toma eutirox </t>
  </si>
  <si>
    <t xml:space="preserve">AM: hipotiroidismo, 
Proteinuria </t>
  </si>
  <si>
    <t xml:space="preserve">Control con examenes RAC
</t>
  </si>
  <si>
    <t xml:space="preserve">Padre y madre hipertension </t>
  </si>
  <si>
    <t>Hta 2daria</t>
  </si>
  <si>
    <t>Examenes, eco renal, control con nefro</t>
  </si>
  <si>
    <t>Alteracion de la funcion renal y proteinuria, ademas PA elevada</t>
  </si>
  <si>
    <t>Pesquisa HTA
Examenes de laboratorio y control medico con examenes</t>
  </si>
  <si>
    <t>Abuelos maternoa y paternos con DMIR</t>
  </si>
  <si>
    <t>Mayo 2025</t>
  </si>
  <si>
    <t xml:space="preserve">Hipotiroodismo </t>
  </si>
  <si>
    <t xml:space="preserve">Hta,dm, cardiopatia </t>
  </si>
  <si>
    <t xml:space="preserve">PA alterada y alteracion de la funcion renal </t>
  </si>
  <si>
    <t>Examnes de laboratorio, control con medico
Pesquisa HTA</t>
  </si>
  <si>
    <t>HTA, enfermedad cardiaca</t>
  </si>
  <si>
    <t>Vilcún</t>
  </si>
  <si>
    <t>Rinitis alergica</t>
  </si>
  <si>
    <t xml:space="preserve">Madre hta, abuelo materno hta, padre con resistencia a la insulina. </t>
  </si>
  <si>
    <t xml:space="preserve">Alteracion de la funcion renal </t>
  </si>
  <si>
    <t xml:space="preserve">Control con examenes de la laboratorio y posteriormente control con medico </t>
  </si>
  <si>
    <t>Abuso de antiinflamatorios</t>
  </si>
  <si>
    <t xml:space="preserve">PA alta </t>
  </si>
  <si>
    <t xml:space="preserve">Crea elevada 
Control examamenes </t>
  </si>
  <si>
    <t>Lautaro</t>
  </si>
  <si>
    <t xml:space="preserve">DMID, dolor de prostata, quiere interconsulta para examen </t>
  </si>
  <si>
    <t>Hermano DMIR</t>
  </si>
  <si>
    <t>No tomo metformina ni se inyecto inusilna, asintomatico y sin cetonas en orina</t>
  </si>
  <si>
    <t>Glicemia alteradisima</t>
  </si>
  <si>
    <t>Reforzar adeherencia a tratamiento y cambios de estilo de vida</t>
  </si>
  <si>
    <t>DLP, varices</t>
  </si>
  <si>
    <t xml:space="preserve">Am: dm II, dlp 
Fq: metformina 1000, atorvastatina </t>
  </si>
  <si>
    <t xml:space="preserve">Dm II con proteiniruia 
Control con examanes 
</t>
  </si>
  <si>
    <t>Abuela y tias maternas diabetes</t>
  </si>
  <si>
    <t>Control con examenes de laboratorio y control con medico</t>
  </si>
  <si>
    <t>Am: obesidad 3, hta</t>
  </si>
  <si>
    <t xml:space="preserve">Control con panel pa. </t>
  </si>
  <si>
    <t xml:space="preserve">Dm,hta </t>
  </si>
  <si>
    <t xml:space="preserve">Sana 
Doble sistema ureteral </t>
  </si>
  <si>
    <t xml:space="preserve">Proteinuria gatilla por ejercicio 
</t>
  </si>
  <si>
    <t xml:space="preserve">AM: RI 
FQ: metf suspendida 
</t>
  </si>
  <si>
    <t xml:space="preserve">Obesidas, vfg dismimuida </t>
  </si>
  <si>
    <t xml:space="preserve">Baja de peso 
Hace poco se hizo examenes, falta revisar. Se deriva </t>
  </si>
  <si>
    <t>Pie Diabetico, Usuaria Marcapaso</t>
  </si>
  <si>
    <t xml:space="preserve">Fq: insulina 34, enalapril, astorvastatina, pregabalina 
Am: by passm MCP, pie dm, hta 
</t>
  </si>
  <si>
    <t xml:space="preserve">VFG 49 
Proteinuria 
Se deriva com medico </t>
  </si>
  <si>
    <t>Operado de vesicula</t>
  </si>
  <si>
    <t xml:space="preserve">Boyeco </t>
  </si>
  <si>
    <t xml:space="preserve">Artrosis cadera </t>
  </si>
  <si>
    <t>Alteracion de la funicion renal, glicemia fuera de rango</t>
  </si>
  <si>
    <t>Examenes de laboratorioi y control con medico y ajuste de terapia</t>
  </si>
  <si>
    <t>Madre hta</t>
  </si>
  <si>
    <t>No tomo su enalapril hoy. Examenes recientes muestran crea normal, pero prediabetes.</t>
  </si>
  <si>
    <t>Proteinuria y VFG baja</t>
  </si>
  <si>
    <t>HTA, DM2, DLP</t>
  </si>
  <si>
    <t>Higado graso y masas hepaticas</t>
  </si>
  <si>
    <t>proteinuria</t>
  </si>
  <si>
    <t>Repeitir examenes de laboratorio 
Cambio de estilo de vida</t>
  </si>
  <si>
    <t>Diabetes hta</t>
  </si>
  <si>
    <t>Osteoporosis y discopatia</t>
  </si>
  <si>
    <t>Valax y nifedipino</t>
  </si>
  <si>
    <t>cambios de estilo de vida</t>
  </si>
  <si>
    <t xml:space="preserve">Cesfa, cholchol </t>
  </si>
  <si>
    <t>Lupus, artritis, hipotiroidismo (en tto con levotirox); politicemia vera</t>
  </si>
  <si>
    <t>Papa DMIR, HTA</t>
  </si>
  <si>
    <t xml:space="preserve">Cesfam cholchoo </t>
  </si>
  <si>
    <t>Alteracion de la funcion renal.</t>
  </si>
  <si>
    <t xml:space="preserve">Control de glicemia 
Tomar mas agua y control de alimentacion. </t>
  </si>
  <si>
    <t>Lumbalgia</t>
  </si>
  <si>
    <t>DLP, Enfermedad cardiaca</t>
  </si>
  <si>
    <t>PSR Malalche</t>
  </si>
  <si>
    <t xml:space="preserve">HTA, DM, </t>
  </si>
  <si>
    <t xml:space="preserve">Cesfam Chol CHol </t>
  </si>
  <si>
    <t>Nodulos mamarios no cancer</t>
  </si>
  <si>
    <t>DM1, HTA</t>
  </si>
  <si>
    <t>Cesfam chol Col</t>
  </si>
  <si>
    <t xml:space="preserve">Fq losaetan x 2, amlodipino, atv 
</t>
  </si>
  <si>
    <t>Crea 1,39</t>
  </si>
  <si>
    <t xml:space="preserve">Con examsnes bien de hoy, revisados por medico 
Alta </t>
  </si>
  <si>
    <t>ERC, HTA</t>
  </si>
  <si>
    <t>No tomo su enalapril. Prostatismo</t>
  </si>
  <si>
    <t>Cesfam Ancud</t>
  </si>
  <si>
    <t>Padre ERC</t>
  </si>
  <si>
    <t xml:space="preserve">Cistitis intersticial </t>
  </si>
  <si>
    <t xml:space="preserve">Dm, cardiopatia </t>
  </si>
  <si>
    <t>Bloqueo rama derecha del corazon</t>
  </si>
  <si>
    <t>Madre y padre hipertension</t>
  </si>
  <si>
    <t>Panel de PA</t>
  </si>
  <si>
    <t>PA elevada en dos tomas</t>
  </si>
  <si>
    <t>Perfil Pa en posta</t>
  </si>
  <si>
    <t>Litiasis renal a repeticion.</t>
  </si>
  <si>
    <t xml:space="preserve">Antecedentes de litiasis renal a repeticion </t>
  </si>
  <si>
    <t>Pielotac y control con exmamenes de labortaoiro de funcion renal.</t>
  </si>
  <si>
    <t xml:space="preserve">CESFAM FUNDO EL CARMEN </t>
  </si>
  <si>
    <t xml:space="preserve">Enfermedad Cardia </t>
  </si>
  <si>
    <t>Antecedente familiar de HTA y sobrepeso</t>
  </si>
  <si>
    <t xml:space="preserve">Alteracion de la presion arterial </t>
  </si>
  <si>
    <t xml:space="preserve">Pesquisa de HTA </t>
  </si>
  <si>
    <t>Sospecha de problemas a la vesicula</t>
  </si>
  <si>
    <t>Hta dm2 erc enfermedad cardiaca</t>
  </si>
  <si>
    <t>En estudio por especialista</t>
  </si>
  <si>
    <t xml:space="preserve">Asma </t>
  </si>
  <si>
    <t>Dolor de espalda</t>
  </si>
  <si>
    <t>Control con examenes de laboratorio 
KNT dolor de espalda. 
Examenes de tiroidess</t>
  </si>
  <si>
    <t xml:space="preserve">Hta sin tto </t>
  </si>
  <si>
    <t xml:space="preserve">Hta sin tto
Se deriva para iniciar tto y examenes </t>
  </si>
  <si>
    <t>Cancer testicular operado</t>
  </si>
  <si>
    <t xml:space="preserve">DLP, Operado cancer testicular </t>
  </si>
  <si>
    <t>Padre hipertension diabetes, insuficiencia cardiaca</t>
  </si>
  <si>
    <t xml:space="preserve">Diabetes e hipertensio </t>
  </si>
  <si>
    <t>Mala adherencia a tratamientno y subtratamiento con insuilna</t>
  </si>
  <si>
    <t xml:space="preserve">Hiperglicemia y glucosuria. </t>
  </si>
  <si>
    <t>Se entrega opciones de tratamiento se recomienda consultar a medico de oconsultorio para ajuste de terapia farmacologica</t>
  </si>
  <si>
    <t>Padre hipertension. Abuela materna diabetes</t>
  </si>
  <si>
    <t>Municipalidad cholchol</t>
  </si>
  <si>
    <t>Teodoro Schmidt</t>
  </si>
  <si>
    <t>Diabetes HTA</t>
  </si>
  <si>
    <t xml:space="preserve">Sobrepeso </t>
  </si>
  <si>
    <t xml:space="preserve">CA GASTRICO </t>
  </si>
  <si>
    <t>Dlp</t>
  </si>
  <si>
    <t>Diabetes hta dlp hipotiroidismo</t>
  </si>
  <si>
    <t>Hermana hipertension.</t>
  </si>
  <si>
    <t>Se tomo examenes de control hace poco tiempo aun pendiente examnes con medico, se conseja adelantar hora medica</t>
  </si>
  <si>
    <t>Alteracion de PA de glicemia y alteracion de funcoin renla</t>
  </si>
  <si>
    <t>Toma de presion arterail seriada, adelantar control con medico para revision de examenes de sangre</t>
  </si>
  <si>
    <t>Repetir examen orina</t>
  </si>
  <si>
    <t>Higado graso, dislipidemia</t>
  </si>
  <si>
    <t>Insuficiencia cardiaca</t>
  </si>
  <si>
    <t xml:space="preserve">Esta en proceso de baja de peso con apoyo con nutricionista, programa depostivo. </t>
  </si>
  <si>
    <t xml:space="preserve">Control con examenes de laboratorio 
Control con medico con resultados </t>
  </si>
  <si>
    <t>Asmatica</t>
  </si>
  <si>
    <t>Asma, Prediabetes</t>
  </si>
  <si>
    <t>Crea elevada</t>
  </si>
  <si>
    <t>Repetir examen</t>
  </si>
  <si>
    <t xml:space="preserve">PANCREATITIS </t>
  </si>
  <si>
    <t xml:space="preserve">Ambos PDRES HIPEDTENSOS </t>
  </si>
  <si>
    <t>3 años</t>
  </si>
  <si>
    <t>Pa elevada</t>
  </si>
  <si>
    <t xml:space="preserve">Itu a repeticion, &gt;4 veces en 1 año. </t>
  </si>
  <si>
    <t>PAPA HIPERTENSO, MADRE DIABETICA, ABUELA MATERNA CON DMIR</t>
  </si>
  <si>
    <t>Nunca antes</t>
  </si>
  <si>
    <t>Cesfam Freire</t>
  </si>
  <si>
    <t>Madre hipertension y diabetes</t>
  </si>
  <si>
    <t>CESFAM Freire</t>
  </si>
  <si>
    <t>Resistencia a la insulina, DLP, artritis reumatoide</t>
  </si>
  <si>
    <t xml:space="preserve">Artrosis </t>
  </si>
  <si>
    <t>Asintomatico</t>
  </si>
  <si>
    <t>Losartan 50 mg cada 12 hrs PA FUERA DE RANGO</t>
  </si>
  <si>
    <t>Control seriado de PA
Control posterior con medico</t>
  </si>
  <si>
    <t xml:space="preserve">MADRE IAM </t>
  </si>
  <si>
    <t>Dolor cadera</t>
  </si>
  <si>
    <t xml:space="preserve">Fcos: MTF, losartan 2 veces al dia
Ahora control PA levemente elevado
Consulta por dolor de cadera. Coincide con admin de neurobionta, pero el dolor es en cadera irradiado a pierna completa (artrosis vs neuropatia traumatica?)
</t>
  </si>
  <si>
    <t>Ir a consultirio para evaluar dolor.</t>
  </si>
  <si>
    <t>HFC Gorbea</t>
  </si>
  <si>
    <t>Cefalea</t>
  </si>
  <si>
    <t>Pesquisa de presion arterial</t>
  </si>
  <si>
    <t xml:space="preserve">Hipertension diabetes </t>
  </si>
  <si>
    <t xml:space="preserve">Paciente se mantiene en control en su cesfam, se solicitan examenes complementarios para su proximo control cardio vascular, ademas se realiza educacion sobre el uso de insulina, diabetes y riesgo a progresion a enfermedad renal </t>
  </si>
  <si>
    <t>Control cardiovascular</t>
  </si>
  <si>
    <t>Hiperglicemia mayor a 300 (paciente indica no haber utilizado insulina esta manana)</t>
  </si>
  <si>
    <t>Presion arterial persistente con tomas en domicilio</t>
  </si>
  <si>
    <t>PA alta</t>
  </si>
  <si>
    <t>Pesquisa de preion arterial</t>
  </si>
  <si>
    <t>Histerectomia</t>
  </si>
  <si>
    <t>DM, HTA, enf cardiaca</t>
  </si>
  <si>
    <t xml:space="preserve">AM: HTA, pre diabetes
Fcos: metformina, losartan 1 vez dia, amlodipino
Funcion renal ok
PA e IMC altos.
</t>
  </si>
  <si>
    <t>Mantener controles y tto</t>
  </si>
  <si>
    <t xml:space="preserve">HIPOTIROIDISMO, PAP ALTERADO CON CX, NO ENTREGA MAS DETALLES. </t>
  </si>
  <si>
    <t xml:space="preserve">2024 NO RECUERDA EL MES </t>
  </si>
  <si>
    <t>Hipotiroidismo, Dislipidemia, Pre diabetes</t>
  </si>
  <si>
    <t>Paciente actualmente en estudio en su cesfam, con perfil de PA y Holter de presión pendiente. Se realiza educacion sobre salud cardiovascular y factores protectores y se recomienda ingreso a programa +AMA</t>
  </si>
  <si>
    <t>Pa 164/88</t>
  </si>
  <si>
    <t xml:space="preserve">Se solicita perfil seriado de PA para su proximo control cardiovascular y se realiza educacion </t>
  </si>
  <si>
    <t xml:space="preserve">Control cardiovascular </t>
  </si>
  <si>
    <t>PA 174/72</t>
  </si>
  <si>
    <t xml:space="preserve">Hioertension </t>
  </si>
  <si>
    <t xml:space="preserve">PA fuera de rango, glicemia de ayunas alterada </t>
  </si>
  <si>
    <t xml:space="preserve">Control seriado presion arterial y glicemia </t>
  </si>
  <si>
    <t xml:space="preserve">DLP EN TTO. AMLODIPINO Y LOSARTAN PARA LA HTA. EN TTO CON QUETIAPINA POR INSOMNIO. </t>
  </si>
  <si>
    <t>Problemas para dormir</t>
  </si>
  <si>
    <t xml:space="preserve">PA fuera de rango glicemia aleterada 183 y sobrepeso </t>
  </si>
  <si>
    <t xml:space="preserve">Control seriado de presion arterial
Cambios de estilo de vida
Higiene del sueno
Examenes de laboratorio y control posteiror con medico </t>
  </si>
  <si>
    <t xml:space="preserve">AM: HTA
Fcos: ATV, losartan 1 dia, paracetamol sos, furosemida
PA Alta en dos tomas. Se ajusta dosis de losartan a 2 veces dia.
Renal ok
</t>
  </si>
  <si>
    <t>Dislipid</t>
  </si>
  <si>
    <t>Padre hipertenso</t>
  </si>
  <si>
    <t xml:space="preserve">MAMA ACV MAYO 2025. </t>
  </si>
  <si>
    <t xml:space="preserve">JULIO 2025 NEGATIVO </t>
  </si>
  <si>
    <t>Desgaste de cartilago de rodilla D</t>
  </si>
  <si>
    <t>ACV, HTA, DM, calculos renales</t>
  </si>
  <si>
    <t>ACV mayo 2025</t>
  </si>
  <si>
    <t>Hermana se dializa</t>
  </si>
  <si>
    <t>ACV en tratamiento</t>
  </si>
  <si>
    <t>Historia de presion arterial elevada en controles medicos anteriores</t>
  </si>
  <si>
    <t>PA elevada 153/91</t>
  </si>
  <si>
    <t xml:space="preserve">Pesquisa de presion arterial por alto riegso cardiovascular. </t>
  </si>
  <si>
    <t xml:space="preserve">CA ESTOMAGO, CX EN 2009. REPORTA EPISODIOS DE HIPOGLICEMIA PERO QUE EN CONTROL MEDICO NO LE HAN DIAGNOSTICADO DIABETES. </t>
  </si>
  <si>
    <t xml:space="preserve">A LOS 60 AÑOS, DE ALTA DE CONTROLES </t>
  </si>
  <si>
    <t xml:space="preserve">Cancer de estomago operado </t>
  </si>
  <si>
    <t xml:space="preserve">Se solicita perfil seriado de PA para control en su cesfam, se realiza educacion sobre hipertension, factores protectores y complicaciones </t>
  </si>
  <si>
    <t>Pa 184/81</t>
  </si>
  <si>
    <t xml:space="preserve">AM: HTA
Fcos: losartan 50 mg am, amlodipino 5 mg pm
Funcion renal ok
PA alta en dos tomas. </t>
  </si>
  <si>
    <t>Mantener control cronico</t>
  </si>
  <si>
    <t xml:space="preserve">Se realiza educacion sobre riesgo de enfermedad cardiovascular y sus complicaciones, se solicita perfil de PA y examenes complementarios para evaluacion en su cesfam </t>
  </si>
  <si>
    <t>PA 140/88. Glucosa 104</t>
  </si>
  <si>
    <t xml:space="preserve">AM: HTA, DM
Fcos: losartan 2 al dia, HCT, ATV 40 mg
PA 2 tomas alta
Proteinuria, se piden examenes lab
</t>
  </si>
  <si>
    <t>RAC</t>
  </si>
  <si>
    <t>Control en consultorio con resultados</t>
  </si>
  <si>
    <t>Se solicita perfil de PA para proximo control cronico. Se realiza educacion sobre ERC, se debe ingresar orden de ecografia renal y vesical, ingresar a hospital digital y revisar estado de IC a medicina interna</t>
  </si>
  <si>
    <t xml:space="preserve">Pa 185/80. Creatinina 2.21 </t>
  </si>
  <si>
    <t xml:space="preserve">ABUELOS MATERNOS CON HIPERTENSION </t>
  </si>
  <si>
    <t>2022, NEGATIVO.</t>
  </si>
  <si>
    <t>AM: no conocidas
PA alta ahora</t>
  </si>
  <si>
    <t>Perfil PA, perfil CV, colesterol, orina completa, proteinuria 24 hra</t>
  </si>
  <si>
    <t>Acudir a cesfam para examenes y recontrol</t>
  </si>
  <si>
    <t>Hermano hipertension</t>
  </si>
  <si>
    <t xml:space="preserve">Op quiste ovarico endometriosis </t>
  </si>
  <si>
    <t>HTA, DM, enfermedades cardiacas, ERC</t>
  </si>
  <si>
    <t>Antecedentes familiares de hipertension arterial</t>
  </si>
  <si>
    <t xml:space="preserve">PA elevada </t>
  </si>
  <si>
    <t xml:space="preserve">Pesquisa de presion arterial </t>
  </si>
  <si>
    <t xml:space="preserve">MADRE HIPERTENSA. </t>
  </si>
  <si>
    <t>Colitis ulcerosa controlada</t>
  </si>
  <si>
    <t>AM: HTA
Fcos: losartan 50 mg, medio comp HCT
Evaluacion renal ok
PA en dos tomas alta, pero no tomo remedios hoy.</t>
  </si>
  <si>
    <t>Control en cesfam</t>
  </si>
  <si>
    <t xml:space="preserve">Cancer de prostata </t>
  </si>
  <si>
    <t>No es hta previo
PA elevada ahora
Renal ok, glicemia ok</t>
  </si>
  <si>
    <t xml:space="preserve">HIPOTIROIDISMO EN TTO CON LEVOTIROXINA. DLP EN TTO CON ATORVASTATINA. PROSTATITIS EN ESTUDIO, FALTA EXAMEN. </t>
  </si>
  <si>
    <t xml:space="preserve">Sin HTA previa
PA ahora 2 tomas altas
Se hizo perfil seriado PA pero presiones en rango. Tiene control pronto con orden de examenes
</t>
  </si>
  <si>
    <t>CESFAM Quepe</t>
  </si>
  <si>
    <t xml:space="preserve">Se solicita perfil seriado de PA para control en su cesfam, se realiza educacion sobre riesgo cardiovascular y sus complicaciones, se sugiere control con nutricionista y ejercicio cardiovascular </t>
  </si>
  <si>
    <t>Pa 147/103</t>
  </si>
  <si>
    <t>Madre ERC, hipertension</t>
  </si>
  <si>
    <t>AM: hta, hipotiroidismo
Fcos: 1/2 losartan am y 1/2 pm, eutirox 100 ug
PA 3 tomas alta
Renal ok</t>
  </si>
  <si>
    <t xml:space="preserve">Se realiza educación sobre riesgo cardiovascular, consumo de sal y cese de habito tabaquico, se solicita seriado de PA para control de cronicos y eventual ajuste de tratamiento antihipertensivo </t>
  </si>
  <si>
    <t>PA 184/95</t>
  </si>
  <si>
    <t xml:space="preserve">ITU RECURRENTE DESDE LA NIÑEZ, HEMATURIA ACTUAL. </t>
  </si>
  <si>
    <t xml:space="preserve">MADRE DMNIR, HERMANAS CON DMIR </t>
  </si>
  <si>
    <t xml:space="preserve">ABRIL 2024 </t>
  </si>
  <si>
    <t>AM: hipotiroidismo
Fcos: eutirox 100 ug
Toda la familia Hta
Sedentaria, tiene inflamacion en columna (no sabe especificar)
Evaluacion renal ahora ok
ITUS a repeticion desde joven
PA alta ahora</t>
  </si>
  <si>
    <t>Artrosis, trastorno del animo</t>
  </si>
  <si>
    <t>Hermano hipertension, hermana diabetes</t>
  </si>
  <si>
    <t xml:space="preserve">Estaba muy nerviosa cuando le tomaron la presion. No es necesario que que se tome nuevamente la presion. </t>
  </si>
  <si>
    <t>PA levemente alterada</t>
  </si>
  <si>
    <t xml:space="preserve">Mantener tartamiento actual y controles medicos. 
Cambios de estilo de vida: alimetacion y deporte. </t>
  </si>
  <si>
    <t xml:space="preserve">Dolor abdominal intermitnete </t>
  </si>
  <si>
    <t>Hematuria y alteracion de la funcion renal</t>
  </si>
  <si>
    <t xml:space="preserve">Control con exmenes y control medico
Pesquisa en presion arterial </t>
  </si>
  <si>
    <t>Artrosis, hipotiroidismo</t>
  </si>
  <si>
    <t>DM, enf cardiacas</t>
  </si>
  <si>
    <t xml:space="preserve">Hipotiroidismo , Artrosis </t>
  </si>
  <si>
    <t xml:space="preserve">Se solicitan examenes de control e ingreso a hospital digital </t>
  </si>
  <si>
    <t>Creatinina 1.17 eGFR 49 glucosa en orina 50 glucosa plasmatica 180</t>
  </si>
  <si>
    <t>Paciente ya esta realizando un perfil seriado de PA en su cesfa , se indica completarlo y acudir a control cronico, se realiza educacion sobre riesgo cardiovascular y factores protectores</t>
  </si>
  <si>
    <t>PA 183/101 glucosa 135</t>
  </si>
  <si>
    <t>ITU A REPETICION &gt;3 EN 1 A;O, REFIERE DX DE DIABETES PERO NO SE HA MEDICADO POR OPCION PROPIA, REFIERE QUE SE TRATA CON MEDICINA NATURAL (HIERBAS)</t>
  </si>
  <si>
    <t xml:space="preserve">MADRE INSUFICIENCIA CARDIACA HIPERMEGALIA. </t>
  </si>
  <si>
    <t xml:space="preserve">AM: DM, HTA
Fcos: metformina 1000 (no se lo toma siempre), losartan 1 diario (tampoco lo toma)
Glicemia ahora altisima (424 ayuno)
Evaluacion renal bien
</t>
  </si>
  <si>
    <t>Ir a control consultorio lo antes posible.</t>
  </si>
  <si>
    <t xml:space="preserve">Se solicita perfil seriado de PA para control en su cesfam y educacion sobre sobrepeso y riesgo cardiovascular, se recomienda nutricion adecuada y ejercicio </t>
  </si>
  <si>
    <t>PA 156/93</t>
  </si>
  <si>
    <t>Artrosis, discopatia lumbar</t>
  </si>
  <si>
    <t xml:space="preserve">Asintomatica, se tomo desayuno alto en azucares. </t>
  </si>
  <si>
    <t xml:space="preserve">Glicemia 305  mas glucosuria </t>
  </si>
  <si>
    <t>Control con medico por glicemia fuera de rango</t>
  </si>
  <si>
    <t xml:space="preserve">HTA LOSARTAN 100 MG AM </t>
  </si>
  <si>
    <t>MAMA, PAPA Y HERMANOS CON HIPERTENSION</t>
  </si>
  <si>
    <t xml:space="preserve">Psoriasis pustulosa </t>
  </si>
  <si>
    <t xml:space="preserve">Hipertensa </t>
  </si>
  <si>
    <t>2019</t>
  </si>
  <si>
    <t>Madre y hermanos hipertension</t>
  </si>
  <si>
    <t xml:space="preserve">No es hta conocida
Ahora PA alta en dos tomas
Glicemia en rango
</t>
  </si>
  <si>
    <t>Orina completa, crea, perfil Cv</t>
  </si>
  <si>
    <t>Ir a cesfam a control con resultados</t>
  </si>
  <si>
    <t>Madre ERC, familia diabetes</t>
  </si>
  <si>
    <t xml:space="preserve">Azucar alta, asintomatico </t>
  </si>
  <si>
    <t>PA alterada y disminucion de la velocidad de filtracion glomerular, hiperglicemia 295</t>
  </si>
  <si>
    <t>Cambios de estilo de vida 
Pesquisa de presion arterial</t>
  </si>
  <si>
    <t>Se solicita perfil seriado de PA para control en su cesfam. (Se realizo previamente seriado de PA en agosto el cual resulto negativo para HTA)</t>
  </si>
  <si>
    <t>PA 172/73</t>
  </si>
  <si>
    <t xml:space="preserve">INSULINO RESISTENTE SIN TTO ACTUAL. </t>
  </si>
  <si>
    <t xml:space="preserve">MADRE DMNIR, TIO PATERNO DMIR E HTA </t>
  </si>
  <si>
    <t xml:space="preserve">NOV 2024 </t>
  </si>
  <si>
    <t>CESFAM Barroso</t>
  </si>
  <si>
    <t>Padre Las Casas</t>
  </si>
  <si>
    <t xml:space="preserve">Alteracion de la velocidad de filtracion glomerrular, presion arterial alta. </t>
  </si>
  <si>
    <t xml:space="preserve">Pesquisa presion arterial y control con examenes posteriormente control medico </t>
  </si>
  <si>
    <t>Endometriosis</t>
  </si>
  <si>
    <t>CESFAM Pitrufquen</t>
  </si>
  <si>
    <t>Gorbea</t>
  </si>
  <si>
    <t>HTA, DM, enf cardiacas</t>
  </si>
  <si>
    <t xml:space="preserve">Asintomatica, probablemente </t>
  </si>
  <si>
    <t xml:space="preserve">Antecedentes familiares de PA y PA elevada. </t>
  </si>
  <si>
    <t xml:space="preserve">Hipertension , diabetes </t>
  </si>
  <si>
    <t xml:space="preserve">MIGRAÑA EN TTO CON NAPROXENO CON PARACETAMOL SOS. HIPOTIROIDISMO EN TTO LEVOTIROXINA.  TUMOR EN OVARIO DERECHO EN TTO. </t>
  </si>
  <si>
    <t>PADRE DMIR, HTA</t>
  </si>
  <si>
    <t>ABRIL 2022</t>
  </si>
  <si>
    <t xml:space="preserve">Mucho desorden en las comidas. </t>
  </si>
  <si>
    <t xml:space="preserve">187 glicemia en ayunas </t>
  </si>
  <si>
    <t xml:space="preserve">Seguir con cambios de estilo de vida: menor consumo de carbohidratos. </t>
  </si>
  <si>
    <t>Anemia</t>
  </si>
  <si>
    <t xml:space="preserve">TIAS DMIR. </t>
  </si>
  <si>
    <t xml:space="preserve">Historia de pesquisa reciente negativa para presion arterial. </t>
  </si>
  <si>
    <t>Se deja pesquisa en caso de que salga alterada nuevamente.</t>
  </si>
  <si>
    <t>Diabetes , hipertension , ERC</t>
  </si>
  <si>
    <t xml:space="preserve">Se solicita control seriado de PA para retomar controles en su cesfam, los cuales abandono hace 12 meses aprox. Se realiza educacion sobre riesgo carsiovascular y factores protectores y de riesgo </t>
  </si>
  <si>
    <t>PA 150/81</t>
  </si>
  <si>
    <t xml:space="preserve">DLP EN TTO CON ESTATINAS. </t>
  </si>
  <si>
    <t xml:space="preserve">MADRE Y ABUELA CON DMNIR E HTA. </t>
  </si>
  <si>
    <t>Se solicitan examenes complementarios y perfil seriado de PA para control en su cesfam. Se realiza educacion sobre riesgo cardiovascular y factores protectores, dieta y ejercicio.</t>
  </si>
  <si>
    <t>Prequisa de Hipertensión
Prequisa de Diabetes Mellitus
Consulta de Morbilidad</t>
  </si>
  <si>
    <t>Glicemia 107.  PA 140/80</t>
  </si>
  <si>
    <t>En estudio de examenes tiroides</t>
  </si>
  <si>
    <t>Depresion, hipotiroidismo, dislipidemia</t>
  </si>
  <si>
    <t>Hermanas hipertension</t>
  </si>
  <si>
    <t xml:space="preserve">Se solicita perfil seriado de PA para control con medico tratante o en su cesfam </t>
  </si>
  <si>
    <t>HERMANO DIABETES.</t>
  </si>
  <si>
    <t>HBP</t>
  </si>
  <si>
    <t>Paciente diabetico, hipertenso. 
No se toma los medicamentos de la presion arterial</t>
  </si>
  <si>
    <t>Alteracion de la funcion renal, presion arterial alterada y glicemia alta</t>
  </si>
  <si>
    <t xml:space="preserve">Educacion sobre adherencia a tratamiento </t>
  </si>
  <si>
    <t xml:space="preserve">Retomar controles y reducir ingesta de sal </t>
  </si>
  <si>
    <t>PA 151/83 IMC 33,1</t>
  </si>
  <si>
    <t xml:space="preserve">MAMA HIPERTENSA. </t>
  </si>
  <si>
    <t xml:space="preserve">Se solicita perfil seriado de PA para control en su cesfam </t>
  </si>
  <si>
    <t xml:space="preserve">PA 143/68 </t>
  </si>
  <si>
    <t>Madre diabetes Padre hipertenso</t>
  </si>
  <si>
    <t xml:space="preserve">Posiblemente por condiciones ambientales. </t>
  </si>
  <si>
    <t xml:space="preserve">FIBROMIALGIA EN TTO CON PREGABALINA, KETOROLACO SOS. </t>
  </si>
  <si>
    <t xml:space="preserve">PADRE DMNIR, HTA, CARIDIOPATA. </t>
  </si>
  <si>
    <t>Preeclampsia en ultimatum embarrass (18 anos)</t>
  </si>
  <si>
    <t xml:space="preserve">Durmio en un bus en la noche </t>
  </si>
  <si>
    <t>PA alterada, disminucion de la velocidad de filtracion glomerular</t>
  </si>
  <si>
    <t>Se repite examenes de laboratorio y se aconseja control medico posterior</t>
  </si>
  <si>
    <t>Parkinson , demencia senil</t>
  </si>
  <si>
    <t xml:space="preserve">Parkinson y deterioro cognitivo, IAM y bypass coronario </t>
  </si>
  <si>
    <t xml:space="preserve">Asintomatico </t>
  </si>
  <si>
    <t xml:space="preserve">Alteracion de la VFG </t>
  </si>
  <si>
    <t>Repeticion de los examenes de funcion renal 
Control con medico con resultados</t>
  </si>
  <si>
    <t>Madre y padre diabetes</t>
  </si>
  <si>
    <t>Usuaria TACO, trombosis previas en pierna y vena porta</t>
  </si>
  <si>
    <t>HTA, DM, enf cardiaca</t>
  </si>
  <si>
    <t xml:space="preserve">AF: padres hta
AM: 3 trombosis (2 EEII- 1 porta). En estudio
Fcos: TACO
PA alta en dos tomas brazo izq, PA alta en brazi derecho
Edema pretibial bilateral
</t>
  </si>
  <si>
    <t xml:space="preserve">Perfil PA, orina completa, </t>
  </si>
  <si>
    <t>Completar estudio con hematologia. Ir a cesfam a perfil HTA</t>
  </si>
  <si>
    <t xml:space="preserve">PADRE HTA </t>
  </si>
  <si>
    <t xml:space="preserve">Realizar derivacion a medicina interna para estudio de hipertension secundaria. Se realiza educacion sobre hta factores protectores y de riesgo </t>
  </si>
  <si>
    <t>PA 153/86</t>
  </si>
  <si>
    <t>Se ha realizado con multiples holter, de momento sin digantico de HTA de momento, seguira en control por antecedentes familiares</t>
  </si>
  <si>
    <t>Antecedentes de hipertension arterial en la familia y PA elevada</t>
  </si>
  <si>
    <t xml:space="preserve">Seguir con control seriado </t>
  </si>
  <si>
    <t>Vitiligo , purpura , psoriasis ,tbc mas de 30 años</t>
  </si>
  <si>
    <t xml:space="preserve">Diabetes enhipertension , enfermedad cardiaca </t>
  </si>
  <si>
    <t xml:space="preserve">Nieta riñon de herradura. </t>
  </si>
  <si>
    <t>DLP, Hipotiroidismo, IAM By pass coronario, Aneurisma con drenaje</t>
  </si>
  <si>
    <t>Leve alteracion de la funcion renal</t>
  </si>
  <si>
    <t>Repetir examenes de laboratorio y consulta de morbilidaad</t>
  </si>
  <si>
    <t xml:space="preserve">FIBROSIS PULMONAR </t>
  </si>
  <si>
    <t xml:space="preserve">AM: hta mal controlada, fibrosis pulmonar
Fcos: amdolipino, aas, atv, pregabalina, brexetide, inhaladores
PA alta en dos tomas. Muy mala adherencia a tto. 
Evaluacion renal ok
</t>
  </si>
  <si>
    <t>Orina completa, perfil cv, crea</t>
  </si>
  <si>
    <t>Control en cesfam con examenes.</t>
  </si>
  <si>
    <t>Propensa a paralisis facial</t>
  </si>
  <si>
    <t>Paciente tiene pendientes examenes complementarios para estudio de diabetes, se solicita perfil seriado de PA</t>
  </si>
  <si>
    <t>PA 140/41 IMC 34,9</t>
  </si>
  <si>
    <t xml:space="preserve">ASMATICO </t>
  </si>
  <si>
    <t xml:space="preserve">HERMANA HIPERTENSA Y DIABETICA </t>
  </si>
  <si>
    <t xml:space="preserve">AM: HTA
Fcos: losartan 1 vez dia, ibuprofeno automedicado
PA 2 tomas alta
Evaluacion renal alterada
</t>
  </si>
  <si>
    <t>Perfil cv, rac, orina completa, crea</t>
  </si>
  <si>
    <t>Control en cesfam con resultados</t>
  </si>
  <si>
    <t>Hijas hipertension</t>
  </si>
  <si>
    <t>Se tomo remedio para la presion hace 15 minutos</t>
  </si>
  <si>
    <t xml:space="preserve">Mantener buena adherencia a tratamiento </t>
  </si>
  <si>
    <t xml:space="preserve">Hipertension , ERC </t>
  </si>
  <si>
    <t>AM: hta
Fcos: losartan 2 veces dia, antihistaminico
AF: mamá ERC etapa IV
PA alta en dos tomas
Glicemia y evaluacion renal ok
GR 50 en orina</t>
  </si>
  <si>
    <t>Perfil PA, RAC, OC, UC</t>
  </si>
  <si>
    <t>Corregir tto segun perfil pa</t>
  </si>
  <si>
    <t>PSR Coipue</t>
  </si>
  <si>
    <t xml:space="preserve">Se realiza educacion sobre consumo de sal y adherencia a tratamiento, mantener controles en su cesfam </t>
  </si>
  <si>
    <t>IMC 33 PA 151/74 glucosa 109</t>
  </si>
  <si>
    <t>Posta de Coipue</t>
  </si>
  <si>
    <t>Sarcoma sinovial tratado (quimio) isterectomia y CA Mama / vascular EEII</t>
  </si>
  <si>
    <t>Padre DMII HTA
HTA mama</t>
  </si>
  <si>
    <t xml:space="preserve">HTA EN TTO CON LOSARTAN, AMLODIPINO, HIDROCLOROTIAZIDA. </t>
  </si>
  <si>
    <t xml:space="preserve">HERMANA CON DMNIR </t>
  </si>
  <si>
    <t xml:space="preserve">NORMAL </t>
  </si>
  <si>
    <t xml:space="preserve">Asintomatica </t>
  </si>
  <si>
    <t>Examenes de control y contorl con medico con resultados</t>
  </si>
  <si>
    <t>Artrosis artritis</t>
  </si>
  <si>
    <t>Madre diabetes hipertension</t>
  </si>
  <si>
    <t>Hipotiroidismo, DLP, FA en TACO</t>
  </si>
  <si>
    <t xml:space="preserve">Historia de infecciones urinarias a repticion </t>
  </si>
  <si>
    <t>GLICEMIA 351</t>
  </si>
  <si>
    <t xml:space="preserve">Se recomienda cranberry
Candidata a uso de hipoglicemiantes disitintos a MTF. </t>
  </si>
  <si>
    <t xml:space="preserve">SERIADO DE PA ALTERADO, EN TTO CON ENALAPRIL ACTUAL. CONTROLADO. ANTECEDENTE DE ULCERA GASTRICA TRATADA. </t>
  </si>
  <si>
    <t>HERMANA</t>
  </si>
  <si>
    <t>AM: hta
Fcos: enalapril
PA 2 tomas alta
Evaluacion renal ok
No tomo remedio am</t>
  </si>
  <si>
    <t xml:space="preserve">No es hta conocida
PA alta en dos tomas
Glicemia y renal ok
</t>
  </si>
  <si>
    <t>Seriado PA, perfil cv, crea, examen orina</t>
  </si>
  <si>
    <t>Control con resultado examenes</t>
  </si>
  <si>
    <t>Amanecer</t>
  </si>
  <si>
    <t>Diabetes, hipertension y enf cardiaca</t>
  </si>
  <si>
    <t>Hipotiroidismo, artrosis a la cadera, artritis reumatoide</t>
  </si>
  <si>
    <t xml:space="preserve">Arthritis reumatoides ,Hipotiroidismo, Artrosis de cadera </t>
  </si>
  <si>
    <t xml:space="preserve">Se reocmienda control de presion arterial y evatual consulta con medico en caso de presiones arteriales alteradas </t>
  </si>
  <si>
    <t>Dislipidemia, ulcera gastrica</t>
  </si>
  <si>
    <t>Madre ERC, diabetes hipertension</t>
  </si>
  <si>
    <t xml:space="preserve">AM: hta, artrosis, dlp
Fcos: losartan 50 mg, atv 20 mg, paracetamol, celecoxib, zopiclona
PA 2 tomas alta
Renal y glicemia ok
</t>
  </si>
  <si>
    <t xml:space="preserve">Freire </t>
  </si>
  <si>
    <t xml:space="preserve">Refiere episodios de hipotension </t>
  </si>
  <si>
    <t>Hiperte</t>
  </si>
  <si>
    <t xml:space="preserve">Fibrillation auricular </t>
  </si>
  <si>
    <t>Se solicitan examenes complementarios urgentes, control con medico en su cesfam, solicitar ecografia renal y prostatica y derivar a hospital digital o urgencias segun corresponda</t>
  </si>
  <si>
    <t>Creatinina 3,17 eGRF 19 PA 97/68</t>
  </si>
  <si>
    <t xml:space="preserve">RINSULINO RESISTENTE TRATADA METFORMINA 750 XR, SUSPENDIDO ACTUALMENTE. </t>
  </si>
  <si>
    <t xml:space="preserve">Se solicita perfil seriado de PA para proximo control en su cesfam, se realiza educacion sobre adherencia a tratamiento y disminucion del consumo de sal. </t>
  </si>
  <si>
    <t xml:space="preserve">IMC 35,3 PA 170/99 </t>
  </si>
  <si>
    <t xml:space="preserve">HIGADO GRASO. </t>
  </si>
  <si>
    <t xml:space="preserve">MADRE HTA. </t>
  </si>
  <si>
    <t xml:space="preserve">NUNCA </t>
  </si>
  <si>
    <t>Enf cardiaca, diabtes, hipertemsion</t>
  </si>
  <si>
    <t xml:space="preserve">Ayer tuvo control con medico y estaba todo bien </t>
  </si>
  <si>
    <t>Seguir en control de patologia cronica</t>
  </si>
  <si>
    <t>CECOSF Virquenco</t>
  </si>
  <si>
    <t>Lupus</t>
  </si>
  <si>
    <t xml:space="preserve">DMIR 16 UI AM Y 14 PM. COLECISTECTOMIA MARZO 2025, ACV ABRIL 2025, HISTERECTOMIA RADICAL 2019 </t>
  </si>
  <si>
    <t xml:space="preserve">HRMANA CARDIOPATA </t>
  </si>
  <si>
    <t xml:space="preserve">Paciente refiere tener control con examenes el dia 5 de octubre 2025. Se realiza educacion sobre consumo de sal. </t>
  </si>
  <si>
    <t>Madre hipertesion y diabetes</t>
  </si>
  <si>
    <t>Hipotiroidismo, osteoporosis, artrosis, histerectomia</t>
  </si>
  <si>
    <t>HTA, DM, enf cardiaco, ACV</t>
  </si>
  <si>
    <t>AM: hipotiroidismo
Fcos: euritox
PA dos tomas alta
Renal y glicemia ok</t>
  </si>
  <si>
    <t>Perfil cv, oc, crea,</t>
  </si>
  <si>
    <t>Seriado de PA</t>
  </si>
  <si>
    <t>Insuficiencia cardiaca con marcapaso</t>
  </si>
  <si>
    <t>Posta huilio</t>
  </si>
  <si>
    <t>Dialisis papa</t>
  </si>
  <si>
    <t>Sospecha Enfermedad renal, Artritis psoriatica, Anemia</t>
  </si>
  <si>
    <t xml:space="preserve">AM: esteatosis hepatica, anemia severa, psoriasis y artritis psoriatica
Fcos: fierro, acido folico, metotrexato, celecoxib, losartan, vitamina D
Tiene proteinuria rango nefrotico desde marzo 2025 y proteinuria 24 hrs 814 desde mayo 2025. Tiene IC a nefrologo pero no tiene hora aun.
Tiene indicacion de biopsia renal.
</t>
  </si>
  <si>
    <t>Hemograma, crea, examen orina, rac</t>
  </si>
  <si>
    <t>Acudir a control con nefrologo con resultados examenes</t>
  </si>
  <si>
    <t xml:space="preserve">HTA EN TTO CON CARVEDILOL, LOSARTAN, PCT SOS, OMEPRAZOL, SERTRALINA, QUETIAPINA, EUTIROX (HIPOTIROIDISMO), CLORFENAMINA SOS, TILDIAZEM (ESPASMO CORONARIO) </t>
  </si>
  <si>
    <t xml:space="preserve">Hipotiroidismo, Espasmo Coronario </t>
  </si>
  <si>
    <t xml:space="preserve">AM: hta, hbp, hipotiroidismo, espasmos coronarios
Fcos: carvedilol 6,25 dos veces, losartan 50 2 veces, tamsulosina, paracetamol sos, omeprazol, sertralina, quetiapina, eutirox, diltiazem
PA alta en dos tomas
Renal alterado </t>
  </si>
  <si>
    <t xml:space="preserve">Orina completa, crea, rac </t>
  </si>
  <si>
    <t>Control en cesfam para seriado de PA y mostrar resultados examenes</t>
  </si>
  <si>
    <t xml:space="preserve">Se solicita perfil seriado de PA y posterior control en su cesfam </t>
  </si>
  <si>
    <t xml:space="preserve">PA 147/78 IMC 26 glucosa 91 </t>
  </si>
  <si>
    <t xml:space="preserve">EN EVALUACION POR HIPOTIROIDISMO, EXAMENES MUY LIMITE, LE INDICARON DIETA Y EJERCICIO. </t>
  </si>
  <si>
    <t>PADRE HTA</t>
  </si>
  <si>
    <t xml:space="preserve">Alteracion de la funcion renal limite. </t>
  </si>
  <si>
    <t>Examenes de control y luego contol con medico</t>
  </si>
  <si>
    <t>Cesfam freire</t>
  </si>
  <si>
    <t>Disiminucion de la velocidad de filtracion glomerular</t>
  </si>
  <si>
    <t xml:space="preserve">Examenes de control y control con medico posteriormente </t>
  </si>
  <si>
    <t>Hernia en el estomago</t>
  </si>
  <si>
    <t xml:space="preserve">QUISTE EN RIÑON </t>
  </si>
  <si>
    <t xml:space="preserve">MADRE HTA </t>
  </si>
  <si>
    <t>Sospecha enfermedad renal</t>
  </si>
  <si>
    <t>No es hipertenso conocido
No usa farmacos
Hay daño renal (VFG 40 y crea alterada)
PA alta</t>
  </si>
  <si>
    <t>Orina completa, crea, rac, VFG, ELP, calcio, antigeno prostatico, perfil lipidico</t>
  </si>
  <si>
    <t>Pesquisa HTA y control con resultado examenes</t>
  </si>
  <si>
    <t>Cesfam pitrufquen</t>
  </si>
  <si>
    <t>Nefrocalcinosis</t>
  </si>
  <si>
    <t>Dice que eco del año pasado Eco indico nefrocalcinosis. No se ha controlado con nefrologo.
Evaluación renal normal
Resto normal</t>
  </si>
  <si>
    <t>Orina completa, creatinina</t>
  </si>
  <si>
    <t>Control anual con medico con respecto a nefrocalcinosis. 
Seguimiento PA en consultorio</t>
  </si>
  <si>
    <t xml:space="preserve">COLON IRRITABLE, </t>
  </si>
  <si>
    <t>ABUELA PATERNA DMNIR</t>
  </si>
  <si>
    <t>Abuelos maternos</t>
  </si>
  <si>
    <t>HFC Loncoche</t>
  </si>
  <si>
    <t>Loncoche</t>
  </si>
  <si>
    <t xml:space="preserve">PROSTATITIS EN TTO. </t>
  </si>
  <si>
    <t xml:space="preserve">HERMANA HTA Y DMNIR. </t>
  </si>
  <si>
    <t>Obs EPOC</t>
  </si>
  <si>
    <t>No se toma medicamentos hace 2 anos y se hizo holter de presion que decia que no era hipertenos</t>
  </si>
  <si>
    <t xml:space="preserve">Control de presion seriado </t>
  </si>
  <si>
    <t xml:space="preserve">Buen control metabolico y buen control de presiones arteriales. </t>
  </si>
  <si>
    <t xml:space="preserve">Proteinuria, trae RAC reciente con 652. </t>
  </si>
  <si>
    <t>Evaluar posibilidad de iniciar tratamiento con iSGLT2 por dano renla</t>
  </si>
  <si>
    <t>Cesfam friere</t>
  </si>
  <si>
    <t>Diabetes mama</t>
  </si>
  <si>
    <t xml:space="preserve">Tomo desayuno alto. </t>
  </si>
  <si>
    <t xml:space="preserve">Alteracion de la funcion renal, azucar alta </t>
  </si>
  <si>
    <t xml:space="preserve">Control con examenes y posteriormente control con medico </t>
  </si>
  <si>
    <t xml:space="preserve">Se solicita perfil seriado de PA y examenes complementarios para evaluacion en su cesfam. </t>
  </si>
  <si>
    <t>PA 161/102 Creatinina 1,08 eGFR 59 orina Sangre 10 Leucocitos 75 IMC 33</t>
  </si>
  <si>
    <t>MADRE DMNIR, HTA, CON ERC EN HD HACE 3 AÑOS</t>
  </si>
  <si>
    <t>Gastritis y colesterol alto</t>
  </si>
  <si>
    <t>Gastritis chronically</t>
  </si>
  <si>
    <t xml:space="preserve">Se ha hecho pesquisas previamente y siempre sale bien. </t>
  </si>
  <si>
    <t>PA elevad, disminucion de la VFG</t>
  </si>
  <si>
    <t>Control con examenes de laboratorio y control con medico posteriormente.</t>
  </si>
  <si>
    <t xml:space="preserve">Colecistectomia </t>
  </si>
  <si>
    <t>Cesfam de freire</t>
  </si>
  <si>
    <t>Infartos en los padres</t>
  </si>
  <si>
    <t>IAM 2024</t>
  </si>
  <si>
    <t>Padre y madre IAM</t>
  </si>
  <si>
    <t>AM: hta
Fcos: enalapril 5 mg
Adherncia regular a tto. Trata de manejarlo con dieta pero no lo logra, 3 tomas de PA alteradas hoy.
Renal y glicemia ok.</t>
  </si>
  <si>
    <t xml:space="preserve">Ajuste tto a enalapril cada 12 hrs y control </t>
  </si>
  <si>
    <t>Hernia, parkinson</t>
  </si>
  <si>
    <t>PARKINSON</t>
  </si>
  <si>
    <t>Proteinuria y alterarcion de la VFG</t>
  </si>
  <si>
    <t xml:space="preserve">Examenes de control y control con medico posterio </t>
  </si>
  <si>
    <t>Hipotiroisdismo y tronbosis y artrosis</t>
  </si>
  <si>
    <t>Hipotiroidismo, esofagitis</t>
  </si>
  <si>
    <t xml:space="preserve">AM: hta, hipotiroidismo
Fcos: enalapril 10 mg, hct + treamtereno, levotiroxina
PA ahora algo alta
Glicemia y renal ok
</t>
  </si>
  <si>
    <t xml:space="preserve">INSULINO REISSTENTE EN TTO DURNATE 2 MESES CON METFORMINA, ABANDONO DE TRATAMIENTO, SIN RECONTROL. </t>
  </si>
  <si>
    <t>TIO MATERNO CON DMIR, HERMANO HIPERTENSO, IAM EN 2022 Y 2024</t>
  </si>
  <si>
    <t>Padre diabetes</t>
  </si>
  <si>
    <t>No es hta conocida
Fcos: no (suspendio sola la atv)
No hay AF de HTA
PA ahora alta en tres tomas
Glicemia y renal normal</t>
  </si>
  <si>
    <t>Examen orina, crea, colesterol total/hdl/ldl, hemograma, hormonas tiroideas</t>
  </si>
  <si>
    <t>Control en cesfam para seriado PA y mostrar examenes</t>
  </si>
  <si>
    <t xml:space="preserve">HTA, OLMESARTAN E HIDROCLOROTIAZIDA. </t>
  </si>
  <si>
    <t xml:space="preserve">PAPA HTA Y DMIR FALLECIDO. </t>
  </si>
  <si>
    <t>GOTA</t>
  </si>
  <si>
    <t>Presion arterial persistentemente alta en tomas ambulatorioas</t>
  </si>
  <si>
    <t xml:space="preserve">Contorl con medico de cabcera para ajuste de tratamiento. </t>
  </si>
  <si>
    <t>Cecosf</t>
  </si>
  <si>
    <t>CECOSF</t>
  </si>
  <si>
    <t>Cancer</t>
  </si>
  <si>
    <t xml:space="preserve">LOSARTAN, HIDROCLOROTIAZIDA. ARTROSIS EN TTO CON CELECOXIB, 1 SEMANAL SOS. </t>
  </si>
  <si>
    <t xml:space="preserve">HERMANO CON DMIR </t>
  </si>
  <si>
    <t>Epilepsia en tratamiento</t>
  </si>
  <si>
    <t>Hipotiroisdismo fibromialgia</t>
  </si>
  <si>
    <t>HTA, enf cardiaco</t>
  </si>
  <si>
    <t xml:space="preserve">MAMA. HTA. </t>
  </si>
  <si>
    <t>Migraña</t>
  </si>
  <si>
    <t>Padre diabetes, enfermedad cardiaca y ERC</t>
  </si>
  <si>
    <t>Hipoacusia y calculos renales hace 10 anos</t>
  </si>
  <si>
    <t>Hipersion y diabetes mama</t>
  </si>
  <si>
    <t>Hipoacusia bilateral</t>
  </si>
  <si>
    <t xml:space="preserve">Buena adherencia a tratamiento. Farmacologico  aun asi mal control de presion arterial,. </t>
  </si>
  <si>
    <t>Mantenr control farmacoligo y buena adherencia a tratamiento
Cambios de estilo de vida</t>
  </si>
  <si>
    <t xml:space="preserve">LANSOPRAZOL PERMANENTE POR RELUJO Y ACIDEZ. ENDOSCOPIA CADA A;O Y COLONOSCOPIA CADA 2 AÑOS. CONSULTA CON EPISTAXIS HACE 1 MES, LE REALIZAN HOLTER Y LE DIAGNOSTICAN HTA EN TTO CON NEBIVOLOL (HACE 1 MES). REFIERE ALTO ESTRES. </t>
  </si>
  <si>
    <t xml:space="preserve">PADRE HTA, FALLECIDO. </t>
  </si>
  <si>
    <t xml:space="preserve">Pesquisa de presion arterail </t>
  </si>
  <si>
    <t xml:space="preserve">Hipotiroidismo , asma </t>
  </si>
  <si>
    <t>Cecosf el bosque</t>
  </si>
  <si>
    <t xml:space="preserve">AM: hta
Fcos: losartan 1 vez am
Ahora PA elevada
Dice consumir poca sal, usando la tapa de lapiz bic en total
</t>
  </si>
  <si>
    <t>Seriado PA</t>
  </si>
  <si>
    <t>Control cronico + seriado de PA en consultorio</t>
  </si>
  <si>
    <t xml:space="preserve">Leucemia , artrosis , hipercolesterolemia </t>
  </si>
  <si>
    <t xml:space="preserve">Diabetes , hipertension </t>
  </si>
  <si>
    <t xml:space="preserve">HTA EN TTO: LOSARTAN, AMLODIPINO, DIABETES EN TTO CON: METFORMINA. </t>
  </si>
  <si>
    <t>HTA Elevada, paciente informa HTA no tratada.</t>
  </si>
  <si>
    <t>Se da recomendaciones para mantener presion en rango. Recomendaciones de toma de agua. Mejorar cuidados que ya posee.
Mantener controles periodicos.</t>
  </si>
  <si>
    <t xml:space="preserve">Se pesquisa hipertension y obesidad, glicemia influenciada por alimentacion.
</t>
  </si>
  <si>
    <t>Presion Arterial, Glicemia Alterada</t>
  </si>
  <si>
    <t>Derivacion a Seriado de presion y recomendacion de alimentacion.
Se educa de los cuidadmos de peso y de presion, y conductas a seguir.
Continuar con cuidados en CESFAM.</t>
  </si>
  <si>
    <t>Cesfam freir</t>
  </si>
  <si>
    <t>Hipertensio y diabetes papa</t>
  </si>
  <si>
    <t>Proteinuria (30), usuario explica posible motivos de proteinuria relacion a exceso de ejercicio. Ademas de HTA 1 que se asocia a distancia caminada.</t>
  </si>
  <si>
    <t>Consulta de Morbilidad, Examenes</t>
  </si>
  <si>
    <t>HTA, Proteinuria</t>
  </si>
  <si>
    <t>Se educa sobre la proteinuria y las posibles causas.</t>
  </si>
  <si>
    <t xml:space="preserve">DDX DE DLP HACE 2 MESES, INDICARON ATORVASTATINA, SIN EMBARGO, NO LA HA TOMADO. </t>
  </si>
  <si>
    <t>Hipotiroisdismo</t>
  </si>
  <si>
    <t>Hipertension y operacion al corazon de hermanos</t>
  </si>
  <si>
    <t xml:space="preserve">Fcos: Olmesartan, amlodipino.
En controles con cardiologia Dr. Salvaticci. 
Se solicitan examenes complementarios y perfil seriado de PA para revision con medico tratante </t>
  </si>
  <si>
    <t>IMC 38.6 PA 1558,95</t>
  </si>
  <si>
    <t xml:space="preserve">Revision de examenes, seriado de PA y ajuste de terapia farmacologica segun corresponda </t>
  </si>
  <si>
    <t xml:space="preserve">HTA EN TTO CON ENALAPRIL, IAM 2007 Y 2009 EN TTO CON ATORVASTATINA, ASPIRINA DE 100 MG, METFORMINA 1000 MG 2 AL DIA. </t>
  </si>
  <si>
    <t xml:space="preserve">AMBOS PADRE HIPERTENSOS Y DMNIR </t>
  </si>
  <si>
    <t>HTA EN TTO: LOSARTAN FUROSEMIDA, BISOPROLOLO, AMLODIPINO, METFORMIA PARA RESISTENCIA A LA INSULINA, CELEBRA SOS POR ARTROSIS. ITUS RECURRENTES &gt;3 EN 1 AÑO. OPERADA DE MAMA IZQUIERDA EN 1985</t>
  </si>
  <si>
    <t xml:space="preserve">HERMANA Y MADRE CON DMIR , HERMANA GEMELA FALLECIDA POR IAM (2023) </t>
  </si>
  <si>
    <t xml:space="preserve">NO RECUERDA FECHA </t>
  </si>
  <si>
    <t>Asma bronquial cronica</t>
  </si>
  <si>
    <t xml:space="preserve">AM: HTA, dislipidemia, asma
Fcos: amlodipino, atv, bromuro de ipatropio
PA ahora dentro de lo esperado para la edad
</t>
  </si>
  <si>
    <t>Mantener controles cronicos</t>
  </si>
  <si>
    <t>Teodoro schmidt</t>
  </si>
  <si>
    <t>MADRE DMNIR</t>
  </si>
  <si>
    <t>ABUELO MATERNO HTA.</t>
  </si>
  <si>
    <t>Migranas</t>
  </si>
  <si>
    <t>Diabetes tias</t>
  </si>
  <si>
    <t>Higado graso, HTA</t>
  </si>
  <si>
    <t xml:space="preserve">EN CONTROL CON ONCOLOGIA, CX CA MAMA DERECHA EN 2013 </t>
  </si>
  <si>
    <t>TIO MATERNOS CON DM IR</t>
  </si>
  <si>
    <t xml:space="preserve">No es hipertensa conocida. AF de HTA
Hoy PA en dos tomas alta
</t>
  </si>
  <si>
    <t>Orina completa, crea, rac, calcio</t>
  </si>
  <si>
    <t>Seriado de PA en consultorio</t>
  </si>
  <si>
    <t>Usuaria Explica ITU reciente, SE PESQUIZA GFR 58.</t>
  </si>
  <si>
    <t>GFR 58 CREA 1,13</t>
  </si>
  <si>
    <t>Se recomienda mantener cuidados de la HTA y 
DMII dado a buenos parametros
Se da examenes por sospecha de ERC, URO OC por la ITU</t>
  </si>
  <si>
    <t>HTA, DM2, Ca Pulmonar</t>
  </si>
  <si>
    <t xml:space="preserve">AM: DMIR hace 5 años (insulina 30/24)
No hipertensa conocida
Glicemia alta
PA alta 
Evaluacion renal ok </t>
  </si>
  <si>
    <t>Crea, examen orina, rac</t>
  </si>
  <si>
    <t>Pesquisa HTA en consultorio</t>
  </si>
  <si>
    <t xml:space="preserve">HTA LOSARTAN E HIDROCLOROTIAZIDA, AMLODIPINO, FAMOTIDINA. RESISTENCIA A LA INSULINA SIN TTO ACTUAL, ESTUVO HACE 1 AÑO EN TTO CON MEETFORMINA. OVARIO POLIQUISTICO, MENOPAUSICA. </t>
  </si>
  <si>
    <t xml:space="preserve">HERMANO Y PADRE HIPERTENSO, HERMANA CON DMIR. </t>
  </si>
  <si>
    <t xml:space="preserve">AM: hta larga data (10 años), RI sin tto
Fcos: losartan 50 c/12 hrs, amlodipino
Evaluacion renal ok
</t>
  </si>
  <si>
    <t>Crea, orina completa, rac, perfil lipidico, hemograma, hb1ac</t>
  </si>
  <si>
    <t xml:space="preserve">Control en consultorio con resultados </t>
  </si>
  <si>
    <t>Cesfan freire</t>
  </si>
  <si>
    <t xml:space="preserve">Hta cardiaca </t>
  </si>
  <si>
    <t>Nov 2023</t>
  </si>
  <si>
    <t>Particular</t>
  </si>
  <si>
    <t xml:space="preserve">Cesfam Freire </t>
  </si>
  <si>
    <t xml:space="preserve">Cefaleas, Hipertension </t>
  </si>
  <si>
    <t xml:space="preserve">Enfermedad cardiaca. </t>
  </si>
  <si>
    <t>HIPOTIROIDISMO EN TTO LEVOTIROXINA, HTA EN TTO CON LOSARTAN, AMLODIPINO, FUROSEMIDA, CARVEDILOL, RESISTENCIA A LA INSULINA EN TTO CON METFORMINA 850 MG 2 AL DIA, DESLORATADINA (ASMATICA), ATORVASTATINA (DLP) BIOPSIA MAMA IZQUIERDA 2019</t>
  </si>
  <si>
    <t>TTO multiple antihipertensivos,</t>
  </si>
  <si>
    <t>HTA ERC / Crea 1.1 / IMC 40,1</t>
  </si>
  <si>
    <t xml:space="preserve">Se recomienda tratar espironolactona </t>
  </si>
  <si>
    <t xml:space="preserve">HTA EN TTO LOSARTAN, QUETIAPINA DIARIO PARA INSOMNIO. </t>
  </si>
  <si>
    <t xml:space="preserve">PADRE CON MARCAPASOS, FALLECIDO. </t>
  </si>
  <si>
    <t>Se Pesquiza sospecha de ERC mas Sobrepeso, HTA en TTO LOSARTAN 1 Comp dia. Atorvastatina en la noche</t>
  </si>
  <si>
    <t>Orden de Examenes
Hospital Digital, Nefrología</t>
  </si>
  <si>
    <t>IMC 30,1 / CREA 2,23 / UFG 25</t>
  </si>
  <si>
    <t>Se educa sobre los cuidados del riñon dado a los parametros alterados, se entrega Solicitud de Examenes</t>
  </si>
  <si>
    <t xml:space="preserve">CESFAM PITRUFQUEN </t>
  </si>
  <si>
    <t xml:space="preserve">Diabetes Hta </t>
  </si>
  <si>
    <t>Nov 2024</t>
  </si>
  <si>
    <t>AM: HTA
Fcos: amlodipino 10 mg
PA hoy alterada. Refiere tener edema ocasionalmente. 
Glicemia normal, evaluacion renal normal</t>
  </si>
  <si>
    <t xml:space="preserve">Control con medico (perfil PA). Se sugiere añadir HCT
</t>
  </si>
  <si>
    <t>Insuficiencia renal, hipertension, diebetes</t>
  </si>
  <si>
    <t xml:space="preserve">Se realiza educacion sobre FR cardiovasculares, factores protectores. 
</t>
  </si>
  <si>
    <t xml:space="preserve">IMC 51 PA 134,83 Glicemia 103 </t>
  </si>
  <si>
    <t xml:space="preserve">Control metabolico </t>
  </si>
  <si>
    <t xml:space="preserve">DMNIR EN TTO CON METFORMINA (DESDE 2021), DLP ATORVASTATINA (2021) </t>
  </si>
  <si>
    <t>AMBOS PADRES CON DMIR</t>
  </si>
  <si>
    <t xml:space="preserve">AM: HTA, DM2 hace. 5 anos
Se solicita seriado de perfil de PA y examenes complementarios para evaluacion por su cesfam 
Sin fondo de ojo vigente  
Sin ECG vigente 
Se realiza educacion sobre riesgo cardiovascular, factores protectores y de riesgo </t>
  </si>
  <si>
    <t>HTA, glicemia 286, PA 173,89 IMC 36</t>
  </si>
  <si>
    <t xml:space="preserve">Educacion de hipertension </t>
  </si>
  <si>
    <t>Cecosf de freire</t>
  </si>
  <si>
    <t>Todo dentro de rango</t>
  </si>
  <si>
    <t>Se deriva a educacion</t>
  </si>
  <si>
    <t>HTA, DLP</t>
  </si>
  <si>
    <t xml:space="preserve">Farmacos losartan 1,0,1
Se solicita perfil seriado de PA para control y ajuste de tratamiento en su cesfam
Se realiza educacion sobre factores de riesgo cardiovascular y factores protectores. </t>
  </si>
  <si>
    <t>PA 161,90  IMC 39</t>
  </si>
  <si>
    <t xml:space="preserve">Seriado de PA, valorar ajuste de tratamiento farmacologico </t>
  </si>
  <si>
    <t xml:space="preserve">MAMA Y HERMANO CON HTA </t>
  </si>
  <si>
    <t xml:space="preserve">No es hipertenso conocido. Dice que hace 4 meses se hizo perfil de PA y salio normal. 
Hoy PA alta en dos tomas.
</t>
  </si>
  <si>
    <t>Repetir seriado de PA</t>
  </si>
  <si>
    <t>Consultorio miraflores</t>
  </si>
  <si>
    <t>Diabetes y abuelo con ca de rinon</t>
  </si>
  <si>
    <t>Diabetes cardiaca</t>
  </si>
  <si>
    <t xml:space="preserve">HIPOTIROIDISMO EN TTO CON EUTIROX . EMBARAZADA DE 5 MESES. </t>
  </si>
  <si>
    <t xml:space="preserve">CESFAM Pitrufquen </t>
  </si>
  <si>
    <t>Refiere problemas pulmonares</t>
  </si>
  <si>
    <t>Cecofs el bosque</t>
  </si>
  <si>
    <t>Curacautín</t>
  </si>
  <si>
    <t xml:space="preserve">ARTRITIS DESDE 2021 </t>
  </si>
  <si>
    <t xml:space="preserve">PAPA DMIR, HTA EN TTO </t>
  </si>
  <si>
    <t>Insuficiencia renal, insuficiencia cardiaca, hipertension</t>
  </si>
  <si>
    <t>Sospecha ERC</t>
  </si>
  <si>
    <t xml:space="preserve">AM: hta
Fcos: losartan + hct
Evaluacion renal alterada. Madre tenia ERC en dialisis por hta
</t>
  </si>
  <si>
    <t>Perfil bioquimico, rac, crea, orina, hormonas tiroideas, glicemia, acido urico, hemograma, calcio, perfil lipidico</t>
  </si>
  <si>
    <t>Control con resultados examenes. Sospecha enfermedad renal.</t>
  </si>
  <si>
    <t xml:space="preserve">CESFAM QUEPE </t>
  </si>
  <si>
    <t>Cardiaca, ERC, HTA</t>
  </si>
  <si>
    <t>Hipertension abuela</t>
  </si>
  <si>
    <t xml:space="preserve">PADRE CON DMIR FALLECIDO </t>
  </si>
  <si>
    <t>Bronquitis</t>
  </si>
  <si>
    <t xml:space="preserve">ARTROSIS DE CADERA EN TTO CON CELECOXIB SOS, naproxeno sos en caso de jaqueca. PCT SOS. </t>
  </si>
  <si>
    <t xml:space="preserve">CESFAM FREIRE </t>
  </si>
  <si>
    <t xml:space="preserve">Ca de Tiroides. (Resuelto) </t>
  </si>
  <si>
    <t>FCOS: Losartan 1-0-1 , Hidroclorotiazida, Metformina, Alopurinol.
Se solicita perfil seriado de PA y examenes complementarios para posterior revision en su cesfam. 
Se realiza educacion sobre ERC.</t>
  </si>
  <si>
    <t xml:space="preserve">IMC 39,9 PA1: 182,98 PA2: 164,92. Glicemia 124 Creatinina 1.92 eGFR  29 </t>
  </si>
  <si>
    <t xml:space="preserve">Revision de PA y examenes complementarios </t>
  </si>
  <si>
    <t>Se solicitan examenes complemementarios para revision y seguimiento en su cesfam</t>
  </si>
  <si>
    <t>CREATININA 1.05 eGFR 59</t>
  </si>
  <si>
    <t>Revisar examenes, creatinina, uremia, VFG</t>
  </si>
  <si>
    <t xml:space="preserve">INSULINO RESISTENTE SIN TTO DX EN 2019. </t>
  </si>
  <si>
    <t xml:space="preserve">PADRE DMNIR, MADRE HTA FALLECIDA. </t>
  </si>
  <si>
    <t>Artritis hipotiroisdismo colesterol alto</t>
  </si>
  <si>
    <t>FCOS: LOSARTAN, AMLODIPINO 
Se realiza educacion sobre HTA y se solicita perfil seriado de PA para posterior revision en su cesfam y ajuste farmacologico si correspondiera</t>
  </si>
  <si>
    <t>PA 1: 144,100 PA2: 128,101</t>
  </si>
  <si>
    <t xml:space="preserve">Revisar seriado de presion arterial </t>
  </si>
  <si>
    <t xml:space="preserve">ARTROSIS EN TTO DICLOFENACO Y PCT SOS. HTA LOSARTAN, AMLODIPINO. DLP EN TTO ATORVASTATINA. HIPOTIROIDISMO EN TTO LEVOTIROXINA. </t>
  </si>
  <si>
    <t>Demensia, Sordomuda</t>
  </si>
  <si>
    <t>Sospecha HTA. PA alta en dos tomas</t>
  </si>
  <si>
    <t>Seriado PA en consultorio</t>
  </si>
  <si>
    <t xml:space="preserve">Paralisis cerebral discinética, Hipoacusia, Crisis de pánico + agorafobia </t>
  </si>
  <si>
    <t>Cesfam de pitrufquen</t>
  </si>
  <si>
    <t>Tu renal operado insulino resistencia</t>
  </si>
  <si>
    <t>Cardiaco hipertension y diabetes</t>
  </si>
  <si>
    <t>AM: Hta, obesidad, RI, quiste renal complejo izq Bosniak III (nefrectomia parcial)
Fcos: losartan 50 mg, mtf 850 mg, atv 20 mg, levotiroxina 50 ug
Evaluacion renal dentro de todo normal por antc qx. Reevaluar funcion renal a los 3 meses desde cx.</t>
  </si>
  <si>
    <t>Control con urologo con resultado biopsia. Luego control anual.</t>
  </si>
  <si>
    <t>Gota, DLP</t>
  </si>
  <si>
    <t>Hta, enf cardiacas, cancer</t>
  </si>
  <si>
    <t>AM: Hipertrigliceridemia
FCO: Fenofibrato
Se solicita perfil seriado de PA y examenes complementarios para posterior control con su medico tratante.</t>
  </si>
  <si>
    <t>PA 149, 71 PA2: 161,80 IMC 28, Creatinina 1,35 eGFR 50</t>
  </si>
  <si>
    <t xml:space="preserve">Se solicita perfil seriado de PA 
Revision de examenes </t>
  </si>
  <si>
    <t xml:space="preserve">HTA EN TTO CON LOSARTAN, AMLODIPINO, BISOPROLOL, HIDROCLOROTIAZIDA. DLP ATORVASTATINA. QUISTES RENALES EN AMBOS RIÑONES (2025) </t>
  </si>
  <si>
    <t xml:space="preserve">HERMANA HTA </t>
  </si>
  <si>
    <t xml:space="preserve">HTA de mas de 20 anos de evolucion,enfermedad coronaria. Calculos renales
FCOS: Losartan 1-0-1, Amlodipino 1-0-0, ATV 80 mg, Bisoprolol 2.5mg, hidroclorotiazida 50mg AAS.
Se solicitan examenes complementarios para posterior revision en su cesfam
Se realiza educacion sobre ERC,HTA y nefrolitiasis </t>
  </si>
  <si>
    <t xml:space="preserve">Creatinina 2.17 eFGR 33 PA 107,65 IMC 31 Glucosa 160 </t>
  </si>
  <si>
    <t xml:space="preserve">Revision de examenes complementarios y derivacion oportuna segun corresponda </t>
  </si>
  <si>
    <t>Hipoacusia</t>
  </si>
  <si>
    <t>Evaluacion renal alterada. Lo contactaran de la UCRA</t>
  </si>
  <si>
    <t>Orina completa, creatinina, rac, antigeno prostatico</t>
  </si>
  <si>
    <t>Control con resultados</t>
  </si>
  <si>
    <t>Cecosf friere</t>
  </si>
  <si>
    <t xml:space="preserve">HIPOTIROIDISMO EN TTO CON LEVOTIROXINA (2020), RINITIS ALERGICA DESLORATADINA 1 AL DIA. </t>
  </si>
  <si>
    <t>DMNIR (2021) EN TTO CON METFORMINA 850 1-1-1, DLP ATORVASTATINA 0-0-1, HIPERTIROIDISMO EN TTO CON LEVOTIROXINA 1-0-0</t>
  </si>
  <si>
    <t xml:space="preserve">AMBOS PADRES Y HERMANO DMNIR, FALLECIDOS. </t>
  </si>
  <si>
    <t>AM: dm, colesterol alto, hipotiroidismo
Fcos: metformina 850, eutirox 50 ug L-J y 75 ug V-D, atv 20 mg
No es hipertensa conocida
PA ahora alta</t>
  </si>
  <si>
    <t>Hipotiroidismo.</t>
  </si>
  <si>
    <t>DM, enf cardiaca</t>
  </si>
  <si>
    <t xml:space="preserve">Sano. Hoy con creatinina alterada. </t>
  </si>
  <si>
    <t xml:space="preserve">Creatinina, rac </t>
  </si>
  <si>
    <t>Control en consultorio con resultado examenes</t>
  </si>
  <si>
    <t xml:space="preserve">ESFAM FREIRE </t>
  </si>
  <si>
    <t xml:space="preserve">MADRE DM2, HTA, DLP </t>
  </si>
  <si>
    <t>HTA, enf cardiaca</t>
  </si>
  <si>
    <t xml:space="preserve">Se realiza educacion sobre factores de riesgo y protectores cardiovasculares
A. Fam: Madre tiene vasculitis. 
En control con medico reciente, examenes normales, pendiente eco renal y vesical 
Se solicitan examenes complementarios para su posterior revision
Se realiza educacion sobre factores de riesgo cardiovasculares y protectores. </t>
  </si>
  <si>
    <t xml:space="preserve">Creatinina 1.95 eGFR 32 IMC 32.1 Sangre 10 </t>
  </si>
  <si>
    <t xml:space="preserve">Revision de examenes </t>
  </si>
  <si>
    <t>NORMAL</t>
  </si>
  <si>
    <t xml:space="preserve">ENERO 2025 </t>
  </si>
  <si>
    <t>HTA, ERC, DM, cancer</t>
  </si>
  <si>
    <t xml:space="preserve">DM2 de aprox 8 anos de evolucion 
FCOS Metformina 850 mg 2 al dia
Se solicitan nuevos examenes complementarios para ser revisados en su cesfam.
Se realiza educacion sobre riesgo cardiovascular y factores protectores. </t>
  </si>
  <si>
    <t>Creatinina 2.36 eGFR 24 IMC 38,6</t>
  </si>
  <si>
    <t xml:space="preserve">Revisar examenes </t>
  </si>
  <si>
    <t>abuelos maternos</t>
  </si>
  <si>
    <t>julio</t>
  </si>
  <si>
    <t>Posta de guinimo</t>
  </si>
  <si>
    <t>Hiperension</t>
  </si>
  <si>
    <t xml:space="preserve">HTA, DM </t>
  </si>
  <si>
    <t>CECOSF El Bosque</t>
  </si>
  <si>
    <t>HTA, enf cardiacas</t>
  </si>
  <si>
    <t xml:space="preserve">Am: hta
Fcos: losartan am - amlodipino 5 mg pm. 
Hoy PA altisima (PAS 200 / PAD 100)
Glicemia ok
</t>
  </si>
  <si>
    <t xml:space="preserve">Control en cesfam.
Se ajusta tto losartan 50 mg c/12 hrs y amlodipino 5 mg pm
Seriado de PA luego de 10 dias de reajuste tto. </t>
  </si>
  <si>
    <t xml:space="preserve">PADRES CON DM </t>
  </si>
  <si>
    <t xml:space="preserve">HTA juvenil. Se estudio pero no se identifico etiologia. 
Se controla solo en consultorio, no con especialita.
Fco: losartan 50 mg c/12 hrs
Hoy PA alta y proteinuria (30)
</t>
  </si>
  <si>
    <t>Crea, examen orina, rac, hemograma, proteinas totales, calcio, albumina, proteinuria 24 hrs</t>
  </si>
  <si>
    <t>Abuela y madre hta</t>
  </si>
  <si>
    <t xml:space="preserve">FCOS: Losartan, Levotiroxina 
Se solicita seriado de perfil de presion arterial para su posterior control con medico </t>
  </si>
  <si>
    <t>PA 1: 153, 106 PA2: 152, 98 IMC 29;1 Creatinina 1,02 eGFR 62</t>
  </si>
  <si>
    <t xml:space="preserve">Revisar perfil de PA y ajustar tratamiento segun corresponda. </t>
  </si>
  <si>
    <t xml:space="preserve">PADRE FALLECE POR IAM </t>
  </si>
  <si>
    <t>Resistencia a la insulina, hipotiroidismo, DLP,  neuropatia por deficit vit D</t>
  </si>
  <si>
    <t xml:space="preserve">Tto con alopurinol </t>
  </si>
  <si>
    <t>Cesfam Quepe</t>
  </si>
  <si>
    <t>Sana, no usa medicamentos
Evaluación renal alterada (Crea y vfg). Controlar con examenes</t>
  </si>
  <si>
    <t>Examen orina, creatinina, rac</t>
  </si>
  <si>
    <t xml:space="preserve">MADRE CARDIOPATA </t>
  </si>
  <si>
    <t>Artrosis e hepatitis autoinmune</t>
  </si>
  <si>
    <t>Hiperentension</t>
  </si>
  <si>
    <t>Cesfman Freire</t>
  </si>
  <si>
    <t>Nefroptia cicatricial</t>
  </si>
  <si>
    <t xml:space="preserve">Desde los 5 anos RVU bilatereal, operada de rinon izquierdo (2014) , vegija disfuncional. Perdio controles durante la pandemia.  </t>
  </si>
  <si>
    <t xml:space="preserve">Creatinina 1.45 eGFR 54 Proteina 30 </t>
  </si>
  <si>
    <t xml:space="preserve">IC a medicina interna para retomar controles </t>
  </si>
  <si>
    <t>CESFAM Metodista</t>
  </si>
  <si>
    <t>HTA, ERC, enf cardiaca</t>
  </si>
  <si>
    <t xml:space="preserve">Fcos losartan 1-0-0 
Se solicita perfil seriado de PA y examenes complementarios para su posterior revision en su cesfam </t>
  </si>
  <si>
    <t>IMC 30 PA 145,88 Creatinina 1.72 eGFR 45</t>
  </si>
  <si>
    <t xml:space="preserve">Revisar pperfil de PA y ajustar tratamiento segun corresponda 
Revision de examenes y derivacion oportuna segun corresponda </t>
  </si>
  <si>
    <t>Cesfam corvea</t>
  </si>
  <si>
    <t>Esplenomegalia</t>
  </si>
  <si>
    <t>Madre cardiaco abuela paterna hta padre diabetico</t>
  </si>
  <si>
    <t xml:space="preserve">Se solicitan examenes complementarios para ser revisados en su cesfam </t>
  </si>
  <si>
    <t>PA 140,80 Proteina en orina 30 Creatinina 2.15 eGFR 2.15</t>
  </si>
  <si>
    <t xml:space="preserve">Revision de examenes, ERC en estudio. </t>
  </si>
  <si>
    <t>Purpura</t>
  </si>
  <si>
    <t xml:space="preserve">GASTRIITIS CRONICA EN TTO CON ESOMEPRAZOL </t>
  </si>
  <si>
    <t xml:space="preserve">TIA DM2, CARDIOPATIA </t>
  </si>
  <si>
    <t>AM: hipotiroidismo
Fcos: levotiroxina 50 ug
PA normal, glicemia normal
Evaluacion renal adecuada para edad</t>
  </si>
  <si>
    <t>Controles anuales en consultorio</t>
  </si>
  <si>
    <t xml:space="preserve">DM </t>
  </si>
  <si>
    <t>Fibromialgia  madre y calculos renales padre</t>
  </si>
  <si>
    <t>Hipotiroidismo, colesterol alto, resistencia insulina</t>
  </si>
  <si>
    <t xml:space="preserve">Abuelo enfermedad cardiaca </t>
  </si>
  <si>
    <t>Marzo 2025</t>
  </si>
  <si>
    <t xml:space="preserve">Refiere alto consumo de analgesicos 
Sin diagnostico previo de HTA, se realiza educacion sobre estilos de vida saludables y riesgo cardiovascular. 
Refiere episodios de cefalea, fotopsias y tinnitus. 
Se solicita perfil seriado de PA </t>
  </si>
  <si>
    <t xml:space="preserve">IMC 41,1 PA1 170,95 PA2 154,103 </t>
  </si>
  <si>
    <t xml:space="preserve">Revision de perfil seriado de PA e inicio de tratamiento segun corresponda, ademas ingreso a programa cardiovascular </t>
  </si>
  <si>
    <t xml:space="preserve">PADRES CON DM E HTA </t>
  </si>
  <si>
    <t xml:space="preserve">Cefam pitrufquen </t>
  </si>
  <si>
    <t>Discopatia lumbar desgenerativa L2-L3,L3- L4, L4 -L5 y L5 - S1; Espóndilolistesis grado I a II, hernia discal pósterolateral derecha en L4 y L5, Nodulos Pulmonares, de 2 mm</t>
  </si>
  <si>
    <t>Arritmias cardiacas, DM2</t>
  </si>
  <si>
    <t>AM: hta y dmir hace 5a
Fcos: losartan (suspendido), insulina nph 8 U
PA alta</t>
  </si>
  <si>
    <t>Convulciones</t>
  </si>
  <si>
    <t>Diabetica</t>
  </si>
  <si>
    <t>CESFAM Huilio</t>
  </si>
  <si>
    <t>Ca tiroides</t>
  </si>
  <si>
    <t>Hta, diabetes erc, cardiacos</t>
  </si>
  <si>
    <t>Junio 2025</t>
  </si>
  <si>
    <t>AM: cancer de tiroides (operado)
Fcos: levotiroxina 200 ug
Proteinuria (30). Se controlara con lab.
PA limite</t>
  </si>
  <si>
    <t>Orina completa, crea, rac</t>
  </si>
  <si>
    <t>Seguimiento PA en cesfam
Control con resultados PA y lab</t>
  </si>
  <si>
    <t xml:space="preserve">DMM2, HTA </t>
  </si>
  <si>
    <t>Hta diabetes</t>
  </si>
  <si>
    <t>ERC,DM2,HTA, Ca Tiroides, Ca pulmonar, Ca Mamas.</t>
  </si>
  <si>
    <t>Programa en salud mental ansiedad y colesterol alto</t>
  </si>
  <si>
    <t>Enfermedad cardiaca e hipertension</t>
  </si>
  <si>
    <t xml:space="preserve">PADRE DM2, HTA </t>
  </si>
  <si>
    <t>Cesfam Freira</t>
  </si>
  <si>
    <t>Iam</t>
  </si>
  <si>
    <t>Madre</t>
  </si>
  <si>
    <t>Retinitis</t>
  </si>
  <si>
    <t xml:space="preserve">Cesfam freire </t>
  </si>
  <si>
    <t>Insulino resistencia</t>
  </si>
  <si>
    <t>Hta, dm, enf cardiaca</t>
  </si>
  <si>
    <t xml:space="preserve">AM: hta, artrosis cadera
Fcos: mtf, enalapril, propanolol, atv, celecoxib, paracetamol, escitalopram, 
Evaluacion renal ok 
PA levemente alta
</t>
  </si>
  <si>
    <t xml:space="preserve"> Control consultorio</t>
  </si>
  <si>
    <t>Cesfam amanecer</t>
  </si>
  <si>
    <t>Hipertension ca diabetes</t>
  </si>
  <si>
    <t xml:space="preserve">CESFAN FREIRE </t>
  </si>
  <si>
    <t>204</t>
  </si>
  <si>
    <t xml:space="preserve">Solicito examenes complementarios para su posterior revision en su cesfam </t>
  </si>
  <si>
    <t xml:space="preserve">Creatinina 1,32 eGFR 47 sin proteinuria. </t>
  </si>
  <si>
    <t xml:space="preserve">Revision de examenes ERC en estudio  </t>
  </si>
  <si>
    <t xml:space="preserve">PADRE HTA, CA PROSTATA </t>
  </si>
  <si>
    <t>Padre</t>
  </si>
  <si>
    <t>Enf cardiaca</t>
  </si>
  <si>
    <t xml:space="preserve">Hta, proteinuria </t>
  </si>
  <si>
    <t>Panel de presion arterial</t>
  </si>
  <si>
    <t>Hipertension padres y hermana</t>
  </si>
  <si>
    <t>Dm2,artrosis</t>
  </si>
  <si>
    <t>Dm madre</t>
  </si>
  <si>
    <t xml:space="preserve">DM, HTA </t>
  </si>
  <si>
    <t>Examen y control</t>
  </si>
  <si>
    <t xml:space="preserve">Cesfam Pitrufquen </t>
  </si>
  <si>
    <t>ERC, DM, HTA</t>
  </si>
  <si>
    <t>Diverticulosis</t>
  </si>
  <si>
    <t>DM, HTA, cancer</t>
  </si>
  <si>
    <t>Sin AM
AF: mama HTA
Ahora dos tomas PA alta</t>
  </si>
  <si>
    <t>Seriado PA y acudir a cesfam</t>
  </si>
  <si>
    <t>Tto por asunto de la prostata</t>
  </si>
  <si>
    <t xml:space="preserve">NOV 2023 </t>
  </si>
  <si>
    <t>RI</t>
  </si>
  <si>
    <t>Crea 1.4</t>
  </si>
  <si>
    <t>ERC En HD</t>
  </si>
  <si>
    <t>Vfg disminuido</t>
  </si>
  <si>
    <t>DM, ALZHEIMER</t>
  </si>
  <si>
    <t xml:space="preserve">Epilepsia </t>
  </si>
  <si>
    <t>Cesfam Fafine</t>
  </si>
  <si>
    <t>Abuelo diabetes</t>
  </si>
  <si>
    <t>Dislipidemia, insuficiencia cardiaca</t>
  </si>
  <si>
    <t xml:space="preserve">CESFM freire </t>
  </si>
  <si>
    <t>Arritmia</t>
  </si>
  <si>
    <t>Agrotop</t>
  </si>
  <si>
    <t>Hta dm2</t>
  </si>
  <si>
    <t>CESFAM FREIRE</t>
  </si>
  <si>
    <t>Ninguno</t>
  </si>
  <si>
    <t>Artritis idiopatica juvenil</t>
  </si>
  <si>
    <t>Abuelos: DM-HTA
Tia: DM-Hta</t>
  </si>
  <si>
    <t>Erc DM</t>
  </si>
  <si>
    <t>Monitoreo PA casa</t>
  </si>
  <si>
    <t>Dm. hTA</t>
  </si>
  <si>
    <t>Abuela materna: Insuf cardiaca</t>
  </si>
  <si>
    <t>Control medico con pesquisa HTA</t>
  </si>
  <si>
    <t>DM HTA TIAS / ABUELIS DMII</t>
  </si>
  <si>
    <t>Alergia al polen ambiental</t>
  </si>
  <si>
    <t>Hta , usuario con marcapaso</t>
  </si>
  <si>
    <t>Dm padre</t>
  </si>
  <si>
    <t>Darotop</t>
  </si>
  <si>
    <t>Prequisa de Hipertensión
Examenes y control con medico</t>
  </si>
  <si>
    <t>Madre  padre HTA</t>
  </si>
  <si>
    <t>HtA.  DM</t>
  </si>
  <si>
    <t>Enfermedad cardiaca, diabetes</t>
  </si>
  <si>
    <t xml:space="preserve">Migrana, cefalea </t>
  </si>
  <si>
    <t>Diabetes e hipertenso</t>
  </si>
  <si>
    <t>Asma Cronica / RI</t>
  </si>
  <si>
    <t>Coronario (tio - marcapaso)</t>
  </si>
  <si>
    <t>4/03/2025</t>
  </si>
  <si>
    <t>Examenes con medico</t>
  </si>
  <si>
    <t>Hta. IAM</t>
  </si>
  <si>
    <t>Padre: HTA-arritmia</t>
  </si>
  <si>
    <t xml:space="preserve">Cesfam pitrufquen </t>
  </si>
  <si>
    <t>HTA y Ca</t>
  </si>
  <si>
    <t>Discopatia</t>
  </si>
  <si>
    <t xml:space="preserve">Arthritis </t>
  </si>
  <si>
    <t>Madre: hta</t>
  </si>
  <si>
    <t>Agrostop</t>
  </si>
  <si>
    <t>No sabe</t>
  </si>
  <si>
    <t>Hta y dm2</t>
  </si>
  <si>
    <t>HTA   DM</t>
  </si>
  <si>
    <t>Hta abuela</t>
  </si>
  <si>
    <t>Madre, DM</t>
  </si>
  <si>
    <t>Hermanos dm</t>
  </si>
  <si>
    <t>Hta sin tto</t>
  </si>
  <si>
    <t>Panel pa y examenes</t>
  </si>
  <si>
    <t xml:space="preserve">HTA y DM y osteoporosis </t>
  </si>
  <si>
    <t>Ant preeclampsia</t>
  </si>
  <si>
    <t>HTA.  DM</t>
  </si>
  <si>
    <t>DMII</t>
  </si>
  <si>
    <t>CONTROL PSCV Y REPETIR CREATININA</t>
  </si>
  <si>
    <t>VFG&lt;60</t>
  </si>
  <si>
    <t>HTA, Insuficiancia cardiaca</t>
  </si>
  <si>
    <t>Cesfam FREIRE</t>
  </si>
  <si>
    <t>Erc ,hta ,dm ,enf cardiaca ,ca de piel</t>
  </si>
  <si>
    <t>Hta - Dm</t>
  </si>
  <si>
    <t>Higaco graso</t>
  </si>
  <si>
    <t>Abuela ERC, padre HTA</t>
  </si>
  <si>
    <t>Bradicardia</t>
  </si>
  <si>
    <t>Agrotp</t>
  </si>
  <si>
    <t>LDP</t>
  </si>
  <si>
    <t>Arritmia cardiaca</t>
  </si>
  <si>
    <t>Hipotiroidispo</t>
  </si>
  <si>
    <t>Melipeuco</t>
  </si>
  <si>
    <t xml:space="preserve">LOSARTAN Y AMLODIPINO </t>
  </si>
  <si>
    <t>Hipertenso conocido en tto (losartan). Se controla en la posta.
Hoy con PA 2 tomas muy alta. No se tomo medicamentos hoy am.
Evaluacion renal y glicemia ok.</t>
  </si>
  <si>
    <t>Seriado de PA con medico. Con resultados ajustar tto.</t>
  </si>
  <si>
    <t>Cesfam melipeuco</t>
  </si>
  <si>
    <t>Erc hta diabetes</t>
  </si>
  <si>
    <t>AM: HTA y DM
Hoy PA alta, glicemia alta pero no preocupante</t>
  </si>
  <si>
    <t>Mantener controles cronicos. 
Seriado de PA para ajuste tto.</t>
  </si>
  <si>
    <t>DLL</t>
  </si>
  <si>
    <t xml:space="preserve">CESFAM MELIPEUCO </t>
  </si>
  <si>
    <t>HTA EN TTO CON ENALAPRIL 1-0-0</t>
  </si>
  <si>
    <t>MAMA HIPERTENSA</t>
  </si>
  <si>
    <t>Hermano</t>
  </si>
  <si>
    <t>Tomo mate con azucar antes de venir</t>
  </si>
  <si>
    <t>Pa elevada y glicemia elevada</t>
  </si>
  <si>
    <t>Cambios de estilo de vida</t>
  </si>
  <si>
    <t>Asma, hipotiroidismo</t>
  </si>
  <si>
    <t>Esta semana tiene control</t>
  </si>
  <si>
    <t>Asma, Hipotiroidismo</t>
  </si>
  <si>
    <t>Ni se tomo farmacos hoy</t>
  </si>
  <si>
    <t>Control de presion arterial</t>
  </si>
  <si>
    <t xml:space="preserve">ASMA </t>
  </si>
  <si>
    <t xml:space="preserve">TIO PATERNO DIABETES </t>
  </si>
  <si>
    <t>Asma ,Tabaquismo</t>
  </si>
  <si>
    <t>VIH</t>
  </si>
  <si>
    <t>Padre madre erc hta diabeticos hermanos</t>
  </si>
  <si>
    <t>Control con medico</t>
  </si>
  <si>
    <t xml:space="preserve">CX DE PULMON POR QUISTE 2005 </t>
  </si>
  <si>
    <t>Sin antecedente de HTA ni DM2
Hoy PA alta y glicemia en ayuno tambien
Evaluacion renal normal</t>
  </si>
  <si>
    <t>Glicemia en ayunas</t>
  </si>
  <si>
    <t>Control medico con resultados</t>
  </si>
  <si>
    <t xml:space="preserve">HTA EN TTO CON LOSARTAN Y AMLODIPINO. HIPOTIROIDISMO LEVOTIROXINA, ARTROSIS CELECOXIB SOS 2 VECES A LA SEMANA. </t>
  </si>
  <si>
    <t xml:space="preserve">HERMANOS DM2 E HIPERTENSOS </t>
  </si>
  <si>
    <t xml:space="preserve">Hipertensa conocida. En tto con losartan y amlodipino.
Usa celecoxib sos por antecedente de artrosis. Tuvo episodio de calculo renal reciente.
Hoy PA alta y glicemia en ayunas alterada. </t>
  </si>
  <si>
    <t>Glicemia en auynas, crea, bun, ELP, hb1ac, PTGO</t>
  </si>
  <si>
    <t>Seriado de PA en consultorio para ajuste tto. Mostrar resultado examenes.</t>
  </si>
  <si>
    <t xml:space="preserve">Madre hermana </t>
  </si>
  <si>
    <t>No es hipertenso ni diabetico conocido. No se controla habitualmente.
PA alta y glicemia en ayunas,
Evaluacion renal normal.</t>
  </si>
  <si>
    <t>Glicemia en ayunas, crea, bun, Hb1ac</t>
  </si>
  <si>
    <t>Seriado de PA y control en consultorio o posta. Mostrar resultados a medico.</t>
  </si>
  <si>
    <t xml:space="preserve">POSTA CAREN </t>
  </si>
  <si>
    <t>Dolor Abdominal en estudio</t>
  </si>
  <si>
    <t>Oesquisa</t>
  </si>
  <si>
    <t xml:space="preserve">CONOSCOPIA EN 2024 POR PAP ALTERADO </t>
  </si>
  <si>
    <t>CESFAM MELIPEUCO</t>
  </si>
  <si>
    <t>Padre enfermedad cardiaca</t>
  </si>
  <si>
    <t>PA 168/103.</t>
  </si>
  <si>
    <t>PROSTATITIS TRATADA 2023</t>
  </si>
  <si>
    <t>PADRE HIPERTENSO, MADRE DM2</t>
  </si>
  <si>
    <t>Hipertension, cancer gastrico, enfermedad cardiaca</t>
  </si>
  <si>
    <t>VPH + CONTROL EN ENERO, CONOSCOPIA EN JULIO 2025.</t>
  </si>
  <si>
    <t xml:space="preserve">AGOSTO 2025 </t>
  </si>
  <si>
    <t>Hta madre hermana</t>
  </si>
  <si>
    <t>DIABETES GESTACIONAL 2022</t>
  </si>
  <si>
    <t>PAPA HTA Y DM2, ABUELO DMIR, ABUELA DM2</t>
  </si>
  <si>
    <t>Cesfam Melipeuco</t>
  </si>
  <si>
    <t>Lesion medular</t>
  </si>
  <si>
    <t>Mama hta</t>
  </si>
  <si>
    <t xml:space="preserve">AM: en sus dos embarazos tuvo DMG (segunda vez manejada con insulina) y SHE (HELLP). Ademas antecedentes de litiasis renal izq.
Fco: actualmente ninguno, solo ACO.
Hoy con PA alta y glicemia ayuno alterada.
</t>
  </si>
  <si>
    <t>Glicemia en ayuno, crea, elp, bun, calcio, perfil hepatico, albumina, perfil lipidico, orina completa, rac. PieloTac. Seriado de PA.</t>
  </si>
  <si>
    <t>Se recomienda control anual renal por antecedentes
Control con resultados examenes y seriado de PA en consultorio.
Control en urologia con pielotac</t>
  </si>
  <si>
    <t xml:space="preserve">PADRES DM2 E HTA </t>
  </si>
  <si>
    <t>DEPRESION EN TTO (ESITALOPRAM CLOTRIAZEPAM)</t>
  </si>
  <si>
    <t>HTA ABUELOS MATERNOS</t>
  </si>
  <si>
    <t xml:space="preserve">MADRE DMNIR </t>
  </si>
  <si>
    <t>Sano. 2 episodios de litiasis renal (ultimo en febrero 25).
Hoy con proteinuria (30). Hizo ejercicio fisico intenso antes de ayer (pesas).
PA limite.
Glicemia en ayuna limite.</t>
  </si>
  <si>
    <t>Orina completa, rac, urea, bun, ELP, calcio, albumina, fosforo, proteinas totales, glicemia en ayunas, perfil lipidico. Pielotac</t>
  </si>
  <si>
    <t xml:space="preserve">Control en consultorio con resultados examenes. 
</t>
  </si>
  <si>
    <t>Dolor a los Hombros</t>
  </si>
  <si>
    <t>AM: HTA y DM2
Fcos: metformina, insulina
Hoy con PA y glicemia ayunas altas.
Evaluacion renal alterada, VFG disminuida.</t>
  </si>
  <si>
    <t>Glicemia, crea, bun, proteinas totales, ELP, orina completa, perfil lipidico, hemograma, Hb1ac, RAC, microalbuminuria 24 hrs</t>
  </si>
  <si>
    <t>PA 174/91</t>
  </si>
  <si>
    <t>Problema de tiroides</t>
  </si>
  <si>
    <t>Noviembre 2024</t>
  </si>
  <si>
    <t>AM: hta en tto
Fuera de meta</t>
  </si>
  <si>
    <t>Monitoreo de PA y control en posta</t>
  </si>
  <si>
    <t xml:space="preserve">HTS LOSARTAN Y AMLODIPINO, DM2 EN TTO CON METFORMINA, ASPIRINA, ATORVASTATINA. </t>
  </si>
  <si>
    <t>Diabetes descompensada</t>
  </si>
  <si>
    <t xml:space="preserve">Control de glicemia </t>
  </si>
  <si>
    <t>Cesfam cucunyaqui</t>
  </si>
  <si>
    <t xml:space="preserve">Hipotiroidismo ,Dlp </t>
  </si>
  <si>
    <t>Posta Yaima</t>
  </si>
  <si>
    <t xml:space="preserve">
Hta. Hermanos</t>
  </si>
  <si>
    <t>PAelevada</t>
  </si>
  <si>
    <t>Ajuste terapia antihipertensiva</t>
  </si>
  <si>
    <t>Hipertensa</t>
  </si>
  <si>
    <t>Control crónico descompensado</t>
  </si>
  <si>
    <t>DM EN TTO CON METFORMINA, DLP EN ATORVASTATINA. DIAZEPAM. PORSTATITIS.</t>
  </si>
  <si>
    <t xml:space="preserve">HIJO FALLECIDO POR IAM 2021 </t>
  </si>
  <si>
    <t>Sinusitis</t>
  </si>
  <si>
    <t>Hta, diabetes, enf. Cardiaca</t>
  </si>
  <si>
    <t>Cesfam Melipeuci</t>
  </si>
  <si>
    <t>Ca Mamas</t>
  </si>
  <si>
    <t>Cambio de terapia de furosemida a hidroclorotiazida</t>
  </si>
  <si>
    <t>DISLIPIDEMIA EN TTO</t>
  </si>
  <si>
    <t>HTA PAPA DMII</t>
  </si>
  <si>
    <t>Pielonefritis graves en infancia, ITU a repetición</t>
  </si>
  <si>
    <t>Cintrol de lab ecotrioidea</t>
  </si>
  <si>
    <t>Hipertemsion , cancer gastrico</t>
  </si>
  <si>
    <t xml:space="preserve">Bipolaridad </t>
  </si>
  <si>
    <t>Diabetes, Hta, enfermedad cardiaca</t>
  </si>
  <si>
    <t xml:space="preserve">Epilepsia, crisis de panico </t>
  </si>
  <si>
    <t>CESFAM CUNCO</t>
  </si>
  <si>
    <t xml:space="preserve">DMII Abuelos </t>
  </si>
  <si>
    <t xml:space="preserve">YA NO SE LO HACE PERO CUANDO SE LO HACIA SALIA NORMAL. </t>
  </si>
  <si>
    <t>AM: hta
Hoy PA alta y evaluacion renal alterada</t>
  </si>
  <si>
    <t>Glicemia, crea, bun, perfil lipidico, orina completa, rac</t>
  </si>
  <si>
    <t>Seriado de PA y control con examenes</t>
  </si>
  <si>
    <t>ABUELA ERC</t>
  </si>
  <si>
    <t>Sindrome ovario poliquistico</t>
  </si>
  <si>
    <t>DIABETES GESTACIONAL EN 2017</t>
  </si>
  <si>
    <t xml:space="preserve">ANITGUO, RESULTADO NORMAL </t>
  </si>
  <si>
    <t>Sin antecedentes morbidos. Padres hipertensos y con problemas renales.
PA y glicemia hoy altos.
Evaluacion renal ok.</t>
  </si>
  <si>
    <t>Seriado PA, glicemia en ayunas, Hb1ac, crea, bun, perfil lipidico</t>
  </si>
  <si>
    <t>Control en consultorio con resultados.</t>
  </si>
  <si>
    <t>POSTA YAIMA</t>
  </si>
  <si>
    <t>Hta, enfermedad cardiaca</t>
  </si>
  <si>
    <t>AM: prediabetes, hta (sin tto, solo regimen)
PA fuera de rango. No se controla desde el 2024
Glicemia post prandial bien
Evaluacion renal ok</t>
  </si>
  <si>
    <t>Glicemia, hb1ac, orina completa, rac, crea, bun, elp, calcio, hemograma, perfil lipidico</t>
  </si>
  <si>
    <t xml:space="preserve">Retomar controles cronicos </t>
  </si>
  <si>
    <t xml:space="preserve">HTA EN TTO CON ENALAPRIL, DMNIR EN TTO CON METFORMINA 1000 MG, DLP EN TTO CON ATORVASTATINA, HIPOTIROIDISMO EN TTO CON LEVOTIROXINA. </t>
  </si>
  <si>
    <t xml:space="preserve">ANTIGUO NORMAL </t>
  </si>
  <si>
    <t>Mal control metbolico y de presion arterial</t>
  </si>
  <si>
    <t>Metformina y enalapril 1 vez al dia</t>
  </si>
  <si>
    <t>Aumento dosis de enalapril y metformina y control medico</t>
  </si>
  <si>
    <t xml:space="preserve">Sin enfermedades conocidas, no se controla habitualmente
PA y examen orina alterados (proteinuria)
</t>
  </si>
  <si>
    <t>Glicemia, crea, uremia y bun, elp, calcio, hb1ac, orina completa, rac, antigeno prostatico, hemograma, lipidico</t>
  </si>
  <si>
    <t>Cesfam mellipeuco</t>
  </si>
  <si>
    <t>Dolor de espalda, antecedente ACV por crisis hipertensiva.</t>
  </si>
  <si>
    <t xml:space="preserve">Diabetes, hta </t>
  </si>
  <si>
    <t xml:space="preserve">Acv </t>
  </si>
  <si>
    <t xml:space="preserve">Losartan 50 cafa 12 y furosemida </t>
  </si>
  <si>
    <t xml:space="preserve">HTA EN TTO CON LOSARTAN AMLODIPINO, DMNIR EN TTO CON METFORMINA, DLP ATORVASTATINA. </t>
  </si>
  <si>
    <t>PADRE IAM FALLECIDO</t>
  </si>
  <si>
    <t xml:space="preserve">ANTIGUO ALTERADO CON HISTERECTOMIA RADICAL. </t>
  </si>
  <si>
    <t xml:space="preserve">AM: hipertensa y diabetica, glaucoma
PA y glicemia en ayunas fuera de meta (ultimo control CV julio: PA bien)
Evaluacion renal ok
</t>
  </si>
  <si>
    <t>Mantenerse en control CV. Monitoreo de PA para ese control y ajuste tto.</t>
  </si>
  <si>
    <t>No se tomo los remedios ayer</t>
  </si>
  <si>
    <t>Adherencia a tratamiento y aumento dentrayenta</t>
  </si>
  <si>
    <t>Abuela diabetes</t>
  </si>
  <si>
    <t>Artrosis en la columna “tengo una enf. En el utero”.</t>
  </si>
  <si>
    <t>Hta resistente</t>
  </si>
  <si>
    <t>Se agrege atenololy sw deriva a hopsital digital</t>
  </si>
  <si>
    <t xml:space="preserve">Cesfam Melipeuco </t>
  </si>
  <si>
    <t>Mimosa uterinoa</t>
  </si>
  <si>
    <t>Consumo de ibuprofeno</t>
  </si>
  <si>
    <t xml:space="preserve">Proteinuiria </t>
  </si>
  <si>
    <t>Examnes y cintrol medico</t>
  </si>
  <si>
    <t xml:space="preserve">POSTA RURALD E CAREN </t>
  </si>
  <si>
    <t xml:space="preserve">PADRE Y MADRE DMIR E HTA. </t>
  </si>
  <si>
    <t xml:space="preserve">Cesfam colunhuen </t>
  </si>
  <si>
    <t>Cardiaca , HTA</t>
  </si>
  <si>
    <t xml:space="preserve">ARTROSIS EN ESTUDIO DE OSTEOPOROSIS </t>
  </si>
  <si>
    <t xml:space="preserve">MADRE Y HERMANOS HTA. </t>
  </si>
  <si>
    <t>Artrosis, colesterol alto.</t>
  </si>
  <si>
    <t>Hta, enfermedad cardiaca, enf, renal</t>
  </si>
  <si>
    <t xml:space="preserve">En estudio por PA baja </t>
  </si>
  <si>
    <t>Julio 2024</t>
  </si>
  <si>
    <t>Cesfam gorbea</t>
  </si>
  <si>
    <t>Hipertension, diabetes, hipotiroidismo</t>
  </si>
  <si>
    <t>Diabetes, hta, enfermedad cardiaca</t>
  </si>
  <si>
    <t xml:space="preserve">Artrosis, hta </t>
  </si>
  <si>
    <t>Hermano hta</t>
  </si>
  <si>
    <t>AM: hta
Glicemia en ayuna fuera de rango
PA alta
Evaluacion renal ok</t>
  </si>
  <si>
    <t>Glicemia ayunas, hb1ac, orina completa, rac, crea, bun, hemograma, lipidico, hormonas tiroideas</t>
  </si>
  <si>
    <t>Seriado de PA y control con resultado examenes</t>
  </si>
  <si>
    <t xml:space="preserve">Diabetes, Hipertension e hipotiroidismo </t>
  </si>
  <si>
    <t>AM: DM
PA y glicemia ayuna fuera de rango
Evaluacion renal ok</t>
  </si>
  <si>
    <t xml:space="preserve">CEFALEA EN TTO CON KETOROLACO Y NAPROXENO SOS. </t>
  </si>
  <si>
    <t xml:space="preserve">MADRE HTA, PAPA DMNIR </t>
  </si>
  <si>
    <t xml:space="preserve">Toma </t>
  </si>
  <si>
    <t>Cesfam Las Villas</t>
  </si>
  <si>
    <t>Diabetes, Hipertension.</t>
  </si>
  <si>
    <t>Cesfam Conunhuenu</t>
  </si>
  <si>
    <t>Fibrilacion auricular</t>
  </si>
  <si>
    <t>Diabetes e hipertension, dislipidemia</t>
  </si>
  <si>
    <t xml:space="preserve">DM EN TTO CON METFORMINA, HTA EN TTO CON LOSARTAN. </t>
  </si>
  <si>
    <t xml:space="preserve">MADRE Y HERMANAS CON DMIR </t>
  </si>
  <si>
    <t xml:space="preserve">Diabetes,Hipertension </t>
  </si>
  <si>
    <t>AM: hta
Sin tto hace 1a. Antes tomaba losartan 50 mg c 12 hrs
PA y glicemia post prandial alteradas
Evaluacion renal ok</t>
  </si>
  <si>
    <t>Control en cesfam con seriado de PA y resultado examenes. Retomar control cronico.</t>
  </si>
  <si>
    <t xml:space="preserve">HTS EN TTO CON LOSARTAN, AMLODIPINO, DM EN TTO CON METFORMINA, INSULINA NPH 44 AM. </t>
  </si>
  <si>
    <t xml:space="preserve">TIA DMIR </t>
  </si>
  <si>
    <t>Glicemia 293</t>
  </si>
  <si>
    <t>Se sugiere uso de dapaglifozina por proteinuria y factores de riesgo</t>
  </si>
  <si>
    <t xml:space="preserve">Cesfam de Melipeuco </t>
  </si>
  <si>
    <t xml:space="preserve">Diabetes, Hipertension y ERC ( padre se dializa) </t>
  </si>
  <si>
    <t>Cesfam portezuelo</t>
  </si>
  <si>
    <t>Portezuelo</t>
  </si>
  <si>
    <t>ERC en HD</t>
  </si>
  <si>
    <t xml:space="preserve">Sin antecedentes conocidos. Antecedentes familiares de ERC
Proteinuria (30)
</t>
  </si>
  <si>
    <t xml:space="preserve">Evaluacion renal </t>
  </si>
  <si>
    <t xml:space="preserve">DM EN TTO CON METFORMINA, INSULINA NPH 20 AM Y 20 PM. </t>
  </si>
  <si>
    <t xml:space="preserve">MADRE, PRIMAS, TIAS CON DMNIR </t>
  </si>
  <si>
    <t>GR y leucocitos en OC
PA primera alterada luego dentro de lo normal
Glicemia post prandial ok
Evaluacion renal ok</t>
  </si>
  <si>
    <t>Oc, uc, glicemia, crea, bun, hemograma, lipidico</t>
  </si>
  <si>
    <t>Control con resultados
Evaluacion por nutricion</t>
  </si>
  <si>
    <t>Hipertensa conocida
Glicemia pp bien
Evaluacion renal bien</t>
  </si>
  <si>
    <t xml:space="preserve">HERMANA HTA, MADRE CON DM FALLECIDA. </t>
  </si>
  <si>
    <t xml:space="preserve">Sin AM conocidos
PA hoy fuera de rango
Glicemia alterada
Evaluacion renal alterada </t>
  </si>
  <si>
    <t>Examenes sangre y seriado pa</t>
  </si>
  <si>
    <t>HTA en tto con losartan 1 al dia</t>
  </si>
  <si>
    <t>Seriado de PA y control.</t>
  </si>
  <si>
    <t xml:space="preserve">ABUELOS CON DMIR </t>
  </si>
  <si>
    <t>Diabetes e hipettension</t>
  </si>
  <si>
    <t>Diabetes, Hipertension, ERC(padre se dializaba)</t>
  </si>
  <si>
    <t>Mama estuvo en dialisis (enf renal poliquistica)
Pcte sin antecedentes. Ultima eco renal hace 3a
Hoy PA alta
Evaluacion renal bien</t>
  </si>
  <si>
    <t>Mantener controles anuales con eco y fx renal</t>
  </si>
  <si>
    <t>Mama diabetes</t>
  </si>
  <si>
    <t>COLECISTECTOMIA, CX DE COLUMNA 2025</t>
  </si>
  <si>
    <t>AM: HTA y DM2, preinfarto (toma AAS y atv)
Ultimo control esta semana.
Evaluacion renal ok
PA descompensada, y se tomo los medicamentos hoy.</t>
  </si>
  <si>
    <t>Seriado de PA y control con medico para ajuste tto</t>
  </si>
  <si>
    <t>Sin AM conocidos
Glicemia en ayuna alta</t>
  </si>
  <si>
    <t>Glicemia, hb1ac</t>
  </si>
  <si>
    <t>Hoy no se tomo el remedio para la presion</t>
  </si>
  <si>
    <t>Reforzar adherencia a tratamiento</t>
  </si>
  <si>
    <t xml:space="preserve">HTA LOSARTAN AMLODIPINO, DIABETES EN TTO CON METFORMINA </t>
  </si>
  <si>
    <t xml:space="preserve">HERMANOS CON HTA </t>
  </si>
  <si>
    <t xml:space="preserve">HACE TIEMPO QUE NO </t>
  </si>
  <si>
    <t>Losartan 50 mg cada 12 y amlodipino</t>
  </si>
  <si>
    <t>HTA EN TTO CON VALSARTAN, BISOPROLOL Y ASPIRINA 100 MG POR ACV 2019</t>
  </si>
  <si>
    <t xml:space="preserve">Normal </t>
  </si>
  <si>
    <t>Valsartan 160 y bisoprolol 5 y aspirina y rosuvastatina</t>
  </si>
  <si>
    <t>Madre hta dm</t>
  </si>
  <si>
    <t>Hipertiroidismo, sin tto (en alta)</t>
  </si>
  <si>
    <t xml:space="preserve">Parkinson </t>
  </si>
  <si>
    <t xml:space="preserve">Diabetes, Hipertension. </t>
  </si>
  <si>
    <t xml:space="preserve">HTA EN TTO ENALAPRIL. </t>
  </si>
  <si>
    <t>Prgabalina para herpes zoster
Examnenes de control</t>
  </si>
  <si>
    <t>Sin tratamiento</t>
  </si>
  <si>
    <t>Orden de medcqmentos y control cronico</t>
  </si>
  <si>
    <t>Mama con rinones poliquistico
Sin antecedentes conocidos. No va mucho al medico.
Glicemia post prandial allta
Vfg disminuida</t>
  </si>
  <si>
    <t>Prequisa de Diabetes Mellitus
Pesquisa ERC</t>
  </si>
  <si>
    <t>Glicemia, crea, bun, elp, calcio, orina completa, rac, proteinas totales, perfil lipidico</t>
  </si>
  <si>
    <t>POSTA RURAL</t>
  </si>
  <si>
    <t xml:space="preserve">INSULINO RESISTENTE EN TTO CON METFORMINA </t>
  </si>
  <si>
    <t xml:space="preserve">MADRE  HTS Y DIABETICA FALLECIDA. </t>
  </si>
  <si>
    <t>Abuelos hta diabetes</t>
  </si>
  <si>
    <t xml:space="preserve">cesfam Melipeuco </t>
  </si>
  <si>
    <t xml:space="preserve">Hipertensa y diabetica. Ultimo control en mayo
</t>
  </si>
  <si>
    <t>Seriado de PA y control en consultorio</t>
  </si>
  <si>
    <t xml:space="preserve">CESFAM MELIPPEUCO </t>
  </si>
  <si>
    <t xml:space="preserve">DM EN TTO CON METFORMINA </t>
  </si>
  <si>
    <t xml:space="preserve">MAMA HTA Y DIABETICA. </t>
  </si>
  <si>
    <t xml:space="preserve">Hipotiroidismo, Arthritis rheumatoid </t>
  </si>
  <si>
    <t>Cambios de estilo de vida, menos azucar y carbohidratos.f</t>
  </si>
  <si>
    <t xml:space="preserve">SEGUIMIENTO DE HTA, DM EN TTO CON METFORMINA.  ECOTOMGRAFIA QUE EVIDENCIA 2 QUISTES EN AMOS RIÑONES A ESPERA DE CX. </t>
  </si>
  <si>
    <t>Quites renales complejo (Bosnia, 4), Prostatismo</t>
  </si>
  <si>
    <t>Ulcera gastrica</t>
  </si>
  <si>
    <t xml:space="preserve">DM EN TTO CON METFORMINA. ARTROSIS EN TTO CON CELECOXIB, PREGABALINA, TRAMADOL, ZOPICLONA PARA DORMIR. </t>
  </si>
  <si>
    <t>Cataract as</t>
  </si>
  <si>
    <t>OBESI</t>
  </si>
  <si>
    <t xml:space="preserve">PADRES HTA Y DMNIR </t>
  </si>
  <si>
    <t>Cesfam de Melipeuco</t>
  </si>
  <si>
    <t xml:space="preserve">Diabetes.  </t>
  </si>
  <si>
    <t>Sin antecedentes conocidos. 
UTI reciente, manejada con ATB (no recuerda)
PA fuera de rango y funcion renal alterada
Glicemia en rango</t>
  </si>
  <si>
    <t>Prequisa de Hipertensión
Pesquisa de Enfermedad Renal</t>
  </si>
  <si>
    <t>Glicemia, crea, bun, elp, proteinas plasmasticas, calcio, orina completa, rac, hemograma, lipidico</t>
  </si>
  <si>
    <t>Seriado de PA y control con resultados</t>
  </si>
  <si>
    <t>Artritis, gastritis cronica</t>
  </si>
  <si>
    <t xml:space="preserve">AM: artritis reumatoide (celecoxib, metotrexato sos, prednisona)
Funcion renal alterada
</t>
  </si>
  <si>
    <t>Pesquisa enfermedad renal</t>
  </si>
  <si>
    <t>Oc, crea, bun, elp, calcio, proteinas totales, rac</t>
  </si>
  <si>
    <t xml:space="preserve">HTA ENALAPRIL, DM METFORMINA. </t>
  </si>
  <si>
    <t xml:space="preserve">PADRE HTA, DM, MADRE TAMBIEN </t>
  </si>
  <si>
    <t>Hiperglicemia</t>
  </si>
  <si>
    <t>Control medico y examenes 
Ideal consuktar con diabetologo</t>
  </si>
  <si>
    <t>POSTA RURAL VILLA GRACI A</t>
  </si>
  <si>
    <t xml:space="preserve">Hta en estudio en tto con propranolol, tiroides heterogenica en estudio sin tto. </t>
  </si>
  <si>
    <t xml:space="preserve">MAMA HTA Y DMIR </t>
  </si>
  <si>
    <t>Neuralgia de arnold
Hipertiroidismo sin tratamiento</t>
  </si>
  <si>
    <t>Tac cerebro sin contraste 
Holyer presion</t>
  </si>
  <si>
    <t>Quiste testicular</t>
  </si>
  <si>
    <t>Nefrosenescencia</t>
  </si>
  <si>
    <t>Contol de creatinina anual</t>
  </si>
  <si>
    <t xml:space="preserve">PADRE HTA, ABUELO FALLECIDO DM E HTA, ABUELA DMIR </t>
  </si>
  <si>
    <t xml:space="preserve">FRACTURA DE COXIS ENERO 2025, EN TTO SOS CON IBUPROFENO Y PARACETAMOL. </t>
  </si>
  <si>
    <t xml:space="preserve">AMBOS PADRES CON HTA Y DMNIR </t>
  </si>
  <si>
    <t>Cesfam MELIPEUCO</t>
  </si>
  <si>
    <t>Consulta de Morbilidad
Examenes (creatinine, BUN, ELP) y control on medico.</t>
  </si>
  <si>
    <t>Pacieente con vfg menor a 60, en tratamiento de erradicacion de helicobacter pylori.</t>
  </si>
  <si>
    <t>Requiere repetir creatinina a la brevedad y controlarse con medico</t>
  </si>
  <si>
    <t>Vitiligo</t>
  </si>
  <si>
    <t>Control con examenes, control medico para revision de esxamends</t>
  </si>
  <si>
    <t xml:space="preserve">HTA EN TOO. CON LOSARTAN. Y AMLODIPINO </t>
  </si>
  <si>
    <t xml:space="preserve">PRIMOS CON HTA Y. DM </t>
  </si>
  <si>
    <t>Monitored de Preston arterial
Examenes y control en us pscv</t>
  </si>
  <si>
    <t>Vfg menor a 60 en persona mayor de 65 anos</t>
  </si>
  <si>
    <t>Repetir funcion renal y si se mantiene entre 45 y 60, sin albuminuria, mantener control en APS</t>
  </si>
  <si>
    <t>ABUELA CON HTA</t>
  </si>
  <si>
    <t xml:space="preserve">OBESIDAD </t>
  </si>
  <si>
    <t xml:space="preserve">MADRE DMIR </t>
  </si>
  <si>
    <t>IMC 58, VFG 54</t>
  </si>
  <si>
    <t>Artritis reumatoidea hipotiroidismo</t>
  </si>
  <si>
    <t>Arthritis reumatoide, Hipotiroidismo</t>
  </si>
  <si>
    <t>VFG disminuido</t>
  </si>
  <si>
    <t>Hipertension, diabetes, icc</t>
  </si>
  <si>
    <t>ASMA DESDE LA INFANCIA</t>
  </si>
  <si>
    <t>Sospecha de enfermedad renal</t>
  </si>
  <si>
    <t xml:space="preserve">Creatinina 1.83 </t>
  </si>
  <si>
    <t>Examenes de funcion renal</t>
  </si>
  <si>
    <t>Monorrena</t>
  </si>
  <si>
    <t>Madre padre hta diabetes</t>
  </si>
  <si>
    <t>Monoreno</t>
  </si>
  <si>
    <t xml:space="preserve">Dolor de torax permanentr con historia de neumopatia?
</t>
  </si>
  <si>
    <t>Diabetes descontrolada</t>
  </si>
  <si>
    <t>Examenes de lab
Rx tx
Receta para vildagliptina 50 mg cada 12 hrs y furosemida
Control con medico</t>
  </si>
  <si>
    <t>Prostatismo</t>
  </si>
  <si>
    <t>Padre hta madre diabetes abuelo paterno erc</t>
  </si>
  <si>
    <t>Holter</t>
  </si>
  <si>
    <t xml:space="preserve">TIA CON HTA </t>
  </si>
  <si>
    <t>Sin antecedentes conocidos
Hoy PA y evaluacion renal alteradas
Glicenia en rango</t>
  </si>
  <si>
    <t>Prequisa de Hipertensión
Pesquisa Enfermedad renal</t>
  </si>
  <si>
    <t>Glicemia, crea, bun, orina completa, rac, proteinas totales, elp, calcio</t>
  </si>
  <si>
    <t>HTA EN TTO CON ENALAPRIL, HIDROCLOROTIAZIDA. DISAUTONOMIA EN TTO CON GUTRON. ARTRITIS EN TTO CON HIDROXICLOROQUINA</t>
  </si>
  <si>
    <t xml:space="preserve">Am: Hipertensa en tto con losartan x2, HCT medio comp en la noche, artritis
Toma paracetamol e ibuprofeno todas las noches hace 1 mes, por sus dolores de artritis
PA alta
Evaluacion renal alterada. En febrero lab funcion renal normal.
Glicemia normal
</t>
  </si>
  <si>
    <t>Control con medico con resultados lab
Control con medicina interna por artritis
Suspender ibuprofeno</t>
  </si>
  <si>
    <t>Diabetes.</t>
  </si>
  <si>
    <t>Epilepsia</t>
  </si>
  <si>
    <t>Fenobarbital 100 medio am y 1 pm</t>
  </si>
  <si>
    <t>La Granja</t>
  </si>
  <si>
    <t xml:space="preserve">HTA EN TTO LOSARTAN, RESISTENCIA A LA INSULINA EN TTO METFORMINA, HIPOTIROIDISMO EN TTO CON LEVOTIROXINA, DLP EN TTO CON ATORVASTATINA. EN 2019 OPERADA CONOSCOPIA POR VPH </t>
  </si>
  <si>
    <t xml:space="preserve">cesfam de Melipeuco </t>
  </si>
  <si>
    <t xml:space="preserve">Hipertension. </t>
  </si>
  <si>
    <t xml:space="preserve">HTA EN TTO CON CARVEDILOL, LOSARTAN, FUROSEMIDA, AMLODIPINO Y ESPIRONOLACTONA. RESISTENCIA A LA INSULINA EN TTO CON METFORMINA. ANTICOAGULANTE (NO RECUERDA EL NOMBR) POR ANTECEDENTE DE TVP. </t>
  </si>
  <si>
    <t xml:space="preserve">Antecedente de TVP manejada con TACO, HTA
Proteinuria hoy (30)
</t>
  </si>
  <si>
    <t>Pesquisa ERC</t>
  </si>
  <si>
    <t>Am: dislipidemia, en estudio por posible insuficiencia aortica
Hoy con proteinuria y hematuria microscopica
Resto normal</t>
  </si>
  <si>
    <t>Orina completa, rac, crea, bun</t>
  </si>
  <si>
    <t>Diabetes, hipertension, ICC</t>
  </si>
  <si>
    <t>Regular adeherencia alto consumo de carbohidratos</t>
  </si>
  <si>
    <t>Proteinuria y glicemia alterada</t>
  </si>
  <si>
    <t>Control con examenes y control con medico para ajuste de tratamiento hipoglicemiante</t>
  </si>
  <si>
    <t xml:space="preserve">2024 DIABETES GESTACIONAL </t>
  </si>
  <si>
    <t xml:space="preserve">PADRES HTA Y DM, MADRE HTA. </t>
  </si>
  <si>
    <t>Alteracion decla funcion renal</t>
  </si>
  <si>
    <t>Examen lab y control connmedico</t>
  </si>
  <si>
    <t xml:space="preserve">Diabetes, hipertension, cancer </t>
  </si>
  <si>
    <t>Hipertension, diabetes, insuficiencia renal e insuficiencia cardiaca</t>
  </si>
  <si>
    <t>Sana. Antecedente de insuficiencia renal (abuela)
Ahora todo normal, excepto VFG disminuida
Dice que orina con olor muy fuerte. Cisititis a repetecion.</t>
  </si>
  <si>
    <t>Pesquisa Enfermedad Renal</t>
  </si>
  <si>
    <t xml:space="preserve">Orina completa,crea, vfg, bun, elp, proteinas totales, calcio, rac, hemograma, albumina, perfil lipidico, perfil hepatico, test de coombs directo, tsh, t4l </t>
  </si>
  <si>
    <t>Control con resultados de examenes (Obs enfermedad renal)</t>
  </si>
  <si>
    <t>Posta Llaima</t>
  </si>
  <si>
    <t>Papiloma</t>
  </si>
  <si>
    <t xml:space="preserve">HTA EN TTO VALSARTAN Y AMLODIPINO. RESISTENCIA A INSULINA EN TTO CON METFORMINA DE 1000 MG 2 AL DIA. </t>
  </si>
  <si>
    <t xml:space="preserve">MADRE DMNIR E HTA, PADRE CON HTA. </t>
  </si>
  <si>
    <t>RI, Higado graso</t>
  </si>
  <si>
    <t>Valsartan 160 amlodioino 10</t>
  </si>
  <si>
    <t xml:space="preserve">Aumentar valsartan y bajar de peso
Control de examamenes
Control con medico con resultado de examenes
</t>
  </si>
  <si>
    <t xml:space="preserve">HIPOTIROIDISMO EN TTO LEVOTIROXINA. </t>
  </si>
  <si>
    <t xml:space="preserve">PADRE HTA. </t>
  </si>
  <si>
    <t xml:space="preserve">2019 SIN ALTERACIONES </t>
  </si>
  <si>
    <t>AM: hipotiroidismo
Evaluacion renal alterada
PA limite</t>
  </si>
  <si>
    <t>Orina completa, rac</t>
  </si>
  <si>
    <t xml:space="preserve">Anemia </t>
  </si>
  <si>
    <t>Diabetes, Hipertension, ERC (Padre en HD)</t>
  </si>
  <si>
    <t xml:space="preserve">RESISTENCIA A LA INSULINA TRATADA CON METFORMINA, SIN RECONTROL. </t>
  </si>
  <si>
    <t xml:space="preserve">ABUELA CON HTA, TIOS CON HTA. </t>
  </si>
  <si>
    <t>Buen estilonde vida, presion limite alta, estaba desfilando.</t>
  </si>
  <si>
    <t>Mantener buenos habitos, se recomienda mayor activisad fisica</t>
  </si>
  <si>
    <t>Cecof las villas</t>
  </si>
  <si>
    <t>Hipertension arterial, diabetes</t>
  </si>
  <si>
    <t>Sin antecedentes
Evaluacion renal alterada, resto normal</t>
  </si>
  <si>
    <t>Control en medico con resultados
Evaluacion por nutricionista</t>
  </si>
  <si>
    <t>Hipertension.</t>
  </si>
  <si>
    <t>Proteinuria y crea alerada</t>
  </si>
  <si>
    <t>Crea, bun, elp, calcio, proteinas totales, orina completa, rac, hemograma, lipidico, glicemia</t>
  </si>
  <si>
    <t>Hipertension arterial, insuficiencia cardiaca, diabetes</t>
  </si>
  <si>
    <t>Enalapril, disminucion de la velocidad de filtracion glomerular</t>
  </si>
  <si>
    <t>Examenens y control con medico</t>
  </si>
  <si>
    <t xml:space="preserve">HIPERTIROIDISMO, LEVOTIROXINA. PROPRANOLOL. </t>
  </si>
  <si>
    <t xml:space="preserve">Diabetes, Hipertension, ERC (padre en HD) dislipidemia. </t>
  </si>
  <si>
    <t>Posta Cuncunllaque</t>
  </si>
  <si>
    <t>Hipertension, enfermedad cardiaca</t>
  </si>
  <si>
    <t>Hipertensa en tto
Pa dentro de rango
Evaluacion renal alterada (crea alta y vfg disminuida)</t>
  </si>
  <si>
    <t>Crea, bun, elp, calcio, proteinas totales, oc, rac, hemograma, vhs</t>
  </si>
  <si>
    <t>Cuidsdora de paciente con acv</t>
  </si>
  <si>
    <t>Alteracion de la funcion renal</t>
  </si>
  <si>
    <t>Examenes de control anuales y control con medico</t>
  </si>
  <si>
    <t xml:space="preserve">Cesfam de melipeuco </t>
  </si>
  <si>
    <t>Fibromialgia, depresion, anemia, dislipidemia</t>
  </si>
  <si>
    <t xml:space="preserve">Fibromialgia </t>
  </si>
  <si>
    <t>Operada de paladar</t>
  </si>
  <si>
    <t xml:space="preserve">Pa elevada </t>
  </si>
  <si>
    <t>Mantener terapia farmacologica y cambios de estilo de vida.</t>
  </si>
  <si>
    <t>HIPERTENSION, CANCER DE ESOFAGO (PADRE FALLECIDO)</t>
  </si>
  <si>
    <t>RUPTURA DE LCA NO OPERADO</t>
  </si>
  <si>
    <t>Epilepsy a</t>
  </si>
  <si>
    <t>Madre iam</t>
  </si>
  <si>
    <t xml:space="preserve">Control cronico descompensado </t>
  </si>
  <si>
    <t xml:space="preserve">Hipertenso en tto (losartan 2 veces y amlodipino 5mg) 
PA alta
Crea y VFG alteradas, sin alteraciones en examenes previos.
</t>
  </si>
  <si>
    <t>Crea, bun, acido urico, elp, calcio, orina completa, rac, lipidico, hemograma, glicemia, eco renal (a fines de septiembre)</t>
  </si>
  <si>
    <t>Hipertension, Diabetes</t>
  </si>
  <si>
    <t>Hermanos iam</t>
  </si>
  <si>
    <t>Asimetria renal</t>
  </si>
  <si>
    <t>AM: atrofia renal izq de etiologia incierta 
Evaluacion renal dentro de todo bien
Glicemia bien
PA altas</t>
  </si>
  <si>
    <t>Eco renal</t>
  </si>
  <si>
    <t>Cesfam Cunco</t>
  </si>
  <si>
    <t xml:space="preserve">Hipertension, Diabetes. </t>
  </si>
  <si>
    <t>Posiblemente por uso de aines la semana pasada</t>
  </si>
  <si>
    <t xml:space="preserve">Creatinina alta </t>
  </si>
  <si>
    <t>Tios diabetes</t>
  </si>
  <si>
    <t>Mama hta padre hta</t>
  </si>
  <si>
    <t>Mentruando hay q repetir examen no se toma los farmacos de hta</t>
  </si>
  <si>
    <t>Pa elevada y menor velocidad de filtracion glomerular</t>
  </si>
  <si>
    <t>Examenens e inicio de losartan</t>
  </si>
  <si>
    <t xml:space="preserve">HTA EN TTO CON AMLODIPINO Y LOSARTAN. </t>
  </si>
  <si>
    <t xml:space="preserve">ABUELA HTS Y DM. </t>
  </si>
  <si>
    <t>Rinon poliquistico</t>
  </si>
  <si>
    <t xml:space="preserve">AM: HTA hace 3a, riñon poliquistico, quistes hepaticos
Papa en dialisis hace 7a. Tios con quistes renales (uno en dialisis)
Fcos: losartan, amlodipino
Ultimo control con nefro el 2021. 
PA alta 
Control renal alterado
</t>
  </si>
  <si>
    <t>Crea, vfg, bun, elp, calcio, orina completa, rac, albumina, perfil lipidico, perfil hepatico, fosforo</t>
  </si>
  <si>
    <t>Seguimiento por nefro
Pesquisa de PA
Nutricion</t>
  </si>
  <si>
    <t xml:space="preserve">CESFAM MEPILEUCO </t>
  </si>
  <si>
    <t xml:space="preserve">HTA EN TTO CON LOSARTAN, DM EN TTO CON METFORMINA. DLP EN TTO  CON ATORVASTATINA. </t>
  </si>
  <si>
    <t xml:space="preserve">PADRE HTA Y DM, MADRE HTA. </t>
  </si>
  <si>
    <t xml:space="preserve">PADRE HIPERTENSO </t>
  </si>
  <si>
    <t xml:space="preserve">ECO ABD EVIDENCIA QUISTE EN RIÑON DERECHO. </t>
  </si>
  <si>
    <t xml:space="preserve">HERMANO DIABETES </t>
  </si>
  <si>
    <t>Tinitus</t>
  </si>
  <si>
    <t>Quiste renal</t>
  </si>
  <si>
    <t xml:space="preserve">Crisis epilepticas </t>
  </si>
  <si>
    <t>Artrosis, fibromialgia</t>
  </si>
  <si>
    <t xml:space="preserve">Cesfam melipeuco </t>
  </si>
  <si>
    <t>Hipertension, Diabetes.</t>
  </si>
  <si>
    <t>Hipotiroidesmo asma hhigado graso</t>
  </si>
  <si>
    <t>Asma ,Higado graso</t>
  </si>
  <si>
    <t>Cambios de estilo de vida 
Examenes de control y control con medico</t>
  </si>
  <si>
    <t xml:space="preserve">MONORRENA SIN NACIMIENTO, DESCUBIERTO A LOS 42 AÑOS DEBIDO A COLECISTECTOMIA. </t>
  </si>
  <si>
    <t xml:space="preserve">ULTIMO NORMAL </t>
  </si>
  <si>
    <t>AM: monorrena congenita/ERC (dg aprox 2020)
PA alta en 2 tomas
VFG disminuida</t>
  </si>
  <si>
    <t>Glicemia, crea, bun, elp, calcio, fosforo, ac urico, proteinas totales, albumina, perfil lipidico, hepatico, hemograma, OC, RAC, Ecografia abdominal</t>
  </si>
  <si>
    <t>Seriado de PA para confirmacion dg
Control medico con resultado de examenes y eco. Derivar a nefro x hospital digital en caso de VFG disminuida persistente</t>
  </si>
  <si>
    <t xml:space="preserve">Diabetes, Hipertension, Monorrenos (primos), Tio en HD. </t>
  </si>
  <si>
    <t xml:space="preserve">No hipertensa ni diabetica conocida
Antecedente familiar: abuela y primo monorrenos, tio ERC por DM
Tiene proteinuria y hematuria
</t>
  </si>
  <si>
    <t>Glicemia, crea, vfg,bun, elp, orina completa, rac, acido urico</t>
  </si>
  <si>
    <t>Madre hta diabetes padre iam</t>
  </si>
  <si>
    <t>Dic 2024</t>
  </si>
  <si>
    <t xml:space="preserve">ARTROSIS EN TTO CON MEDICINA HOMEOPATICA. CX DE MAMAS POR NODULOS  HACE MUCHOS AÑOS. </t>
  </si>
  <si>
    <t xml:space="preserve">HERMANO MONORREO POR Ca, HTA. </t>
  </si>
  <si>
    <t>Asinto,ari a</t>
  </si>
  <si>
    <t>Alteracin de la funcion renal</t>
  </si>
  <si>
    <t>Control con examenes y control con con medico</t>
  </si>
  <si>
    <t>Sindrome de sjorgen, Hipotiroidismo</t>
  </si>
  <si>
    <t>Historia recidnte de gastroenteritis</t>
  </si>
  <si>
    <t>Control con examsnenes una vez resue,to el cuadro</t>
  </si>
  <si>
    <t xml:space="preserve">Diabetes y ca de estomago. </t>
  </si>
  <si>
    <t>Cesfam temuco</t>
  </si>
  <si>
    <t>Padre hta erc icc</t>
  </si>
  <si>
    <t>Febrero. 2025</t>
  </si>
  <si>
    <t xml:space="preserve">Sana
Crea algo alta
PA limite
Resto normal
</t>
  </si>
  <si>
    <t>Pesquisa ERC
Prequisa de Hipertensión</t>
  </si>
  <si>
    <t>Crea, bun, oc, rac</t>
  </si>
  <si>
    <t xml:space="preserve">ESFAM MELIPEUCO </t>
  </si>
  <si>
    <t xml:space="preserve">PADRE CON HTA. </t>
  </si>
  <si>
    <t xml:space="preserve">Madre hta artrosis padre hta. </t>
  </si>
  <si>
    <t>Sin antecedentes conocidos
Crea algo alta para edad, VFG disminuida
PA limite
Hace ejercicio en programa vida sana</t>
  </si>
  <si>
    <t>Funcion renal, PTGO</t>
  </si>
  <si>
    <t xml:space="preserve">Control con resultados en consultorio
Control con nutricionista
</t>
  </si>
  <si>
    <t>DM2, Enfermedad Cardiaca.</t>
  </si>
  <si>
    <t xml:space="preserve">Cesfam Amanecer </t>
  </si>
  <si>
    <t xml:space="preserve">Diabetes, Hipertension, ERC </t>
  </si>
  <si>
    <t>Diabetes, Hipertension</t>
  </si>
  <si>
    <t>Asinto atico en control en consutorios previamnet e todo normal</t>
  </si>
  <si>
    <t>Presion arterial levemenre aumentadk y proteinuria</t>
  </si>
  <si>
    <t>Examenes y control con medico posterior</t>
  </si>
  <si>
    <t>DM2, ERC</t>
  </si>
  <si>
    <t>20242</t>
  </si>
  <si>
    <t>Toma antifinflamatorios</t>
  </si>
  <si>
    <t xml:space="preserve">MADRE HTA Y DMNIR </t>
  </si>
  <si>
    <t xml:space="preserve">RESISTENCIA A LA INSULINA EN TTO MERFORMINA, ALERGICA A AINES.  PAP 2024 GRADO 3, EN TTO, CONOSCOPIA 2024, PENDIENTE RECONTROL. </t>
  </si>
  <si>
    <t xml:space="preserve">ABUELOS MATERNOS HTA Y DM. </t>
  </si>
  <si>
    <t>Control con examenes 
Ontrol medico poaterior</t>
  </si>
  <si>
    <t>Sin antecedentes conocidos. Sin consumo drogas, oh, tbq, creatina
PA alta
Glicemia post prandial normal
Evaluacion renal alterada: proteinuria y VFG entre 20/30. Crea alta</t>
  </si>
  <si>
    <t>Prequisa de Hipertensión
Pesquisa Enfermedad Renal</t>
  </si>
  <si>
    <t>Lab full, eco renal</t>
  </si>
  <si>
    <t>Seriado de PA
Control con lab</t>
  </si>
  <si>
    <t xml:space="preserve">COLON IRRITABLE. </t>
  </si>
  <si>
    <t xml:space="preserve">Colon irritable, Dlp </t>
  </si>
  <si>
    <t xml:space="preserve">Artritis reumetoidea, Artrisis, fibromialgia, temblor escencial. </t>
  </si>
  <si>
    <t xml:space="preserve">Hipertension, ERC. </t>
  </si>
  <si>
    <t>DM2 , HTA</t>
  </si>
  <si>
    <t>Cesfam MELIPEUCON</t>
  </si>
  <si>
    <t xml:space="preserve">Quiste en riñon derecho, cardiopatia. </t>
  </si>
  <si>
    <t xml:space="preserve">Diabetes, Hipertension, cardiopatia. </t>
  </si>
  <si>
    <t xml:space="preserve">AM: HTA, ICC, IAM
Fcos: bisoprolol, dapaglifozina, espironolactona, atv, aas, furo, sacubitrilo valsartan
Evaluacion renal alterada
</t>
  </si>
  <si>
    <t>Lab full</t>
  </si>
  <si>
    <t>Pre diabetes</t>
  </si>
  <si>
    <t>Madre hta dm padre hta dm</t>
  </si>
  <si>
    <t xml:space="preserve">Presion arterial alta y amtecedentes familiares </t>
  </si>
  <si>
    <t>Antecedente familiar de erc por rinon poliquistico</t>
  </si>
  <si>
    <t>Ecografia examenes de laboartorio y control con medico</t>
  </si>
  <si>
    <t xml:space="preserve">CEFALEA RECURRENTE ACOMPANADO DE ZUMBIDO EN EL OIDO, PCT Y NAPROXENO SOS. </t>
  </si>
  <si>
    <t xml:space="preserve">MADRE HTS, ABUELA MATERNA DMIR </t>
  </si>
  <si>
    <t>Cesfma melipeuco</t>
  </si>
  <si>
    <t>Erc en HD</t>
  </si>
  <si>
    <t>Resistencia a la insulina (desde el 2010 al 2013)</t>
  </si>
  <si>
    <t>Hipertension madre, diabetes padre</t>
  </si>
  <si>
    <t xml:space="preserve">HTA ENALAPRIL, DM E TTO CON METFORMINA. </t>
  </si>
  <si>
    <t>Cardiopatias, Hipertension.</t>
  </si>
  <si>
    <t xml:space="preserve">Hipertension, diabetes mama </t>
  </si>
  <si>
    <t>Epilepsia, DLP</t>
  </si>
  <si>
    <t xml:space="preserve">HEMORROIDES EN TTO CON CREMA. </t>
  </si>
  <si>
    <t xml:space="preserve">Padre fallecio de DMNIR </t>
  </si>
  <si>
    <t xml:space="preserve">MED: BISOPROLOL, ESPIRONOLACTONA, ATORVASTATINA. </t>
  </si>
  <si>
    <t xml:space="preserve">MADRE DMIR, HTA. </t>
  </si>
  <si>
    <t>Toma antiinflamatorio</t>
  </si>
  <si>
    <t>Ant IAM</t>
  </si>
  <si>
    <t xml:space="preserve">Ca de mamas en estudio, DLP. </t>
  </si>
  <si>
    <t>AM: ca mama (RT y tamoxifeno), discopatia columna, depresion
Evaluacion renal alteradas
Resto normal</t>
  </si>
  <si>
    <t xml:space="preserve">Glicemia, crea, bun, oc, rac, </t>
  </si>
  <si>
    <t xml:space="preserve">PESQUISA DE 1 TOMA DE PRESION ALTA Y GLICEMIA EN AYUNAS ALTA, SIN SEGUIMIENTO. </t>
  </si>
  <si>
    <t xml:space="preserve">AMBOS PADRES HIPERTENSOS Y DIABETICOS </t>
  </si>
  <si>
    <t>Asintomatica, antecdentes familiares de hta</t>
  </si>
  <si>
    <t>PAelevada  y proteinuria</t>
  </si>
  <si>
    <t>Examenes y pesquisa de hta</t>
  </si>
  <si>
    <t xml:space="preserve">Varices </t>
  </si>
  <si>
    <t>Ca</t>
  </si>
  <si>
    <t xml:space="preserve">Endometriosis </t>
  </si>
  <si>
    <t>Pa alterada, antecedentes familiares de hta</t>
  </si>
  <si>
    <t>Examenes de laboratorio y pesquisa de hta</t>
  </si>
  <si>
    <t xml:space="preserve">TIA MATERNA CON DMIR </t>
  </si>
  <si>
    <t>Volcan antuco 250</t>
  </si>
  <si>
    <t xml:space="preserve">PAPA CON HTA </t>
  </si>
  <si>
    <t xml:space="preserve">CX DE MIOMA HACE 10 AÑOS </t>
  </si>
  <si>
    <t xml:space="preserve">MADRE CON DMIR </t>
  </si>
  <si>
    <t xml:space="preserve">HACE TIEMPO </t>
  </si>
  <si>
    <t>Cesfam Melipeucon</t>
  </si>
  <si>
    <t xml:space="preserve">Diabetes, hipertension, cardiopaticas. </t>
  </si>
  <si>
    <t>Anemia cronico</t>
  </si>
  <si>
    <t>EDA y examenes de celiaquia</t>
  </si>
  <si>
    <t xml:space="preserve">Hipertension, Diabetes, ERC. </t>
  </si>
  <si>
    <t>Madre hta cardiaca</t>
  </si>
  <si>
    <t>HTA , DM 2</t>
  </si>
  <si>
    <t>Ca Cu</t>
  </si>
  <si>
    <t xml:space="preserve">Cardiopatias. </t>
  </si>
  <si>
    <t xml:space="preserve">AM: cancer CU, prediabetes
Fcos: metformina, atv
Sin AF de ERC
Glicemia alta
Evaluacion renal alterada
</t>
  </si>
  <si>
    <t>Glicemia, crea, vfg, bun, elp, orina completa, rac, hemograma, lipidico, tiroides</t>
  </si>
  <si>
    <t>Control en medico con resultados</t>
  </si>
  <si>
    <t>Madre diabetica</t>
  </si>
  <si>
    <t xml:space="preserve">Hidatidossis Hepatica </t>
  </si>
  <si>
    <t>Diabetes, HIpertension</t>
  </si>
  <si>
    <t>Hidatidosis operates hepatica, TCA, DEPRESION</t>
  </si>
  <si>
    <t xml:space="preserve">Diabetes. </t>
  </si>
  <si>
    <t xml:space="preserve">ERC </t>
  </si>
  <si>
    <t>Dsm gorbea</t>
  </si>
  <si>
    <t>Hermanos mama</t>
  </si>
  <si>
    <t>Padres hta diabetes</t>
  </si>
  <si>
    <t>Lastarria</t>
  </si>
  <si>
    <t xml:space="preserve">Posta </t>
  </si>
  <si>
    <t xml:space="preserve">HTA en tto con losartan (x2) y amlodipino
PA alta (se tomo medicamentos hoy)
Glicemia alta
</t>
  </si>
  <si>
    <t>Control con examenes lab (ya tiene orden de antes)</t>
  </si>
  <si>
    <t>Padres y abuelos diabeticos</t>
  </si>
  <si>
    <t>Ha estado cambiando los estilos de vida saludable, ahora hace deporte y se aliemnta mejor.</t>
  </si>
  <si>
    <t>Consulta de Morbilidad
Prequisa de Diabetes Mellitus</t>
  </si>
  <si>
    <t xml:space="preserve">Glicemia de ayuna alterada </t>
  </si>
  <si>
    <t xml:space="preserve">Se le toma examenes de laboratorio para ver estado metabolico general. Posteriormente control con medico. </t>
  </si>
  <si>
    <t>La posta quitratue</t>
  </si>
  <si>
    <t>Posta Quitratue</t>
  </si>
  <si>
    <t>Artrosis, DLP</t>
  </si>
  <si>
    <t xml:space="preserve">AM: diabetes, artrosis
Fcos: mtf 850 x2, atv, paracetamol
PA alta en dos tomas
</t>
  </si>
  <si>
    <t>Pesquisa HTA (delantal blanco?)</t>
  </si>
  <si>
    <t>Cesfam quitratue</t>
  </si>
  <si>
    <t>11-2023</t>
  </si>
  <si>
    <t>Depresion hipotiroidismo</t>
  </si>
  <si>
    <t>Hipotiroidismo, Depresion, Dislipidemia</t>
  </si>
  <si>
    <t xml:space="preserve">Le ha salido alterada en ocasiones cuando esta muy apurada. </t>
  </si>
  <si>
    <t>Se entrega pesquia de presion arterial y posteriormente control con medico 
Se sugiere control con nutricionista para evaluacion de la composicion corporal.</t>
  </si>
  <si>
    <t xml:space="preserve">Cgr lastarria </t>
  </si>
  <si>
    <t xml:space="preserve">Mama hermanos </t>
  </si>
  <si>
    <t>Hoy no se tomo los remedios para la HTA</t>
  </si>
  <si>
    <t xml:space="preserve">Se recomienda control de presiones y luego control cardiovascular. </t>
  </si>
  <si>
    <t>Resistencia a la insulina, problemas a los huesos</t>
  </si>
  <si>
    <t>Hta, Dm</t>
  </si>
  <si>
    <t>Quitratue</t>
  </si>
  <si>
    <t>Hta-dm</t>
  </si>
  <si>
    <t>Dice no ser hta ni diabetic
PA alta
Glicemia limite altoa</t>
  </si>
  <si>
    <t>Posta Faja Richie</t>
  </si>
  <si>
    <t>Prediabetes, Prostatismo</t>
  </si>
  <si>
    <t xml:space="preserve">Hospital de gorbea </t>
  </si>
  <si>
    <t xml:space="preserve">Papa mama hermanos </t>
  </si>
  <si>
    <t>Problemas coronario</t>
  </si>
  <si>
    <t xml:space="preserve">Padre problemas cardiacos </t>
  </si>
  <si>
    <t xml:space="preserve">Asintomatica
Dice tomar jugo de limon para bajar la presion. Se explica cual es el roll que cumple jugo de limon </t>
  </si>
  <si>
    <t>Glicemia alterada y presion elevada</t>
  </si>
  <si>
    <t>Se entrega papel de examenes de laboratorio y posteriormente control con medico
Control seriado de presion arterial</t>
  </si>
  <si>
    <t>Psr quitratue</t>
  </si>
  <si>
    <t xml:space="preserve">Mama, tios </t>
  </si>
  <si>
    <t>Insuficiencia renal en Hemodialisis</t>
  </si>
  <si>
    <t>PA limite alto
Glicemia pp ok
Proteinuria</t>
  </si>
  <si>
    <t xml:space="preserve">Cesfam Gorbea </t>
  </si>
  <si>
    <t>Pa alta primera, segunda normal
Glicemia leve alta pero comio en madrugada
Crea algo alta pero usa suplementos y creatina</t>
  </si>
  <si>
    <t>Hosp Gorbea</t>
  </si>
  <si>
    <t xml:space="preserve">Dsm gorbea </t>
  </si>
  <si>
    <t>Mama</t>
  </si>
  <si>
    <t>PA 200/106</t>
  </si>
  <si>
    <t xml:space="preserve">Siempre con azucar alta, pero sin diagnostico de diabetes. </t>
  </si>
  <si>
    <t>PA alterada y glicemia alterada</t>
  </si>
  <si>
    <t>Se indica examenes para pesquisa de DM y control de presion seriada por presion elevada pese a uso de farmacos.</t>
  </si>
  <si>
    <t>Posta Hueianto Alto</t>
  </si>
  <si>
    <t>Infarto 20222</t>
  </si>
  <si>
    <t>Posta Guallanto Alto</t>
  </si>
  <si>
    <t xml:space="preserve">Enfermedad cardiaca </t>
  </si>
  <si>
    <t xml:space="preserve">hoy no se tomo los remedios de la presion 
Nunca ha estado con buen control de presiones
Actualmente esta tomando hierbas para el control de la glicemia. No tolero bien la metformina. </t>
  </si>
  <si>
    <t>PA elevada, disminucion de la velocidad de filtracion glomerular y glicemia alterada</t>
  </si>
  <si>
    <t xml:space="preserve">Se recomiendo reiniciar metformina, cambios de etsilo de vida, menos sal, menos carbohidratos y menos azucares. 
Se indica monitoreo de presion arterial. </t>
  </si>
  <si>
    <t xml:space="preserve">Psr quitratue </t>
  </si>
  <si>
    <t>DM. HTA</t>
  </si>
  <si>
    <t>DLP,Hipertension en embarazo</t>
  </si>
  <si>
    <t>Proteinuria, disminucion VFG</t>
  </si>
  <si>
    <t>Hospital Pitrufquen</t>
  </si>
  <si>
    <t>Artrosis cardiacos</t>
  </si>
  <si>
    <t>Madre enfermedad cardiaca</t>
  </si>
  <si>
    <t>2 toma presion ok
Azucar pp ok
Renal ok</t>
  </si>
  <si>
    <t>Control con cx bariatrica</t>
  </si>
  <si>
    <t>Posta kitratue</t>
  </si>
  <si>
    <t>Cesfam Quitratuhe</t>
  </si>
  <si>
    <t>Hta Diabetes</t>
  </si>
  <si>
    <t>205</t>
  </si>
  <si>
    <t xml:space="preserve">Posta el liuco </t>
  </si>
  <si>
    <t xml:space="preserve">Migrana </t>
  </si>
  <si>
    <t>Papa</t>
  </si>
  <si>
    <t>2 tias y primas con ERC en dialisis
PA alta ahora, sin dg previo
Evaluacion renal alterado</t>
  </si>
  <si>
    <t>Pesquisa Enfermedad Renal
Prequisa de Hipertensión</t>
  </si>
  <si>
    <t>Orina completa, rac, crea, bun, hemograma, lipidico, tiroides</t>
  </si>
  <si>
    <t>Seriado PA y control con lab</t>
  </si>
  <si>
    <t>Quitrarue</t>
  </si>
  <si>
    <t>HTA madres</t>
  </si>
  <si>
    <t>No se toma los farmacos de la presion por efectos adversos. 
Se ha realizado PTGO previos y han salido normales</t>
  </si>
  <si>
    <t>PA elevada y glicemia de ayunas altrado</t>
  </si>
  <si>
    <t xml:space="preserve">Se entrega orden de examenes y control seriado de la presion arterial
Control con medico conresultados.
</t>
  </si>
  <si>
    <t>U</t>
  </si>
  <si>
    <t>Cesfam Quitratue</t>
  </si>
  <si>
    <t>Hipotiroidismo, Dislipidemia</t>
  </si>
  <si>
    <t>No recuerda fecha</t>
  </si>
  <si>
    <t>PA alta dos tomas</t>
  </si>
  <si>
    <t>Pesquisa PA en consultorio. Si alta ingresar a PSCV</t>
  </si>
  <si>
    <t>Huallanto Bajo</t>
  </si>
  <si>
    <t>Lupus, trastorno bipolar, hipotiroidismo</t>
  </si>
  <si>
    <t xml:space="preserve">Posta de huallanto bajo </t>
  </si>
  <si>
    <t xml:space="preserve">Mama </t>
  </si>
  <si>
    <t>Cesfam Gorbea</t>
  </si>
  <si>
    <t>Hipertiroidismo, artrosis</t>
  </si>
  <si>
    <t>Artrosis-Depresion</t>
  </si>
  <si>
    <t>Problemas cardiaco</t>
  </si>
  <si>
    <t>DLP, Artrosis, Arthritis reumatoide</t>
  </si>
  <si>
    <t>DM2, HTA, ERC</t>
  </si>
  <si>
    <t xml:space="preserve">Papa diabetico/ abuela ERC x diabetes en dialisis
Ahora glicemia ayuna alta
</t>
  </si>
  <si>
    <t>Control con lab. Se sugiere iniciar metformina</t>
  </si>
  <si>
    <t>Nunca s ha hecho control en salud</t>
  </si>
  <si>
    <t xml:space="preserve">PA elevada y glicemia de ayunas alterada </t>
  </si>
  <si>
    <t>Se recomienda pesquisa de HTA y DM y posteriormente cotrol con medico</t>
  </si>
  <si>
    <t>Cesfam Huiscapi</t>
  </si>
  <si>
    <t>ERC, Hta, Marcapasos(papa)</t>
  </si>
  <si>
    <t xml:space="preserve">Hermana y padre con antecedente de enfermedad renal en dialisis
Ella es la unica posible donante de rinon de su hna. 
</t>
  </si>
  <si>
    <t xml:space="preserve">Pesquisa de HTA y se lo muestra en el centro de trasplante. </t>
  </si>
  <si>
    <t xml:space="preserve">Posta quinta faja </t>
  </si>
  <si>
    <t>Disfagia</t>
  </si>
  <si>
    <t>Control cromico</t>
  </si>
  <si>
    <t>EDA, control</t>
  </si>
  <si>
    <t>Posta Qutratue</t>
  </si>
  <si>
    <t>Cirugia valvula cardiaca</t>
  </si>
  <si>
    <t>DLP, Tabaquismo</t>
  </si>
  <si>
    <t>En espera cirugia de vesicula</t>
  </si>
  <si>
    <t>HTA-Dm</t>
  </si>
  <si>
    <t>Cesfam Lastarria</t>
  </si>
  <si>
    <t>Artrosis, Hipotiroidismo</t>
  </si>
  <si>
    <t>Lastarrias</t>
  </si>
  <si>
    <t>Hoy se olvido de tomar sus medicamentos de la presion. Dice que no le han dado diagnostico de diabetes y ptras veces si.
Le han dicho que sse le estaba secando un rinon y ademas tiene historia de dolor intermitente y de botar sarro en el pipi.</t>
  </si>
  <si>
    <t>PA elevada y glicemia de ayunas alterada alteraacion de la funcion renal</t>
  </si>
  <si>
    <t xml:space="preserve">Control conn examenens, control seriado de presion arterial, ecografia renal y control con medico para resultados. </t>
  </si>
  <si>
    <t>2000</t>
  </si>
  <si>
    <t>Solo tomo el tratamiento antihipertensivo por tres meses, no sabia que era cronico.</t>
  </si>
  <si>
    <t>Control seriado de la presion arterial e ingreso a programa cardiovascular</t>
  </si>
  <si>
    <t>Posta Lastarrias</t>
  </si>
  <si>
    <t xml:space="preserve">DM2, enfermedad cardiaca </t>
  </si>
  <si>
    <t>Sin antecedentes
Ahora PA alta
Resto normal</t>
  </si>
  <si>
    <t>Delantal Blanco, ITU</t>
  </si>
  <si>
    <t xml:space="preserve">Sin AM conocidos
PA alta ahora. Holter PA este año normal
Leucos en orina
</t>
  </si>
  <si>
    <t>Oc y uc</t>
  </si>
  <si>
    <t>Control con resultado oc y uc</t>
  </si>
  <si>
    <t>Hipertensa con enalapril 1 en la mañana
Tolterodina para vejiga hiperactiva
PA bien
Todo bien</t>
  </si>
  <si>
    <t xml:space="preserve">Mama abuela </t>
  </si>
  <si>
    <t>Cesfam lastarrias</t>
  </si>
  <si>
    <t>AM: artrosis, hbp
Hoy PA alta en dos tomas
Se hizoun perfil PA año pasado y normal</t>
  </si>
  <si>
    <t>Centro de salud comunitario</t>
  </si>
  <si>
    <t>Fibromialgia, Hipotiroidismo</t>
  </si>
  <si>
    <t>20</t>
  </si>
  <si>
    <t>Pitrufquen</t>
  </si>
  <si>
    <t>HTA-DM</t>
  </si>
  <si>
    <t>Fcos: losartan 1 en la mña, atv, metformina 500 
PA y glicemia alteradas, tto no optimo</t>
  </si>
  <si>
    <t>Optimizar tto presion y metformina. Mantener control cronico</t>
  </si>
  <si>
    <t xml:space="preserve">Artrosis dislipidemia anemia </t>
  </si>
  <si>
    <t>EMR Botacura</t>
  </si>
  <si>
    <t>Delantal blanco
Evaluacion renal altera. Se hizo examenes en mayo. Tiene control a fin de mes</t>
  </si>
  <si>
    <t xml:space="preserve">HTA, DM2 , ERC, Enfermedad Cardiaca </t>
  </si>
  <si>
    <t xml:space="preserve">Posta liuco </t>
  </si>
  <si>
    <t xml:space="preserve">Mama papa </t>
  </si>
  <si>
    <t>Regular control metabolico, refiere mutiples alzas de azucar tratado con vinagre. Historia previa de mala funcion renal y muy baja ingesta de agua.</t>
  </si>
  <si>
    <t xml:space="preserve">Glicemia fuera de rango, proteinuria, disminucion de la velocidadd de filtracion glomerular. </t>
  </si>
  <si>
    <t>Examenens para agregar a el control de cronico
Control con medico
Ajuste de terapia de diabetes</t>
  </si>
  <si>
    <t>Artrosi, Hipertiroidismo</t>
  </si>
  <si>
    <t>Tumor cerebral, Hipotiroidismo</t>
  </si>
  <si>
    <t xml:space="preserve">Posta butalcura </t>
  </si>
  <si>
    <t xml:space="preserve">Cesfam de freire </t>
  </si>
  <si>
    <t>o se ha realizado examenens preventivos en dos anos</t>
  </si>
  <si>
    <t xml:space="preserve">Pesquisa HTA y control con examenes
Control con medico </t>
  </si>
  <si>
    <t>Hospital Gorbea</t>
  </si>
  <si>
    <t>Hipercolesterolemia- Antecedentes de AVC</t>
  </si>
  <si>
    <t>Gota, Hipotiroidismo</t>
  </si>
  <si>
    <t>Historia que en algun minuto le habrian dicho que tenia una falla en uno dee sus rinones, no concretamente que problema tiene.</t>
  </si>
  <si>
    <t>Alteracion de la funcion renla</t>
  </si>
  <si>
    <t xml:space="preserve">Control con examenes y control con medico posterioremente. </t>
  </si>
  <si>
    <t xml:space="preserve">Abuela mama papa </t>
  </si>
  <si>
    <t>Artrosis hipercolesterolemia</t>
  </si>
  <si>
    <t>DLP,Prediabetes</t>
  </si>
  <si>
    <t xml:space="preserve">Cesfam butalcura </t>
  </si>
  <si>
    <t>Obs delantal blanco. Se hizo perfil reciente y ok
Evaluacion renal ok</t>
  </si>
  <si>
    <t>Medir PA en casa</t>
  </si>
  <si>
    <t>Posta Liuco</t>
  </si>
  <si>
    <t xml:space="preserve">Diabetico en tto con mtf 850/ d
</t>
  </si>
  <si>
    <t>Control con oc y rac. Optimizar tto</t>
  </si>
  <si>
    <t>Posta Huellanto Bajo</t>
  </si>
  <si>
    <t>Perfil de presion para ajustar tratamiento</t>
  </si>
  <si>
    <t>Posta Huallanto bajo</t>
  </si>
  <si>
    <t xml:space="preserve">Artrosis, prolapso </t>
  </si>
  <si>
    <t xml:space="preserve">Posta huallanto bajo </t>
  </si>
  <si>
    <t xml:space="preserve">Artritis leucemia </t>
  </si>
  <si>
    <t>Buen control de la presion y metabolico
Sin retirnopatia diabetica.</t>
  </si>
  <si>
    <t xml:space="preserve">Se repetira examenes de laboratorio, posteriormente control con medico </t>
  </si>
  <si>
    <t>Posta huallanto</t>
  </si>
  <si>
    <t xml:space="preserve">Hipertiroidismo </t>
  </si>
  <si>
    <t>SAF en TACO</t>
  </si>
  <si>
    <t>TVP y TEP.
Ha bajado 10 kilos en ultimo tiempo, se ha cuidado.
Se realizara una colonoscopia</t>
  </si>
  <si>
    <t>Alteracion de la funcion renal, PA elevada</t>
  </si>
  <si>
    <t xml:space="preserve">Pesquisa de HTA, examenes de laboratorio de control 
Control con medico con los resultados. </t>
  </si>
  <si>
    <t>Huallanto Alto</t>
  </si>
  <si>
    <t xml:space="preserve">Posta de huallanto </t>
  </si>
  <si>
    <t xml:space="preserve">Papa </t>
  </si>
  <si>
    <t>Temblor congenito de mano</t>
  </si>
  <si>
    <t>ERC, Hta</t>
  </si>
  <si>
    <t xml:space="preserve">Tiroides </t>
  </si>
  <si>
    <t>Tiroidectomia</t>
  </si>
  <si>
    <t xml:space="preserve">Quitetue </t>
  </si>
  <si>
    <t>Sin familiares hipertensos
Hoy PA alta
Crea alta. Tomo antiinflamatorios hace poco x lumbago</t>
  </si>
  <si>
    <t>Perfil PA y control
Suspender antiinflamatorios</t>
  </si>
  <si>
    <t>Posta Quitratoe</t>
  </si>
  <si>
    <t xml:space="preserve">DM en tto con mtf 850/d
PA alta hoy. Refier haberse estudiado con perfil PA en 2 ocasiones, la ultima hace 6 meses, ambos normales
</t>
  </si>
  <si>
    <t xml:space="preserve">Control PA </t>
  </si>
  <si>
    <t>Hipotiroidismo, Artrosis</t>
  </si>
  <si>
    <t xml:space="preserve">Educacion sobre uso de analgesico y pesquisa de HTA. </t>
  </si>
  <si>
    <t xml:space="preserve">Cesfam Fundo El Carmen </t>
  </si>
  <si>
    <t>Enfermedad Cardiaca, DM2</t>
  </si>
  <si>
    <t xml:space="preserve">Posta faja ricci </t>
  </si>
  <si>
    <t>Arthritis, DLP</t>
  </si>
  <si>
    <t>Posta faja Ricchi</t>
  </si>
  <si>
    <t>HTA DM</t>
  </si>
  <si>
    <t>Faja Richi</t>
  </si>
  <si>
    <t>DM-HTA</t>
  </si>
  <si>
    <t xml:space="preserve">HTA y DM2
PA en rango
Glicemia post prandial ok
VFG disminuida y crea alta
</t>
  </si>
  <si>
    <t>Pesquisa Enfermedad Renal 
Hospital Digital, Nefrología</t>
  </si>
  <si>
    <t xml:space="preserve">Estacion medico rural melirrehue </t>
  </si>
  <si>
    <t>Melirreu</t>
  </si>
  <si>
    <t>HTA sin tratamiento.</t>
  </si>
  <si>
    <t xml:space="preserve">Pesquisa de HTA y control con medico </t>
  </si>
  <si>
    <t xml:space="preserve">Ceafam gorbea </t>
  </si>
  <si>
    <t>Cardiaca, HTA</t>
  </si>
  <si>
    <t>2 presiones altas, 3 normal</t>
  </si>
  <si>
    <t>Seguimiento presion 2 veces al dia x 1 semana</t>
  </si>
  <si>
    <t>Posta Huallanto Bajo</t>
  </si>
  <si>
    <t xml:space="preserve">Posta huellanto bajo </t>
  </si>
  <si>
    <t>Parkinson</t>
  </si>
  <si>
    <t>Asma, artrosis</t>
  </si>
  <si>
    <t xml:space="preserve">Hospital gorbea </t>
  </si>
  <si>
    <t>Antecedente de preeclampsia, Urgiincontinencia de orina</t>
  </si>
  <si>
    <t>Historia de pielonefritis a repeticion en la infancia. Incontinencia, desde ultimo parto</t>
  </si>
  <si>
    <t xml:space="preserve">Consulta de Morbilidad
Regimen banjo enc aporias y bajo en sal
Repetir orina completa, RAC, creatinina, BUN
Rcografia abdominal y pelvica
Evaluation por matrona
Evaluation por kinesioterapia de piso pelvico. 
Control de morbilidad con resultados y derivaciona urologia para evaluation de urgiincontinecia </t>
  </si>
  <si>
    <t>Proteinuria y disminucion de la velocidad de filtracion glomerular.</t>
  </si>
  <si>
    <t xml:space="preserve">Repetir examenensn de laboratorio. Ecografia renal y control con medico
Debe tener seguirmientos estricto por antecdente famiiliar de ERC, histoir ade pielonefriti s a repeticion en la infancia y obesidad. </t>
  </si>
  <si>
    <t>HPB</t>
  </si>
  <si>
    <t>Hospital</t>
  </si>
  <si>
    <t>pa alta</t>
  </si>
  <si>
    <t>Seguimiento PA en casa x 1 semana</t>
  </si>
  <si>
    <t xml:space="preserve">Abuela </t>
  </si>
  <si>
    <t>Departamento Salud</t>
  </si>
  <si>
    <t>Accidente vascular</t>
  </si>
  <si>
    <t xml:space="preserve">2 ACV secuelados (2010)
Hta manejada con losartan x2, medio HCT y 1 amlodipino
No se los tomo ayer ni hoy
</t>
  </si>
  <si>
    <t>Optimizar adherencia a tto y dieta
Control con resultados</t>
  </si>
  <si>
    <t>Usuaria de MCP</t>
  </si>
  <si>
    <t xml:space="preserve">Reflujo cardiopatia congenita polipo nasal </t>
  </si>
  <si>
    <t>Cardiopatia congenital</t>
  </si>
  <si>
    <t>Disnea</t>
  </si>
  <si>
    <t>Artrosis cadera</t>
  </si>
  <si>
    <t>Usa atv
No usa medicamentos para hta
Evaluacion renal alterada + hematuria</t>
  </si>
  <si>
    <t>Control con OC y microalbuminuria. Sugerimos eco renal</t>
  </si>
  <si>
    <t>Padre en dialisis</t>
  </si>
  <si>
    <t xml:space="preserve">Hospital </t>
  </si>
  <si>
    <t>Calculus renales recurrentes, ITU recurrente, JJ Bilaateral retirado en junio 2024, Calculate coraliforme rinon derecho, Obs nefrocalcinosis</t>
  </si>
  <si>
    <t>Paciente con antecedentes de sospecha de nefrocalcinosis y calculos renales mutiples bilaterales, con proteinuria persistente en exaamenes actuales y previos. Esta esperando hora a urologia hace un anño, tuvo JJ bilateral y se retiró en junio 2024, se mantiene sintomatica, con eliminacion de calculos frecuente y sedimento en la orina.</t>
  </si>
  <si>
    <t>Patience de be tender a la brevrdad hora con urologia ya que required reevaluar magnitude de la litiasis y necesidad de Nuevo JJ o litotripsia. 
Demo of y urocultivo</t>
  </si>
  <si>
    <t>IC</t>
  </si>
  <si>
    <t xml:space="preserve">Alergia alimentaria </t>
  </si>
  <si>
    <t xml:space="preserve">Abuelo </t>
  </si>
  <si>
    <t>Factor cinco coagualacion</t>
  </si>
  <si>
    <t>Madre diabetica padre hta</t>
  </si>
  <si>
    <t>Gota</t>
  </si>
  <si>
    <t>Monorreno congenito</t>
  </si>
  <si>
    <t>Monorreno congenito izq
Fcos: metformina x2, omeprazol, alopurinol
PA alta
Glicemia muy alta
Evaluacion renal alterada</t>
  </si>
  <si>
    <t>Se sugiere empezar losartan y dapaglifozina</t>
  </si>
  <si>
    <t>Evaluacion renal alterada (crea y vfg)
Sin antecedentes familiares de erc
Usa celecoxib sos por artrosis</t>
  </si>
  <si>
    <t>Repetir examenes 
Kinesioterapia por artrosis</t>
  </si>
  <si>
    <t xml:space="preserve">Abuela tia </t>
  </si>
  <si>
    <t>Evaluacion cirugia bariatrica</t>
  </si>
  <si>
    <t>Glaucoma terminal, isterectomia, pre ca colon</t>
  </si>
  <si>
    <t>DLP, Prostatismo</t>
  </si>
  <si>
    <t>Hta sin tto
Glicemia alterada</t>
  </si>
  <si>
    <t>Parkinson y diverticulitis</t>
  </si>
  <si>
    <t>AM: hipertenso, parkinson
Fcos: losartan x2
PA dentro de todo ok
Funcion renal alterada</t>
  </si>
  <si>
    <t>Dolor abdominal</t>
  </si>
  <si>
    <t>Paciente con dolor abdominal persistente en fllanco izquierdo, imagenes con diverticulos (TAC TAP con contraste)</t>
  </si>
  <si>
    <t>Evaluation por gastroenterologist</t>
  </si>
  <si>
    <t>Fibromialgias, hipertiroideismo</t>
  </si>
  <si>
    <t xml:space="preserve">Madre hta </t>
  </si>
  <si>
    <t>Examen confirmatorio</t>
  </si>
  <si>
    <t>Hospital gorbea</t>
  </si>
  <si>
    <t>Lupus Eritematoso</t>
  </si>
  <si>
    <t>DM.  HTA</t>
  </si>
  <si>
    <t>Lupus eritematoso diseminado</t>
  </si>
  <si>
    <t>Prequisa de Hipertensión
Monitored de hipertension y control con medicina interna para eventual ajuste de terrapin antihipertensiva.</t>
  </si>
  <si>
    <t xml:space="preserve">Papa mama </t>
  </si>
  <si>
    <t>Hipotiroideismo obesidad</t>
  </si>
  <si>
    <t>Padre cardiopata madre hta diabetes</t>
  </si>
  <si>
    <t>Riñon Poliquistico</t>
  </si>
  <si>
    <t>Riñon poliquistico, Hta</t>
  </si>
  <si>
    <t xml:space="preserve">Lastarrias </t>
  </si>
  <si>
    <t>Incontinencia urinaria esfuerzo</t>
  </si>
  <si>
    <t>Preeclampsia en primer embarazo
Padres hta
PA alta. Se hizo perfil este año 
proteinuria y hematuria pero esta menstruando
Glicemia ok</t>
  </si>
  <si>
    <t xml:space="preserve">Perfil Pa
</t>
  </si>
  <si>
    <t>Padre hta</t>
  </si>
  <si>
    <t>Dolor genital</t>
  </si>
  <si>
    <t>Eco rena, y vesical</t>
  </si>
  <si>
    <t xml:space="preserve">Reflujo </t>
  </si>
  <si>
    <t xml:space="preserve">Mama hta tias dm </t>
  </si>
  <si>
    <t>Prequisa de Hipertensión y control con medico
De be retromar controles de diabetes</t>
  </si>
  <si>
    <t>Enfermedad cardiaca, hipertensa</t>
  </si>
  <si>
    <t xml:space="preserve">Deperesion bipolar </t>
  </si>
  <si>
    <t>Posta Quitratua</t>
  </si>
  <si>
    <t>HTA, Diabetes</t>
  </si>
  <si>
    <t xml:space="preserve">Artritis reumatoidea, isterectomia </t>
  </si>
  <si>
    <t>Abuela materna enfermedad cardica abuelo</t>
  </si>
  <si>
    <t xml:space="preserve">Hermanos </t>
  </si>
  <si>
    <t xml:space="preserve">Prequisa de Diabetes Mellitus </t>
  </si>
  <si>
    <t>Monitoreo de presion  arterial 
Ejercicio dos a 3 veces a la semana, 50 minutes casa vez
Prequisa de Diabetes Mellitus
Disminuir la ingesta de sal</t>
  </si>
  <si>
    <t xml:space="preserve">PA bien controlada (enalapril 20 mg x2 y amlodipino)
Glicemia ok (tto regular adherencia a metformina)
Renal ok
</t>
  </si>
  <si>
    <t>Retraso Mental</t>
  </si>
  <si>
    <t>Hta DM</t>
  </si>
  <si>
    <t>Enfermedad renal poliquistica</t>
  </si>
  <si>
    <t xml:space="preserve">Ingress a ucra nueva imperial </t>
  </si>
  <si>
    <t>Paciente con erc en etapa 4,debe ingresarse a ucra</t>
  </si>
  <si>
    <t xml:space="preserve">AM: HTA
Fcos: telmisartan 40 mg (mala adherencia)
PA alta
Glicemia alta (tuvo DMG)
</t>
  </si>
  <si>
    <t>Subir telmisartan a 80 mg
Control con resultado examenes</t>
  </si>
  <si>
    <t>Ca ovarico en tto</t>
  </si>
  <si>
    <t>Cancer Ovario</t>
  </si>
  <si>
    <t>PA alta (no hta conocida)
En tto con qmt carboplatino
Resto normal</t>
  </si>
  <si>
    <t xml:space="preserve">Perfil PA
Control fx renal </t>
  </si>
  <si>
    <t>Tu mamario benigno</t>
  </si>
  <si>
    <t>Hta, Diabetes, ERC</t>
  </si>
  <si>
    <t>Enfermedad Celiaca</t>
  </si>
  <si>
    <t>Coñaripe</t>
  </si>
  <si>
    <t>Liquińa</t>
  </si>
  <si>
    <t>PA alta
Obs sd delantal blanco</t>
  </si>
  <si>
    <t xml:space="preserve">Posta cuarta faja </t>
  </si>
  <si>
    <t>Tia</t>
  </si>
  <si>
    <t>Hipertenso en tratamiento con enalapril y amlodipino</t>
  </si>
  <si>
    <t>Monitoreo de presion arterial y control de cronicos
Bajar  ingesta de sal y alimentos procesados</t>
  </si>
  <si>
    <t>Artrosis. Hipercolesterolemia</t>
  </si>
  <si>
    <t>HTA. DM</t>
  </si>
  <si>
    <t>Hta, Diabetes</t>
  </si>
  <si>
    <t>Aneurisma de aorta con protesis con compromiso de am as arterial renales</t>
  </si>
  <si>
    <t xml:space="preserve">Paciente con aneurisma de aorta abdominal con compromiso de ambas arterias renales, con protesis. </t>
  </si>
  <si>
    <t>Monitoreo de presion
Ecografia renal
Control con vascular
Control con medico general con Monitoreo de presion
Derivative a neurologist si se mantiene proteinurica</t>
  </si>
  <si>
    <t>Rac 30</t>
  </si>
  <si>
    <t>Debe realizarse seguimiento de rac, funcion renal, ecografia renal y control con vascular, monitoreo de presion arterial y control con medico</t>
  </si>
  <si>
    <t>Infarto renal mayo 2024</t>
  </si>
  <si>
    <t>Infarto Renal</t>
  </si>
  <si>
    <t>Toda la evaluacion ok.
Se evalua x antecedente de infarto renal. Tbq suspendido, no aco.
Usa RSVT y anticoagulante</t>
  </si>
  <si>
    <t>Hermano diabetico</t>
  </si>
  <si>
    <t xml:space="preserve">Abuelos dm hta </t>
  </si>
  <si>
    <t>Posta Lastarria</t>
  </si>
  <si>
    <t>Control habitual con nefrologo</t>
  </si>
  <si>
    <t>Posta huallanto bajo</t>
  </si>
  <si>
    <t>Posta Rinco</t>
  </si>
  <si>
    <t>ERC, Diabetes</t>
  </si>
  <si>
    <t>Hipotiroidismo dislipidemia</t>
  </si>
  <si>
    <t xml:space="preserve">Hta en tto (losartan, hct, amlodipino)
Diabetes </t>
  </si>
  <si>
    <t xml:space="preserve">Nutricionista
Espironolactona
</t>
  </si>
  <si>
    <t xml:space="preserve">Psr quigtratue </t>
  </si>
  <si>
    <t>Hipercolesterolemia. Insuficiencia Cardiaca</t>
  </si>
  <si>
    <t>Insuficiencia Cardiaca</t>
  </si>
  <si>
    <t>Edema EEII +++
Disnea
PA normal</t>
  </si>
  <si>
    <t>Indicacion de furosemida 40 mg (2 am y 1 pm)</t>
  </si>
  <si>
    <t>Fibromialgia, dislipidemia, depresion</t>
  </si>
  <si>
    <t>Hipotiroidismo hipercolesterolemia</t>
  </si>
  <si>
    <t xml:space="preserve">Hospital de Gorbea </t>
  </si>
  <si>
    <t xml:space="preserve">Enfermedad Cardiaca </t>
  </si>
  <si>
    <t>Hogar San Francisco de Asis</t>
  </si>
  <si>
    <t>Hogar san Francisco de Asis</t>
  </si>
  <si>
    <t>PA alta
Sin medicamentos</t>
  </si>
  <si>
    <t>Perfil PA y control</t>
  </si>
  <si>
    <t xml:space="preserve">Cesfam Pifrufquen </t>
  </si>
  <si>
    <t>Dislipidemia, Parkinson</t>
  </si>
  <si>
    <t>Control de RAC y evaluar en PSCV</t>
  </si>
  <si>
    <t>Rac alterado en paciente diabetica de larga data</t>
  </si>
  <si>
    <t>Debe repetir examen de orina y rac por sospecha de proteinuria</t>
  </si>
  <si>
    <t>Dislipidemia, Esquizofrenia</t>
  </si>
  <si>
    <t>ITU</t>
  </si>
  <si>
    <t xml:space="preserve">Hospital Gorbea </t>
  </si>
  <si>
    <t>Pa alta pero vino muy rapido</t>
  </si>
  <si>
    <t>Controles anuales</t>
  </si>
  <si>
    <t>Arthritis reumatoide</t>
  </si>
  <si>
    <t>Esquizofrenia-Dislipidemia</t>
  </si>
  <si>
    <t>Esquizofrenia, epilepsia, hipotiroidismo</t>
  </si>
  <si>
    <t xml:space="preserve">CESFAM Gorbea </t>
  </si>
  <si>
    <t xml:space="preserve">DM2, HTA </t>
  </si>
  <si>
    <t>Mama papa</t>
  </si>
  <si>
    <t>Gorbe</t>
  </si>
  <si>
    <t xml:space="preserve">Cesfam Lastarrias </t>
  </si>
  <si>
    <t>Cardiopatia congenita</t>
  </si>
  <si>
    <t>Tetralogies Fallot opera de mas stent en la arteria pulmonary izquierda</t>
  </si>
  <si>
    <t>Presiones levemente elevadas</t>
  </si>
  <si>
    <t>Cgr lastarria</t>
  </si>
  <si>
    <t xml:space="preserve">Posta Medico Rural </t>
  </si>
  <si>
    <t>Hipertrigliceridemia</t>
  </si>
  <si>
    <t xml:space="preserve">PA alta
Sin familiares hipertensos
</t>
  </si>
  <si>
    <t>Presiones arteriales elevadas. Hace anos le diagnosticaron hipertension y no siguio tratamiento</t>
  </si>
  <si>
    <t>Rac alterado, glicemia post prandial alterada</t>
  </si>
  <si>
    <t>Debe hacerse pesquisa de hipertension, glicemia, control con medico y si proteinuria persistente, presentar a nefrologia</t>
  </si>
  <si>
    <t xml:space="preserve">Posta Lastarrias </t>
  </si>
  <si>
    <t xml:space="preserve">DM2, HTA, DLP </t>
  </si>
  <si>
    <t>Beber Problema</t>
  </si>
  <si>
    <t>PA elevada
Glicemia alterada
Resto normal
Refiere beber harto OH</t>
  </si>
  <si>
    <t>glicemia, orina completa, RAC, Hb1Ac, funcion renal, ELP</t>
  </si>
  <si>
    <t>Creatinina_1st &gt; 10 mg/dL (probable error de tipeo)</t>
  </si>
  <si>
    <t>PAP/Mamografia no Vigente</t>
  </si>
  <si>
    <t xml:space="preserve">PA elevada. Vigilancia PA domiciliaria. Acudir a CESFAM si permanece alterada
Sin PAP o MMX recientes.
</t>
  </si>
  <si>
    <t>Hipotiroidismo Gestional Controlado</t>
  </si>
  <si>
    <t>HTA DMII PAPA</t>
  </si>
  <si>
    <t>Aumentar losartan 2xd</t>
  </si>
  <si>
    <t>Antecdente de DM2 que se sano? 
Presiones arteriales en la casa estan siempre normales, impresiona que presion alterada es por condiciones ambientales actuales (frio y llego caminando)</t>
  </si>
  <si>
    <t xml:space="preserve">Glicemia alterada y PA fuera de rago.      Disminucion de la velocidad de filtracion glomerular </t>
  </si>
  <si>
    <t xml:space="preserve">Mantener tratamiento </t>
  </si>
  <si>
    <t>Variable</t>
  </si>
  <si>
    <t>Descripción</t>
  </si>
  <si>
    <t>Unidades / Valores</t>
  </si>
  <si>
    <t>Notas</t>
  </si>
  <si>
    <t>Identificador único del registro</t>
  </si>
  <si>
    <t>Numérico</t>
  </si>
  <si>
    <t>Número correlativo por comuna</t>
  </si>
  <si>
    <t>Pendiente crear código compuesto ID+Comuna</t>
  </si>
  <si>
    <t>Edad</t>
  </si>
  <si>
    <t>Años</t>
  </si>
  <si>
    <t>Age_flag=1 si &lt;18 años (revisar)</t>
  </si>
  <si>
    <t>Sexo</t>
  </si>
  <si>
    <t>Establecimiento de origen</t>
  </si>
  <si>
    <t>Texto</t>
  </si>
  <si>
    <t>Comuna del operativo</t>
  </si>
  <si>
    <t>Texto (estandarizado)</t>
  </si>
  <si>
    <t>Usada como variable territorial de análisis</t>
  </si>
  <si>
    <t>Pertenece a pueblo originario</t>
  </si>
  <si>
    <t>0=No / 1=Sí</t>
  </si>
  <si>
    <t>Nombre del pueblo originario</t>
  </si>
  <si>
    <t>Frecuencia cardíaca 1ª toma</t>
  </si>
  <si>
    <t>lpm</t>
  </si>
  <si>
    <t>Frecuencia cardíaca 2ª toma</t>
  </si>
  <si>
    <t>Presión arterial sistólica 1ª toma</t>
  </si>
  <si>
    <t>mmHg</t>
  </si>
  <si>
    <t>Presión arterial diastólica 1ª toma</t>
  </si>
  <si>
    <t>Categoría PA 1ª toma (MINSAL)</t>
  </si>
  <si>
    <t>Normal / Elevated / Stage 1 HTN / Stage 2 HTN / Hypertensive Crisis</t>
  </si>
  <si>
    <t>Presión arterial sistólica 2ª toma</t>
  </si>
  <si>
    <t>Presión arterial diastólica 2ª toma</t>
  </si>
  <si>
    <t>Categoría PA 2ª toma (MINSAL)</t>
  </si>
  <si>
    <t>Clasificación PA final (última toma)</t>
  </si>
  <si>
    <t>Variable principal de PA para análisis</t>
  </si>
  <si>
    <t>Peso</t>
  </si>
  <si>
    <t>kg</t>
  </si>
  <si>
    <t>Talla</t>
  </si>
  <si>
    <t>cm</t>
  </si>
  <si>
    <t>Índice de masa corporal</t>
  </si>
  <si>
    <t>kg/m²</t>
  </si>
  <si>
    <t>Glicemia capilar 1ª toma (HGT)</t>
  </si>
  <si>
    <t>mg/dL</t>
  </si>
  <si>
    <t>Glicemia capilar 2ª toma</t>
  </si>
  <si>
    <t>Solo si 1ª toma alterada</t>
  </si>
  <si>
    <t>Alguna glicemia &gt;200 mg/dL</t>
  </si>
  <si>
    <t>Creatinina capilar 1ª toma</t>
  </si>
  <si>
    <t>Excluidos 14 registros &gt;10 mg/dL (error tipeo)</t>
  </si>
  <si>
    <t>Creatinina capilar 2ª toma</t>
  </si>
  <si>
    <t>mL/min/1.73m²</t>
  </si>
  <si>
    <t>Variable principal para estadificación ERC</t>
  </si>
  <si>
    <t>VFG calculada con creatinina 2ª toma</t>
  </si>
  <si>
    <t>Estadio ERC por eGFR_1st (KDIGO)</t>
  </si>
  <si>
    <t>"Más de 60" = G1+G2 combinados</t>
  </si>
  <si>
    <t>Estadio ERC por eGFR_2nd (KDIGO)</t>
  </si>
  <si>
    <t>Estadio ERC final (cualquier creatinina)</t>
  </si>
  <si>
    <t>Estadio KDIGO G completo (G1–G5)</t>
  </si>
  <si>
    <t>G1/G2/G3a/G3b/G4/G5</t>
  </si>
  <si>
    <t>NUEVA — derivada de eGFR_1st; separa G1 de G2</t>
  </si>
  <si>
    <t>En tratamiento por diabetes</t>
  </si>
  <si>
    <t>Antecedente personal de DM (autoreporte)</t>
  </si>
  <si>
    <t>Antecedente personal de HTA (autoreporte)</t>
  </si>
  <si>
    <t>Antecedente personal de litiasis urinaria</t>
  </si>
  <si>
    <t>Antecedente de ITU recurrente</t>
  </si>
  <si>
    <t>Otra condición de salud personal</t>
  </si>
  <si>
    <t>Cuál otra condición personal</t>
  </si>
  <si>
    <t>Texto libre</t>
  </si>
  <si>
    <t>En tratamiento por ERC</t>
  </si>
  <si>
    <t>Antecedente familiar de ERC</t>
  </si>
  <si>
    <t>Otros antecedentes mórbidos familiares</t>
  </si>
  <si>
    <t>En tratamiento por HTA</t>
  </si>
  <si>
    <t>Renombrado desde Kidney_Treatment</t>
  </si>
  <si>
    <t>Mamografía vigente</t>
  </si>
  <si>
    <t>Resultado de mamografía</t>
  </si>
  <si>
    <t>Consumo habitual de AINEs</t>
  </si>
  <si>
    <t>Muertes familiares por CaCu</t>
  </si>
  <si>
    <t>PAP actualizado</t>
  </si>
  <si>
    <t>Año del último PAP</t>
  </si>
  <si>
    <t>Año</t>
  </si>
  <si>
    <t>Diagnóstico de HTA confirmado</t>
  </si>
  <si>
    <t>Diagnóstico de DM confirmado</t>
  </si>
  <si>
    <t>Diagnóstico nutricional</t>
  </si>
  <si>
    <t>Diagnóstico de ERC</t>
  </si>
  <si>
    <t>Otros diagnósticos relevantes</t>
  </si>
  <si>
    <t>Evaluación médica</t>
  </si>
  <si>
    <t>Pendiente reclasificar</t>
  </si>
  <si>
    <t>Derivación pesquisa HTA</t>
  </si>
  <si>
    <t>Derivación pesquisa DM2</t>
  </si>
  <si>
    <t>Exámenes solicitados</t>
  </si>
  <si>
    <t>Exámenes solicitados por nefrólogo</t>
  </si>
  <si>
    <t>Imágenes solicitadas</t>
  </si>
  <si>
    <t>Derivaciones realizadas</t>
  </si>
  <si>
    <t>Otras indicaciones médicas</t>
  </si>
  <si>
    <t>Tabaquismo (antecedente)</t>
  </si>
  <si>
    <t>Consumo de alcohol</t>
  </si>
  <si>
    <t>Se realizó examen de sífilis (VDRL/RPR)</t>
  </si>
  <si>
    <t>Autoreporte. No es resultado del examen</t>
  </si>
  <si>
    <t>Se realizó examen de VIH</t>
  </si>
  <si>
    <t>Cumple criterio de caso presuntivo de TBC</t>
  </si>
  <si>
    <t>Se entregó frasco de muestra para TBC</t>
  </si>
  <si>
    <t>Hemoglobina en orina</t>
  </si>
  <si>
    <t>Glucosa en orina</t>
  </si>
  <si>
    <t>Proteína en orina</t>
  </si>
  <si>
    <t>Fecha del operativo</t>
  </si>
  <si>
    <t>Fecha</t>
  </si>
  <si>
    <t>TB_cough</t>
  </si>
  <si>
    <t>Hombre</t>
  </si>
  <si>
    <t>No</t>
  </si>
  <si>
    <t>No lo sé</t>
  </si>
  <si>
    <t>Sí</t>
  </si>
  <si>
    <t>Mujer</t>
  </si>
  <si>
    <t>si</t>
  </si>
  <si>
    <t>VILLARRICA</t>
  </si>
  <si>
    <t xml:space="preserve">Nueva imperial </t>
  </si>
  <si>
    <t>Estacion Central</t>
  </si>
  <si>
    <t>Pendiente resultados</t>
  </si>
  <si>
    <t>ANTEC. FAMILIAR ERC</t>
  </si>
  <si>
    <t>MMG (Mamografía) Actual</t>
  </si>
  <si>
    <t>Resultado MMG (Mamografía)</t>
  </si>
  <si>
    <t>Diagnóstico 1 (HTA)</t>
  </si>
  <si>
    <t>Diagnóstico 2 (DM)</t>
  </si>
  <si>
    <t>DIAGNOSTICO 3 (Sobrepeso u Obesidad)</t>
  </si>
  <si>
    <t>DIAGNOSTICO 4 (ERC)</t>
  </si>
  <si>
    <t>Convertir a 0 y 1 si es necesario</t>
  </si>
  <si>
    <t>¿Ha tenido tos productiva por más de 15 días?</t>
  </si>
  <si>
    <t>BMI_Category</t>
  </si>
  <si>
    <t>Clasificación del estado nutricional basada en el Índice de Masa Corporal (IMC), calculado como el peso corporal en kilogramos dividido por la talla en metros al cuadrado (kg/m²). La categorización corresponde a estándares internacionales para población adulta. World Health Organization. Body mass index – BMI classification. Geneva: WHO; disponible en el Nutrition Landscape Information System (NLiS).</t>
  </si>
  <si>
    <t>Bajo peso: IMC &lt; 18,5 kg/m²; Peso normal: IMC 18,5–24,9 kg/m²; Sobrepeso: IMC 25,0–29,9 kg/m²; Obesidad clase I: IMC 30,0–34,9 kg/m²; Obesidad clase II: IMC 35,0–39,9 kg/m²; Obesidad clase III: IMC ≥ 40,0 kg/m².</t>
  </si>
  <si>
    <t>Anemia chronica</t>
  </si>
  <si>
    <t>Diabetes Mellitus tipo 2</t>
  </si>
  <si>
    <t>CUÁL OTRA CONDICION PERSONAL (estandarizado)</t>
  </si>
  <si>
    <t>Texto estandarizado</t>
  </si>
  <si>
    <t>Antecedente familiar de hipertensión arterial; Antecedente familiar de diabetes mellitus.</t>
  </si>
  <si>
    <t>Antecedente familiar de hipertensión arterial; Antecedente familiar de diabetes mellitus; Antecedente familiar de enfermedad renal crónica / insuficiencia renal.</t>
  </si>
  <si>
    <t>Antecedente familiar de enfermedad cardiovascular.</t>
  </si>
  <si>
    <t>Antecedente familiar de hipertensión arterial.</t>
  </si>
  <si>
    <t>Antecedente familiar de hipertensión arterial; Antecedente familiar de enfermedad renal crónica / insuficiencia renal; Antecedente familiar de malformación o condición anatómica renal/urológica.</t>
  </si>
  <si>
    <t>Antecedente familiar de diabetes mellitus.</t>
  </si>
  <si>
    <t>Antecedente familiar de enfermedad cardiovascular; Antecedente familiar de infarto agudo al miocardio.</t>
  </si>
  <si>
    <t>Antecedente familiar de enfermedad cardiovascular; Antecedente familiar de arritmia o uso de marcapasos.</t>
  </si>
  <si>
    <t>Antecedente familiar de hipertensión arterial; Antecedente familiar de asma.</t>
  </si>
  <si>
    <t>Antecedente familiar de hipertensión arterial; Antecedente familiar de diabetes mellitus; Antecedente familiar de dislipidemia / hipercolesterolemia.</t>
  </si>
  <si>
    <t>Antecedente familiar de diabetes mellitus; Antecedente familiar de enfermedad renal crónica / insuficiencia renal; Antecedente familiar de enfermedad renal con hemodiálisis/diálisis.</t>
  </si>
  <si>
    <t>Antecedente familiar de hipertensión arterial; Antecedente familiar de diabetes mellitus; Antecedente familiar de enfermedad cardiovascular; Antecedente familiar de infarto agudo al miocardio.</t>
  </si>
  <si>
    <t>Antecedente familiar de hipertensión arterial; Antecedente familiar de diabetes mellitus; Antecedente familiar de cáncer renal; Antecedente familiar de dislipidemia / hipercolesterolemia; Antecedente familiar de condición osteomuscular/dolor crónico.</t>
  </si>
  <si>
    <t>Antecedente familiar de trombosis o trastorno de coagulación.</t>
  </si>
  <si>
    <t>Antecedente familiar de enfermedad cardiovascular; Antecedente familiar de infarto agudo al miocardio; Antecedente familiar de arritmia o uso de marcapasos.</t>
  </si>
  <si>
    <t>Antecedente familiar de hipertensión arterial; Antecedente familiar de diabetes mellitus; Antecedente familiar de enfermedad tiroidea.</t>
  </si>
  <si>
    <t>Antecedente familiar de hipertensión arterial; Antecedente familiar de enfermedad cardiovascular.</t>
  </si>
  <si>
    <t>Antecedente familiar de diabetes mellitus; Antecedente familiar de diabetes mellitus tipo 2.</t>
  </si>
  <si>
    <t>Antecedente familiar de hipertensión arterial; Antecedente familiar de cáncer no especificado u otro cáncer.</t>
  </si>
  <si>
    <t>Antecedente familiar de enfermedad cardiovascular; Antecedente familiar de infarto agudo al miocardio; Antecedente familiar de obesidad.</t>
  </si>
  <si>
    <t>Antecedente familiar no especificado; requiere revisión manual.</t>
  </si>
  <si>
    <t>Antecedente familiar de enfermedad renal crónica / insuficiencia renal; Antecedente familiar de enfermedad renal con hemodiálisis/diálisis.</t>
  </si>
  <si>
    <t>Antecedente familiar de enfermedad renal crónica / insuficiencia renal; Antecedente familiar de enfermedad cardiovascular.</t>
  </si>
  <si>
    <t>Antecedente familiar de enfermedad cardiovascular; Antecedente familiar de cáncer no especificado u otro cáncer.</t>
  </si>
  <si>
    <t>Antecedente familiar de hipertensión arterial; Antecedente familiar de diabetes mellitus; Antecedente familiar de diabetes mellitus tipo 2.</t>
  </si>
  <si>
    <t>Antecedente familiar de hipertensión arterial; Antecedente familiar de enfermedad cardiovascular; Antecedente familiar de accidente cerebrovascular.</t>
  </si>
  <si>
    <t>Antecedente familiar de diabetes mellitus; Antecedente familiar de enfermedad cardiovascular; Antecedente familiar de infarto agudo al miocardio.</t>
  </si>
  <si>
    <t>Antecedente familiar de hipertensión arterial; Antecedente familiar de enfermedad renal crónica / insuficiencia renal; Antecedente familiar de dislipidemia / hipercolesterolemia; Antecedente familiar de enfermedad tiroidea.</t>
  </si>
  <si>
    <t>Antecedente familiar de hipertensión arterial; Antecedente familiar de diabetes mellitus; Antecedente familiar de enfermedad cardiovascular.</t>
  </si>
  <si>
    <t>Antecedente familiar de hipertensión arterial; Antecedente familiar de cáncer renal; Antecedente familiar de enfermedad tiroidea.</t>
  </si>
  <si>
    <t>Antecedente familiar de hipertensión arterial; Antecedente familiar de enfermedad cardiovascular; Antecedente familiar de infarto agudo al miocardio.</t>
  </si>
  <si>
    <t>Antecedente familiar de cáncer renal.</t>
  </si>
  <si>
    <t>Antecedente familiar de diabetes mellitus; Antecedente familiar de enfermedad renal crónica / insuficiencia renal.</t>
  </si>
  <si>
    <t>Antecedente familiar de prediabetes o resistencia a la insulina.</t>
  </si>
  <si>
    <t>Antecedente familiar de enfermedad renal crónica / insuficiencia renal.</t>
  </si>
  <si>
    <t>Antecedente familiar de hipertensión arterial; Antecedente familiar de diabetes mellitus; Antecedente familiar de enfermedad renal crónica / insuficiencia renal; Antecedente familiar de enfermedad cardiovascular; Antecedente familiar de infarto agudo al miocardio.</t>
  </si>
  <si>
    <t>Antecedente familiar de hipertensión arterial; Antecedente familiar de diabetes mellitus; Antecedente familiar de enfermedad renal crónica / insuficiencia renal; Antecedente familiar de enfermedad cardiovascular.</t>
  </si>
  <si>
    <t>Antecedente familiar de diabetes mellitus; Antecedente familiar de diabetes mellitus tipo 1.</t>
  </si>
  <si>
    <t>Antecedente familiar de diabetes mellitus; Antecedente familiar de enfermedad tiroidea; Antecedente familiar de condición osteomuscular/dolor crónico.</t>
  </si>
  <si>
    <t>Antecedente familiar de litiasis/cálculos renales; Antecedente familiar renal/urológico no especificado como ERC.</t>
  </si>
  <si>
    <t>Antecedente familiar de hipertensión arterial; Antecedente familiar de enfermedad renal crónica / insuficiencia renal.</t>
  </si>
  <si>
    <t>Antecedente familiar de hipertensión arterial; Antecedente familiar de diabetes mellitus; Antecedente familiar de enfermedad renal crónica / insuficiencia renal; Antecedente familiar de enfermedad renal con hemodiálisis/diálisis.</t>
  </si>
  <si>
    <t>Antecedente familiar de diabetes mellitus; Antecedente familiar de enfermedad cardiovascular.</t>
  </si>
  <si>
    <t>Antecedente familiar de malformación o condición anatómica renal/urológica; Antecedente familiar renal/urológico no especificado como ERC.</t>
  </si>
  <si>
    <t>Antecedente familiar de hipertensión arterial; Antecedente familiar de enfermedad renal crónica / insuficiencia renal; Antecedente familiar de trasplante renal; Antecedente familiar de enfermedad cardiovascular.</t>
  </si>
  <si>
    <t>Antecedente familiar de hipertensión arterial; Antecedente familiar de enfermedad cardiovascular; Antecedente familiar de infarto agudo al miocardio; Antecedente familiar de accidente cerebrovascular.</t>
  </si>
  <si>
    <t>Antecedente familiar de diabetes mellitus; Antecedente familiar de enfermedad cardiovascular; Antecedente familiar de enfermedad tiroidea; Antecedente familiar de enfermedad autoinmune/inflamatoria.</t>
  </si>
  <si>
    <t>Antecedente familiar de diabetes mellitus; Antecedente familiar de enfermedad cardiovascular; Antecedente familiar de arritmia o uso de marcapasos.</t>
  </si>
  <si>
    <t>Antecedente familiar de diabetes mellitus; Antecedente familiar de diabetes mellitus insulinorrequirente.</t>
  </si>
  <si>
    <t>Antecedente familiar de diabetes mellitus; Antecedente familiar de cáncer renal.</t>
  </si>
  <si>
    <t>Antecedente familiar de hipertensión arterial; Antecedente familiar de diabetes mellitus; Antecedente familiar de enfermedad cardiovascular; Antecedente familiar de accidente cerebrovascular.</t>
  </si>
  <si>
    <t>Antecedente familiar de hipertensión arterial; Antecedente familiar de diabetes mellitus; Antecedente familiar de diabetes mellitus tipo 2; Antecedente familiar de enfermedad tiroidea.</t>
  </si>
  <si>
    <t>Antecedente familiar de hipertensión arterial; Antecedente familiar de diabetes mellitus; Antecedente familiar de enfermedad renal crónica / insuficiencia renal; Antecedente familiar de enfermedad renal con hemodiálisis/diálisis; Antecedente familiar de enfermedad cardiovascular; Antecedente familiar de accidente cerebrovascular.</t>
  </si>
  <si>
    <t>Antecedente familiar de hipertensión arterial; Antecedente familiar de enfermedad hepática.</t>
  </si>
  <si>
    <t>Antecedente familiar de hipertensión arterial; Antecedente familiar de diabetes mellitus; Antecedente familiar de dislipidemia / hipercolesterolemia; Antecedente familiar de enfermedad tiroidea.</t>
  </si>
  <si>
    <t>Antecedente familiar de hipertensión arterial; Antecedente familiar de enfermedad cardiovascular; Antecedente familiar de cáncer no especificado u otro cáncer.</t>
  </si>
  <si>
    <t>Antecedente familiar de hipertensión arterial; Antecedente familiar de diabetes mellitus; Antecedente familiar de enfermedad cardiovascular; Antecedente familiar de asma.</t>
  </si>
  <si>
    <t>Antecedente familiar de diabetes mellitus; Antecedente familiar de diabetes mellitus insulinorrequirente; Antecedente familiar de diabetes mellitus no insulinorrequirente.</t>
  </si>
  <si>
    <t>Antecedente familiar de diabetes mellitus; Antecedente familiar de diabetes mellitus tipo 2; Antecedente familiar de asma.</t>
  </si>
  <si>
    <t>Antecedente familiar de diabetes mellitus; Antecedente familiar renal/urológico no especificado como ERC; Antecedente familiar de enfermedad cardiovascular; Antecedente familiar de insuficiencia cardiaca.</t>
  </si>
  <si>
    <t>Antecedente familiar de diabetes mellitus; Antecedente familiar de diabetes mellitus no insulinorrequirente.</t>
  </si>
  <si>
    <t>Antecedente familiar de diabetes mellitus; Antecedente familiar de cáncer no especificado u otro cáncer.</t>
  </si>
  <si>
    <t>Antecedente familiar de diabetes mellitus; Antecedente familiar de enfermedad renal crónica / insuficiencia renal; Antecedente familiar de enfermedad cardiovascular.</t>
  </si>
  <si>
    <t>Antecedente familiar de diabetes mellitus; Antecedente familiar de litiasis/cálculos renales; Antecedente familiar renal/urológico no especificado como ERC.</t>
  </si>
  <si>
    <t>Antecedente familiar de enfermedad tiroidea.</t>
  </si>
  <si>
    <t>Antecedente familiar de hipertensión arterial; Antecedente familiar de diabetes mellitus; Antecedente familiar de diabetes mellitus no insulinorrequirente.</t>
  </si>
  <si>
    <t>Antecedente familiar de enfermedad renal crónica / insuficiencia renal; Antecedente familiar de cáncer no especificado u otro cáncer.</t>
  </si>
  <si>
    <t>Antecedente familiar de hipertensión arterial; Antecedente familiar de diabetes mellitus; Antecedente familiar de enfermedad cardiovascular; Antecedente familiar de cáncer no especificado u otro cáncer.</t>
  </si>
  <si>
    <t>Antecedente familiar de hipertensión arterial; Antecedente familiar de diabetes mellitus; Antecedente familiar de diabetes mellitus tipo 2; Antecedente familiar de enfermedad cardiovascular.</t>
  </si>
  <si>
    <t>Antecedente familiar de hipertensión arterial; Antecedente familiar de enfermedad autoinmune/inflamatoria.</t>
  </si>
  <si>
    <t>Antecedente familiar de hipertensión arterial; Antecedente familiar de diabetes mellitus; Antecedente familiar de enfermedad renal crónica / insuficiencia renal; Antecedente familiar de cáncer no especificado u otro cáncer.</t>
  </si>
  <si>
    <t>Antecedente familiar de diabetes mellitus; Antecedente familiar de diabetes mellitus no insulinorrequirente; Antecedente familiar de enfermedad cardiovascular; Antecedente familiar de accidente cerebrovascular.</t>
  </si>
  <si>
    <t>Antecedente familiar de hipertensión arterial; Antecedente familiar de diabetes mellitus; Antecedente familiar de cáncer no especificado u otro cáncer.</t>
  </si>
  <si>
    <t>Antecedente familiar de hipertensión arterial; Antecedente familiar de diabetes mellitus; Antecedente familiar de diabetes mellitus no insulinorrequirente; Antecedente familiar de enfermedad renal crónica / insuficiencia renal; Antecedente familiar de enfermedad renal con hemodiálisis/diálisis.</t>
  </si>
  <si>
    <t>Antecedente familiar de hipertensión arterial; Antecedente familiar de enfermedad renal crónica / insuficiencia renal; Antecedente familiar de enfermedad cardiovascular.</t>
  </si>
  <si>
    <t>Antecedente familiar de hipertensión arterial; Antecedente familiar de prediabetes o resistencia a la insulina.</t>
  </si>
  <si>
    <t>Antecedente familiar de hipertensión arterial; Antecedente familiar de diabetes mellitus; Antecedente familiar de diabetes mellitus tipo 2; Antecedente familiar de dislipidemia / hipercolesterolemia.</t>
  </si>
  <si>
    <t>Antecedente familiar de hipertensión arterial; Antecedente familiar de diabetes mellitus; Antecedente familiar de diabetes mellitus insulinorrequirente.</t>
  </si>
  <si>
    <t>Antecedente familiar de enfermedad cardiovascular; Antecedente familiar de dislipidemia / hipercolesterolemia.</t>
  </si>
  <si>
    <t>Antecedente familiar de hipertensión arterial; Antecedente familiar de diabetes mellitus; Antecedente familiar de diabetes mellitus tipo 1.</t>
  </si>
  <si>
    <t>Antecedente familiar de hipertensión arterial; Antecedente familiar de diabetes mellitus; Antecedente familiar de diabetes mellitus tipo 2; Antecedente familiar de enfermedad renal crónica / insuficiencia renal; Antecedente familiar de enfermedad cardiovascular.</t>
  </si>
  <si>
    <t>Antecedente familiar de hipertensión arterial; Antecedente familiar de diabetes mellitus; Antecedente familiar de enfermedad cardiovascular; Antecedente familiar de insuficiencia cardiaca.</t>
  </si>
  <si>
    <t>Antecedente familiar de enfermedad cardiovascular; Antecedente familiar de insuficiencia cardiaca.</t>
  </si>
  <si>
    <t>Antecedente familiar de enfermedad cardiovascular; Antecedente familiar de accidente cerebrovascular.</t>
  </si>
  <si>
    <t>Antecedente familiar de hipertensión arterial; Antecedente familiar de diabetes mellitus; Antecedente familiar de litiasis/cálculos renales; Antecedente familiar renal/urológico no especificado como ERC; Antecedente familiar de enfermedad cardiovascular; Antecedente familiar de accidente cerebrovascular.</t>
  </si>
  <si>
    <t>Antecedente familiar de hipertensión arterial; Antecedente familiar de diabetes mellitus; Antecedente familiar de diabetes mellitus insulinorrequirente; Antecedente familiar de diabetes mellitus no insulinorrequirente.</t>
  </si>
  <si>
    <t>Antecedente familiar de hipertensión arterial; Antecedente familiar de diabetes mellitus; Antecedente familiar de diabetes mellitus insulinorrequirente; Antecedente familiar de enfermedad cardiovascular; Antecedente familiar de infarto agudo al miocardio.</t>
  </si>
  <si>
    <t>Antecedente familiar de cáncer no especificado u otro cáncer.</t>
  </si>
  <si>
    <t>Antecedente familiar de diabetes mellitus; Antecedente familiar de diabetes mellitus insulinorrequirente; Antecedente familiar de enfermedad cardiovascular; Antecedente familiar de infarto agudo al miocardio.</t>
  </si>
  <si>
    <t>Antecedente familiar de hipertensión arterial; Antecedente familiar de diabetes mellitus; Antecedente familiar de diabetes mellitus tipo 2; Antecedente familiar de cáncer no especificado u otro cáncer.</t>
  </si>
  <si>
    <t>Antecedente familiar de hipertensión arterial; Antecedente familiar de dislipidemia / hipercolesterolemia.</t>
  </si>
  <si>
    <t>Antecedente familiar de hipertensión arterial; Antecedente familiar de enfermedad renal crónica / insuficiencia renal; Antecedente familiar de enfermedad cardiovascular; Antecedente familiar de insuficiencia cardiaca.</t>
  </si>
  <si>
    <t>Antecedente familiar de diabetes mellitus; Antecedente familiar de diabetes mellitus tipo 2; Antecedente familiar de enfermedad cardiovascular.</t>
  </si>
  <si>
    <t>Antecedente familiar de litiasis/cálculos renales; Antecedente familiar renal/urológico no especificado como ERC; Antecedente familiar de condición osteomuscular/dolor crónico.</t>
  </si>
  <si>
    <t>Antecedente familiar de diabetes mellitus; Antecedente familiar de diabetes mellitus tipo 2; Antecedente familiar de enfermedad cardiovascular; Antecedente familiar de arritmia o uso de marcapasos.</t>
  </si>
  <si>
    <t>Antecedente familiar de hipertensión arterial; Antecedente familiar de diabetes mellitus; Antecedente familiar de diabetes mellitus tipo 2; Antecedente familiar de enfermedad renal crónica / insuficiencia renal; Antecedente familiar de cáncer no especificado u otro cáncer; Antecedente familiar de enfermedad tiroidea.</t>
  </si>
  <si>
    <t>Antecedente familiar de diabetes mellitus; Antecedente familiar de enfermedad neurológica.</t>
  </si>
  <si>
    <t>Antecedente familiar de enfermedad cardiovascular; Antecedente familiar de insuficiencia cardiaca; Antecedente familiar de dislipidemia / hipercolesterolemia.</t>
  </si>
  <si>
    <t>Sin antecedentes familiares declarados.</t>
  </si>
  <si>
    <t>Antecedente familiar de enfermedad neurológica.</t>
  </si>
  <si>
    <t>Antecedente familiar de hipertensión arterial; Antecedente familiar de enfermedad cardiovascular; Antecedente familiar de arritmia o uso de marcapasos.</t>
  </si>
  <si>
    <t>Antecedente familiar de enfermedad autoinmune/inflamatoria.</t>
  </si>
  <si>
    <t>Antecedente familiar de hipertensión arterial; Antecedente familiar de diabetes mellitus; Antecedente familiar de condición osteomuscular/dolor crónico.</t>
  </si>
  <si>
    <t>Antecedente familiar de hipertensión arterial; Antecedente familiar de diabetes mellitus; Antecedente familiar de enfermedad renal crónica / insuficiencia renal; Antecedente familiar de enfermedad cardiovascular; Antecedente familiar de cáncer no especificado u otro cáncer.</t>
  </si>
  <si>
    <t>Antecedente familiar de dislipidemia / hipercolesterolemia.</t>
  </si>
  <si>
    <t>Antecedente familiar de hipertensión arterial; Antecedente familiar de diabetes mellitus; Antecedente familiar de diabetes mellitus tipo 2; Antecedente familiar de diabetes mellitus insulinorrequirente.</t>
  </si>
  <si>
    <t>Antecedente familiar de hipertensión arterial; Antecedente familiar renal/urológico no especificado como ERC; Antecedente familiar de enfermedad cardiovascular.</t>
  </si>
  <si>
    <t>Antecedente familiar de asma.</t>
  </si>
  <si>
    <t>Antecedente familiar de hipertensión arterial; Antecedente familiar de diabetes mellitus; Antecedente familiar de enfermedad renal crónica / insuficiencia renal; Antecedente familiar de enfermedad cardiovascular; Antecedente familiar de insuficiencia cardiaca.</t>
  </si>
  <si>
    <t>Antecedente familiar de hipertensión arterial; Antecedente familiar de diabetes mellitus; Antecedente familiar de enfermedad renal crónica / insuficiencia renal; Antecedente familiar de enfermedad renal con hemodiálisis/diálisis; Antecedente familiar de dislipidemia / hipercolesterolemia.</t>
  </si>
  <si>
    <t>Antecedente familiar de hipertensión arterial; Antecedente familiar de diabetes mellitus; Antecedente familiar de enfermedad renal crónica / insuficiencia renal; Antecedente familiar de enfermedad renal con hemodiálisis/diálisis; Antecedente familiar de malformación o condición anatómica renal/urológica.</t>
  </si>
  <si>
    <t>Antecedente familiar de hipertensión arterial; Antecedente familiar de condición osteomuscular/dolor crónico.</t>
  </si>
  <si>
    <t>Antecedente familiar de diabetes mellitus; Antecedente familiar de diabetes mellitus tipo 2; Antecedente familiar de enfermedad renal crónica / insuficiencia renal.</t>
  </si>
  <si>
    <t>Antecedente familiar de hipertensión arterial; Antecedente familiar de diabetes mellitus; Antecedente familiar de diabetes mellitus tipo 2; Antecedente familiar de enfermedad renal crónica / insuficiencia renal.</t>
  </si>
  <si>
    <t>Antecedente familiar de hipertensión arterial; Antecedente familiar de enfermedad renal crónica / insuficiencia renal; Antecedente familiar de enfermedad cardiovascular; Antecedente familiar de arritmia o uso de marcapasos.</t>
  </si>
  <si>
    <t>Antecedente familiar de hipertensión arterial; Antecedente familiar de malformación o condición anatómica renal/urológica; Antecedente familiar renal/urológico no especificado como ERC.</t>
  </si>
  <si>
    <t>Insuficiencia aórtica; Leucemia</t>
  </si>
  <si>
    <t>Úlcera gástrica</t>
  </si>
  <si>
    <t>Dolor de cadera</t>
  </si>
  <si>
    <t>Hipotiroidismo; Dislipidemia/hipercolesterolemia; Epilepsia/convulsiones</t>
  </si>
  <si>
    <t>Trastorno tiroideo no especificado/en estudio; Dislipidemia/hipercolesterolemia</t>
  </si>
  <si>
    <t>Hipotiroidismo en tratamiento</t>
  </si>
  <si>
    <t>Asma; Depresión</t>
  </si>
  <si>
    <t>Discopatía/hernia lumbar; Escoliosis</t>
  </si>
  <si>
    <t>Tumor/cáncer renal</t>
  </si>
  <si>
    <t>Antecedente de infarto agudo al miocardio; Discopatía/hernia lumbar</t>
  </si>
  <si>
    <t>Incontinencia urinaria</t>
  </si>
  <si>
    <t>Prolapso genital/vaginal; Discopatía/hernia lumbar</t>
  </si>
  <si>
    <t>Antecedente de infarto agudo al miocardio</t>
  </si>
  <si>
    <t>Dislipidemia/hipercolesterolemia</t>
  </si>
  <si>
    <t>Osteoporosis; Lesión de columna</t>
  </si>
  <si>
    <t>Hígado graso/esteatosis hepática; Colelitiasis/problema vesicular</t>
  </si>
  <si>
    <t>Tendinitis</t>
  </si>
  <si>
    <t>Hipotiroidismo; Dislipidemia/hipercolesterolemia; Várices; Artrosis de cadera</t>
  </si>
  <si>
    <t>Patología prostática no especificada; Artrosis</t>
  </si>
  <si>
    <t>Hiperplasia prostática benigna</t>
  </si>
  <si>
    <t>Artrosis de rodilla</t>
  </si>
  <si>
    <t>Alteración hepática referida sin diagnóstico especificado</t>
  </si>
  <si>
    <t>Hígado graso/esteatosis hepática</t>
  </si>
  <si>
    <t>Enfermedad diverticular/diverticulitis</t>
  </si>
  <si>
    <t>Soplo cardíaco</t>
  </si>
  <si>
    <t>Alergia a piroxicam</t>
  </si>
  <si>
    <t>Hernia torácica</t>
  </si>
  <si>
    <t>Arritmia cardíaca</t>
  </si>
  <si>
    <t>Prostatitis; Artrosis</t>
  </si>
  <si>
    <t>Tumor/cáncer de próstata</t>
  </si>
  <si>
    <t>Neuropatía diabética</t>
  </si>
  <si>
    <t>Hipotiroidismo; Dislipidemia/hipercolesterolemia</t>
  </si>
  <si>
    <t>Condición no especificada/no recuerda</t>
  </si>
  <si>
    <t>Depresión</t>
  </si>
  <si>
    <t>Artrosis de cadera; Nódulo/quiste mamario benigno</t>
  </si>
  <si>
    <t>Dislipidemia/hipercolesterolemia; Artrosis de cadera</t>
  </si>
  <si>
    <t>Vértigo/síndrome vertiginoso</t>
  </si>
  <si>
    <t>Discopatía/hernia lumbar</t>
  </si>
  <si>
    <t>Trastorno refractivo (miopía y astigmatismo)</t>
  </si>
  <si>
    <t>Extracción molar reciente</t>
  </si>
  <si>
    <t>Enfermedad de Crohn</t>
  </si>
  <si>
    <t>Discopatía/hernia lumbar; Fibromialgia</t>
  </si>
  <si>
    <t>Dislipidemia/hipercolesterolemia en tratamiento; Antecedente/cáncer de mama</t>
  </si>
  <si>
    <t>Quiste(s) renal(es)</t>
  </si>
  <si>
    <t>Hernia hiatal/estomacal</t>
  </si>
  <si>
    <t>Colelitiasis/problema vesicular</t>
  </si>
  <si>
    <t>Dislipidemia/hipercolesterolemia; Úlcera gástrica</t>
  </si>
  <si>
    <t>Antecedente de colecistectomía; Mioma uterino</t>
  </si>
  <si>
    <t>Antecedente de infarto agudo al miocardio; Artrosis; Fibromialgia; Antecedente/cáncer de mama</t>
  </si>
  <si>
    <t>Dislipidemia/hipercolesterolemia; Hígado graso/esteatosis hepática</t>
  </si>
  <si>
    <t>Depresión; Trastorno del ánimo; Disfunción ejecutiva</t>
  </si>
  <si>
    <t>Rinitis alérgica/crónica</t>
  </si>
  <si>
    <t>Dislipidemia/hipercolesterolemia; Ureterocele/riñón hipertrofiado</t>
  </si>
  <si>
    <t>Antecedente de nefrectomía; Antecedente/cáncer no especificado</t>
  </si>
  <si>
    <t>Artrosis; Vértigo/síndrome vertiginoso; Depresión</t>
  </si>
  <si>
    <t>Artrosis; Antecedente de herpes zóster</t>
  </si>
  <si>
    <t>Depresión; Término clínico no claro: 'hemola persistente'</t>
  </si>
  <si>
    <t>Migraña/cefalea recurrente</t>
  </si>
  <si>
    <t>Síndrome de Turner</t>
  </si>
  <si>
    <t>Alergias no especificadas</t>
  </si>
  <si>
    <t>Hipotiroidismo; Artrosis</t>
  </si>
  <si>
    <t>Antecedente/cáncer cervicouterino o uterino</t>
  </si>
  <si>
    <t>Pterigión</t>
  </si>
  <si>
    <t>Glicemia alterada/en evaluación; Antecedente de apendicectomía/apendicitis</t>
  </si>
  <si>
    <t>Hidronefrosis; Antecedente de pielonefritis; Artritis reumatoide</t>
  </si>
  <si>
    <t>Síndrome de colon irritable</t>
  </si>
  <si>
    <t>Litiasis/cálculos renales</t>
  </si>
  <si>
    <t>Depresión en tratamiento</t>
  </si>
  <si>
    <t>Trastorno tiroideo no especificado/en estudio</t>
  </si>
  <si>
    <t>Hipotiroidismo en tratamiento; Antecedente de trombosis/TVP o anticoagulación</t>
  </si>
  <si>
    <t>Dolor lumbar/espalda; Nódulo/quiste mamario benigno</t>
  </si>
  <si>
    <t>Antecedente de tiroidectomía</t>
  </si>
  <si>
    <t>Trastorno refractivo (miopía)</t>
  </si>
  <si>
    <t>Neuralgia del trigémino; Depresión</t>
  </si>
  <si>
    <t>Dolor lumbar/espalda</t>
  </si>
  <si>
    <t>Hipotiroidismo; Asma</t>
  </si>
  <si>
    <t>Antecedente de cirugía por tumor en trompas uterinas</t>
  </si>
  <si>
    <t>Hipotiroidismo; Dislipidemia/hipercolesterolemia; Hígado graso/esteatosis hepática</t>
  </si>
  <si>
    <t>Asma; Bronquitis; Artrosis/degeneración de columna lumbar; Dolor lumbar/espalda</t>
  </si>
  <si>
    <t>Antecedente/cáncer de mama</t>
  </si>
  <si>
    <t>Disfonía en tratamiento</t>
  </si>
  <si>
    <t>Hipotiroidismo; Artritis no especificada</t>
  </si>
  <si>
    <t>Úlcera duodenal</t>
  </si>
  <si>
    <t>Síndrome de colon irritable; Intolerancia a la lactosa</t>
  </si>
  <si>
    <t>Crisis de pánico</t>
  </si>
  <si>
    <t>Patología prostática no especificada; Dolor lumbar/espalda</t>
  </si>
  <si>
    <t>Hipovitaminosis D/déficit de vitamina D</t>
  </si>
  <si>
    <t>Síndrome antifosfolípido</t>
  </si>
  <si>
    <t>Hipotiroidismo; Diabetes mellitus tipo 2; Tumor/cáncer renal</t>
  </si>
  <si>
    <t>Antecedente/cáncer cervicouterino o uterino; Antecedente de histerectomía</t>
  </si>
  <si>
    <t>Síndrome de colon irritable sin tratamiento declarado</t>
  </si>
  <si>
    <t>Hipertensión arterial; Colitis ulcerosa; Artrosis</t>
  </si>
  <si>
    <t>Depresión; Antecedente/cáncer testicular</t>
  </si>
  <si>
    <t>Vértigo/síndrome vertiginoso; Tumor mamario no especificado/en estudio</t>
  </si>
  <si>
    <t>Prótesis de rodilla</t>
  </si>
  <si>
    <t>Hipertiroidismo en tratamiento</t>
  </si>
  <si>
    <t>Asma desde la infancia</t>
  </si>
  <si>
    <t>Síndrome de Sjögren</t>
  </si>
  <si>
    <t>Prótesis de cadera; Prótesis de hombro</t>
  </si>
  <si>
    <t>Hipertiroidismo; Diabetes mellitus tipo 2; Hipertensión arterial</t>
  </si>
  <si>
    <t>Resistencia a la insulina; Hipertensión arterial en tratamiento</t>
  </si>
  <si>
    <t>Antecedente de manga gástrica</t>
  </si>
  <si>
    <t>Antecedente de accidente cerebrovascular; Síndrome de Guillain-Barré</t>
  </si>
  <si>
    <t>Antecedente de fractura de húmero; Antecedente/cáncer cervicouterino o uterino</t>
  </si>
  <si>
    <t>Depresión; Ansiedad</t>
  </si>
  <si>
    <t>Infección por Helicobacter pylori tratada</t>
  </si>
  <si>
    <t>Antecedente de trombosis/TVP o anticoagulación; Glaucoma</t>
  </si>
  <si>
    <t>Várices</t>
  </si>
  <si>
    <t>Hipertiroidismo en tratamiento; Resistencia a la insulina; Hipertensión arterial en tratamiento</t>
  </si>
  <si>
    <t>Patología prostática no especificada</t>
  </si>
  <si>
    <t>Dislipidemia/hipercolesterolemia; Diabetes mellitus tipo 2; Hipertensión arterial</t>
  </si>
  <si>
    <t>Hipotiroidismo en tratamiento; Artrosis; Lupus</t>
  </si>
  <si>
    <t>Artritis no especificada</t>
  </si>
  <si>
    <t>Hipotiroidismo en tratamiento; Resistencia a la insulina</t>
  </si>
  <si>
    <t>Hipotiroidismo; Gota/hiperuricemia</t>
  </si>
  <si>
    <t>Hernia abdominal/inguinal/umbilical; Antecedente de apendicectomía/apendicitis</t>
  </si>
  <si>
    <t>Hipotiroidismo; Dislipidemia/hipercolesterolemia; Artritis no especificada</t>
  </si>
  <si>
    <t>Cirrosis hepática</t>
  </si>
  <si>
    <t>Antecedente de colecistectomía</t>
  </si>
  <si>
    <t>Antecedente de trombosis/TVP o anticoagulación</t>
  </si>
  <si>
    <t>Prostatitis</t>
  </si>
  <si>
    <t>Cardiopatía/enfermedad cardíaca</t>
  </si>
  <si>
    <t>Discapacidad física</t>
  </si>
  <si>
    <t>Incontinencia urinaria; Prolapso genital/vaginal</t>
  </si>
  <si>
    <t>Enfermedad renal crónica/insuficiencia renal crónica</t>
  </si>
  <si>
    <t>Hernia abdominal/inguinal/umbilical</t>
  </si>
  <si>
    <t>Antecedente de cirugía coronaria</t>
  </si>
  <si>
    <t>Antecedente de accidente cerebrovascular</t>
  </si>
  <si>
    <t>Hernia abdominal/inguinal/umbilical; Antecedente/cáncer cutáneo</t>
  </si>
  <si>
    <t>Hipotiroidismo; Artritis reumatoide</t>
  </si>
  <si>
    <t>Prolapso genital/vaginal</t>
  </si>
  <si>
    <t>Artrosis/degeneración de columna lumbar</t>
  </si>
  <si>
    <t>Dislipidemia/hipercolesterolemia; Asma; Rinitis alérgica/crónica</t>
  </si>
  <si>
    <t>Sospecha de litiasis/cálculos renales</t>
  </si>
  <si>
    <t>Dislipidemia/hipercolesterolemia; Nódulo/quiste mamario benigno</t>
  </si>
  <si>
    <t>Artrosis de cadera</t>
  </si>
  <si>
    <t>Artrosis; Artritis no especificada</t>
  </si>
  <si>
    <t>Apnea/hipopnea del sueño</t>
  </si>
  <si>
    <t>Meningioma</t>
  </si>
  <si>
    <t>Diabetes mellitus tipo 2 insulinorrequirente; Patología prostática no especificada</t>
  </si>
  <si>
    <t>Dislipidemia/hipercolesterolemia; Várices</t>
  </si>
  <si>
    <t>Usuario/a de marcapasos</t>
  </si>
  <si>
    <t>Osteoporosis; Discopatía/hernia lumbar</t>
  </si>
  <si>
    <t>Hipotiroidismo en tratamiento; Artritis no especificada; Lupus; Policitemia vera</t>
  </si>
  <si>
    <t>Nódulo/quiste mamario benigno; Antecedente/cáncer no especificado</t>
  </si>
  <si>
    <t>Cistitis intersticial</t>
  </si>
  <si>
    <t>Bloqueo de rama derecha</t>
  </si>
  <si>
    <t>Antecedente/cáncer testicular</t>
  </si>
  <si>
    <t>Antecedente/cáncer gástrico</t>
  </si>
  <si>
    <t>Pancreatitis</t>
  </si>
  <si>
    <t>Infecciones urinarias recurrentes</t>
  </si>
  <si>
    <t>Dislipidemia/hipercolesterolemia en tratamiento; Resistencia a la insulina; Artritis reumatoide</t>
  </si>
  <si>
    <t>Antecedente de histerectomía</t>
  </si>
  <si>
    <t>Hipotiroidismo; PAP alterado/VPH en control</t>
  </si>
  <si>
    <t>Dislipidemia/hipercolesterolemia en tratamiento; Hipertensión arterial en tratamiento; Insomnio en tratamiento</t>
  </si>
  <si>
    <t>Diabetes mellitus tipo 2; Episodios de hipoglicemia referidos; Antecedente/cáncer gástrico</t>
  </si>
  <si>
    <t>Hipotiroidismo en tratamiento; Dislipidemia/hipercolesterolemia en tratamiento; Prostatitis</t>
  </si>
  <si>
    <t>Hematuria; Infecciones urinarias recurrentes</t>
  </si>
  <si>
    <t>Artrosis; Trastorno del ánimo</t>
  </si>
  <si>
    <t>Diabetes mellitus tipo 2; Infecciones urinarias recurrentes</t>
  </si>
  <si>
    <t>Artrosis/degeneración de columna lumbar; Discopatía/hernia lumbar</t>
  </si>
  <si>
    <t>Hipertensión arterial en tratamiento</t>
  </si>
  <si>
    <t>Psoriasis</t>
  </si>
  <si>
    <t>Resistencia a la insulina sin tratamiento actual</t>
  </si>
  <si>
    <t>Hipotiroidismo en tratamiento; Migraña/cefalea recurrente en tratamiento sintomático; Tumor ovárico en estudio/tratamiento</t>
  </si>
  <si>
    <t>Dislipidemia/hipercolesterolemia en tratamiento</t>
  </si>
  <si>
    <t>Hipotiroidismo; Dislipidemia/hipercolesterolemia; Depresión</t>
  </si>
  <si>
    <t>Fibromialgia en tratamiento</t>
  </si>
  <si>
    <t>Enfermedad de Parkinson; Demencia</t>
  </si>
  <si>
    <t>Púrpura; Psoriasis; Vitiligo; Antecedente de tuberculosis</t>
  </si>
  <si>
    <t>Fibrosis pulmonar</t>
  </si>
  <si>
    <t>Tendencia/antecedente de parálisis facial</t>
  </si>
  <si>
    <t>Insuficiencia cardíaca</t>
  </si>
  <si>
    <t>Antecedente/cáncer de mama; Antecedente de histerectomía; Antecedente/sarcoma sinovial tratado</t>
  </si>
  <si>
    <t>Hipertensión arterial en tratamiento; Úlcera gástrica</t>
  </si>
  <si>
    <t>Hipotiroidismo; Artrosis de cadera; Artritis reumatoide</t>
  </si>
  <si>
    <t>Hipotensión/PA baja referida</t>
  </si>
  <si>
    <t>Obesidad</t>
  </si>
  <si>
    <t>Diabetes mellitus tipo 2 insulinorrequirente; Antecedente de accidente cerebrovascular; Antecedente de colecistectomía; Antecedente de histerectomía</t>
  </si>
  <si>
    <t>Hipotiroidismo; Artrosis; Osteoporosis; Antecedente de histerectomía</t>
  </si>
  <si>
    <t>Insuficiencia cardíaca; Usuario/a de marcapasos</t>
  </si>
  <si>
    <t>Hipotiroidismo en tratamiento; Hipertensión arterial en tratamiento; Enfermedad coronaria/cardiopatía isquémica; Reflujo gastroesofágico/esofagitis</t>
  </si>
  <si>
    <t>Hipotiroidismo en evaluación</t>
  </si>
  <si>
    <t>Dislipidemia/hipercolesterolemia; Gastritis</t>
  </si>
  <si>
    <t>Enfermedad de Parkinson</t>
  </si>
  <si>
    <t>Hipotiroidismo; Reflujo gastroesofágico/esofagitis</t>
  </si>
  <si>
    <t>Hipertensión arterial en tratamiento; Artrosis</t>
  </si>
  <si>
    <t>Epilepsia/convulsiones</t>
  </si>
  <si>
    <t>Hipotiroidismo; Fibromialgia</t>
  </si>
  <si>
    <t>Litiasis/cálculos renales; Hipoacusia</t>
  </si>
  <si>
    <t>Hipertensión arterial en tratamiento; Epistaxis reciente referida; Reflujo gastroesofágico/esofagitis; Estrés elevado referido</t>
  </si>
  <si>
    <t>Dislipidemia/hipercolesterolemia; Artrosis; Leucemia</t>
  </si>
  <si>
    <t>Diabetes mellitus tipo 2 no insulinorrequirente/en tratamiento con metformina; Hipertensión arterial en tratamiento</t>
  </si>
  <si>
    <t>Hipertensión arterial en tratamiento; Antecedente de infarto agudo al miocardio</t>
  </si>
  <si>
    <t>Resistencia a la insulina; Hipertensión arterial en tratamiento; Infecciones urinarias recurrentes; Artrosis; Antecedente/cáncer de mama</t>
  </si>
  <si>
    <t>Asma bronquial crónica</t>
  </si>
  <si>
    <t>Resistencia a la insulina sin tratamiento actual; Hipertensión arterial en tratamiento; Riñón poliquístico; Síndrome de ovario poliquístico</t>
  </si>
  <si>
    <t>Hipertensión arterial</t>
  </si>
  <si>
    <t>Hipotiroidismo en tratamiento; Dislipidemia/hipercolesterolemia en tratamiento; Resistencia a la insulina en tratamiento; Hipertensión arterial en tratamiento; Antecedente/cáncer de mama; Asma</t>
  </si>
  <si>
    <t>Hipertensión arterial en tratamiento; Insomnio en tratamiento</t>
  </si>
  <si>
    <t>Dislipidemia/hipercolesterolemia en tratamiento; Diabetes mellitus tipo 2 no insulinorrequirente/en tratamiento con metformina</t>
  </si>
  <si>
    <t>Hipotiroidismo en tratamiento; Embarazo actual</t>
  </si>
  <si>
    <t>Problema pulmonar no especificado</t>
  </si>
  <si>
    <t>Artrosis de cadera; Migraña/cefalea recurrente en tratamiento sintomático</t>
  </si>
  <si>
    <t>Antecedente/cáncer de tiroides</t>
  </si>
  <si>
    <t>Hipotiroidismo en tratamiento; Dislipidemia/hipercolesterolemia en tratamiento; Hipertensión arterial en tratamiento; Artrosis</t>
  </si>
  <si>
    <t>Hipoacusia; Demencia</t>
  </si>
  <si>
    <t>Hipoacusia; Parálisis cerebral discinética; Crisis de pánico; Agorafobia</t>
  </si>
  <si>
    <t>Resistencia a la insulina; Tumor/cáncer renal</t>
  </si>
  <si>
    <t>Dislipidemia/hipercolesterolemia; Gota/hiperuricemia</t>
  </si>
  <si>
    <t>Dislipidemia/hipercolesterolemia en tratamiento; Hipertensión arterial en tratamiento; Quiste(s) renal(es)</t>
  </si>
  <si>
    <t>Hipotiroidismo en tratamiento; Rinitis alérgica/crónica</t>
  </si>
  <si>
    <t>Hipertiroidismo en tratamiento; Dislipidemia/hipercolesterolemia en tratamiento; Diabetes mellitus tipo 2 no insulinorrequirente/en tratamiento con metformina</t>
  </si>
  <si>
    <t>Hipotiroidismo en tratamiento; Dislipidemia/hipercolesterolemia en tratamiento; Resistencia a la insulina; Hipovitaminosis D/déficit de vitamina D</t>
  </si>
  <si>
    <t>Gota/hiperuricemia</t>
  </si>
  <si>
    <t>Artrosis; Hepatitis autoinmune</t>
  </si>
  <si>
    <t>Nefropatía cicatricial/enfermedad renal</t>
  </si>
  <si>
    <t>Púrpura</t>
  </si>
  <si>
    <t>Gastritis crónica en tratamiento</t>
  </si>
  <si>
    <t>Hipotiroidismo en tratamiento; Dislipidemia/hipercolesterolemia en tratamiento; Resistencia a la insulina</t>
  </si>
  <si>
    <t>Nódulos pulmonares; Discopatía/hernia lumbar</t>
  </si>
  <si>
    <t>Dislipidemia/hipercolesterolemia; Ansiedad</t>
  </si>
  <si>
    <t>Diabetes mellitus tipo 2; Artrosis</t>
  </si>
  <si>
    <t>Artritis idiopática juvenil</t>
  </si>
  <si>
    <t>Alergia respiratoria/polen</t>
  </si>
  <si>
    <t>Hipertensión arterial; Usuario/a de marcapasos</t>
  </si>
  <si>
    <t>Resistencia a la insulina; Asma bronquial crónica</t>
  </si>
  <si>
    <t>Antecedente de cirugía pulmonar por quiste</t>
  </si>
  <si>
    <t>Hipotiroidismo en tratamiento; Hipertensión arterial en tratamiento; Artrosis</t>
  </si>
  <si>
    <t>Dolor abdominal en estudio</t>
  </si>
  <si>
    <t>PAP alterado/VPH en control</t>
  </si>
  <si>
    <t>Antecedente de diabetes gestacional</t>
  </si>
  <si>
    <t>Lesión medular</t>
  </si>
  <si>
    <t>Dolor de hombros</t>
  </si>
  <si>
    <t>Dislipidemia/hipercolesterolemia en tratamiento; Diabetes mellitus tipo 2 no insulinorrequirente/en tratamiento con metformina; Prostatitis</t>
  </si>
  <si>
    <t>Epilepsia/convulsiones; Crisis de pánico</t>
  </si>
  <si>
    <t>Riñón poliquístico; Síndrome de ovario poliquístico</t>
  </si>
  <si>
    <t>Hipotiroidismo en tratamiento; Dislipidemia/hipercolesterolemia en tratamiento; Diabetes mellitus tipo 2 no insulinorrequirente/en tratamiento con metformina; Hipertensión arterial en tratamiento</t>
  </si>
  <si>
    <t>Antecedente de accidente cerebrovascular; Dolor lumbar/espalda</t>
  </si>
  <si>
    <t>Dislipidemia/hipercolesterolemia en tratamiento; Diabetes mellitus tipo 2 no insulinorrequirente/en tratamiento con metformina; Hipertensión arterial en tratamiento</t>
  </si>
  <si>
    <t>Artrosis/degeneración de columna lumbar; Enfermedad uterina no especificada</t>
  </si>
  <si>
    <t>Artrosis; Osteoporosis</t>
  </si>
  <si>
    <t>Dislipidemia/hipercolesterolemia; Artrosis</t>
  </si>
  <si>
    <t>Hipertensión arterial; Artrosis</t>
  </si>
  <si>
    <t>Diabetes mellitus tipo 2</t>
  </si>
  <si>
    <t>Migraña/cefalea recurrente en tratamiento sintomático</t>
  </si>
  <si>
    <t>Fibrilación auricular</t>
  </si>
  <si>
    <t>Diabetes mellitus tipo 2 insulinorrequirente; Hipertensión arterial en tratamiento</t>
  </si>
  <si>
    <t>Diabetes mellitus tipo 2 insulinorrequirente</t>
  </si>
  <si>
    <t>Hipertensión arterial en tratamiento; Antecedente de accidente cerebrovascular</t>
  </si>
  <si>
    <t>Resistencia a la insulina en tratamiento</t>
  </si>
  <si>
    <t>Diabetes mellitus tipo 2 no insulinorrequirente/en tratamiento con metformina</t>
  </si>
  <si>
    <t>Diabetes mellitus tipo 2 no insulinorrequirente/en tratamiento con metformina; Artrosis</t>
  </si>
  <si>
    <t>Gastritis crónica; Artritis no especificada</t>
  </si>
  <si>
    <t>Trastorno tiroideo no especificado/en estudio; Hipertensión arterial en tratamiento</t>
  </si>
  <si>
    <t>Fractura de coxis</t>
  </si>
  <si>
    <t>Monorrena/riñón único</t>
  </si>
  <si>
    <t>Hipertensión arterial en tratamiento; Artritis no especificada</t>
  </si>
  <si>
    <t>Hipotiroidismo en tratamiento; Dislipidemia/hipercolesterolemia en tratamiento; Resistencia a la insulina en tratamiento; Hipertensión arterial en tratamiento; PAP alterado/VPH en control</t>
  </si>
  <si>
    <t>Resistencia a la insulina en tratamiento; Hipertensión arterial en tratamiento; Antecedente de trombosis/TVP o anticoagulación</t>
  </si>
  <si>
    <t>Dislipidemia/hipercolesterolemia; Fibromialgia; Depresión; Anemia</t>
  </si>
  <si>
    <t>Ruptura de ligamento cruzado anterior</t>
  </si>
  <si>
    <t>Artrosis; Fibromialgia</t>
  </si>
  <si>
    <t>Monorrena/riñón único; Antecedente de colecistectomía</t>
  </si>
  <si>
    <t>Resistencia a la insulina; Alergia a AINEs; PAP alterado/VPH en control</t>
  </si>
  <si>
    <t>Artritis reumatoide; Fibromialgia; Temblor esencial/congénito</t>
  </si>
  <si>
    <t>Quiste(s) renal(es); Cardiopatía/enfermedad cardíaca</t>
  </si>
  <si>
    <t>Diabetes mellitus tipo 2; Prediabetes/glicemia alterada</t>
  </si>
  <si>
    <t>Hemorroides</t>
  </si>
  <si>
    <t>Condición inferida por medicamentos: probable cardiometabólica</t>
  </si>
  <si>
    <t>Dislipidemia/hipercolesterolemia; Antecedente/cáncer no especificado</t>
  </si>
  <si>
    <t>Glicemia alterada/en evaluación; Hipertensión arterial</t>
  </si>
  <si>
    <t>Mioma uterino</t>
  </si>
  <si>
    <t>Hidatidosis hepática</t>
  </si>
  <si>
    <t>Hipotiroidismo; Depresión</t>
  </si>
  <si>
    <t>Enfermedad coronaria/cardiopatía isquémica</t>
  </si>
  <si>
    <t>Hipotiroidismo; Trastorno bipolar; Lupus</t>
  </si>
  <si>
    <t>Hipertiroidismo; Artrosis</t>
  </si>
  <si>
    <t>Artrosis; Depresión</t>
  </si>
  <si>
    <t>Antecedente de cirugía valvular cardíaca</t>
  </si>
  <si>
    <t>Dislipidemia/hipercolesterolemia; Artrosis; Anemia</t>
  </si>
  <si>
    <t>Dislipidemia/hipercolesterolemia; Antecedente de accidente cerebrovascular</t>
  </si>
  <si>
    <t>Prolapso genital/vaginal; Artrosis</t>
  </si>
  <si>
    <t>Artritis no especificada; Leucemia</t>
  </si>
  <si>
    <t>Temblor esencial/congénito</t>
  </si>
  <si>
    <t>Asma; Artrosis</t>
  </si>
  <si>
    <t>Reflujo gastroesofágico/esofagitis; Cardiopatía congénita; Pólipo nasal; Cardiopatía/enfermedad cardíaca</t>
  </si>
  <si>
    <t>Alergia alimentaria</t>
  </si>
  <si>
    <t>Trombofilia por factor V</t>
  </si>
  <si>
    <t>Glaucoma; Antecedente de histerectomía; Antecedente/cáncer no especificado</t>
  </si>
  <si>
    <t>Enfermedad diverticular/diverticulitis; Enfermedad de Parkinson</t>
  </si>
  <si>
    <t>Hipertiroidismo; Fibromialgia</t>
  </si>
  <si>
    <t>Hipotiroidismo; Obesidad</t>
  </si>
  <si>
    <t>Riñón poliquístico</t>
  </si>
  <si>
    <t>Reflujo gastroesofágico/esofagitis</t>
  </si>
  <si>
    <t>Artritis reumatoide; Antecedente de histerectomía</t>
  </si>
  <si>
    <t>Discapacidad intelectual/retraso mental</t>
  </si>
  <si>
    <t>Cáncer ovárico en tratamiento</t>
  </si>
  <si>
    <t>Tumor mamario benigno</t>
  </si>
  <si>
    <t>Enfermedad celíaca</t>
  </si>
  <si>
    <t>Infarto renal</t>
  </si>
  <si>
    <t>Dislipidemia/hipercolesterolemia; Insuficiencia cardíaca</t>
  </si>
  <si>
    <t>Dislipidemia/hipercolesterolemia; Fibromialgia; Depresión</t>
  </si>
  <si>
    <t>Diabetes mellitus tipo 2; Hipertensión arterial</t>
  </si>
  <si>
    <t>Dislipidemia/hipercolesterolemia; Enfermedad de Parkinson</t>
  </si>
  <si>
    <t>Dislipidemia/hipercolesterolemia; Esquizofrenia</t>
  </si>
  <si>
    <t>Hipotiroidismo; Epilepsia/convulsiones; Esquizofrenia</t>
  </si>
  <si>
    <t>Cardiopatía congénita; Cardiopatía/enfermedad cardíaca</t>
  </si>
  <si>
    <t>CUÁL OTRA CONDICION PERSONAL (Estandarizado)</t>
  </si>
  <si>
    <t>OTROS ANTEC FLIRES (Estandarizado)</t>
  </si>
  <si>
    <t>Consumo AINEs (Estandarizado)</t>
  </si>
  <si>
    <t>Uso según necesidad (PRN/SOS)</t>
  </si>
  <si>
    <t>Sin dato</t>
  </si>
  <si>
    <t>Uso diario: 1–4 al día</t>
  </si>
  <si>
    <t>Uso ocasional mensual</t>
  </si>
  <si>
    <t>Uso diario: 5–10 al día</t>
  </si>
  <si>
    <t xml:space="preserve">Hipertensión arterial
</t>
  </si>
  <si>
    <t>Sin otro diagnóstico consignado</t>
  </si>
  <si>
    <t>Riesgo de tuberculosis</t>
  </si>
  <si>
    <t>Consumo problemático de alcohol</t>
  </si>
  <si>
    <t>Litiasis renal</t>
  </si>
  <si>
    <t>Sospecha de hiperplasia prostática benigna/prostatismo</t>
  </si>
  <si>
    <t>Crisis hipertensiva</t>
  </si>
  <si>
    <t>Dolor crónico intratable; Osteoporosis facetaria</t>
  </si>
  <si>
    <t>PAP y/o mamografía no vigente</t>
  </si>
  <si>
    <t>Tabaquismo; Consumo problemático de alcohol</t>
  </si>
  <si>
    <t>Cáncer de mama; Cáncer cervicouterino/uterino</t>
  </si>
  <si>
    <t>Infarto agudo al miocardio; Cáncer de mama</t>
  </si>
  <si>
    <t>Monorreno por cáncer renal; Cáncer renal / antecedente oncológico renal</t>
  </si>
  <si>
    <t>Hipotiroidismo; Infección urinaria recurrente/antecedente de ITU; Accidente cerebrovascular</t>
  </si>
  <si>
    <t>Monorreno</t>
  </si>
  <si>
    <t>Hipotiroidismo posquirúrgico</t>
  </si>
  <si>
    <t>Tinnitus; Hipoacusia; Disminución de la visión</t>
  </si>
  <si>
    <t>Tabaquismo; PAP y/o mamografía no vigente</t>
  </si>
  <si>
    <t>Tabaquismo; Hiperplasia prostática benigna/prostatismo; Enfermedad arterial oclusiva bilateral; Artrosis; Hipoacusia</t>
  </si>
  <si>
    <t>Tiroidectomía; Tumorectomía renal; Enfermedad coronaria</t>
  </si>
  <si>
    <t>Trastorno ansioso; Infección por Helicobacter pylori</t>
  </si>
  <si>
    <t>Anemia crónica</t>
  </si>
  <si>
    <t>Dislipidemia; Hipotiroidismo</t>
  </si>
  <si>
    <t>Hiperplasia prostática benigna/prostatismo</t>
  </si>
  <si>
    <t>Artrosis de columna</t>
  </si>
  <si>
    <t>Retinopatía diabética; Hipotiroidismo</t>
  </si>
  <si>
    <t>Dislipidemia; Hipotiroidismo; Deterioro cognitivo; Trastorno del ánimo</t>
  </si>
  <si>
    <t>Bypass coronario; Infarto agudo al miocardio; Enfermedad coronaria</t>
  </si>
  <si>
    <t>Tabaquismo; Angina inestable</t>
  </si>
  <si>
    <t>Hipotiroidismo; EPOC por exposición a biomasa</t>
  </si>
  <si>
    <t>Síndrome metabólico</t>
  </si>
  <si>
    <t>Hipotiroidismo; Gota</t>
  </si>
  <si>
    <t>Liquen plano</t>
  </si>
  <si>
    <t>Hipertensión de delantal blanco</t>
  </si>
  <si>
    <t>Hipotiroidismo; Fibrilación auricular; Tratamiento con anticoagulante oral no antagonista de vitamina K</t>
  </si>
  <si>
    <t>Hipotiroidismo; Nefropatía membranosa</t>
  </si>
  <si>
    <t>Dislipidemia; Resistencia a la insulina; Quiste renal</t>
  </si>
  <si>
    <t>Ataque isquémico transitorio</t>
  </si>
  <si>
    <t>Usuario/a de marcapasos; Artritis; Artrosis</t>
  </si>
  <si>
    <t>Prediabetes; Nódulo tiroideo</t>
  </si>
  <si>
    <t>Diabetes gestacional; Antecedente de preeclampsia; Hipotiroidismo</t>
  </si>
  <si>
    <t>Trastorno afectivo bipolar en tratamiento</t>
  </si>
  <si>
    <t>Bypass gástrico</t>
  </si>
  <si>
    <t>Hígado graso; Masas hepáticas</t>
  </si>
  <si>
    <t>Dislipidemia; Cáncer testicular operado</t>
  </si>
  <si>
    <t>Prediabetes; Asma</t>
  </si>
  <si>
    <t>Dislipidemia; Prediabetes; Hipotiroidismo</t>
  </si>
  <si>
    <t>Accidente cerebrovascular</t>
  </si>
  <si>
    <t>Cáncer gástrico operado</t>
  </si>
  <si>
    <t>Bypass coronario; Infarto agudo al miocardio; Enfermedad coronaria; Enfermedad de Parkinson; Deterioro cognitivo</t>
  </si>
  <si>
    <t>Dislipidemia; Hipotiroidismo; Infarto agudo al miocardio; Enfermedad coronaria</t>
  </si>
  <si>
    <t>Dislipidemia; Hipotiroidismo; Fibrilación auricular; Tratamiento anticoagulante oral</t>
  </si>
  <si>
    <t>Hipotiroidismo; Artritis reumatoide; Artrosis de cadera</t>
  </si>
  <si>
    <t>Sospecha de enfermedad renal crónica; Artritis psoriática; Anemia crónica</t>
  </si>
  <si>
    <t>Hipotiroidismo; Enfermedad coronaria; Espasmo coronario</t>
  </si>
  <si>
    <t>Sospecha de enfermedad renal crónica</t>
  </si>
  <si>
    <t>EPOC en observación/sospecha</t>
  </si>
  <si>
    <t>Gastritis crónica</t>
  </si>
  <si>
    <t>Dislipidemia (probable; original: DLL)</t>
  </si>
  <si>
    <t>Tabaquismo; Asma</t>
  </si>
  <si>
    <t>Antecedente de pielonefritis; Infección urinaria recurrente/antecedente de ITU</t>
  </si>
  <si>
    <t>Quistes renales complejos Bosniak IV (probable); Hiperplasia prostática benigna/prostatismo</t>
  </si>
  <si>
    <t>Cataratas</t>
  </si>
  <si>
    <t>Resistencia a la insulina; Hígado graso</t>
  </si>
  <si>
    <t>Asimetría renal</t>
  </si>
  <si>
    <t>Riñón/enfermedad renal poliquística</t>
  </si>
  <si>
    <t>Tinnitus</t>
  </si>
  <si>
    <t>Asma; Hígado graso</t>
  </si>
  <si>
    <t>Hipotiroidismo; Síndrome de Sjögren</t>
  </si>
  <si>
    <t>Dislipidemia; Colon irritable</t>
  </si>
  <si>
    <t>Dislipidemia; Epilepsia</t>
  </si>
  <si>
    <t>Depresión; Trastorno de la conducta alimentaria; Hidatidosis hepática operada</t>
  </si>
  <si>
    <t>Dislipidemia; Hipotiroidismo; Depresión</t>
  </si>
  <si>
    <t>Prediabetes; Hiperplasia prostática benigna/prostatismo</t>
  </si>
  <si>
    <t>Dislipidemia; Hipertensión en embarazo</t>
  </si>
  <si>
    <t>Dislipidemia; Artritis reumatoide; Artrosis</t>
  </si>
  <si>
    <t>Tabaquismo; Dislipidemia</t>
  </si>
  <si>
    <t>Hipertensión de delantal blanco; Infección urinaria recurrente/antecedente de ITU</t>
  </si>
  <si>
    <t>Hipotiroidismo; Tumor cerebral</t>
  </si>
  <si>
    <t>Dislipidemia; Prediabetes</t>
  </si>
  <si>
    <t>Síndrome antifosfolípidos en tratamiento anticoagulante</t>
  </si>
  <si>
    <t>Tiroidectomía</t>
  </si>
  <si>
    <t>Dislipidemia; Artritis</t>
  </si>
  <si>
    <t>Antecedente de preeclampsia; Incontinencia urinaria</t>
  </si>
  <si>
    <t>Cardiopatía congénita</t>
  </si>
  <si>
    <t>Litiasis renal; Cálculo coraliforme renal; Nefrocalcinosis; Infección urinaria recurrente/antecedente de ITU; Catéter doble J urinario retirado</t>
  </si>
  <si>
    <t>Monorreno congénito</t>
  </si>
  <si>
    <t>Dislipidemia; Hiperplasia prostática benigna/prostatismo</t>
  </si>
  <si>
    <t>Lupus eritematoso sistémico/diseminado</t>
  </si>
  <si>
    <t>Cáncer de ovario</t>
  </si>
  <si>
    <t>Aneurisma de aorta con prótesis y compromiso de ramas arteriales renales</t>
  </si>
  <si>
    <t>Tetralogía de Fallot operada con stent en arteria pulmonar izquierda</t>
  </si>
  <si>
    <t xml:space="preserve"> OTROS Dg (estandarizado)</t>
  </si>
  <si>
    <t>Evaluation (estandarizado)</t>
  </si>
  <si>
    <t>Presión arterial elevada / pesquisa HTA; Glicemia alterada / pesquisa DM2</t>
  </si>
  <si>
    <t>Glicemia alterada / pesquisa DM2</t>
  </si>
  <si>
    <t>Glicemia alterada / pesquisa DM2; Proteinuria / albuminuria / RAC alterado</t>
  </si>
  <si>
    <t>Presión arterial elevada / pesquisa HTA; Obesidad/sobrepeso/malnutrición por exceso</t>
  </si>
  <si>
    <t>DM2 conocida fuera de meta / hiperglicemia; Proteinuria / albuminuria / RAC alterado</t>
  </si>
  <si>
    <t>Presión arterial elevada / pesquisa HTA; Respiratorio/TBC; Osteomuscular/dolor crónico</t>
  </si>
  <si>
    <t>Sin información</t>
  </si>
  <si>
    <t>Presión arterial elevada / pesquisa HTA</t>
  </si>
  <si>
    <t>Presión arterial elevada / pesquisa HTA; Creatinina elevada / VFG disminuida</t>
  </si>
  <si>
    <t>Presión arterial elevada / pesquisa HTA; HTA conocida fuera de meta / control subóptimo; Obesidad/sobrepeso/malnutrición por exceso</t>
  </si>
  <si>
    <t>Presión arterial elevada / pesquisa HTA; Obesidad/sobrepeso/malnutrición por exceso; Cardiovascular</t>
  </si>
  <si>
    <t>Presión arterial elevada / pesquisa HTA; Cáncer/antecedente oncológico</t>
  </si>
  <si>
    <t>Obesidad/sobrepeso/malnutrición por exceso; Tabaquismo</t>
  </si>
  <si>
    <t>Presión arterial elevada / pesquisa HTA; HTA conocida fuera de meta / control subóptimo; Creatinina elevada / VFG disminuida</t>
  </si>
  <si>
    <t>Presión arterial elevada / pesquisa HTA; HTA conocida fuera de meta / control subóptimo; Obesidad/sobrepeso/malnutrición por exceso; Mala adherencia / abandono terapéutico</t>
  </si>
  <si>
    <t>No codificable</t>
  </si>
  <si>
    <t>Presión arterial elevada / pesquisa HTA; Dislipidemia</t>
  </si>
  <si>
    <t>Litiasis / cólico renal / nefrocalcinosis</t>
  </si>
  <si>
    <t>Presión arterial elevada / pesquisa HTA; Creatinina elevada / VFG disminuida; Prostatismo / HPB / PSA alterado</t>
  </si>
  <si>
    <t>Presión arterial elevada / pesquisa HTA; HTA conocida fuera de meta / control subóptimo; Uso/abuso de AINEs; Mala adherencia / abandono terapéutico; Osteomuscular/dolor crónico</t>
  </si>
  <si>
    <t>Presión arterial elevada / pesquisa HTA; HTA conocida fuera de meta / control subóptimo; Obesidad/sobrepeso/malnutrición por exceso; Cardiovascular</t>
  </si>
  <si>
    <t>Presión arterial elevada / pesquisa HTA; Glicemia alterada / pesquisa DM2; DM2 conocida fuera de meta / hiperglicemia; Creatinina elevada / VFG disminuida</t>
  </si>
  <si>
    <t>Presión arterial elevada / pesquisa HTA; HTA conocida fuera de meta / control subóptimo; Crisis/urgencia hipertensiva; Proteinuria / albuminuria / RAC alterado; Creatinina elevada / VFG disminuida; Mala adherencia / abandono terapéutico</t>
  </si>
  <si>
    <t>HTA conocida fuera de meta / control subóptimo; Obesidad/sobrepeso/malnutrición por exceso; Hipotiroidismo/alteración tiroidea</t>
  </si>
  <si>
    <t>Presión arterial elevada / pesquisa HTA; HTA conocida fuera de meta / control subóptimo; DM2 conocida fuera de meta / hiperglicemia</t>
  </si>
  <si>
    <t>Obesidad/sobrepeso/malnutrición por exceso; Dislipidemia; Cardiovascular</t>
  </si>
  <si>
    <t>Presión arterial elevada / pesquisa HTA; HTA conocida fuera de meta / control subóptimo; Glicemia alterada / pesquisa DM2; DM2 conocida fuera de meta / hiperglicemia; Mala adherencia / abandono terapéutico</t>
  </si>
  <si>
    <t>Presión arterial elevada / pesquisa HTA; Glicemia alterada / pesquisa DM2; Obesidad/sobrepeso/malnutrición por exceso</t>
  </si>
  <si>
    <t>Presión arterial elevada / pesquisa HTA; HTA conocida fuera de meta / control subóptimo</t>
  </si>
  <si>
    <t>Sin alteraciones relevantes</t>
  </si>
  <si>
    <t>Presión arterial elevada / pesquisa HTA; Glicemia alterada / pesquisa DM2; DM2 conocida fuera de meta / hiperglicemia; Proteinuria / albuminuria / RAC alterado; Creatinina elevada / VFG disminuida; Hipotiroidismo/alteración tiroidea</t>
  </si>
  <si>
    <t>Presión arterial elevada / pesquisa HTA; HTA conocida fuera de meta / control subóptimo; Mala adherencia / abandono terapéutico</t>
  </si>
  <si>
    <t>Presión arterial elevada / pesquisa HTA; Glicemia alterada / pesquisa DM2; Proteinuria / albuminuria / RAC alterado</t>
  </si>
  <si>
    <t>Presión arterial elevada / pesquisa HTA; Glicemia alterada / pesquisa DM2; Proteinuria / albuminuria / RAC alterado; Creatinina elevada / VFG disminuida; Consumo problemático de alcohol</t>
  </si>
  <si>
    <t>Presión arterial elevada / pesquisa HTA; Glicemia alterada / pesquisa DM2; Creatinina elevada / VFG disminuida</t>
  </si>
  <si>
    <t>Presión arterial elevada / pesquisa HTA; Tabaquismo; Consumo problemático de alcohol</t>
  </si>
  <si>
    <t>Presión arterial elevada / pesquisa HTA; Ginecológico/mamografía/PAP</t>
  </si>
  <si>
    <t>Presión arterial elevada / pesquisa HTA; Mala adherencia / abandono terapéutico</t>
  </si>
  <si>
    <t>Presión arterial elevada / pesquisa HTA; HTA conocida fuera de meta / control subóptimo; ERC / sospecha o diagnóstico renal; Mala adherencia / abandono terapéutico</t>
  </si>
  <si>
    <t>Creatinina elevada / VFG disminuida</t>
  </si>
  <si>
    <t>Presión arterial elevada / pesquisa HTA; HTA conocida fuera de meta / control subóptimo; ERC / sospecha o diagnóstico renal</t>
  </si>
  <si>
    <t>Presión arterial elevada / pesquisa HTA; Glicemia alterada / pesquisa DM2; Proteinuria / albuminuria / RAC alterado; Creatinina elevada / VFG disminuida; Prostatismo / HPB / PSA alterado</t>
  </si>
  <si>
    <t>Presión arterial elevada / pesquisa HTA; Creatinina elevada / VFG disminuida; Obesidad/sobrepeso/malnutrición por exceso</t>
  </si>
  <si>
    <t>Presión arterial elevada / pesquisa HTA; HTA conocida fuera de meta / control subóptimo; Glicemia alterada / pesquisa DM2</t>
  </si>
  <si>
    <t>Creatinina elevada / VFG disminuida; Uso/abuso de AINEs; Osteomuscular/dolor crónico</t>
  </si>
  <si>
    <t>Presión arterial elevada / pesquisa HTA; Proteinuria / albuminuria / RAC alterado; Tabaquismo</t>
  </si>
  <si>
    <t>HTA conocida fuera de meta / control subóptimo</t>
  </si>
  <si>
    <t>Creatinina elevada / VFG disminuida; ERC / sospecha o diagnóstico renal; Uso/abuso de AINEs</t>
  </si>
  <si>
    <t>Creatinina elevada / VFG disminuida; Prostatismo / HPB / PSA alterado</t>
  </si>
  <si>
    <t>Obesidad/sobrepeso/malnutrición por exceso; Tabaquismo; Uso/abuso de AINEs; Mala adherencia / abandono terapéutico; Osteomuscular/dolor crónico; Sin alteraciones relevantes</t>
  </si>
  <si>
    <t>Presión arterial elevada / pesquisa HTA; HTA conocida fuera de meta / control subóptimo; Obesidad/sobrepeso/malnutrición por exceso; Sin alteraciones relevantes</t>
  </si>
  <si>
    <t>HTA conocida fuera de meta / control subóptimo; Obesidad/sobrepeso/malnutrición por exceso; Sin alteraciones relevantes</t>
  </si>
  <si>
    <t>Tabaquismo; Uso/abuso de AINEs; Osteomuscular/dolor crónico</t>
  </si>
  <si>
    <t>Presión arterial elevada / pesquisa HTA; HTA conocida fuera de meta / control subóptimo; Proteinuria / albuminuria / RAC alterado; Creatinina elevada / VFG disminuida</t>
  </si>
  <si>
    <t>Obesidad/sobrepeso/malnutrición por exceso</t>
  </si>
  <si>
    <t>Presión arterial elevada / pesquisa HTA; Hipotiroidismo/alteración tiroidea</t>
  </si>
  <si>
    <t>HTA conocida fuera de meta / control subóptimo; Creatinina elevada / VFG disminuida; Prostatismo / HPB / PSA alterado</t>
  </si>
  <si>
    <t>Creatinina elevada / VFG disminuida; Cáncer/antecedente oncológico</t>
  </si>
  <si>
    <t>Creatinina elevada / VFG disminuida; Obesidad/sobrepeso/malnutrición por exceso; Dislipidemia</t>
  </si>
  <si>
    <t>Presión arterial elevada / pesquisa HTA; Obesidad/sobrepeso/malnutrición por exceso; Tabaquismo; Salud mental/sueño</t>
  </si>
  <si>
    <t>Presión arterial elevada / pesquisa HTA; Obesidad/sobrepeso/malnutrición por exceso; Dislipidemia</t>
  </si>
  <si>
    <t>Dislipidemia; Hipotiroidismo/alteración tiroidea</t>
  </si>
  <si>
    <t>Proteinuria / albuminuria / RAC alterado</t>
  </si>
  <si>
    <t>Presión arterial elevada / pesquisa HTA; Glicemia alterada / pesquisa DM2; Proteinuria / albuminuria / RAC alterado; Obesidad/sobrepeso/malnutrición por exceso</t>
  </si>
  <si>
    <t>Uso/abuso de AINEs</t>
  </si>
  <si>
    <t>Cáncer/antecedente oncológico; Sin alteraciones relevantes</t>
  </si>
  <si>
    <t>ITU recurrente / pielonefritis; Ginecológico/mamografía/PAP</t>
  </si>
  <si>
    <t>Salud mental/sueño</t>
  </si>
  <si>
    <t>Proteinuria / albuminuria / RAC alterado; ERC / sospecha o diagnóstico renal</t>
  </si>
  <si>
    <t>Monorreno / asimetría / malformación renal</t>
  </si>
  <si>
    <t>Proteinuria / albuminuria / RAC alterado; Monorreno / asimetría / malformación renal</t>
  </si>
  <si>
    <t>Ginecológico/mamografía/PAP</t>
  </si>
  <si>
    <t>Presión arterial elevada / pesquisa HTA; Sin alteraciones relevantes</t>
  </si>
  <si>
    <t>Obesidad/sobrepeso/malnutrición por exceso; Ginecológico/mamografía/PAP</t>
  </si>
  <si>
    <t>Presión arterial elevada / pesquisa HTA; Tabaquismo</t>
  </si>
  <si>
    <t>Glicemia alterada / pesquisa DM2; DM2 conocida fuera de meta / hiperglicemia; Cetoacidosis diabética / derivación urgente</t>
  </si>
  <si>
    <t>ITU recurrente / pielonefritis</t>
  </si>
  <si>
    <t>HTA conocida fuera de meta / control subóptimo; Cardiovascular</t>
  </si>
  <si>
    <t>Obesidad/sobrepeso/malnutrición por exceso; Osteomuscular/dolor crónico</t>
  </si>
  <si>
    <t>Presión arterial elevada / pesquisa HTA; ERC / sospecha o diagnóstico renal; Litiasis / cólico renal / nefrocalcinosis; Monorreno / asimetría / malformación renal; Obesidad/sobrepeso/malnutrición por exceso</t>
  </si>
  <si>
    <t>Presión arterial elevada / pesquisa HTA; Obesidad/sobrepeso/malnutrición por exceso; Tabaquismo; Mala adherencia / abandono terapéutico; Salud mental/sueño</t>
  </si>
  <si>
    <t>Presión arterial elevada / pesquisa HTA; Obesidad/sobrepeso/malnutrición por exceso; Osteomuscular/dolor crónico</t>
  </si>
  <si>
    <t>DM2 conocida fuera de meta / hiperglicemia; Hipotiroidismo/alteración tiroidea</t>
  </si>
  <si>
    <t>Presión arterial elevada / pesquisa HTA; Obesidad/sobrepeso/malnutrición por exceso; Tabaquismo; Consumo problemático de alcohol</t>
  </si>
  <si>
    <t>Uso/abuso de AINEs; Cáncer/antecedente oncológico; Ginecológico/mamografía/PAP; Osteomuscular/dolor crónico; Salud mental/sueño</t>
  </si>
  <si>
    <t>Proteinuria / albuminuria / RAC alterado; Mala adherencia / abandono terapéutico</t>
  </si>
  <si>
    <t>Presión arterial elevada / pesquisa HTA; Creatinina elevada / VFG disminuida; Obesidad/sobrepeso/malnutrición por exceso; Ginecológico/mamografía/PAP</t>
  </si>
  <si>
    <t>Presión arterial elevada / pesquisa HTA; Monorreno / asimetría / malformación renal</t>
  </si>
  <si>
    <t>Presión arterial elevada / pesquisa HTA; HTA conocida fuera de meta / control subóptimo; Crisis/urgencia hipertensiva; Uso/abuso de AINEs</t>
  </si>
  <si>
    <t>Presión arterial elevada / pesquisa HTA; Proteinuria / albuminuria / RAC alterado; Creatinina elevada / VFG disminuida; Hipotiroidismo/alteración tiroidea; Cáncer/antecedente oncológico</t>
  </si>
  <si>
    <t>Presión arterial elevada / pesquisa HTA; Proteinuria / albuminuria / RAC alterado; Dislipidemia; Hipotiroidismo/alteración tiroidea</t>
  </si>
  <si>
    <t>HTA conocida fuera de meta / control subóptimo; Mala adherencia / abandono terapéutico</t>
  </si>
  <si>
    <t>Presión arterial elevada / pesquisa HTA; Quiste/masa/tumor renal; Cardiovascular</t>
  </si>
  <si>
    <t>Presión arterial elevada / pesquisa HTA; Proteinuria / albuminuria / RAC alterado</t>
  </si>
  <si>
    <t>Presión arterial elevada / pesquisa HTA; Glicemia alterada / pesquisa DM2; Proteinuria / albuminuria / RAC alterado; Creatinina elevada / VFG disminuida; Tabaquismo</t>
  </si>
  <si>
    <t>Proteinuria / albuminuria / RAC alterado; ITU recurrente / pielonefritis</t>
  </si>
  <si>
    <t>Presión arterial elevada / pesquisa HTA; Ginecológico/mamografía/PAP; Sin alteraciones relevantes</t>
  </si>
  <si>
    <t>Glicemia alterada / pesquisa DM2; DM2 conocida fuera de meta / hiperglicemia; Mala adherencia / abandono terapéutico</t>
  </si>
  <si>
    <t>Presión arterial elevada / pesquisa HTA; Obesidad/sobrepeso/malnutrición por exceso; Tabaquismo</t>
  </si>
  <si>
    <t>Proteinuria / albuminuria / RAC alterado; Cardiovascular</t>
  </si>
  <si>
    <t>Crisis/urgencia hipertensiva; Hipotiroidismo/alteración tiroidea; Salud mental/sueño</t>
  </si>
  <si>
    <t>Glicemia alterada / pesquisa DM2; Litiasis / cólico renal / nefrocalcinosis; Osteomuscular/dolor crónico</t>
  </si>
  <si>
    <t>ERC / sospecha o diagnóstico renal; Obesidad/sobrepeso/malnutrición por exceso; Uso/abuso de AINEs; Osteomuscular/dolor crónico</t>
  </si>
  <si>
    <t>HTA conocida fuera de meta / control subóptimo; Glicemia alterada / pesquisa DM2; Obesidad/sobrepeso/malnutrición por exceso; Mala adherencia / abandono terapéutico</t>
  </si>
  <si>
    <t>Presión arterial elevada / pesquisa HTA; Obesidad/sobrepeso/malnutrición por exceso; Mala adherencia / abandono terapéutico</t>
  </si>
  <si>
    <t>Presión arterial elevada / pesquisa HTA; HTA conocida fuera de meta / control subóptimo; Glicemia alterada / pesquisa DM2; Obesidad/sobrepeso/malnutrición por exceso</t>
  </si>
  <si>
    <t>Proteinuria / albuminuria / RAC alterado; Creatinina elevada / VFG disminuida</t>
  </si>
  <si>
    <t>Glicemia alterada / pesquisa DM2; Obesidad/sobrepeso/malnutrición por exceso; Cáncer/antecedente oncológico; Ginecológico/mamografía/PAP</t>
  </si>
  <si>
    <t>Presión arterial elevada / pesquisa HTA; Glicemia alterada / pesquisa DM2; DM2 conocida fuera de meta / hiperglicemia; Cetoacidosis diabética / derivación urgente</t>
  </si>
  <si>
    <t>Proteinuria / albuminuria / RAC alterado; Creatinina elevada / VFG disminuida; Uso/abuso de AINEs</t>
  </si>
  <si>
    <t>Monorreno / asimetría / malformación renal; Quiste/masa/tumor renal; Cáncer/antecedente oncológico</t>
  </si>
  <si>
    <t>Mala adherencia / abandono terapéutico</t>
  </si>
  <si>
    <t>Proteinuria / albuminuria / RAC alterado; Obesidad/sobrepeso/malnutrición por exceso; Uso/abuso de AINEs</t>
  </si>
  <si>
    <t>Presión arterial elevada / pesquisa HTA; HTA conocida fuera de meta / control subóptimo; DM2 conocida fuera de meta / hiperglicemia; Proteinuria / albuminuria / RAC alterado</t>
  </si>
  <si>
    <t>Glicemia alterada / pesquisa DM2; DM2 conocida fuera de meta / hiperglicemia; Proteinuria / albuminuria / RAC alterado</t>
  </si>
  <si>
    <t>Proteinuria / albuminuria / RAC alterado; Creatinina elevada / VFG disminuida; ERC / sospecha o diagnóstico renal</t>
  </si>
  <si>
    <t>Proteinuria / albuminuria / RAC alterado; Creatinina elevada / VFG disminuida; Obesidad/sobrepeso/malnutrición por exceso</t>
  </si>
  <si>
    <t>Presión arterial elevada / pesquisa HTA; Osteomuscular/dolor crónico</t>
  </si>
  <si>
    <t>Creatinina elevada / VFG disminuida; Obesidad/sobrepeso/malnutrición por exceso</t>
  </si>
  <si>
    <t>DM2 conocida fuera de meta / hiperglicemia; Cetoacidosis diabética / derivación urgente; Osteomuscular/dolor crónico</t>
  </si>
  <si>
    <t>Presión arterial elevada / pesquisa HTA; HTA conocida fuera de meta / control subóptimo; DM2 conocida fuera de meta / hiperglicemia; Osteomuscular/dolor crónico</t>
  </si>
  <si>
    <t>Presión arterial elevada / pesquisa HTA; Prostatismo / HPB / PSA alterado; Obesidad/sobrepeso/malnutrición por exceso</t>
  </si>
  <si>
    <t>Presión arterial elevada / pesquisa HTA; Obesidad/sobrepeso/malnutrición por exceso; Ginecológico/mamografía/PAP</t>
  </si>
  <si>
    <t>Creatinina elevada / VFG disminuida; Uso/abuso de AINEs</t>
  </si>
  <si>
    <t>Presión arterial elevada / pesquisa HTA; DM2 conocida fuera de meta / hiperglicemia; Proteinuria / albuminuria / RAC alterado; ERC / sospecha o diagnóstico renal; Obesidad/sobrepeso/malnutrición por exceso</t>
  </si>
  <si>
    <t>Presión arterial elevada / pesquisa HTA; DM2 conocida fuera de meta / hiperglicemia; Salud mental/sueño</t>
  </si>
  <si>
    <t>Presión arterial elevada / pesquisa HTA; Proteinuria / albuminuria / RAC alterado; Cardiovascular</t>
  </si>
  <si>
    <t>Cáncer/antecedente oncológico</t>
  </si>
  <si>
    <t>Presión arterial elevada / pesquisa HTA; Proteinuria / albuminuria / RAC alterado; Dislipidemia</t>
  </si>
  <si>
    <t>Presión arterial elevada / pesquisa HTA; Proteinuria / albuminuria / RAC alterado; Hematuria</t>
  </si>
  <si>
    <t>Osteomuscular/dolor crónico</t>
  </si>
  <si>
    <t>Presión arterial elevada / pesquisa HTA; Proteinuria / albuminuria / RAC alterado; Ginecológico/mamografía/PAP</t>
  </si>
  <si>
    <t>Presión arterial elevada / pesquisa HTA; Creatinina elevada / VFG disminuida; Uso/abuso de AINEs; Cardiovascular; Osteomuscular/dolor crónico</t>
  </si>
  <si>
    <t>Proteinuria / albuminuria / RAC alterado; Hipotiroidismo/alteración tiroidea</t>
  </si>
  <si>
    <t>Proteinuria / albuminuria / RAC alterado; Sin alteraciones relevantes</t>
  </si>
  <si>
    <t>Presión arterial elevada / pesquisa HTA; HTA conocida fuera de meta / control subóptimo; Proteinuria / albuminuria / RAC alterado; Creatinina elevada / VFG disminuida; Mala adherencia / abandono terapéutico</t>
  </si>
  <si>
    <t>Creatinina elevada / VFG disminuida; Respiratorio/TBC</t>
  </si>
  <si>
    <t>Presión arterial elevada / pesquisa HTA; ERC / sospecha o diagnóstico renal; Dislipidemia; Respiratorio/TBC</t>
  </si>
  <si>
    <t>Proteinuria / albuminuria / RAC alterado; Uso/abuso de AINEs</t>
  </si>
  <si>
    <t>Glicemia alterada / pesquisa DM2; DM2 conocida fuera de meta / hiperglicemia; Cardiovascular</t>
  </si>
  <si>
    <t>Dislipidemia; Respiratorio/TBC</t>
  </si>
  <si>
    <t>Proteinuria / albuminuria / RAC alterado; Prostatismo / HPB / PSA alterado; Hematuria</t>
  </si>
  <si>
    <t>Creatinina elevada / VFG disminuida; ERC / sospecha o diagnóstico renal</t>
  </si>
  <si>
    <t>Presión arterial elevada / pesquisa HTA; Uso/abuso de AINEs</t>
  </si>
  <si>
    <t>Glicemia alterada / pesquisa DM2; DM2 conocida fuera de meta / hiperglicemia; Cetoacidosis diabética / derivación urgente; Mala adherencia / abandono terapéutico</t>
  </si>
  <si>
    <t>DM2 conocida fuera de meta / hiperglicemia; Proteinuria / albuminuria / RAC alterado; Dislipidemia</t>
  </si>
  <si>
    <t>Proteinuria / albuminuria / RAC alterado; Monorreno / asimetría / malformación renal; Sin alteraciones relevantes</t>
  </si>
  <si>
    <t>HTA conocida fuera de meta / control subóptimo; Glicemia alterada / pesquisa DM2; Mala adherencia / abandono terapéutico</t>
  </si>
  <si>
    <t>Presión arterial elevada / pesquisa HTA; Proteinuria / albuminuria / RAC alterado; Creatinina elevada / VFG disminuida</t>
  </si>
  <si>
    <t>HTA conocida fuera de meta / control subóptimo; Prostatismo / HPB / PSA alterado; Mala adherencia / abandono terapéutico</t>
  </si>
  <si>
    <t>HTA conocida fuera de meta / control subóptimo; DM2 conocida fuera de meta / hiperglicemia; Mala adherencia / abandono terapéutico</t>
  </si>
  <si>
    <t>Glicemia alterada / pesquisa DM2; DM2 conocida fuera de meta / hiperglicemia; ERC / sospecha o diagnóstico renal; Cardiovascular</t>
  </si>
  <si>
    <t>HTA conocida fuera de meta / control subóptimo; Glicemia alterada / pesquisa DM2; Obesidad/sobrepeso/malnutrición por exceso</t>
  </si>
  <si>
    <t>Presión arterial elevada / pesquisa HTA; Cardiovascular</t>
  </si>
  <si>
    <t>Cardiovascular</t>
  </si>
  <si>
    <t>Presión arterial elevada / pesquisa HTA; Glicemia alterada / pesquisa DM2; Obesidad/sobrepeso/malnutrición por exceso; Salud mental/sueño</t>
  </si>
  <si>
    <t>Presión arterial elevada / pesquisa HTA; ERC / sospecha o diagnóstico renal</t>
  </si>
  <si>
    <t>Presión arterial elevada / pesquisa HTA; Glicemia alterada / pesquisa DM2; DM2 conocida fuera de meta / hiperglicemia; Creatinina elevada / VFG disminuida; Sin alteraciones relevantes</t>
  </si>
  <si>
    <t>Presión arterial elevada / pesquisa HTA; Creatinina elevada / VFG disminuida; ERC / sospecha o diagnóstico renal</t>
  </si>
  <si>
    <t>Presión arterial elevada / pesquisa HTA; Hipotiroidismo/alteración tiroidea; Osteomuscular/dolor crónico</t>
  </si>
  <si>
    <t>Presión arterial elevada / pesquisa HTA; Hematuria; Osteomuscular/dolor crónico</t>
  </si>
  <si>
    <t>Glicemia alterada / pesquisa DM2; DM2 conocida fuera de meta / hiperglicemia</t>
  </si>
  <si>
    <t>DM2 conocida fuera de meta / hiperglicemia</t>
  </si>
  <si>
    <t>Presión arterial elevada / pesquisa HTA; HTA conocida fuera de meta / control subóptimo; Glicemia alterada / pesquisa DM2; DM2 conocida fuera de meta / hiperglicemia; Creatinina elevada / VFG disminuida</t>
  </si>
  <si>
    <t>Presión arterial elevada / pesquisa HTA; HTA conocida fuera de meta / control subóptimo; Creatinina elevada / VFG disminuida; Mala adherencia / abandono terapéutico</t>
  </si>
  <si>
    <t>Presión arterial elevada / pesquisa HTA; Proteinuria / albuminuria / RAC alterado; Creatinina elevada / VFG disminuida; Uso/abuso de AINEs</t>
  </si>
  <si>
    <t>Presión arterial elevada / pesquisa HTA; HTA conocida fuera de meta / control subóptimo; Glicemia alterada / pesquisa DM2; ERC / sospecha o diagnóstico renal; Cáncer/antecedente oncológico</t>
  </si>
  <si>
    <t>Presión arterial elevada / pesquisa HTA; Glicemia alterada / pesquisa DM2; Dislipidemia; Uso/abuso de AINEs; Osteomuscular/dolor crónico; Salud mental/sueño</t>
  </si>
  <si>
    <t>Obesidad/sobrepeso/malnutrición por exceso; Cardiovascular</t>
  </si>
  <si>
    <t>ERC / sospecha o diagnóstico renal; Sin alteraciones relevantes</t>
  </si>
  <si>
    <t>Presión arterial elevada / pesquisa HTA; Glicemia alterada / pesquisa DM2; Creatinina elevada / VFG disminuida; Hipotiroidismo/alteración tiroidea</t>
  </si>
  <si>
    <t>Proteinuria / albuminuria / RAC alterado; Uso/abuso de AINEs; Osteomuscular/dolor crónico</t>
  </si>
  <si>
    <t>Presión arterial elevada / pesquisa HTA; Proteinuria / albuminuria / RAC alterado; Creatinina elevada / VFG disminuida; Hipotiroidismo/alteración tiroidea; Cardiovascular; Salud mental/sueño</t>
  </si>
  <si>
    <t>Presión arterial elevada / pesquisa HTA; Proteinuria / albuminuria / RAC alterado; Creatinina elevada / VFG disminuida; Prostatismo / HPB / PSA alterado</t>
  </si>
  <si>
    <t>Presión arterial elevada / pesquisa HTA; ERC / sospecha o diagnóstico renal; Litiasis / cólico renal / nefrocalcinosis</t>
  </si>
  <si>
    <t>Presión arterial elevada / pesquisa HTA; Glicemia alterada / pesquisa DM2; Hipotiroidismo/alteración tiroidea</t>
  </si>
  <si>
    <t>Presión arterial elevada / pesquisa HTA; Glicemia alterada / pesquisa DM2; Creatinina elevada / VFG disminuida; Mala adherencia / abandono terapéutico</t>
  </si>
  <si>
    <t>Presión arterial elevada / pesquisa HTA; Glicemia alterada / pesquisa DM2; Proteinuria / albuminuria / RAC alterado; Creatinina elevada / VFG disminuida</t>
  </si>
  <si>
    <t>Presión arterial elevada / pesquisa HTA; HTA conocida fuera de meta / control subóptimo; Creatinina elevada / VFG disminuida; ERC / sospecha o diagnóstico renal; Obesidad/sobrepeso/malnutrición por exceso</t>
  </si>
  <si>
    <t>Presión arterial elevada / pesquisa HTA; HTA conocida fuera de meta / control subóptimo; Creatinina elevada / VFG disminuida; ERC / sospecha o diagnóstico renal; Obesidad/sobrepeso/malnutrición por exceso; Dislipidemia</t>
  </si>
  <si>
    <t>Presión arterial elevada / pesquisa HTA; Glicemia alterada / pesquisa DM2; Proteinuria / albuminuria / RAC alterado; Creatinina elevada / VFG disminuida; ERC / sospecha o diagnóstico renal</t>
  </si>
  <si>
    <t>Creatinina elevada / VFG disminuida; ERC / sospecha o diagnóstico renal; Obesidad/sobrepeso/malnutrición por exceso</t>
  </si>
  <si>
    <t>Presión arterial elevada / pesquisa HTA; Quiste/masa/tumor renal; Obesidad/sobrepeso/malnutrición por exceso; Hipotiroidismo/alteración tiroidea</t>
  </si>
  <si>
    <t>Creatinina elevada / VFG disminuida; Dislipidemia</t>
  </si>
  <si>
    <t>Creatinina elevada / VFG disminuida; ERC / sospecha o diagnóstico renal; Litiasis / cólico renal / nefrocalcinosis; Obesidad/sobrepeso/malnutrición por exceso; Cardiovascular</t>
  </si>
  <si>
    <t>Proteinuria / albuminuria / RAC alterado; Prostatismo / HPB / PSA alterado</t>
  </si>
  <si>
    <t>Proteinuria / albuminuria / RAC alterado; Creatinina elevada / VFG disminuida; Sin alteraciones relevantes</t>
  </si>
  <si>
    <t>Creatinina elevada / VFG disminuida; Obesidad/sobrepeso/malnutrición por exceso; Cardiovascular</t>
  </si>
  <si>
    <t>DM2 conocida fuera de meta / hiperglicemia; Obesidad/sobrepeso/malnutrición por exceso; Cardiovascular</t>
  </si>
  <si>
    <t>Presión arterial elevada / pesquisa HTA; Creatinina elevada / VFG disminuida; Hipotiroidismo/alteración tiroidea</t>
  </si>
  <si>
    <t>Hipotiroidismo/alteración tiroidea; Sin alteraciones relevantes</t>
  </si>
  <si>
    <t>Presión arterial elevada / pesquisa HTA; Proteinuria / albuminuria / RAC alterado; Hipotiroidismo/alteración tiroidea; Cáncer/antecedente oncológico</t>
  </si>
  <si>
    <t>Presión arterial elevada / pesquisa HTA; Uso/abuso de AINEs; Osteomuscular/dolor crónico</t>
  </si>
  <si>
    <t>Presión arterial elevada / pesquisa HTA; HTA conocida fuera de meta / control subóptimo; Glicemia alterada / pesquisa DM2; Mala adherencia / abandono terapéutico</t>
  </si>
  <si>
    <t>Presión arterial elevada / pesquisa HTA; HTA conocida fuera de meta / control subóptimo; Glicemia alterada / pesquisa DM2; Creatinina elevada / VFG disminuida; Litiasis / cólico renal / nefrocalcinosis; Uso/abuso de AINEs; Osteomuscular/dolor crónico</t>
  </si>
  <si>
    <t>Presión arterial elevada / pesquisa HTA; Glicemia alterada / pesquisa DM2; Proteinuria / albuminuria / RAC alterado; Creatinina elevada / VFG disminuida; Litiasis / cólico renal / nefrocalcinosis; Ginecológico/mamografía/PAP</t>
  </si>
  <si>
    <t>Proteinuria / albuminuria / RAC alterado; Litiasis / cólico renal / nefrocalcinosis; Sin alteraciones relevantes</t>
  </si>
  <si>
    <t>Presión arterial elevada / pesquisa HTA; Glicemia alterada / pesquisa DM2; DM2 conocida fuera de meta / hiperglicemia; Proteinuria / albuminuria / RAC alterado; Creatinina elevada / VFG disminuida</t>
  </si>
  <si>
    <t>Presión arterial elevada / pesquisa HTA; HTA conocida fuera de meta / control subóptimo; Glicemia alterada / pesquisa DM2; ERC / sospecha o diagnóstico renal</t>
  </si>
  <si>
    <t>Presión arterial elevada / pesquisa HTA; HTA conocida fuera de meta / control subóptimo; Glicemia alterada / pesquisa DM2; Creatinina elevada / VFG disminuida</t>
  </si>
  <si>
    <t>Presión arterial elevada / pesquisa HTA; HTA conocida fuera de meta / control subóptimo; DM2 conocida fuera de meta / hiperglicemia; Cardiovascular</t>
  </si>
  <si>
    <t>Glicemia alterada / pesquisa DM2; Proteinuria / albuminuria / RAC alterado; Creatinina elevada / VFG disminuida; ERC / sospecha o diagnóstico renal; Cáncer/antecedente oncológico</t>
  </si>
  <si>
    <t>Presión arterial elevada / pesquisa HTA; Glicemia alterada / pesquisa DM2; Proteinuria / albuminuria / RAC alterado; Creatinina elevada / VFG disminuida; ERC / sospecha o diagnóstico renal; Respiratorio/TBC</t>
  </si>
  <si>
    <t>Proteinuria / albuminuria / RAC alterado; Creatinina elevada / VFG disminuida; ERC / sospecha o diagnóstico renal; Uso/abuso de AINEs; Osteomuscular/dolor crónico</t>
  </si>
  <si>
    <t>Presión arterial elevada / pesquisa HTA; Hipotiroidismo/alteración tiroidea; Mala adherencia / abandono terapéutico</t>
  </si>
  <si>
    <t>Presión arterial elevada / pesquisa HTA; HTA conocida fuera de meta / control subóptimo; Glicemia alterada / pesquisa DM2; Creatinina elevada / VFG disminuida; ERC / sospecha o diagnóstico renal; Uso/abuso de AINEs; Osteomuscular/dolor crónico</t>
  </si>
  <si>
    <t>Presión arterial elevada / pesquisa HTA; Proteinuria / albuminuria / RAC alterado; ERC / sospecha o diagnóstico renal</t>
  </si>
  <si>
    <t>Proteinuria / albuminuria / RAC alterado; Hematuria; Dislipidemia</t>
  </si>
  <si>
    <t>Proteinuria / albuminuria / RAC alterado; Creatinina elevada / VFG disminuida; ERC / sospecha o diagnóstico renal; Sin alteraciones relevantes</t>
  </si>
  <si>
    <t>Presión arterial elevada / pesquisa HTA; Proteinuria / albuminuria / RAC alterado; ERC / sospecha o diagnóstico renal; Hipotiroidismo/alteración tiroidea</t>
  </si>
  <si>
    <t>Presión arterial elevada / pesquisa HTA; HTA conocida fuera de meta / control subóptimo; Proteinuria / albuminuria / RAC alterado; Creatinina elevada / VFG disminuida; ERC / sospecha o diagnóstico renal</t>
  </si>
  <si>
    <t>Presión arterial elevada / pesquisa HTA; HTA conocida fuera de meta / control subóptimo; Glicemia alterada / pesquisa DM2; Proteinuria / albuminuria / RAC alterado; Creatinina elevada / VFG disminuida; ERC / sospecha o diagnóstico renal; Sin alteraciones relevantes</t>
  </si>
  <si>
    <t>Presión arterial elevada / pesquisa HTA; Glicemia alterada / pesquisa DM2; Sin alteraciones relevantes</t>
  </si>
  <si>
    <t>Presión arterial elevada / pesquisa HTA; Proteinuria / albuminuria / RAC alterado; Creatinina elevada / VFG disminuida; Quiste/masa/tumor renal</t>
  </si>
  <si>
    <t>Quiste/masa/tumor renal</t>
  </si>
  <si>
    <t>Presión arterial elevada / pesquisa HTA; Glicemia alterada / pesquisa DM2; Creatinina elevada / VFG disminuida; ERC / sospecha o diagnóstico renal; Monorreno / asimetría / malformación renal</t>
  </si>
  <si>
    <t>Presión arterial elevada / pesquisa HTA; DM2 conocida fuera de meta / hiperglicemia; Proteinuria / albuminuria / RAC alterado; ERC / sospecha o diagnóstico renal; Monorreno / asimetría / malformación renal; Hematuria</t>
  </si>
  <si>
    <t>Presión arterial elevada / pesquisa HTA; Creatinina elevada / VFG disminuida; ERC / sospecha o diagnóstico renal; Sin alteraciones relevantes</t>
  </si>
  <si>
    <t>Presión arterial elevada / pesquisa HTA; Glicemia alterada / pesquisa DM2; Creatinina elevada / VFG disminuida; Sin alteraciones relevantes</t>
  </si>
  <si>
    <t>Presión arterial elevada / pesquisa HTA; Glicemia alterada / pesquisa DM2; Proteinuria / albuminuria / RAC alterado; Creatinina elevada / VFG disminuida; ERC / sospecha o diagnóstico renal; Tabaquismo; Consumo problemático de alcohol</t>
  </si>
  <si>
    <t>Presión arterial elevada / pesquisa HTA; ERC / sospecha o diagnóstico renal; Cardiovascular</t>
  </si>
  <si>
    <t>Uso/abuso de AINEs; Cardiovascular</t>
  </si>
  <si>
    <t>Presión arterial elevada / pesquisa HTA; Glicemia alterada / pesquisa DM2; Proteinuria / albuminuria / RAC alterado; Creatinina elevada / VFG disminuida; ERC / sospecha o diagnóstico renal; Cáncer/antecedente oncológico; Osteomuscular/dolor crónico; Salud mental/sueño</t>
  </si>
  <si>
    <t>Presión arterial elevada / pesquisa HTA; Glicemia alterada / pesquisa DM2; Osteomuscular/dolor crónico</t>
  </si>
  <si>
    <t>Presión arterial elevada / pesquisa HTA; Mala adherencia / abandono terapéutico; Cardiovascular</t>
  </si>
  <si>
    <t>Presión arterial elevada / pesquisa HTA; Crisis/urgencia hipertensiva</t>
  </si>
  <si>
    <t>Presión arterial elevada / pesquisa HTA; Proteinuria / albuminuria / RAC alterado; Creatinina elevada / VFG disminuida; ERC / sospecha o diagnóstico renal</t>
  </si>
  <si>
    <t>Glicemia alterada / pesquisa DM2; DM2 conocida fuera de meta / hiperglicemia; ERC / sospecha o diagnóstico renal</t>
  </si>
  <si>
    <t>Presión arterial elevada / pesquisa HTA; ERC / sospecha o diagnóstico renal; Cáncer/antecedente oncológico</t>
  </si>
  <si>
    <t>Presión arterial elevada / pesquisa HTA; Glicemia alterada / pesquisa DM2; Creatinina elevada / VFG disminuida; Osteomuscular/dolor crónico</t>
  </si>
  <si>
    <t>Presión arterial elevada / pesquisa HTA; Glicemia alterada / pesquisa DM2; DM2 conocida fuera de meta / hiperglicemia</t>
  </si>
  <si>
    <t>ERC / sospecha o diagnóstico renal</t>
  </si>
  <si>
    <t>Presión arterial elevada / pesquisa HTA; Creatinina elevada / VFG disminuida; Uso/abuso de AINEs; Osteomuscular/dolor crónico</t>
  </si>
  <si>
    <t>Presión arterial elevada / pesquisa HTA; Glicemia alterada / pesquisa DM2; Creatinina elevada / VFG disminuida; ERC / sospecha o diagnóstico renal</t>
  </si>
  <si>
    <t>Proteinuria / albuminuria / RAC alterado; Creatinina elevada / VFG disminuida; ERC / sospecha o diagnóstico renal; ITU recurrente / pielonefritis; Obesidad/sobrepeso/malnutrición por exceso; Ginecológico/mamografía/PAP; Osteomuscular/dolor crónico</t>
  </si>
  <si>
    <t>Proteinuria / albuminuria / RAC alterado; ERC / sospecha o diagnóstico renal; Litiasis / cólico renal / nefrocalcinosis</t>
  </si>
  <si>
    <t>Presión arterial elevada / pesquisa HTA; Glicemia alterada / pesquisa DM2; Monorreno / asimetría / malformación renal</t>
  </si>
  <si>
    <t>Creatinina elevada / VFG disminuida; ERC / sospecha o diagnóstico renal; Uso/abuso de AINEs; Osteomuscular/dolor crónico</t>
  </si>
  <si>
    <t>Presión arterial elevada / pesquisa HTA; Glicemia alterada / pesquisa DM2; Proteinuria / albuminuria / RAC alterado; Hematuria; Ginecológico/mamografía/PAP</t>
  </si>
  <si>
    <t>Tabaquismo; Mala adherencia / abandono terapéutico; Cardiovascular</t>
  </si>
  <si>
    <t>Pesquisa de HTA / perfil o monitoreo de PA; Pesquisa/confirmación de DM2; Consulta de morbilidad / control médico; Exámenes función renal/orina/RAC/ELP; Exámenes metabólicos/lípidos/hepáticos/tiroides; Seguimiento de proteinuria/albuminuria</t>
  </si>
  <si>
    <t>Pesquisa/confirmación de DM2; Exámenes metabólicos/lípidos/hepáticos/tiroides</t>
  </si>
  <si>
    <t>Pesquisa/confirmación de DM2; Consulta de morbilidad / control médico; Exámenes función renal/orina/RAC/ELP; Exámenes metabólicos/lípidos/hepáticos/tiroides; Seguimiento de proteinuria/albuminuria</t>
  </si>
  <si>
    <t>Pesquisa de HTA / perfil o monitoreo de PA; Ingreso/control PSCV o cardiovascular; Derivación a nutrición / manejo nutricional; Exámenes metabólicos/lípidos/hepáticos/tiroides</t>
  </si>
  <si>
    <t>Derivación a nefrología / Hospital Digital; Exámenes función renal/orina/RAC/ELP; Exámenes metabólicos/lípidos/hepáticos/tiroides</t>
  </si>
  <si>
    <t>Pesquisa de HTA / perfil o monitoreo de PA; Imagen/estudio no renal</t>
  </si>
  <si>
    <t>Sin acción específica consignada</t>
  </si>
  <si>
    <t>Pesquisa de HTA / perfil o monitoreo de PA</t>
  </si>
  <si>
    <t>Pesquisa de HTA / perfil o monitoreo de PA; Consulta de morbilidad / control médico; Derivación a nefrología / Hospital Digital; Exámenes función renal/orina/RAC/ELP; Imagen renal/urinaria; Seguimiento de proteinuria/albuminuria</t>
  </si>
  <si>
    <t>Pesquisa de HTA / perfil o monitoreo de PA; Ingreso/control PSCV o cardiovascular; Cambios de estilo de vida generales; Actividad física</t>
  </si>
  <si>
    <t>Pesquisa de HTA / perfil o monitoreo de PA; Consulta de morbilidad / control médico; Exámenes metabólicos/lípidos/hepáticos/tiroides</t>
  </si>
  <si>
    <t>Pesquisa de HTA / perfil o monitoreo de PA; Consulta de morbilidad / control médico; Exámenes metabólicos/lípidos/hepáticos/tiroides; Ajuste/optimización antihipertensiva</t>
  </si>
  <si>
    <t>Cese tabáquico</t>
  </si>
  <si>
    <t>Pesquisa de HTA / perfil o monitoreo de PA; Consulta de morbilidad / control médico; Cambios de estilo de vida generales; Actividad física</t>
  </si>
  <si>
    <t>Ingreso/control PSCV o cardiovascular; Exámenes función renal/orina/RAC/ELP; Exámenes metabólicos/lípidos/hepáticos/tiroides</t>
  </si>
  <si>
    <t>Pesquisa/confirmación de DM2; Ingreso/control PSCV o cardiovascular; Exámenes función renal/orina/RAC/ELP; Exámenes metabólicos/lípidos/hepáticos/tiroides</t>
  </si>
  <si>
    <t>Pesquisa de HTA / perfil o monitoreo de PA; Consulta de morbilidad / control médico</t>
  </si>
  <si>
    <t>Pesquisa de HTA / perfil o monitoreo de PA; Pesquisa/confirmación de DM2; Exámenes metabólicos/lípidos/hepáticos/tiroides</t>
  </si>
  <si>
    <t>Pesquisa/confirmación de DM2; Exámenes función renal/orina/RAC/ELP; Exámenes metabólicos/lípidos/hepáticos/tiroides; Cambios de estilo de vida generales; Actividad física</t>
  </si>
  <si>
    <t>Pesquisa/confirmación de DM2; Derivación a urología; Exámenes metabólicos/lípidos/hepáticos/tiroides; Seguimiento/prevención litiasis</t>
  </si>
  <si>
    <t>Pesquisa de HTA / perfil o monitoreo de PA; Consulta de morbilidad / control médico; Derivación a urología; Exámenes función renal/orina/RAC/ELP; Imagen renal/urinaria; Seguimiento de proteinuria/albuminuria</t>
  </si>
  <si>
    <t>Pesquisa de HTA / perfil o monitoreo de PA; Consulta de morbilidad / control médico; Kinesioterapia / rehabilitación; Ajuste/optimización antihipertensiva</t>
  </si>
  <si>
    <t>Pesquisa de HTA / perfil o monitoreo de PA; Derivación a cardiología; Cambios de estilo de vida generales; Reducción de sal; Actividad física; Bajar de peso / manejo obesidad</t>
  </si>
  <si>
    <t>Pesquisa/confirmación de DM2; Ingreso/control PSCV o cardiovascular; Exámenes función renal/orina/RAC/ELP; Exámenes metabólicos/lípidos/hepáticos/tiroides; Ajuste/optimización terapia DM2; Reducción de sal</t>
  </si>
  <si>
    <t>Ingreso/control PSCV o cardiovascular; Exámenes metabólicos/lípidos/hepáticos/tiroides; Ajuste/optimización antihipertensiva; Cambios de estilo de vida generales; Bajar de peso / manejo obesidad</t>
  </si>
  <si>
    <t>Ingreso/control PSCV o cardiovascular; Derivación a nefrología / Hospital Digital; Derivación a urgencia; Exámenes función renal/orina/RAC/ELP; Seguimiento de proteinuria/albuminuria</t>
  </si>
  <si>
    <t>Consulta de morbilidad / control médico; Ingreso/control PSCV o cardiovascular; Exámenes metabólicos/lípidos/hepáticos/tiroides; Ajuste/optimización antihipertensiva; Cambios de estilo de vida generales; Bajar de peso / manejo obesidad</t>
  </si>
  <si>
    <t>Ingreso/control PSCV o cardiovascular; Exámenes función renal/orina/RAC/ELP; Ajuste/optimización antihipertensiva; Ajuste/optimización terapia DM2</t>
  </si>
  <si>
    <t>Pesquisa de HTA / perfil o monitoreo de PA; Ingreso/control PSCV o cardiovascular</t>
  </si>
  <si>
    <t>Pesquisa/confirmación de DM2; Derivación a cardiología; Exámenes metabólicos/lípidos/hepáticos/tiroides; Imagen/estudio no renal</t>
  </si>
  <si>
    <t>Pesquisa de HTA / perfil o monitoreo de PA; Pesquisa/confirmación de DM2; Exámenes metabólicos/lípidos/hepáticos/tiroides; Refuerzo de adherencia terapéutica</t>
  </si>
  <si>
    <t>Pesquisa de HTA / perfil o monitoreo de PA; Pesquisa/confirmación de DM2; Consulta de morbilidad / control médico; Derivación a nutrición / manejo nutricional; Exámenes función renal/orina/RAC/ELP; Exámenes metabólicos/lípidos/hepáticos/tiroides</t>
  </si>
  <si>
    <t>Ingreso/control PSCV o cardiovascular; Ajuste/optimización antihipertensiva</t>
  </si>
  <si>
    <t>Derivación a nutrición / manejo nutricional; Cambios de estilo de vida generales; Reducción de sal; Reducir consumo de alcohol</t>
  </si>
  <si>
    <t>Pesquisa de HTA / perfil o monitoreo de PA; Derivación a nutrición / manejo nutricional</t>
  </si>
  <si>
    <t>Pesquisa/confirmación de DM2; Exámenes metabólicos/lípidos/hepáticos/tiroides; Imagen renal/urinaria; Cambios de estilo de vida generales; Actividad física</t>
  </si>
  <si>
    <t>Pesquisa de HTA / perfil o monitoreo de PA; Pesquisa/confirmación de DM2; Consulta de morbilidad / control médico; Exámenes metabólicos/lípidos/hepáticos/tiroides; Imagen renal/urinaria</t>
  </si>
  <si>
    <t>Pesquisa/confirmación de DM2; Ingreso/control PSCV o cardiovascular; Exámenes función renal/orina/RAC/ELP; Exámenes metabólicos/lípidos/hepáticos/tiroides; Seguimiento de proteinuria/albuminuria</t>
  </si>
  <si>
    <t>Consulta de morbilidad / control médico; Ingreso/control PSCV o cardiovascular; Ajuste/optimización antihipertensiva</t>
  </si>
  <si>
    <t>Pesquisa de HTA / perfil o monitoreo de PA; Pesquisa/confirmación de DM2; Consulta de morbilidad / control médico; Exámenes función renal/orina/RAC/ELP; Exámenes metabólicos/lípidos/hepáticos/tiroides</t>
  </si>
  <si>
    <t>Pesquisa de HTA / perfil o monitoreo de PA; Pesquisa/confirmación de DM2; Exámenes función renal/orina/RAC/ELP; Exámenes metabólicos/lípidos/hepáticos/tiroides</t>
  </si>
  <si>
    <t>Pesquisa de HTA / perfil o monitoreo de PA; Consulta de morbilidad / control médico; Derivación a nutrición / manejo nutricional; Cambios de estilo de vida generales; Reducción de sal</t>
  </si>
  <si>
    <t>Pesquisa de HTA / perfil o monitoreo de PA; Consulta de morbilidad / control médico; Imagen/estudio no renal; Seguimiento ginecológico/PAP/MMG/matrona</t>
  </si>
  <si>
    <t>Pesquisa de HTA / perfil o monitoreo de PA; Pesquisa/confirmación de DM2; Exámenes función renal/orina/RAC/ELP</t>
  </si>
  <si>
    <t>Pesquisa/confirmación de DM2; Ingreso/control PSCV o cardiovascular; Exámenes metabólicos/lípidos/hepáticos/tiroides; Ajuste/optimización antihipertensiva; Ajuste/optimización terapia DM2; Cambios de estilo de vida generales; Bajar de peso / manejo obesidad</t>
  </si>
  <si>
    <t>Pesquisa de HTA / perfil o monitoreo de PA; Pesquisa/confirmación de DM2; Ingreso/control PSCV o cardiovascular; Derivación a nutrición / manejo nutricional; Cambios de estilo de vida generales; Actividad física</t>
  </si>
  <si>
    <t>Pesquisa de HTA / perfil o monitoreo de PA; Pesquisa/confirmación de DM2; Consulta de morbilidad / control médico; Ingreso/control PSCV o cardiovascular; Exámenes función renal/orina/RAC/ELP; Exámenes metabólicos/lípidos/hepáticos/tiroides</t>
  </si>
  <si>
    <t>Consulta de morbilidad / control médico; Exámenes función renal/orina/RAC/ELP</t>
  </si>
  <si>
    <t>Pesquisa de HTA / perfil o monitoreo de PA; Consulta de morbilidad / control médico; Exámenes función renal/orina/RAC/ELP</t>
  </si>
  <si>
    <t>Pesquisa de HTA / perfil o monitoreo de PA; Pesquisa/confirmación de DM2; Ingreso/control PSCV o cardiovascular; Exámenes función renal/orina/RAC/ELP; Ajuste/optimización antihipertensiva</t>
  </si>
  <si>
    <t>Pesquisa/confirmación de DM2; Derivación a urología; Exámenes función renal/orina/RAC/ELP; Exámenes metabólicos/lípidos/hepáticos/tiroides; Seguimiento de proteinuria/albuminuria</t>
  </si>
  <si>
    <t>Derivación a nutrición / manejo nutricional; Bajar de peso / manejo obesidad; Reducir consumo de alcohol</t>
  </si>
  <si>
    <t>Pesquisa de HTA / perfil o monitoreo de PA; Derivación a nutrición / manejo nutricional; Exámenes función renal/orina/RAC/ELP</t>
  </si>
  <si>
    <t>Consulta de morbilidad / control médico; Exámenes función renal/orina/RAC/ELP; Exámenes metabólicos/lípidos/hepáticos/tiroides; Seguimiento de proteinuria/albuminuria</t>
  </si>
  <si>
    <t>Consulta de morbilidad / control médico; Derivación a urología; Exámenes función renal/orina/RAC/ELP; Exámenes metabólicos/lípidos/hepáticos/tiroides</t>
  </si>
  <si>
    <t>Pesquisa/confirmación de DM2; Exámenes metabólicos/lípidos/hepáticos/tiroides; Ajuste/optimización antihipertensiva; Ajuste/optimización terapia DM2</t>
  </si>
  <si>
    <t>Exámenes función renal/orina/RAC/ELP; Seguimiento de proteinuria/albuminuria</t>
  </si>
  <si>
    <t>Pesquisa de HTA / perfil o monitoreo de PA; Consulta de morbilidad / control médico; Exámenes función renal/orina/RAC/ELP; Exámenes metabólicos/lípidos/hepáticos/tiroides; Seguimiento de proteinuria/albuminuria</t>
  </si>
  <si>
    <t>Pesquisa de HTA / perfil o monitoreo de PA; Ajuste/optimización antihipertensiva</t>
  </si>
  <si>
    <t>Exámenes función renal/orina/RAC/ELP; Evitar/suspender AINEs</t>
  </si>
  <si>
    <t>Consulta de morbilidad / control médico; Derivación a urología; Exámenes función renal/orina/RAC/ELP; Exámenes metabólicos/lípidos/hepáticos/tiroides; Seguimiento de proteinuria/albuminuria</t>
  </si>
  <si>
    <t>Pesquisa de HTA / perfil o monitoreo de PA; Imagen/estudio no renal; Ajuste/optimización terapia DM2</t>
  </si>
  <si>
    <t>Consulta de morbilidad / control médico; Derivación a nutrición / manejo nutricional; Exámenes función renal/orina/RAC/ELP; Seguimiento de proteinuria/albuminuria</t>
  </si>
  <si>
    <t>Pesquisa de HTA / perfil o monitoreo de PA; Derivación/seguimiento quirúrgico</t>
  </si>
  <si>
    <t>Pesquisa de HTA / perfil o monitoreo de PA; Exámenes función renal/orina/RAC/ELP; Cambios de estilo de vida generales; Bajar de peso / manejo obesidad; Seguimiento de proteinuria/albuminuria</t>
  </si>
  <si>
    <t>Derivación a nutrición / manejo nutricional; Ajuste/optimización antihipertensiva; Cambios de estilo de vida generales; Bajar de peso / manejo obesidad</t>
  </si>
  <si>
    <t>Consulta de morbilidad / control médico</t>
  </si>
  <si>
    <t>Exámenes función renal/orina/RAC/ELP; Ajuste/optimización antihipertensiva; Seguimiento de proteinuria/albuminuria</t>
  </si>
  <si>
    <t>Consulta de morbilidad / control médico; Imagen renal/urinaria; Imagen/estudio no renal</t>
  </si>
  <si>
    <t>Consulta de morbilidad / control médico; Derivación a nutrición / manejo nutricional; Exámenes función renal/orina/RAC/ELP; Exámenes metabólicos/lípidos/hepáticos/tiroides; Imagen renal/urinaria; Cambios de estilo de vida generales; Actividad física; Bajar de peso / manejo obesidad; Seguimiento de proteinuria/albuminuria</t>
  </si>
  <si>
    <t>Derivación a nutrición / manejo nutricional</t>
  </si>
  <si>
    <t>Exámenes función renal/orina/RAC/ELP</t>
  </si>
  <si>
    <t>Consulta de morbilidad / control médico; Derivación a urología; Exámenes función renal/orina/RAC/ELP; Exámenes metabólicos/lípidos/hepáticos/tiroides; Ajuste/optimización antihipertensiva; Seguimiento de proteinuria/albuminuria</t>
  </si>
  <si>
    <t>Consulta de morbilidad / control médico; Refuerzo de adherencia terapéutica</t>
  </si>
  <si>
    <t>Derivación a urgencia; Derivación a nutrición / manejo nutricional</t>
  </si>
  <si>
    <t>Refuerzo de adherencia terapéutica</t>
  </si>
  <si>
    <t>Consulta de morbilidad / control médico; Ajuste/optimización antihipertensiva</t>
  </si>
  <si>
    <t>Derivación a nutrición / manejo nutricional; Ajuste/optimización antihipertensiva; Refuerzo de adherencia terapéutica; Reducción de sal</t>
  </si>
  <si>
    <t>Consulta de morbilidad / control médico; Derivación a urgencia; Derivación a nutrición / manejo nutricional; Exámenes metabólicos/lípidos/hepáticos/tiroides; Refuerzo de adherencia terapéutica; Cambios de estilo de vida generales; Actividad física</t>
  </si>
  <si>
    <t>Pesquisa de HTA / perfil o monitoreo de PA; Consulta de morbilidad / control médico; Derivación a nutrición / manejo nutricional; Ajuste/optimización antihipertensiva; Refuerzo de adherencia terapéutica</t>
  </si>
  <si>
    <t>Consulta de morbilidad / control médico; Derivación a nutrición / manejo nutricional; Ajuste/optimización antihipertensiva; Refuerzo de adherencia terapéutica; Cambios de estilo de vida generales; Actividad física</t>
  </si>
  <si>
    <t>Consulta de morbilidad / control médico; Exámenes función renal/orina/RAC/ELP; Refuerzo de adherencia terapéutica; Cambios de estilo de vida generales; Seguimiento de proteinuria/albuminuria</t>
  </si>
  <si>
    <t>Consulta de morbilidad / control médico; Exámenes función renal/orina/RAC/ELP; Seguimiento de proteinuria/albuminuria</t>
  </si>
  <si>
    <t>Consulta de morbilidad / control médico; Ajuste/optimización antihipertensiva; Evitar/suspender AINEs; Cambios de estilo de vida generales; Actividad física</t>
  </si>
  <si>
    <t>Seguimiento de proteinuria/albuminuria</t>
  </si>
  <si>
    <t>Derivación a urgencia; Ajuste/optimización antihipertensiva; Refuerzo de adherencia terapéutica; Cambios de estilo de vida generales</t>
  </si>
  <si>
    <t>Ajuste/optimización terapia DM2; Cambios de estilo de vida generales; Actividad física</t>
  </si>
  <si>
    <t>Seguimiento ginecológico/PAP/MMG/matrona</t>
  </si>
  <si>
    <t>Cambios de estilo de vida generales</t>
  </si>
  <si>
    <t>Cambios de estilo de vida generales; Actividad física</t>
  </si>
  <si>
    <t>Consulta de morbilidad / control médico; Imagen renal/urinaria</t>
  </si>
  <si>
    <t>Derivación a nefrología / Hospital Digital; Exámenes función renal/orina/RAC/ELP; Seguimiento de proteinuria/albuminuria</t>
  </si>
  <si>
    <t>Cambios de estilo de vida generales; Bajar de peso / manejo obesidad; Seguimiento ginecológico/PAP/MMG/matrona</t>
  </si>
  <si>
    <t>Pesquisa/confirmación de DM2; Exámenes metabólicos/lípidos/hepáticos/tiroides; Ajuste/optimización antihipertensiva; Cambios de estilo de vida generales</t>
  </si>
  <si>
    <t>Exámenes función renal/orina/RAC/ELP; Cambios de estilo de vida generales; Actividad física; Seguimiento de proteinuria/albuminuria</t>
  </si>
  <si>
    <t>Derivación a urgencia; Derivación a urología; Cambios de estilo de vida generales</t>
  </si>
  <si>
    <t>Pesquisa/confirmación de DM2; Derivación a urgencia; Exámenes metabólicos/lípidos/hepáticos/tiroides</t>
  </si>
  <si>
    <t>Ingreso/control PSCV o cardiovascular; Refuerzo de adherencia terapéutica; Cambios de estilo de vida generales; Actividad física</t>
  </si>
  <si>
    <t>Derivación a urgencia; Cambios de estilo de vida generales; Bajar de peso / manejo obesidad</t>
  </si>
  <si>
    <t>Pesquisa de HTA / perfil o monitoreo de PA; Consulta de morbilidad / control médico; Derivación a nefrología / Hospital Digital; Derivación a urología; Derivación a nutrición / manejo nutricional; Imagen renal/urinaria; Refuerzo de adherencia terapéutica; Cambios de estilo de vida generales; Reducción de sal; Actividad física; Bajar de peso / manejo obesidad; Seguimiento de proteinuria/albuminuria; Seguimiento/prevención litiasis; Derivación/seguimiento quirúrgico</t>
  </si>
  <si>
    <t>Pesquisa de HTA / perfil o monitoreo de PA; Imagen/estudio no renal; Seguimiento ginecológico/PAP/MMG/matrona</t>
  </si>
  <si>
    <t>Cambios de estilo de vida generales; Bajar de peso / manejo obesidad</t>
  </si>
  <si>
    <t>Consulta de morbilidad / control médico; Kinesioterapia / rehabilitación; Cambios de estilo de vida generales; Bajar de peso / manejo obesidad</t>
  </si>
  <si>
    <t>Pesquisa de HTA / perfil o monitoreo de PA; Refuerzo de adherencia terapéutica; Reducción de sal</t>
  </si>
  <si>
    <t>Pesquisa de HTA / perfil o monitoreo de PA; Ajuste/optimización antihipertensiva; Reducción de sal</t>
  </si>
  <si>
    <t>Pesquisa de HTA / perfil o monitoreo de PA; Consulta de morbilidad / control médico; Cambios de estilo de vida generales; Reducción de sal</t>
  </si>
  <si>
    <t>Consulta de morbilidad / control médico; Ajuste/optimización terapia DM2; Cambios de estilo de vida generales; Actividad física</t>
  </si>
  <si>
    <t>Pesquisa de HTA / perfil o monitoreo de PA; Consulta de morbilidad / control médico; Cambios de estilo de vida generales; Reducción de sal; Actividad física</t>
  </si>
  <si>
    <t>Pesquisa de HTA / perfil o monitoreo de PA; Cambios de estilo de vida generales</t>
  </si>
  <si>
    <t>Pesquisa de HTA / perfil o monitoreo de PA; Consulta de morbilidad / control médico; Derivación a nutrición / manejo nutricional; Cambios de estilo de vida generales; Reducción de sal; Actividad física</t>
  </si>
  <si>
    <t>Consulta de morbilidad / control médico; Imagen/estudio no renal; Seguimiento ginecológico/PAP/MMG/matrona</t>
  </si>
  <si>
    <t>Pesquisa de HTA / perfil o monitoreo de PA; Consulta de morbilidad / control médico; Derivación a nutrición / manejo nutricional; Exámenes función renal/orina/RAC/ELP; Cambios de estilo de vida generales; Reducción de sal; Actividad física; Bajar de peso / manejo obesidad</t>
  </si>
  <si>
    <t>Pesquisa de HTA / perfil o monitoreo de PA; Consulta de morbilidad / control médico; Derivación a nefrología / Hospital Digital; Imagen renal/urinaria</t>
  </si>
  <si>
    <t>Derivación a urgencia; Ajuste/optimización antihipertensiva</t>
  </si>
  <si>
    <t>Pesquisa de HTA / perfil o monitoreo de PA; Consulta de morbilidad / control médico; Derivación a nutrición / manejo nutricional; Cambios de estilo de vida generales; Reducción de sal; Actividad física; Bajar de peso / manejo obesidad</t>
  </si>
  <si>
    <t>Exámenes función renal/orina/RAC/ELP; Exámenes metabólicos/lípidos/hepáticos/tiroides; Ajuste/optimización antihipertensiva; Seguimiento de proteinuria/albuminuria</t>
  </si>
  <si>
    <t>Pesquisa de HTA / perfil o monitoreo de PA; Derivación a urgencia; Exámenes función renal/orina/RAC/ELP; Ajuste/optimización antihipertensiva; Ajuste/optimización terapia DM2; Seguimiento de proteinuria/albuminuria</t>
  </si>
  <si>
    <t>Ajuste/optimización antihipertensiva</t>
  </si>
  <si>
    <t>Consulta de morbilidad / control médico; Ajuste/optimización antihipertensiva; Refuerzo de adherencia terapéutica</t>
  </si>
  <si>
    <t>Pesquisa de HTA / perfil o monitoreo de PA; Consulta de morbilidad / control médico; Exámenes función renal/orina/RAC/ELP; Seguimiento de proteinuria/albuminuria</t>
  </si>
  <si>
    <t>Pesquisa de HTA / perfil o monitoreo de PA; Pesquisa/confirmación de DM2; Exámenes función renal/orina/RAC/ELP; Exámenes metabólicos/lípidos/hepáticos/tiroides; Seguimiento de proteinuria/albuminuria</t>
  </si>
  <si>
    <t>Consulta de morbilidad / control médico; Derivación a nutrición / manejo nutricional; Ajuste/optimización antihipertensiva; Cambios de estilo de vida generales; Reducción de sal; Actividad física; Bajar de peso / manejo obesidad; Derivación/seguimiento quirúrgico</t>
  </si>
  <si>
    <t>Pesquisa de HTA / perfil o monitoreo de PA; Consulta de morbilidad / control médico; Imagen renal/urinaria</t>
  </si>
  <si>
    <t>Exámenes función renal/orina/RAC/ELP; Imagen renal/urinaria; Cambios de estilo de vida generales; Actividad física; Seguimiento de proteinuria/albuminuria</t>
  </si>
  <si>
    <t>Consulta de morbilidad / control médico; Ingreso/control PSCV o cardiovascular</t>
  </si>
  <si>
    <t>Imagen/estudio no renal; Ajuste/optimización antihipertensiva; Seguimiento ginecológico/PAP/MMG/matrona</t>
  </si>
  <si>
    <t>Pesquisa/confirmación de DM2; Consulta de morbilidad / control médico; Exámenes metabólicos/lípidos/hepáticos/tiroides; Ajuste/optimización terapia DM2</t>
  </si>
  <si>
    <t>Pesquisa de HTA / perfil o monitoreo de PA; Consulta de morbilidad / control médico; Derivación a nutrición / manejo nutricional; Cese tabáquico</t>
  </si>
  <si>
    <t>Pesquisa/confirmación de DM2; Ingreso/control PSCV o cardiovascular; Exámenes metabólicos/lípidos/hepáticos/tiroides</t>
  </si>
  <si>
    <t>Consulta de morbilidad / control médico; Seguimiento de proteinuria/albuminuria</t>
  </si>
  <si>
    <t>Consulta de morbilidad / control médico; Ingreso/control PSCV o cardiovascular; Cambios de estilo de vida generales; Reducción de sal; Actividad física; Bajar de peso / manejo obesidad</t>
  </si>
  <si>
    <t>Pesquisa/confirmación de DM2; Derivación a urgencia; Exámenes función renal/orina/RAC/ELP; Exámenes metabólicos/lípidos/hepáticos/tiroides; Imagen/estudio no renal</t>
  </si>
  <si>
    <t>Ajuste/optimización antihipertensiva; Cambios de estilo de vida generales; Actividad física</t>
  </si>
  <si>
    <t>Pesquisa de HTA / perfil o monitoreo de PA; Consulta de morbilidad / control médico; Imagen/estudio no renal; Cambios de estilo de vida generales; Reducción de sal; Actividad física</t>
  </si>
  <si>
    <t>Consulta de morbilidad / control médico; Exámenes metabólicos/lípidos/hepáticos/tiroides; Ajuste/optimización antihipertensiva</t>
  </si>
  <si>
    <t>Pesquisa de HTA / perfil o monitoreo de PA; Consulta de morbilidad / control médico; Ingreso/control PSCV o cardiovascular; Exámenes función renal/orina/RAC/ELP; Ajuste/optimización antihipertensiva; Cambios de estilo de vida generales</t>
  </si>
  <si>
    <t>Pesquisa de HTA / perfil o monitoreo de PA; Seguimiento de proteinuria/albuminuria</t>
  </si>
  <si>
    <t>Pesquisa/confirmación de DM2</t>
  </si>
  <si>
    <t>Ajuste/optimización terapia DM2</t>
  </si>
  <si>
    <t>Pesquisa/confirmación de DM2; Consulta de morbilidad / control médico; Exámenes metabólicos/lípidos/hepáticos/tiroides; Imagen renal/urinaria; Seguimiento/prevención litiasis</t>
  </si>
  <si>
    <t>Pesquisa de HTA / perfil o monitoreo de PA; Consulta de morbilidad / control médico; Cambios de estilo de vida generales</t>
  </si>
  <si>
    <t>Derivación a nefrología / Hospital Digital; Evitar/suspender AINEs</t>
  </si>
  <si>
    <t>Pesquisa/confirmación de DM2; Exámenes metabólicos/lípidos/hepáticos/tiroides; Ajuste/optimización antihipertensiva</t>
  </si>
  <si>
    <t>Pesquisa/confirmación de DM2; Consulta de morbilidad / control médico; Exámenes metabólicos/lípidos/hepáticos/tiroides; Ajuste/optimización antihipertensiva</t>
  </si>
  <si>
    <t>Pesquisa de HTA / perfil o monitoreo de PA; Consulta de morbilidad / control médico; Seguimiento de proteinuria/albuminuria</t>
  </si>
  <si>
    <t>Consulta de morbilidad / control médico; Derivación a nutrición / manejo nutricional; Imagen renal/urinaria; Ajuste/optimización antihipertensiva; Cambios de estilo de vida generales; Reducción de sal; Actividad física</t>
  </si>
  <si>
    <t>Pesquisa/confirmación de DM2; Ingreso/control PSCV o cardiovascular; Exámenes metabólicos/lípidos/hepáticos/tiroides; Imagen/estudio no renal; Seguimiento ginecológico/PAP/MMG/matrona</t>
  </si>
  <si>
    <t>Pesquisa/confirmación de DM2; Exámenes metabólicos/lípidos/hepáticos/tiroides; Evitar/suspender AINEs; Cambios de estilo de vida generales</t>
  </si>
  <si>
    <t>Pesquisa de HTA / perfil o monitoreo de PA; Bajar de peso / manejo obesidad</t>
  </si>
  <si>
    <t>Exámenes función renal/orina/RAC/ELP; Evitar/suspender AINEs; Seguimiento de proteinuria/albuminuria</t>
  </si>
  <si>
    <t>Imagen renal/urinaria; Cambios de estilo de vida generales</t>
  </si>
  <si>
    <t>Pesquisa/confirmación de DM2; Exámenes metabólicos/lípidos/hepáticos/tiroides; Cambios de estilo de vida generales</t>
  </si>
  <si>
    <t>Pesquisa de HTA / perfil o monitoreo de PA; Pesquisa/confirmación de DM2</t>
  </si>
  <si>
    <t>Consulta de morbilidad / control médico; Ingreso/control PSCV o cardiovascular; Ajuste/optimización antihipertensiva; Ajuste/optimización terapia DM2</t>
  </si>
  <si>
    <t>Derivación a nefrología / Hospital Digital</t>
  </si>
  <si>
    <t>Consulta de morbilidad / control médico; Derivación a nefrología / Hospital Digital; Exámenes función renal/orina/RAC/ELP; Seguimiento de proteinuria/albuminuria</t>
  </si>
  <si>
    <t>Pesquisa/confirmación de DM2; Exámenes metabólicos/lípidos/hepáticos/tiroides; Ajuste/optimización terapia DM2</t>
  </si>
  <si>
    <t>Pesquisa de HTA / perfil o monitoreo de PA; Pesquisa/confirmación de DM2; Consulta de morbilidad / control médico; Ingreso/control PSCV o cardiovascular</t>
  </si>
  <si>
    <t>Exámenes función renal/orina/RAC/ELP; Ajuste/optimización terapia DM2; Seguimiento de proteinuria/albuminuria</t>
  </si>
  <si>
    <t>Consulta de morbilidad / control médico; Exámenes función renal/orina/RAC/ELP; Imagen renal/urinaria; Cambios de estilo de vida generales; Seguimiento de proteinuria/albuminuria</t>
  </si>
  <si>
    <t>Derivación a urgencia; Cambios de estilo de vida generales</t>
  </si>
  <si>
    <t>Pesquisa de HTA / perfil o monitoreo de PA; Consulta de morbilidad / control médico; Kinesioterapia / rehabilitación; Cambios de estilo de vida generales</t>
  </si>
  <si>
    <t>Pesquisa/confirmación de DM2; Exámenes función renal/orina/RAC/ELP; Ajuste/optimización terapia DM2; Seguimiento de proteinuria/albuminuria</t>
  </si>
  <si>
    <t>Consulta de morbilidad / control médico; Kinesioterapia / rehabilitación</t>
  </si>
  <si>
    <t>Consulta de morbilidad / control médico; Derivación a nutrición / manejo nutricional</t>
  </si>
  <si>
    <t>Pesquisa de HTA / perfil o monitoreo de PA; Pesquisa/confirmación de DM2; Ingreso/control PSCV o cardiovascular</t>
  </si>
  <si>
    <t>Pesquisa de HTA / perfil o monitoreo de PA; Consulta de morbilidad / control médico; Derivación a urología</t>
  </si>
  <si>
    <t>Pesquisa de HTA / perfil o monitoreo de PA; Pesquisa/confirmación de DM2; Ingreso/control PSCV o cardiovascular; Exámenes metabólicos/lípidos/hepáticos/tiroides; Ajuste/optimización terapia DM2</t>
  </si>
  <si>
    <t>Ajuste/optimización antihipertensiva; Cambios de estilo de vida generales</t>
  </si>
  <si>
    <t>Refuerzo de adherencia terapéutica; Cambios de estilo de vida generales</t>
  </si>
  <si>
    <t>Consulta de morbilidad / control médico; Derivación a nefrología / Hospital Digital</t>
  </si>
  <si>
    <t>Pesquisa/confirmación de DM2; Exámenes metabólicos/lípidos/hepáticos/tiroides; Refuerzo de adherencia terapéutica; Evitar/suspender AINEs; Cambios de estilo de vida generales</t>
  </si>
  <si>
    <t>Ajuste/optimización antihipertensiva; Refuerzo de adherencia terapéutica; Cambios de estilo de vida generales</t>
  </si>
  <si>
    <t>Consulta de morbilidad / control médico; Derivación a nefrología / Hospital Digital; Exámenes función renal/orina/RAC/ELP; Imagen/estudio no renal; Ajuste/optimización antihipertensiva; Seguimiento de proteinuria/albuminuria</t>
  </si>
  <si>
    <t>Pesquisa de HTA / perfil o monitoreo de PA; Consulta de morbilidad / control médico; Ingreso/control PSCV o cardiovascular; Ajuste/optimización terapia DM2</t>
  </si>
  <si>
    <t>Pesquisa de HTA / perfil o monitoreo de PA; Ingreso/control PSCV o cardiovascular; Exámenes función renal/orina/RAC/ELP; Seguimiento de proteinuria/albuminuria</t>
  </si>
  <si>
    <t>Pesquisa de HTA / perfil o monitoreo de PA; Exámenes función renal/orina/RAC/ELP; Seguimiento de proteinuria/albuminuria</t>
  </si>
  <si>
    <t>Consulta de morbilidad / control médico; Kinesioterapia / rehabilitación; Seguimiento de proteinuria/albuminuria</t>
  </si>
  <si>
    <t>Consulta de morbilidad / control médico; Ajuste/optimización antihipertensiva; Ajuste/optimización terapia DM2</t>
  </si>
  <si>
    <t>Consulta de morbilidad / control médico; Exámenes función renal/orina/RAC/ELP; Ajuste/optimización antihipertensiva; Refuerzo de adherencia terapéutica; Seguimiento de proteinuria/albuminuria</t>
  </si>
  <si>
    <t>Pesquisa/confirmación de DM2; Exámenes función renal/orina/RAC/ELP; Seguimiento de proteinuria/albuminuria</t>
  </si>
  <si>
    <t>Consulta de morbilidad / control médico; Derivación a cardiología; Exámenes función renal/orina/RAC/ELP; Seguimiento de proteinuria/albuminuria</t>
  </si>
  <si>
    <t>Pesquisa de HTA / perfil o monitoreo de PA; Consulta de morbilidad / control médico; Derivación a nefrología / Hospital Digital; Exámenes función renal/orina/RAC/ELP</t>
  </si>
  <si>
    <t>Derivación a urgencia; Derivación a urología; Exámenes función renal/orina/RAC/ELP; Exámenes metabólicos/lípidos/hepáticos/tiroides; Seguimiento de proteinuria/albuminuria</t>
  </si>
  <si>
    <t>Derivación a nefrología / Hospital Digital; Imagen renal/urinaria</t>
  </si>
  <si>
    <t>Bajar de peso / manejo obesidad</t>
  </si>
  <si>
    <t>Pesquisa/confirmación de DM2; Consulta de morbilidad / control médico; Exámenes metabólicos/lípidos/hepáticos/tiroides; Ajuste/optimización antihipertensiva; Seguimiento de proteinuria/albuminuria</t>
  </si>
  <si>
    <t>Pesquisa/confirmación de DM2; Derivación a urgencia; Exámenes función renal/orina/RAC/ELP</t>
  </si>
  <si>
    <t>Consulta de morbilidad / control médico; Exámenes función renal/orina/RAC/ELP; Cambios de estilo de vida generales; Seguimiento de proteinuria/albuminuria</t>
  </si>
  <si>
    <t>Pesquisa/confirmación de DM2; Exámenes función renal/orina/RAC/ELP; Exámenes metabólicos/lípidos/hepáticos/tiroides; Imagen renal/urinaria; Seguimiento de proteinuria/albuminuria</t>
  </si>
  <si>
    <t>Consulta de morbilidad / control médico; Derivación a urgencia; Derivación a urología</t>
  </si>
  <si>
    <t>Exámenes función renal/orina/RAC/ELP; Imagen renal/urinaria; Seguimiento de proteinuria/albuminuria; Seguimiento/prevención litiasis</t>
  </si>
  <si>
    <t>Pesquisa de HTA / perfil o monitoreo de PA; Consulta de morbilidad / control médico; Kinesioterapia / rehabilitación</t>
  </si>
  <si>
    <t>Pesquisa/confirmación de DM2; Consulta de morbilidad / control médico; Exámenes metabólicos/lípidos/hepáticos/tiroides; Ajuste/optimización antihipertensiva; Refuerzo de adherencia terapéutica</t>
  </si>
  <si>
    <t>Pesquisa/confirmación de DM2; Consulta de morbilidad / control médico; Exámenes metabólicos/lípidos/hepáticos/tiroides; Seguimiento de proteinuria/albuminuria</t>
  </si>
  <si>
    <t>Consulta de morbilidad / control médico; Derivación a nutrición / manejo nutricional; Exámenes función renal/orina/RAC/ELP; Bajar de peso / manejo obesidad; Seguimiento de proteinuria/albuminuria</t>
  </si>
  <si>
    <t>Pesquisa de HTA / perfil o monitoreo de PA; Exámenes función renal/orina/RAC/ELP</t>
  </si>
  <si>
    <t>Pesquisa de HTA / perfil o monitoreo de PA; Consulta de morbilidad / control médico; Ajuste/optimización antihipertensiva</t>
  </si>
  <si>
    <t>Pesquisa/confirmación de DM2; Ingreso/control PSCV o cardiovascular; Derivación a urgencia; Exámenes metabólicos/lípidos/hepáticos/tiroides; Imagen/estudio no renal; Cambios de estilo de vida generales</t>
  </si>
  <si>
    <t>Pesquisa de HTA / perfil o monitoreo de PA; Ingreso/control PSCV o cardiovascular; Derivación a urgencia; Cambios de estilo de vida generales; Bajar de peso / manejo obesidad</t>
  </si>
  <si>
    <t>Ingreso/control PSCV o cardiovascular; Derivación a urgencia; Cambios de estilo de vida generales</t>
  </si>
  <si>
    <t>Pesquisa de HTA / perfil o monitoreo de PA; Pesquisa/confirmación de DM2; Consulta de morbilidad / control médico; Exámenes metabólicos/lípidos/hepáticos/tiroides; Cambios de estilo de vida generales</t>
  </si>
  <si>
    <t>Ajuste/optimización antihipertensiva; Seguimiento de proteinuria/albuminuria</t>
  </si>
  <si>
    <t>Pesquisa de HTA / perfil o monitoreo de PA; Consulta de morbilidad / control médico; Derivación a urgencia; Cambios de estilo de vida generales</t>
  </si>
  <si>
    <t>Pesquisa de HTA / perfil o monitoreo de PA; Pesquisa/confirmación de DM2; Derivación a urgencia; Exámenes metabólicos/lípidos/hepáticos/tiroides; Imagen/estudio no renal; Cambios de estilo de vida generales</t>
  </si>
  <si>
    <t>Pesquisa/confirmación de DM2; Exámenes metabólicos/lípidos/hepáticos/tiroides; Refuerzo de adherencia terapéutica; Seguimiento de proteinuria/albuminuria</t>
  </si>
  <si>
    <t>Consulta de morbilidad / control médico; Exámenes función renal/orina/RAC/ELP; Ajuste/optimización antihipertensiva; Ajuste/optimización terapia DM2; Seguimiento de proteinuria/albuminuria</t>
  </si>
  <si>
    <t>Pesquisa de HTA / perfil o monitoreo de PA; Derivación a nefrología / Hospital Digital; Exámenes función renal/orina/RAC/ELP; Imagen renal/urinaria; Cambios de estilo de vida generales</t>
  </si>
  <si>
    <t>Pesquisa de HTA / perfil o monitoreo de PA; Consulta de morbilidad / control médico; Derivación a urgencia; Derivación a nutrición / manejo nutricional; Cambios de estilo de vida generales; Actividad física</t>
  </si>
  <si>
    <t>Ingreso/control PSCV o cardiovascular; Ajuste/optimización antihipertensiva; Cambios de estilo de vida generales; Reducción de sal; Cese tabáquico</t>
  </si>
  <si>
    <t>Imagen renal/urinaria; Cambios de estilo de vida generales; Actividad física</t>
  </si>
  <si>
    <t>Pesquisa de HTA / perfil o monitoreo de PA; Derivación a urgencia; Exámenes metabólicos/lípidos/hepáticos/tiroides; Cambios de estilo de vida generales</t>
  </si>
  <si>
    <t>Pesquisa/confirmación de DM2; Consulta de morbilidad / control médico; Exámenes metabólicos/lípidos/hepáticos/tiroides</t>
  </si>
  <si>
    <t>Pesquisa de HTA / perfil o monitoreo de PA; Pesquisa/confirmación de DM2; Exámenes metabólicos/lípidos/hepáticos/tiroides; Cambios de estilo de vida generales; Seguimiento de proteinuria/albuminuria</t>
  </si>
  <si>
    <t>Ingreso/control PSCV o cardiovascular; Derivación a urgencia</t>
  </si>
  <si>
    <t>Pesquisa de HTA / perfil o monitoreo de PA; Ingreso/control PSCV o cardiovascular; Derivación a urgencia; Refuerzo de adherencia terapéutica; Cambios de estilo de vida generales</t>
  </si>
  <si>
    <t>Pesquisa de HTA / perfil o monitoreo de PA; Pesquisa/confirmación de DM2; Consulta de morbilidad / control médico; Derivación a urgencia; Derivación a nutrición / manejo nutricional; Exámenes metabólicos/lípidos/hepáticos/tiroides; Cambios de estilo de vida generales; Actividad física</t>
  </si>
  <si>
    <t>Pesquisa de HTA / perfil o monitoreo de PA; Consulta de morbilidad / control médico; Derivación a urgencia</t>
  </si>
  <si>
    <t>Pesquisa/confirmación de DM2; Consulta de morbilidad / control médico; Exámenes función renal/orina/RAC/ELP; Exámenes metabólicos/lípidos/hepáticos/tiroides; Refuerzo de adherencia terapéutica; Cambios de estilo de vida generales; Seguimiento de proteinuria/albuminuria</t>
  </si>
  <si>
    <t>Pesquisa de HTA / perfil o monitoreo de PA; Consulta de morbilidad / control médico; Exámenes función renal/orina/RAC/ELP; Imagen renal/urinaria</t>
  </si>
  <si>
    <t>Consulta de morbilidad / control médico; Exámenes función renal/orina/RAC/ELP; Refuerzo de adherencia terapéutica</t>
  </si>
  <si>
    <t>Pesquisa de HTA / perfil o monitoreo de PA; Pesquisa/confirmación de DM2; Consulta de morbilidad / control médico</t>
  </si>
  <si>
    <t>Pesquisa de HTA / perfil o monitoreo de PA; Pesquisa/confirmación de DM2; Exámenes función renal/orina/RAC/ELP; Exámenes metabólicos/lípidos/hepáticos/tiroides; Ajuste/optimización antihipertensiva; Seguimiento de proteinuria/albuminuria</t>
  </si>
  <si>
    <t>Derivación a urgencia; Exámenes metabólicos/lípidos/hepáticos/tiroides; Refuerzo de adherencia terapéutica; Cambios de estilo de vida generales; Reducción de sal</t>
  </si>
  <si>
    <t>Consulta de morbilidad / control médico; Derivación a nefrología / Hospital Digital; Derivación a urgencia; Derivación a urología; Exámenes función renal/orina/RAC/ELP; Imagen renal/urinaria</t>
  </si>
  <si>
    <t>Ingreso/control PSCV o cardiovascular; Derivación a urgencia; Refuerzo de adherencia terapéutica; Cambios de estilo de vida generales; Reducción de sal</t>
  </si>
  <si>
    <t>Cambios de estilo de vida generales; Reducción de sal</t>
  </si>
  <si>
    <t>Consulta de morbilidad / control médico; Derivación a nefrología / Hospital Digital; Exámenes función renal/orina/RAC/ELP; Exámenes metabólicos/lípidos/hepáticos/tiroides; Ajuste/optimización antihipertensiva; Seguimiento de proteinuria/albuminuria</t>
  </si>
  <si>
    <t>Consulta de morbilidad / control médico; Exámenes función renal/orina/RAC/ELP; Ajuste/optimización antihipertensiva; Seguimiento de proteinuria/albuminuria</t>
  </si>
  <si>
    <t>Pesquisa de HTA / perfil o monitoreo de PA; Consulta de morbilidad / control médico; Derivación a urgencia; Exámenes metabólicos/lípidos/hepáticos/tiroides</t>
  </si>
  <si>
    <t>Pesquisa de HTA / perfil o monitoreo de PA; Consulta de morbilidad / control médico; Derivación a urología; Exámenes función renal/orina/RAC/ELP; Exámenes metabólicos/lípidos/hepáticos/tiroides; Seguimiento de proteinuria/albuminuria</t>
  </si>
  <si>
    <t>Pesquisa de HTA / perfil o monitoreo de PA; Derivación a nefrología / Hospital Digital; Exámenes función renal/orina/RAC/ELP</t>
  </si>
  <si>
    <t>Pesquisa de HTA / perfil o monitoreo de PA; Consulta de morbilidad / control médico; Derivación a urgencia; Exámenes función renal/orina/RAC/ELP</t>
  </si>
  <si>
    <t>Pesquisa/confirmación de DM2; Derivación a nutrición / manejo nutricional; Exámenes metabólicos/lípidos/hepáticos/tiroides; Ajuste/optimización antihipertensiva</t>
  </si>
  <si>
    <t>Pesquisa de HTA / perfil o monitoreo de PA; Pesquisa/confirmación de DM2; Exámenes metabólicos/lípidos/hepáticos/tiroides; Imagen renal/urinaria</t>
  </si>
  <si>
    <t>Consulta de morbilidad / control médico; Exámenes función renal/orina/RAC/ELP; Cambios de estilo de vida generales; Actividad física; Seguimiento de proteinuria/albuminuria</t>
  </si>
  <si>
    <t>Derivación a cardiología; Ajuste/optimización antihipertensiva</t>
  </si>
  <si>
    <t>Imagen/estudio no renal</t>
  </si>
  <si>
    <t>Pesquisa/confirmación de DM2; Consulta de morbilidad / control médico; Exámenes función renal/orina/RAC/ELP; Exámenes metabólicos/lípidos/hepáticos/tiroides; Ajuste/optimización antihipertensiva; Seguimiento de proteinuria/albuminuria</t>
  </si>
  <si>
    <t>Derivación a nefrología / Hospital Digital; Exámenes función renal/orina/RAC/ELP; Ajuste/optimización antihipertensiva</t>
  </si>
  <si>
    <t>Pesquisa de HTA / perfil o monitoreo de PA; Pesquisa/confirmación de DM2; Consulta de morbilidad / control médico; Exámenes metabólicos/lípidos/hepáticos/tiroides</t>
  </si>
  <si>
    <t>Pesquisa de HTA / perfil o monitoreo de PA; Pesquisa/confirmación de DM2; Consulta de morbilidad / control médico; Derivación a urgencia; Exámenes metabólicos/lípidos/hepáticos/tiroides; Cambios de estilo de vida generales</t>
  </si>
  <si>
    <t>Consulta de morbilidad / control médico; Derivación a urgencia; Cambios de estilo de vida generales</t>
  </si>
  <si>
    <t>Pesquisa/confirmación de DM2; Exámenes función renal/orina/RAC/ELP; Exámenes metabólicos/lípidos/hepáticos/tiroides; Imagen/estudio no renal; Seguimiento de proteinuria/albuminuria</t>
  </si>
  <si>
    <t>Pesquisa/confirmación de DM2; Consulta de morbilidad / control médico; Derivación a urgencia; Exámenes función renal/orina/RAC/ELP; Exámenes metabólicos/lípidos/hepáticos/tiroides; Ajuste/optimización antihipertensiva; Cambios de estilo de vida generales</t>
  </si>
  <si>
    <t>Derivación a urgencia; Exámenes función renal/orina/RAC/ELP</t>
  </si>
  <si>
    <t>Derivación a urgencia; Ajuste/optimización antihipertensiva; Cambios de estilo de vida generales</t>
  </si>
  <si>
    <t>Derivación a urología; Exámenes función renal/orina/RAC/ELP; Ajuste/optimización antihipertensiva; Derivación/seguimiento quirúrgico</t>
  </si>
  <si>
    <t>Consulta de morbilidad / control médico; Derivación a nefrología / Hospital Digital; Derivación a urgencia; Exámenes función renal/orina/RAC/ELP; Exámenes metabólicos/lípidos/hepáticos/tiroides; Imagen/estudio no renal; Ajuste/optimización antihipertensiva; Cambios de estilo de vida generales; Seguimiento/prevención litiasis</t>
  </si>
  <si>
    <t>Derivación a urología; Exámenes función renal/orina/RAC/ELP; Exámenes metabólicos/lípidos/hepáticos/tiroides; Imagen renal/urinaria; Seguimiento de proteinuria/albuminuria</t>
  </si>
  <si>
    <t>Consulta de morbilidad / control médico; Derivación a urgencia; Exámenes función renal/orina/RAC/ELP; Imagen renal/urinaria; Cambios de estilo de vida generales</t>
  </si>
  <si>
    <t>Derivación a urgencia; Exámenes función renal/orina/RAC/ELP; Cambios de estilo de vida generales</t>
  </si>
  <si>
    <t>Pesquisa de HTA / perfil o monitoreo de PA; Pesquisa/confirmación de DM2; Exámenes metabólicos/lípidos/hepáticos/tiroides; Ajuste/optimización antihipertensiva</t>
  </si>
  <si>
    <t>Pesquisa de HTA / perfil o monitoreo de PA; Consulta de morbilidad / control médico; Derivación a urgencia; Exámenes función renal/orina/RAC/ELP; Ajuste/optimización antihipertensiva</t>
  </si>
  <si>
    <t>Derivación a nefrología / Hospital Digital; Exámenes función renal/orina/RAC/ELP; Refuerzo de adherencia terapéutica</t>
  </si>
  <si>
    <t>Pesquisa de HTA / perfil o monitoreo de PA; Derivación a urgencia; Exámenes función renal/orina/RAC/ELP; Ajuste/optimización antihipertensiva</t>
  </si>
  <si>
    <t>Consulta de morbilidad / control médico; Derivación a urgencia; Exámenes función renal/orina/RAC/ELP</t>
  </si>
  <si>
    <t>Pesquisa/confirmación de DM2; Exámenes metabólicos/lípidos/hepáticos/tiroides; Imagen/estudio no renal</t>
  </si>
  <si>
    <t>Pesquisa de HTA / perfil o monitoreo de PA; Ingreso/control PSCV o cardiovascular; Cambios de estilo de vida generales; Reducción de sal</t>
  </si>
  <si>
    <t>Derivación a urgencia; Exámenes función renal/orina/RAC/ELP; Seguimiento de proteinuria/albuminuria</t>
  </si>
  <si>
    <t>Ingreso/control PSCV o cardiovascular; Exámenes función renal/orina/RAC/ELP</t>
  </si>
  <si>
    <t>Pesquisa/confirmación de DM2; Exámenes función renal/orina/RAC/ELP; Exámenes metabólicos/lípidos/hepáticos/tiroides; Reducción de sal</t>
  </si>
  <si>
    <t>Pesquisa de HTA / perfil o monitoreo de PA; Pesquisa/confirmación de DM2; Derivación a urología; Exámenes función renal/orina/RAC/ELP; Exámenes metabólicos/lípidos/hepáticos/tiroides; Imagen renal/urinaria; Ajuste/optimización terapia DM2; Seguimiento de proteinuria/albuminuria; Seguimiento/prevención litiasis</t>
  </si>
  <si>
    <t>Pesquisa/confirmación de DM2; Consulta de morbilidad / control médico; Exámenes función renal/orina/RAC/ELP; Exámenes metabólicos/lípidos/hepáticos/tiroides; Imagen renal/urinaria; Cambios de estilo de vida generales; Reducción de sal; Actividad física; Seguimiento de proteinuria/albuminuria; Seguimiento/prevención litiasis</t>
  </si>
  <si>
    <t>Pesquisa/confirmación de DM2; Consulta de morbilidad / control médico; Exámenes función renal/orina/RAC/ELP; Exámenes metabólicos/lípidos/hepáticos/tiroides; Ajuste/optimización terapia DM2; Seguimiento de proteinuria/albuminuria</t>
  </si>
  <si>
    <t>Pesquisa/confirmación de DM2; Exámenes función renal/orina/RAC/ELP; Exámenes metabólicos/lípidos/hepáticos/tiroides; Seguimiento de proteinuria/albuminuria</t>
  </si>
  <si>
    <t>Pesquisa/confirmación de DM2; Consulta de morbilidad / control médico; Exámenes función renal/orina/RAC/ELP; Exámenes metabólicos/lípidos/hepáticos/tiroides; Refuerzo de adherencia terapéutica; Seguimiento de proteinuria/albuminuria</t>
  </si>
  <si>
    <t>Consulta de morbilidad / control médico; Ajuste/optimización terapia DM2</t>
  </si>
  <si>
    <t>Pesquisa de HTA / perfil o monitoreo de PA; Pesquisa/confirmación de DM2; Consulta de morbilidad / control médico; Derivación a urología; Exámenes función renal/orina/RAC/ELP; Exámenes metabólicos/lípidos/hepáticos/tiroides; Imagen/estudio no renal; Seguimiento de proteinuria/albuminuria</t>
  </si>
  <si>
    <t>Pesquisa de HTA / perfil o monitoreo de PA; Pesquisa/confirmación de DM2; Ingreso/control PSCV o cardiovascular; Exámenes metabólicos/lípidos/hepáticos/tiroides</t>
  </si>
  <si>
    <t>Pesquisa/confirmación de DM2; Exámenes metabólicos/lípidos/hepáticos/tiroides; Ajuste/optimización antihipertensiva; Refuerzo de adherencia terapéutica</t>
  </si>
  <si>
    <t>Pesquisa/confirmación de DM2; Derivación a nutrición / manejo nutricional; Exámenes función renal/orina/RAC/ELP; Exámenes metabólicos/lípidos/hepáticos/tiroides</t>
  </si>
  <si>
    <t>Imagen renal/urinaria</t>
  </si>
  <si>
    <t>Consulta de morbilidad / control médico; Cambios de estilo de vida generales</t>
  </si>
  <si>
    <t>Pesquisa de HTA / perfil o monitoreo de PA; Pesquisa/confirmación de DM2; Exámenes función renal/orina/RAC/ELP; Exámenes metabólicos/lípidos/hepáticos/tiroides; Imagen/estudio no renal; Seguimiento de proteinuria/albuminuria</t>
  </si>
  <si>
    <t>Exámenes función renal/orina/RAC/ELP; Imagen/estudio no renal; Seguimiento de proteinuria/albuminuria</t>
  </si>
  <si>
    <t>Derivación a nefrología / Hospital Digital; Exámenes función renal/orina/RAC/ELP</t>
  </si>
  <si>
    <t>Consulta de morbilidad / control médico; Exámenes función renal/orina/RAC/ELP; Imagen/estudio no renal</t>
  </si>
  <si>
    <t>Ingreso/control PSCV o cardiovascular; Exámenes función renal/orina/RAC/ELP; Seguimiento de proteinuria/albuminuria</t>
  </si>
  <si>
    <t>Exámenes función renal/orina/RAC/ELP; Imagen/estudio no renal</t>
  </si>
  <si>
    <t>Pesquisa/confirmación de DM2; Consulta de morbilidad / control médico; Exámenes función renal/orina/RAC/ELP; Exámenes metabólicos/lípidos/hepáticos/tiroides; Imagen/estudio no renal; Ajuste/optimización antihipertensiva; Evitar/suspender AINEs; Seguimiento de proteinuria/albuminuria</t>
  </si>
  <si>
    <t>Exámenes función renal/orina/RAC/ELP; Imagen renal/urinaria; Seguimiento de proteinuria/albuminuria</t>
  </si>
  <si>
    <t>Exámenes función renal/orina/RAC/ELP; Exámenes metabólicos/lípidos/hepáticos/tiroides; Imagen/estudio no renal; Seguimiento de proteinuria/albuminuria</t>
  </si>
  <si>
    <t>Consulta de morbilidad / control médico; Cambios de estilo de vida generales; Bajar de peso / manejo obesidad</t>
  </si>
  <si>
    <t>Exámenes función renal/orina/RAC/ELP; Exámenes metabólicos/lípidos/hepáticos/tiroides; Seguimiento de proteinuria/albuminuria</t>
  </si>
  <si>
    <t>Pesquisa/confirmación de DM2; Exámenes función renal/orina/RAC/ELP; Exámenes metabólicos/lípidos/hepáticos/tiroides; Imagen renal/urinaria; Imagen/estudio no renal; Ajuste/optimización antihipertensiva; Seguimiento de proteinuria/albuminuria</t>
  </si>
  <si>
    <t>Derivación a nefrología / Hospital Digital; Derivación a nutrición / manejo nutricional; Exámenes función renal/orina/RAC/ELP; Exámenes metabólicos/lípidos/hepáticos/tiroides; Imagen/estudio no renal; Ajuste/optimización antihipertensiva; Seguimiento ginecológico/PAP/MMG/matrona; Seguimiento de proteinuria/albuminuria</t>
  </si>
  <si>
    <t>Pesquisa/confirmación de DM2; Consulta de morbilidad / control médico; Derivación a nefrología / Hospital Digital; Exámenes función renal/orina/RAC/ELP; Exámenes metabólicos/lípidos/hepáticos/tiroides; Imagen renal/urinaria; Seguimiento de proteinuria/albuminuria</t>
  </si>
  <si>
    <t>Pesquisa/confirmación de DM2; Derivación a nutrición / manejo nutricional; Exámenes función renal/orina/RAC/ELP; Exámenes metabólicos/lípidos/hepáticos/tiroides; Imagen/estudio no renal; Cambios de estilo de vida generales; Actividad física</t>
  </si>
  <si>
    <t>Pesquisa de HTA / perfil o monitoreo de PA; Pesquisa/confirmación de DM2; Exámenes función renal/orina/RAC/ELP; Exámenes metabólicos/lípidos/hepáticos/tiroides; Imagen renal/urinaria; Imagen/estudio no renal; Seguimiento de proteinuria/albuminuria</t>
  </si>
  <si>
    <t>Pesquisa/confirmación de DM2; Consulta de morbilidad / control médico; Exámenes función renal/orina/RAC/ELP; Exámenes metabólicos/lípidos/hepáticos/tiroides; Imagen/estudio no renal; Seguimiento de proteinuria/albuminuria</t>
  </si>
  <si>
    <t>Pesquisa/confirmación de DM2; Consulta de morbilidad / control médico; Exámenes metabólicos/lípidos/hepáticos/tiroides; Actividad física</t>
  </si>
  <si>
    <t>Pesquisa de HTA / perfil o monitoreo de PA; Consulta de morbilidad / control médico; Derivación a nutrición / manejo nutricional</t>
  </si>
  <si>
    <t>Pesquisa de HTA / perfil o monitoreo de PA; Pesquisa/confirmación de DM2; Consulta de morbilidad / control médico; Exámenes metabólicos/lípidos/hepáticos/tiroides; Imagen/estudio no renal; Seguimiento ginecológico/PAP/MMG/matrona</t>
  </si>
  <si>
    <t>Pesquisa/confirmación de DM2; Exámenes función renal/orina/RAC/ELP; Exámenes metabólicos/lípidos/hepáticos/tiroides</t>
  </si>
  <si>
    <t>Pesquisa de HTA / perfil o monitoreo de PA; Pesquisa/confirmación de DM2; Consulta de morbilidad / control médico; Exámenes metabólicos/lípidos/hepáticos/tiroides; Cambios de estilo de vida generales; Reducción de sal; Seguimiento de proteinuria/albuminuria</t>
  </si>
  <si>
    <t>Bajar de peso / manejo obesidad; Derivación/seguimiento quirúrgico</t>
  </si>
  <si>
    <t>Pesquisa de HTA / perfil o monitoreo de PA; Exámenes función renal/orina/RAC/ELP; Exámenes metabólicos/lípidos/hepáticos/tiroides; Imagen/estudio no renal; Seguimiento de proteinuria/albuminuria</t>
  </si>
  <si>
    <t>Pesquisa/confirmación de DM2; Exámenes metabólicos/lípidos/hepáticos/tiroides; Imagen/estudio no renal; Seguimiento ginecológico/PAP/MMG/matrona</t>
  </si>
  <si>
    <t>Pesquisa de HTA / perfil o monitoreo de PA; Derivación a urgencia; Imagen/estudio no renal</t>
  </si>
  <si>
    <t>Pesquisa de HTA / perfil o monitoreo de PA; Pesquisa/confirmación de DM2; Consulta de morbilidad / control médico; Exámenes función renal/orina/RAC/ELP; Exámenes metabólicos/lípidos/hepáticos/tiroides; Imagen renal/urinaria; Refuerzo de adherencia terapéutica</t>
  </si>
  <si>
    <t>Pesquisa de HTA / perfil o monitoreo de PA; Consulta de morbilidad / control médico; Ingreso/control PSCV o cardiovascular</t>
  </si>
  <si>
    <t>Pesquisa de HTA / perfil o monitoreo de PA; Consulta de morbilidad / control médico; Exámenes función renal/orina/RAC/ELP; Imagen/estudio no renal; Seguimiento de proteinuria/albuminuria</t>
  </si>
  <si>
    <t>Pesquisa de HTA / perfil o monitoreo de PA; Ajuste/optimización terapia DM2</t>
  </si>
  <si>
    <t>Pesquisa/confirmación de DM2; Derivación a nefrología / Hospital Digital; Exámenes función renal/orina/RAC/ELP; Exámenes metabólicos/lípidos/hepáticos/tiroides; Imagen/estudio no renal</t>
  </si>
  <si>
    <t>Consulta de morbilidad / control médico; Derivación a urología; Kinesioterapia / rehabilitación; Exámenes función renal/orina/RAC/ELP; Imagen renal/urinaria; Seguimiento ginecológico/PAP/MMG/matrona; Seguimiento de proteinuria/albuminuria</t>
  </si>
  <si>
    <t>Derivación a nutrición / manejo nutricional; Ajuste/optimización antihipertensiva; Refuerzo de adherencia terapéutica</t>
  </si>
  <si>
    <t>Derivación a nefrología / Hospital Digital; Derivación a urología; Exámenes función renal/orina/RAC/ELP; Seguimiento de proteinuria/albuminuria; Seguimiento/prevención litiasis</t>
  </si>
  <si>
    <t>Kinesioterapia / rehabilitación; Exámenes función renal/orina/RAC/ELP; Imagen/estudio no renal</t>
  </si>
  <si>
    <t>Pesquisa de HTA / perfil o monitoreo de PA; Bajar de peso / manejo obesidad; Derivación/seguimiento quirúrgico</t>
  </si>
  <si>
    <t>Exámenes función renal/orina/RAC/ELP; Ajuste/optimización antihipertensiva</t>
  </si>
  <si>
    <t>Pesquisa/confirmación de DM2; Cambios de estilo de vida generales; Actividad física</t>
  </si>
  <si>
    <t>Pesquisa/confirmación de DM2; Exámenes metabólicos/lípidos/hepáticos/tiroides; Refuerzo de adherencia terapéutica</t>
  </si>
  <si>
    <t>Pesquisa/confirmación de DM2; Ingreso/control PSCV o cardiovascular; Exámenes metabólicos/lípidos/hepáticos/tiroides; Ajuste/optimización terapia DM2; Refuerzo de adherencia terapéutica</t>
  </si>
  <si>
    <t>Pesquisa de HTA / perfil o monitoreo de PA; Pesquisa/confirmación de DM2; Consulta de morbilidad / control médico; Derivación a nefrología / Hospital Digital; Exámenes función renal/orina/RAC/ELP; Exámenes metabólicos/lípidos/hepáticos/tiroides; Seguimiento de proteinuria/albuminuria</t>
  </si>
  <si>
    <t>Acciones/pesquisa/examenes (estandarizado)</t>
  </si>
  <si>
    <t>eGFR_1st_CKD_EPI_2021_calc</t>
  </si>
  <si>
    <t>Puerto Saavedra</t>
  </si>
  <si>
    <t>Peso normal</t>
  </si>
  <si>
    <t>Obesidad clase I</t>
  </si>
  <si>
    <t>Obesidad clase III</t>
  </si>
  <si>
    <t>Obesidad clase II</t>
  </si>
  <si>
    <t>SÍ</t>
  </si>
  <si>
    <t>VFG calculada automaticamente por POCT con creatinina 1ª toma</t>
  </si>
  <si>
    <t>VFG calculada en la planilla con formula CKD-EPI 2021 con creatinina 1ª toma</t>
  </si>
  <si>
    <t>Relacionar con planilla de análisis de la variable (planilla complementaria 03)</t>
  </si>
  <si>
    <t>Relacionar con planilla de análisis de la variable (planilla complementaria 02)</t>
  </si>
  <si>
    <t>Relacionar con planilla de análisis de la variable (planilla complementaria 01)</t>
  </si>
  <si>
    <t>Relacionar con planilla de análisis de la variable (planilla complementaria 04)</t>
  </si>
  <si>
    <t>Relacionar con planilla de análisis de la variable (planilla complementaria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</si>
</sst>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9">
    <font>
      <sz val="11"/>
      <color theme="1"/>
      <name val="Calibri"/>
      <family val="2"/>
      <scheme val="minor"/>
    </font>
    <font>
      <sz val="12"/>
      <color theme="1"/>
      <name val="Calibri"/>
      <family val="2"/>
      <scheme val="minor"/>
    </font>
    <font>
      <b/>
      <sz val="10"/>
      <color rgb="FFFFFFFF"/>
      <name val="Arial"/>
      <family val="2"/>
    </font>
    <font>
      <sz val="11"/>
      <color rgb="FF000000"/>
      <name val="Calibri"/>
      <family val="2"/>
      <scheme val="minor"/>
    </font>
    <font>
      <b/>
      <sz val="11"/>
      <color rgb="FFFFFFFF"/>
      <name val="Carlito"/>
    </font>
    <font>
      <sz val="11"/>
      <color rgb="FFFFFFFF"/>
      <name val="Calibri"/>
      <family val="2"/>
      <scheme val="minor"/>
    </font>
    <font>
      <sz val="11"/>
      <name val="Calibri"/>
      <family val="2"/>
      <scheme val="minor"/>
    </font>
    <font>
      <sz val="12"/>
      <name val="Calibri"/>
      <family val="2"/>
      <scheme val="minor"/>
    </font>
    <font>
      <b/>
      <sz val="12"/>
      <color rgb="FFFFFFFF"/>
      <name val="Calibri"/>
      <family val="2"/>
      <scheme val="minor"/>
    </font>
  </fonts>
  <fills count="10">
    <fill>
      <patternFill patternType="none"/>
    </fill>
    <fill>
      <patternFill patternType="gray125"/>
    </fill>
    <fill>
      <patternFill patternType="solid">
        <fgColor rgb="FF1F4E79"/>
      </patternFill>
    </fill>
    <fill>
      <patternFill patternType="solid">
        <fgColor rgb="FF375623"/>
      </patternFill>
    </fill>
    <fill>
      <patternFill patternType="solid">
        <fgColor rgb="FFFFFF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92D050"/>
        <bgColor indexed="64"/>
      </patternFill>
    </fill>
    <fill>
      <patternFill patternType="solid">
        <fgColor theme="6" tint="0.79998168889431442"/>
        <bgColor indexed="64"/>
      </patternFill>
    </fill>
    <fill>
      <patternFill patternType="solid">
        <fgColor theme="9" tint="0.79998168889431442"/>
        <bgColor indexed="64"/>
      </patternFill>
    </fill>
  </fills>
  <borders count="3">
    <border>
      <left/>
      <right/>
      <top/>
      <bottom/>
      <diagonal/>
    </border>
    <border>
      <left/>
      <right style="thin">
        <color rgb="FFBFBFBF"/>
      </right>
      <top/>
      <bottom style="thin">
        <color rgb="FFBFBFBF"/>
      </bottom>
      <diagonal/>
    </border>
    <border>
      <left/>
      <right/>
      <top style="thin">
        <color indexed="64"/>
      </top>
      <bottom/>
      <diagonal/>
    </border>
  </borders>
  <cellStyleXfs count="1">
    <xf numFmtId="0" fontId="0" fillId="0" borderId="0"/>
  </cellStyleXfs>
  <cellXfs count="28">
    <xf numFmtId="0" fontId="0" fillId="0" borderId="0" xfId="0"/>
    <xf numFmtId="0" fontId="2" fillId="2" borderId="0" xfId="0" applyFont="1" applyFill="1" applyAlignment="1">
      <alignment horizontal="center" vertical="center"/>
    </xf>
    <xf numFmtId="0" fontId="0" fillId="0" borderId="0" xfId="0" applyAlignment="1">
      <alignment wrapText="1"/>
    </xf>
    <xf numFmtId="165" fontId="2" fillId="2" borderId="0" xfId="0" applyNumberFormat="1" applyFont="1" applyFill="1" applyAlignment="1">
      <alignment horizontal="center" vertical="center"/>
    </xf>
    <xf numFmtId="0" fontId="2" fillId="5" borderId="0" xfId="0" applyFont="1" applyFill="1" applyAlignment="1">
      <alignment horizontal="center" vertical="center"/>
    </xf>
    <xf numFmtId="165" fontId="2" fillId="7" borderId="0" xfId="0" applyNumberFormat="1" applyFont="1" applyFill="1" applyAlignment="1">
      <alignment horizontal="center" vertical="center"/>
    </xf>
    <xf numFmtId="0" fontId="2" fillId="6" borderId="0" xfId="0" applyFont="1" applyFill="1" applyAlignment="1">
      <alignment horizontal="center" vertical="center"/>
    </xf>
    <xf numFmtId="0" fontId="4" fillId="6" borderId="0" xfId="0" applyFont="1" applyFill="1" applyAlignment="1">
      <alignment horizontal="center" vertical="center"/>
    </xf>
    <xf numFmtId="165" fontId="0" fillId="0" borderId="0" xfId="0" applyNumberFormat="1"/>
    <xf numFmtId="165" fontId="0" fillId="8" borderId="0" xfId="0" applyNumberFormat="1" applyFill="1"/>
    <xf numFmtId="14" fontId="0" fillId="0" borderId="0" xfId="0" applyNumberFormat="1"/>
    <xf numFmtId="0" fontId="0" fillId="0" borderId="2" xfId="0" applyBorder="1"/>
    <xf numFmtId="0" fontId="3" fillId="0" borderId="0" xfId="0" applyFont="1"/>
    <xf numFmtId="0" fontId="0" fillId="9" borderId="0" xfId="0" applyFill="1"/>
    <xf numFmtId="0" fontId="5" fillId="2" borderId="0" xfId="0" applyFont="1" applyFill="1" applyAlignment="1">
      <alignment horizontal="center" vertical="center"/>
    </xf>
    <xf numFmtId="0" fontId="6" fillId="0" borderId="1" xfId="0" applyFont="1" applyBorder="1"/>
    <xf numFmtId="164" fontId="6" fillId="0" borderId="1" xfId="0" applyNumberFormat="1" applyFont="1" applyBorder="1"/>
    <xf numFmtId="0" fontId="7" fillId="0" borderId="0" xfId="0" applyFont="1" applyAlignment="1">
      <alignment horizontal="center" vertical="center"/>
    </xf>
    <xf numFmtId="0" fontId="8" fillId="3" borderId="0" xfId="0" applyFont="1" applyFill="1" applyAlignment="1">
      <alignment horizontal="center" vertical="center"/>
    </xf>
    <xf numFmtId="0" fontId="8" fillId="3" borderId="0" xfId="0" applyFont="1" applyFill="1" applyAlignment="1">
      <alignment horizontal="center" vertical="center" wrapText="1"/>
    </xf>
    <xf numFmtId="0" fontId="1" fillId="0" borderId="0" xfId="0" applyFont="1"/>
    <xf numFmtId="0" fontId="7" fillId="0" borderId="1" xfId="0" applyFont="1" applyBorder="1"/>
    <xf numFmtId="0" fontId="7" fillId="0" borderId="1" xfId="0" applyFont="1" applyBorder="1" applyAlignment="1">
      <alignment wrapText="1"/>
    </xf>
    <xf numFmtId="0" fontId="7" fillId="4" borderId="1" xfId="0" applyFont="1" applyFill="1" applyBorder="1"/>
    <xf numFmtId="0" fontId="7" fillId="4" borderId="1" xfId="0" applyFont="1" applyFill="1" applyBorder="1" applyAlignment="1">
      <alignment wrapText="1"/>
    </xf>
    <xf numFmtId="0" fontId="1" fillId="4" borderId="0" xfId="0" applyFont="1" applyFill="1"/>
    <xf numFmtId="0" fontId="7" fillId="0" borderId="0" xfId="0" applyFont="1"/>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AC5A0-8D4E-9448-953F-1C15EA781CAC}">
  <dimension ref="A1:CA1627"/>
  <sheetViews>
    <sheetView topLeftCell="X1" zoomScale="118" zoomScaleNormal="100" workbookViewId="0">
      <pane ySplit="1" topLeftCell="A2" activePane="bottomLeft" state="frozen"/>
      <selection pane="bottomLeft" activeCell="AD1" sqref="AD1"/>
    </sheetView>
  </sheetViews>
  <sheetFormatPr baseColWidth="10" defaultRowHeight="15"/>
  <cols>
    <col min="5" max="5" width="30.33203125" customWidth="1"/>
    <col min="6" max="6" width="15.33203125" bestFit="1" customWidth="1"/>
    <col min="7" max="7" width="13.6640625" customWidth="1"/>
    <col min="8" max="8" width="14.1640625" bestFit="1" customWidth="1"/>
    <col min="13" max="13" width="15.33203125" bestFit="1" customWidth="1"/>
    <col min="14" max="15" width="8.6640625" bestFit="1" customWidth="1"/>
    <col min="16" max="16" width="15.83203125" bestFit="1" customWidth="1"/>
    <col min="17" max="17" width="17.1640625" bestFit="1" customWidth="1"/>
    <col min="18" max="18" width="10.1640625" customWidth="1"/>
    <col min="19" max="19" width="15" bestFit="1" customWidth="1"/>
    <col min="20" max="20" width="10.83203125" style="8"/>
    <col min="21" max="21" width="15" bestFit="1" customWidth="1"/>
    <col min="22" max="22" width="11.5" bestFit="1" customWidth="1"/>
    <col min="23" max="23" width="12" bestFit="1" customWidth="1"/>
    <col min="24" max="24" width="13.5" bestFit="1" customWidth="1"/>
    <col min="25" max="25" width="13" bestFit="1" customWidth="1"/>
    <col min="26" max="26" width="13.5" bestFit="1" customWidth="1"/>
    <col min="28" max="28" width="27.5" style="8" bestFit="1" customWidth="1"/>
    <col min="30" max="30" width="13.83203125" bestFit="1" customWidth="1"/>
    <col min="31" max="31" width="14.33203125" bestFit="1" customWidth="1"/>
    <col min="32" max="32" width="22.1640625" bestFit="1" customWidth="1"/>
    <col min="33" max="33" width="15" bestFit="1" customWidth="1"/>
    <col min="34" max="34" width="27.33203125" bestFit="1" customWidth="1"/>
    <col min="35" max="35" width="27.1640625" bestFit="1" customWidth="1"/>
    <col min="36" max="36" width="27" bestFit="1" customWidth="1"/>
    <col min="37" max="37" width="15.83203125" bestFit="1" customWidth="1"/>
    <col min="38" max="38" width="26" bestFit="1" customWidth="1"/>
    <col min="39" max="40" width="46.83203125" customWidth="1"/>
    <col min="42" max="42" width="19.83203125" bestFit="1" customWidth="1"/>
    <col min="43" max="43" width="29.1640625" customWidth="1"/>
    <col min="44" max="44" width="255.83203125" bestFit="1" customWidth="1"/>
    <col min="45" max="45" width="18.6640625" bestFit="1" customWidth="1"/>
    <col min="46" max="46" width="22" bestFit="1" customWidth="1"/>
    <col min="47" max="47" width="25" bestFit="1" customWidth="1"/>
    <col min="48" max="48" width="17.33203125" bestFit="1" customWidth="1"/>
    <col min="49" max="49" width="28" bestFit="1" customWidth="1"/>
    <col min="50" max="50" width="15.83203125" bestFit="1" customWidth="1"/>
    <col min="51" max="51" width="10.33203125" bestFit="1" customWidth="1"/>
    <col min="52" max="52" width="48.5" bestFit="1" customWidth="1"/>
    <col min="53" max="53" width="29.5" customWidth="1"/>
    <col min="54" max="54" width="21.5" bestFit="1" customWidth="1"/>
    <col min="55" max="55" width="22.83203125" customWidth="1"/>
    <col min="56" max="56" width="21.1640625" bestFit="1" customWidth="1"/>
    <col min="57" max="58" width="35.6640625" customWidth="1"/>
    <col min="59" max="59" width="29" customWidth="1"/>
    <col min="60" max="60" width="211.83203125" bestFit="1" customWidth="1"/>
    <col min="61" max="61" width="19.33203125" bestFit="1" customWidth="1"/>
    <col min="62" max="62" width="18.33203125" customWidth="1"/>
    <col min="63" max="63" width="19.33203125" customWidth="1"/>
    <col min="64" max="64" width="20.33203125" customWidth="1"/>
    <col min="65" max="65" width="24.1640625" customWidth="1"/>
    <col min="66" max="66" width="22.83203125" customWidth="1"/>
    <col min="67" max="67" width="20.1640625" customWidth="1"/>
    <col min="68" max="68" width="60.33203125" customWidth="1"/>
    <col min="79" max="79" width="10.83203125" style="10"/>
  </cols>
  <sheetData>
    <row r="1" spans="1:79">
      <c r="A1" s="1" t="s">
        <v>0</v>
      </c>
      <c r="B1" s="1" t="s">
        <v>1</v>
      </c>
      <c r="C1" s="1" t="s">
        <v>2</v>
      </c>
      <c r="D1" s="1" t="s">
        <v>3</v>
      </c>
      <c r="E1" s="1" t="s">
        <v>4</v>
      </c>
      <c r="F1" s="1" t="s">
        <v>5</v>
      </c>
      <c r="G1" s="14" t="s">
        <v>6</v>
      </c>
      <c r="H1" s="14" t="s">
        <v>7</v>
      </c>
      <c r="I1" s="1" t="s">
        <v>8</v>
      </c>
      <c r="J1" s="1" t="s">
        <v>9</v>
      </c>
      <c r="K1" s="1" t="s">
        <v>10</v>
      </c>
      <c r="L1" s="1" t="s">
        <v>11</v>
      </c>
      <c r="M1" s="1" t="s">
        <v>12</v>
      </c>
      <c r="N1" s="1" t="s">
        <v>13</v>
      </c>
      <c r="O1" s="1" t="s">
        <v>14</v>
      </c>
      <c r="P1" s="1" t="s">
        <v>15</v>
      </c>
      <c r="Q1" s="1" t="s">
        <v>16</v>
      </c>
      <c r="R1" s="1" t="s">
        <v>17</v>
      </c>
      <c r="S1" s="1" t="s">
        <v>18</v>
      </c>
      <c r="T1" s="3" t="s">
        <v>19</v>
      </c>
      <c r="U1" s="1" t="s">
        <v>3481</v>
      </c>
      <c r="V1" s="1" t="s">
        <v>20</v>
      </c>
      <c r="W1" s="1" t="s">
        <v>21</v>
      </c>
      <c r="X1" s="1" t="s">
        <v>22</v>
      </c>
      <c r="Y1" s="1" t="s">
        <v>23</v>
      </c>
      <c r="Z1" s="1" t="s">
        <v>24</v>
      </c>
      <c r="AA1" s="1" t="s">
        <v>25</v>
      </c>
      <c r="AB1" s="5" t="s">
        <v>4570</v>
      </c>
      <c r="AC1" s="1" t="s">
        <v>26</v>
      </c>
      <c r="AD1" s="1" t="s">
        <v>27</v>
      </c>
      <c r="AE1" s="1" t="s">
        <v>28</v>
      </c>
      <c r="AF1" s="1" t="s">
        <v>29</v>
      </c>
      <c r="AG1" s="1" t="s">
        <v>30</v>
      </c>
      <c r="AH1" s="1" t="s">
        <v>31</v>
      </c>
      <c r="AI1" s="1" t="s">
        <v>32</v>
      </c>
      <c r="AJ1" s="1" t="s">
        <v>33</v>
      </c>
      <c r="AK1" s="1" t="s">
        <v>34</v>
      </c>
      <c r="AL1" s="1" t="s">
        <v>35</v>
      </c>
      <c r="AM1" s="1" t="s">
        <v>36</v>
      </c>
      <c r="AN1" s="4" t="s">
        <v>3912</v>
      </c>
      <c r="AO1" s="1" t="s">
        <v>37</v>
      </c>
      <c r="AP1" s="1" t="s">
        <v>3472</v>
      </c>
      <c r="AQ1" s="1" t="s">
        <v>39</v>
      </c>
      <c r="AR1" s="4" t="s">
        <v>3913</v>
      </c>
      <c r="AS1" s="1" t="s">
        <v>40</v>
      </c>
      <c r="AT1" s="1" t="s">
        <v>3473</v>
      </c>
      <c r="AU1" s="1" t="s">
        <v>3474</v>
      </c>
      <c r="AV1" s="1" t="s">
        <v>43</v>
      </c>
      <c r="AW1" s="4" t="s">
        <v>3914</v>
      </c>
      <c r="AX1" s="1" t="s">
        <v>44</v>
      </c>
      <c r="AY1" s="1" t="s">
        <v>45</v>
      </c>
      <c r="AZ1" s="1" t="s">
        <v>46</v>
      </c>
      <c r="BA1" s="1" t="s">
        <v>3475</v>
      </c>
      <c r="BB1" s="1" t="s">
        <v>3476</v>
      </c>
      <c r="BC1" s="1" t="s">
        <v>3477</v>
      </c>
      <c r="BD1" s="1" t="s">
        <v>3478</v>
      </c>
      <c r="BE1" s="1" t="s">
        <v>51</v>
      </c>
      <c r="BF1" s="4" t="s">
        <v>4012</v>
      </c>
      <c r="BG1" s="1" t="s">
        <v>52</v>
      </c>
      <c r="BH1" s="6" t="s">
        <v>4013</v>
      </c>
      <c r="BI1" s="1" t="s">
        <v>53</v>
      </c>
      <c r="BJ1" s="1" t="s">
        <v>54</v>
      </c>
      <c r="BK1" s="1" t="s">
        <v>55</v>
      </c>
      <c r="BL1" s="1" t="s">
        <v>56</v>
      </c>
      <c r="BM1" s="1" t="s">
        <v>57</v>
      </c>
      <c r="BN1" s="1" t="s">
        <v>58</v>
      </c>
      <c r="BO1" s="1" t="s">
        <v>59</v>
      </c>
      <c r="BP1" s="7" t="s">
        <v>4569</v>
      </c>
      <c r="BQ1" s="1" t="s">
        <v>60</v>
      </c>
      <c r="BR1" s="1" t="s">
        <v>61</v>
      </c>
      <c r="BS1" s="1" t="s">
        <v>62</v>
      </c>
      <c r="BT1" s="1" t="s">
        <v>63</v>
      </c>
      <c r="BU1" s="1" t="s">
        <v>3461</v>
      </c>
      <c r="BV1" s="1" t="s">
        <v>64</v>
      </c>
      <c r="BW1" s="1" t="s">
        <v>65</v>
      </c>
      <c r="BX1" s="1" t="s">
        <v>66</v>
      </c>
      <c r="BY1" s="1" t="s">
        <v>67</v>
      </c>
      <c r="BZ1" s="1" t="s">
        <v>68</v>
      </c>
      <c r="CA1" s="1" t="s">
        <v>69</v>
      </c>
    </row>
    <row r="2" spans="1:79">
      <c r="A2">
        <v>1</v>
      </c>
      <c r="B2">
        <v>2</v>
      </c>
      <c r="C2">
        <v>30</v>
      </c>
      <c r="D2" t="s">
        <v>3462</v>
      </c>
      <c r="F2" t="s">
        <v>71</v>
      </c>
      <c r="G2" s="12" t="s">
        <v>3463</v>
      </c>
      <c r="I2">
        <v>60</v>
      </c>
      <c r="J2">
        <v>58</v>
      </c>
      <c r="K2">
        <v>148</v>
      </c>
      <c r="L2">
        <v>86</v>
      </c>
      <c r="M2" t="s">
        <v>72</v>
      </c>
      <c r="N2">
        <v>143</v>
      </c>
      <c r="O2">
        <v>86</v>
      </c>
      <c r="P2" t="s">
        <v>72</v>
      </c>
      <c r="Q2" t="s">
        <v>72</v>
      </c>
      <c r="R2">
        <v>74.75</v>
      </c>
      <c r="S2">
        <v>175.5</v>
      </c>
      <c r="T2" s="8">
        <f t="shared" ref="T2:T65" si="0">IFERROR(R2/(S2^2)*10000,"")</f>
        <v>24.26928352854279</v>
      </c>
      <c r="U2" s="13" t="str" cm="1">
        <f t="array" ref="U2">IF(T2="","",_xlfn.IFS(T2&lt;18.5,"Bajo peso",T2&lt;25,"Peso normal",T2&lt;30,"Sobrepeso",T2&lt;35,"Obesidad clase I",T2&lt;40,"Obesidad clase II",T2&gt;=40,"Obesidad clase III"))</f>
        <v>Peso normal</v>
      </c>
      <c r="V2">
        <v>112</v>
      </c>
      <c r="X2" t="s">
        <v>3463</v>
      </c>
      <c r="Y2">
        <v>0.66</v>
      </c>
      <c r="AA2">
        <v>90</v>
      </c>
      <c r="AB2" s="9">
        <f t="shared" ref="AB2:AB65" si="1">IF(OR(C2="",D2="",Y2=""),"",142*POWER(MIN(Y2/IF(D2="Mujer",0.7,0.9),1),IF(D2="Mujer",-0.241,-0.302))*POWER(MAX(Y2/IF(D2="Mujer",0.7,0.9),1),-1.2)*POWER(0.9938,C2)*IF(D2="Mujer",1.012,1))</f>
        <v>129.40083715144198</v>
      </c>
      <c r="AD2" t="s">
        <v>73</v>
      </c>
      <c r="AF2" t="s">
        <v>73</v>
      </c>
      <c r="AH2" t="s">
        <v>3463</v>
      </c>
      <c r="AI2" t="s">
        <v>3463</v>
      </c>
      <c r="AJ2" t="s">
        <v>3464</v>
      </c>
      <c r="AK2" t="s">
        <v>3463</v>
      </c>
      <c r="AL2" t="s">
        <v>3463</v>
      </c>
      <c r="AO2" t="s">
        <v>3465</v>
      </c>
      <c r="AP2" t="s">
        <v>3465</v>
      </c>
      <c r="AV2" t="s">
        <v>74</v>
      </c>
      <c r="AW2" t="s">
        <v>3915</v>
      </c>
      <c r="BA2" t="s">
        <v>3920</v>
      </c>
      <c r="BF2" t="s">
        <v>3921</v>
      </c>
      <c r="BG2" t="s">
        <v>75</v>
      </c>
      <c r="BH2" t="s">
        <v>4014</v>
      </c>
      <c r="BI2" t="s">
        <v>76</v>
      </c>
      <c r="BK2" t="s">
        <v>77</v>
      </c>
      <c r="BN2" t="s">
        <v>78</v>
      </c>
      <c r="BP2" t="s">
        <v>4254</v>
      </c>
      <c r="BQ2" t="s">
        <v>3463</v>
      </c>
      <c r="BR2" t="s">
        <v>3465</v>
      </c>
      <c r="BS2" t="s">
        <v>3463</v>
      </c>
      <c r="BT2" t="s">
        <v>3463</v>
      </c>
      <c r="BU2" t="s">
        <v>3463</v>
      </c>
      <c r="BX2" t="s">
        <v>79</v>
      </c>
      <c r="BY2" t="s">
        <v>79</v>
      </c>
      <c r="BZ2" t="s">
        <v>79</v>
      </c>
      <c r="CA2" s="10">
        <v>45908</v>
      </c>
    </row>
    <row r="3" spans="1:79">
      <c r="A3">
        <v>2</v>
      </c>
      <c r="B3">
        <v>3</v>
      </c>
      <c r="C3">
        <v>51</v>
      </c>
      <c r="D3" t="s">
        <v>3462</v>
      </c>
      <c r="E3" t="s">
        <v>81</v>
      </c>
      <c r="F3" t="s">
        <v>71</v>
      </c>
      <c r="G3" s="12" t="s">
        <v>3463</v>
      </c>
      <c r="I3">
        <v>67</v>
      </c>
      <c r="K3">
        <v>132</v>
      </c>
      <c r="L3">
        <v>83</v>
      </c>
      <c r="M3" t="s">
        <v>82</v>
      </c>
      <c r="P3" t="s">
        <v>83</v>
      </c>
      <c r="Q3" t="s">
        <v>82</v>
      </c>
      <c r="R3">
        <v>78</v>
      </c>
      <c r="S3">
        <v>171</v>
      </c>
      <c r="T3" s="8">
        <f t="shared" si="0"/>
        <v>26.674874320303683</v>
      </c>
      <c r="U3" s="13" t="str" cm="1">
        <f t="array" ref="U3">IF(T3="","",_xlfn.IFS(T3&lt;18.5,"Bajo peso",T3&lt;25,"Peso normal",T3&lt;30,"Sobrepeso",T3&lt;35,"Obesidad clase I",T3&lt;40,"Obesidad clase II",T3&gt;=40,"Obesidad clase III"))</f>
        <v>Sobrepeso</v>
      </c>
      <c r="V3">
        <v>101</v>
      </c>
      <c r="X3" t="s">
        <v>3463</v>
      </c>
      <c r="Y3">
        <v>0.81</v>
      </c>
      <c r="AA3">
        <v>90</v>
      </c>
      <c r="AB3" s="9">
        <f t="shared" si="1"/>
        <v>106.74701005031858</v>
      </c>
      <c r="AD3" t="s">
        <v>73</v>
      </c>
      <c r="AF3" t="s">
        <v>73</v>
      </c>
      <c r="AH3" t="s">
        <v>3463</v>
      </c>
      <c r="AI3" t="s">
        <v>3463</v>
      </c>
      <c r="AJ3" t="s">
        <v>3465</v>
      </c>
      <c r="AK3" t="s">
        <v>3463</v>
      </c>
      <c r="AL3" t="s">
        <v>3463</v>
      </c>
      <c r="AO3" t="s">
        <v>3465</v>
      </c>
      <c r="AP3" t="s">
        <v>3464</v>
      </c>
      <c r="AV3" t="s">
        <v>74</v>
      </c>
      <c r="AW3" t="s">
        <v>3915</v>
      </c>
      <c r="BB3" t="s">
        <v>3485</v>
      </c>
      <c r="BF3" t="s">
        <v>3921</v>
      </c>
      <c r="BG3" t="s">
        <v>85</v>
      </c>
      <c r="BH3" t="s">
        <v>4015</v>
      </c>
      <c r="BJ3" t="s">
        <v>86</v>
      </c>
      <c r="BP3" t="s">
        <v>4255</v>
      </c>
      <c r="BQ3" t="s">
        <v>3465</v>
      </c>
      <c r="BR3" t="s">
        <v>3465</v>
      </c>
      <c r="BS3" t="s">
        <v>3463</v>
      </c>
      <c r="BT3" t="s">
        <v>3463</v>
      </c>
      <c r="BU3" t="s">
        <v>3463</v>
      </c>
      <c r="BV3" t="s">
        <v>3463</v>
      </c>
      <c r="BW3" t="s">
        <v>3463</v>
      </c>
      <c r="BX3" t="s">
        <v>79</v>
      </c>
      <c r="BY3" t="s">
        <v>87</v>
      </c>
      <c r="BZ3" t="s">
        <v>79</v>
      </c>
      <c r="CA3" s="10">
        <v>45908</v>
      </c>
    </row>
    <row r="4" spans="1:79">
      <c r="A4">
        <v>3</v>
      </c>
      <c r="B4">
        <v>4</v>
      </c>
      <c r="C4">
        <v>49</v>
      </c>
      <c r="D4" t="s">
        <v>3466</v>
      </c>
      <c r="F4" t="s">
        <v>71</v>
      </c>
      <c r="G4" s="12" t="s">
        <v>3465</v>
      </c>
      <c r="H4" s="12" t="s">
        <v>88</v>
      </c>
      <c r="I4">
        <v>63</v>
      </c>
      <c r="K4">
        <v>137</v>
      </c>
      <c r="L4">
        <v>75</v>
      </c>
      <c r="M4" t="s">
        <v>82</v>
      </c>
      <c r="P4" t="s">
        <v>83</v>
      </c>
      <c r="Q4" t="s">
        <v>82</v>
      </c>
      <c r="R4">
        <v>78.8</v>
      </c>
      <c r="S4">
        <v>153</v>
      </c>
      <c r="T4" s="8">
        <f t="shared" si="0"/>
        <v>33.662266649579223</v>
      </c>
      <c r="U4" s="13" t="str" cm="1">
        <f t="array" ref="U4">IF(T4="","",_xlfn.IFS(T4&lt;18.5,"Bajo peso",T4&lt;25,"Peso normal",T4&lt;30,"Sobrepeso",T4&lt;35,"Obesidad clase I",T4&lt;40,"Obesidad clase II",T4&gt;=40,"Obesidad clase III"))</f>
        <v>Obesidad clase I</v>
      </c>
      <c r="V4">
        <v>100</v>
      </c>
      <c r="X4" t="s">
        <v>3463</v>
      </c>
      <c r="Y4">
        <v>0.59</v>
      </c>
      <c r="AA4">
        <v>90</v>
      </c>
      <c r="AB4" s="9">
        <f t="shared" si="1"/>
        <v>110.41111045263327</v>
      </c>
      <c r="AD4" t="s">
        <v>73</v>
      </c>
      <c r="AF4" t="s">
        <v>73</v>
      </c>
      <c r="AG4" t="s">
        <v>3463</v>
      </c>
      <c r="AH4" t="s">
        <v>3465</v>
      </c>
      <c r="AI4" t="s">
        <v>3463</v>
      </c>
      <c r="AJ4" t="s">
        <v>3463</v>
      </c>
      <c r="AK4" t="s">
        <v>3463</v>
      </c>
      <c r="AL4" t="s">
        <v>3463</v>
      </c>
      <c r="AP4" t="s">
        <v>3463</v>
      </c>
      <c r="AQ4" t="s">
        <v>89</v>
      </c>
      <c r="AR4" t="s">
        <v>3488</v>
      </c>
      <c r="AT4" t="s">
        <v>3465</v>
      </c>
      <c r="AU4" t="s">
        <v>80</v>
      </c>
      <c r="AV4" t="s">
        <v>74</v>
      </c>
      <c r="AW4" t="s">
        <v>3915</v>
      </c>
      <c r="AX4" t="s">
        <v>3463</v>
      </c>
      <c r="AY4" t="s">
        <v>3465</v>
      </c>
      <c r="AZ4" t="s">
        <v>90</v>
      </c>
      <c r="BB4" t="s">
        <v>3485</v>
      </c>
      <c r="BC4" t="s">
        <v>91</v>
      </c>
      <c r="BF4" t="s">
        <v>3921</v>
      </c>
      <c r="BG4" t="s">
        <v>92</v>
      </c>
      <c r="BH4" t="s">
        <v>4016</v>
      </c>
      <c r="BJ4" t="s">
        <v>86</v>
      </c>
      <c r="BK4" t="s">
        <v>93</v>
      </c>
      <c r="BN4" t="s">
        <v>94</v>
      </c>
      <c r="BP4" t="s">
        <v>4256</v>
      </c>
      <c r="BQ4" t="s">
        <v>3463</v>
      </c>
      <c r="BR4" t="s">
        <v>3463</v>
      </c>
      <c r="BS4" t="s">
        <v>3465</v>
      </c>
      <c r="BT4" t="s">
        <v>3465</v>
      </c>
      <c r="BU4" t="s">
        <v>3463</v>
      </c>
      <c r="BV4" t="s">
        <v>3463</v>
      </c>
      <c r="BW4" t="s">
        <v>3463</v>
      </c>
      <c r="BX4" t="s">
        <v>79</v>
      </c>
      <c r="BY4" t="s">
        <v>87</v>
      </c>
      <c r="BZ4" t="s">
        <v>95</v>
      </c>
      <c r="CA4" s="10">
        <v>45908</v>
      </c>
    </row>
    <row r="5" spans="1:79">
      <c r="A5">
        <v>4</v>
      </c>
      <c r="B5">
        <v>5</v>
      </c>
      <c r="C5">
        <v>41</v>
      </c>
      <c r="D5" t="s">
        <v>3466</v>
      </c>
      <c r="F5" t="s">
        <v>71</v>
      </c>
      <c r="G5" s="12" t="s">
        <v>3463</v>
      </c>
      <c r="I5">
        <v>58</v>
      </c>
      <c r="J5">
        <v>57</v>
      </c>
      <c r="K5">
        <v>181</v>
      </c>
      <c r="L5">
        <v>100</v>
      </c>
      <c r="M5" t="s">
        <v>96</v>
      </c>
      <c r="N5">
        <v>176</v>
      </c>
      <c r="O5">
        <v>95</v>
      </c>
      <c r="P5" t="s">
        <v>72</v>
      </c>
      <c r="Q5" t="s">
        <v>72</v>
      </c>
      <c r="R5">
        <v>99.8</v>
      </c>
      <c r="S5">
        <v>160.5</v>
      </c>
      <c r="T5" s="8">
        <f t="shared" si="0"/>
        <v>38.741860036296231</v>
      </c>
      <c r="U5" s="13" t="str" cm="1">
        <f t="array" ref="U5">IF(T5="","",_xlfn.IFS(T5&lt;18.5,"Bajo peso",T5&lt;25,"Peso normal",T5&lt;30,"Sobrepeso",T5&lt;35,"Obesidad clase I",T5&lt;40,"Obesidad clase II",T5&gt;=40,"Obesidad clase III"))</f>
        <v>Obesidad clase II</v>
      </c>
      <c r="V5">
        <v>110</v>
      </c>
      <c r="X5" t="s">
        <v>3463</v>
      </c>
      <c r="Y5">
        <v>0.8</v>
      </c>
      <c r="AA5">
        <v>90</v>
      </c>
      <c r="AB5" s="9">
        <f t="shared" si="1"/>
        <v>94.871815026726054</v>
      </c>
      <c r="AD5" t="s">
        <v>73</v>
      </c>
      <c r="AF5" t="s">
        <v>73</v>
      </c>
      <c r="AH5" t="s">
        <v>3463</v>
      </c>
      <c r="AI5" t="s">
        <v>3465</v>
      </c>
      <c r="AJ5" t="s">
        <v>3463</v>
      </c>
      <c r="AK5" t="s">
        <v>3463</v>
      </c>
      <c r="AL5" t="s">
        <v>3463</v>
      </c>
      <c r="AO5" t="s">
        <v>3463</v>
      </c>
      <c r="AP5" t="s">
        <v>3465</v>
      </c>
      <c r="AQ5" t="s">
        <v>97</v>
      </c>
      <c r="AR5" t="s">
        <v>3489</v>
      </c>
      <c r="AS5" t="s">
        <v>3463</v>
      </c>
      <c r="AT5" t="s">
        <v>3465</v>
      </c>
      <c r="AU5" t="s">
        <v>80</v>
      </c>
      <c r="AV5" t="s">
        <v>74</v>
      </c>
      <c r="AW5" t="s">
        <v>3915</v>
      </c>
      <c r="AX5" t="s">
        <v>3463</v>
      </c>
      <c r="AY5" t="s">
        <v>3465</v>
      </c>
      <c r="AZ5" t="s">
        <v>98</v>
      </c>
      <c r="BA5" t="s">
        <v>3920</v>
      </c>
      <c r="BC5" t="s">
        <v>91</v>
      </c>
      <c r="BF5" t="s">
        <v>3921</v>
      </c>
      <c r="BG5" t="s">
        <v>99</v>
      </c>
      <c r="BH5" t="s">
        <v>4017</v>
      </c>
      <c r="BK5" t="s">
        <v>100</v>
      </c>
      <c r="BN5" t="s">
        <v>101</v>
      </c>
      <c r="BO5" t="s">
        <v>102</v>
      </c>
      <c r="BP5" t="s">
        <v>4257</v>
      </c>
      <c r="BQ5" t="s">
        <v>3465</v>
      </c>
      <c r="BR5" t="s">
        <v>3463</v>
      </c>
      <c r="BS5" t="s">
        <v>3465</v>
      </c>
      <c r="BT5" t="s">
        <v>3465</v>
      </c>
      <c r="BU5" t="s">
        <v>3463</v>
      </c>
      <c r="BV5" t="s">
        <v>3463</v>
      </c>
      <c r="BW5" t="s">
        <v>3463</v>
      </c>
      <c r="BX5" t="s">
        <v>79</v>
      </c>
      <c r="BY5" t="s">
        <v>87</v>
      </c>
      <c r="BZ5" t="s">
        <v>79</v>
      </c>
      <c r="CA5" s="10">
        <v>45908</v>
      </c>
    </row>
    <row r="6" spans="1:79">
      <c r="A6">
        <v>5</v>
      </c>
      <c r="B6">
        <v>6</v>
      </c>
      <c r="C6">
        <v>38</v>
      </c>
      <c r="D6" t="s">
        <v>3466</v>
      </c>
      <c r="F6" t="s">
        <v>71</v>
      </c>
      <c r="G6" s="12" t="s">
        <v>3463</v>
      </c>
      <c r="I6">
        <v>75</v>
      </c>
      <c r="J6">
        <v>74</v>
      </c>
      <c r="K6">
        <v>156</v>
      </c>
      <c r="L6">
        <v>85</v>
      </c>
      <c r="M6" t="s">
        <v>72</v>
      </c>
      <c r="N6">
        <v>139</v>
      </c>
      <c r="O6">
        <v>82</v>
      </c>
      <c r="P6" t="s">
        <v>82</v>
      </c>
      <c r="Q6" t="s">
        <v>82</v>
      </c>
      <c r="R6">
        <v>46.1</v>
      </c>
      <c r="S6">
        <v>148.5</v>
      </c>
      <c r="T6" s="8">
        <f t="shared" si="0"/>
        <v>20.904896325771748</v>
      </c>
      <c r="U6" s="13" t="str" cm="1">
        <f t="array" ref="U6">IF(T6="","",_xlfn.IFS(T6&lt;18.5,"Bajo peso",T6&lt;25,"Peso normal",T6&lt;30,"Sobrepeso",T6&lt;35,"Obesidad clase I",T6&lt;40,"Obesidad clase II",T6&gt;=40,"Obesidad clase III"))</f>
        <v>Peso normal</v>
      </c>
      <c r="V6">
        <v>117</v>
      </c>
      <c r="X6" t="s">
        <v>3463</v>
      </c>
      <c r="Y6">
        <v>0.82</v>
      </c>
      <c r="AA6">
        <v>90</v>
      </c>
      <c r="AB6" s="9">
        <f t="shared" si="1"/>
        <v>93.836455254814837</v>
      </c>
      <c r="AD6" t="s">
        <v>73</v>
      </c>
      <c r="AF6" t="s">
        <v>73</v>
      </c>
      <c r="AG6" t="s">
        <v>3465</v>
      </c>
      <c r="AH6" t="s">
        <v>3465</v>
      </c>
      <c r="AI6" t="s">
        <v>3464</v>
      </c>
      <c r="AJ6" t="s">
        <v>3465</v>
      </c>
      <c r="AK6" t="s">
        <v>3465</v>
      </c>
      <c r="AL6" t="s">
        <v>3465</v>
      </c>
      <c r="AM6" t="s">
        <v>103</v>
      </c>
      <c r="AN6" t="s">
        <v>2045</v>
      </c>
      <c r="AO6" t="s">
        <v>3465</v>
      </c>
      <c r="AP6" t="s">
        <v>3465</v>
      </c>
      <c r="AT6" t="s">
        <v>3465</v>
      </c>
      <c r="AU6" t="s">
        <v>80</v>
      </c>
      <c r="AW6" t="s">
        <v>3916</v>
      </c>
      <c r="AX6" t="s">
        <v>3463</v>
      </c>
      <c r="AY6" t="s">
        <v>3465</v>
      </c>
      <c r="AZ6" t="s">
        <v>104</v>
      </c>
      <c r="BB6" t="s">
        <v>3485</v>
      </c>
      <c r="BD6" t="s">
        <v>105</v>
      </c>
      <c r="BF6" t="s">
        <v>3921</v>
      </c>
      <c r="BG6" t="s">
        <v>106</v>
      </c>
      <c r="BH6" t="s">
        <v>4018</v>
      </c>
      <c r="BK6" t="s">
        <v>107</v>
      </c>
      <c r="BN6" t="s">
        <v>108</v>
      </c>
      <c r="BP6" t="s">
        <v>4258</v>
      </c>
      <c r="BQ6" t="s">
        <v>3463</v>
      </c>
      <c r="BR6" t="s">
        <v>3463</v>
      </c>
      <c r="BS6" t="s">
        <v>3463</v>
      </c>
      <c r="BT6" t="s">
        <v>3465</v>
      </c>
      <c r="BU6" t="s">
        <v>3463</v>
      </c>
      <c r="BV6" t="s">
        <v>3463</v>
      </c>
      <c r="BW6" t="s">
        <v>3463</v>
      </c>
      <c r="BX6" t="s">
        <v>79</v>
      </c>
      <c r="BY6" t="s">
        <v>87</v>
      </c>
      <c r="BZ6" t="s">
        <v>109</v>
      </c>
      <c r="CA6" s="10">
        <v>45908</v>
      </c>
    </row>
    <row r="7" spans="1:79">
      <c r="A7">
        <v>6</v>
      </c>
      <c r="B7">
        <v>7</v>
      </c>
      <c r="C7">
        <v>52</v>
      </c>
      <c r="D7" t="s">
        <v>3462</v>
      </c>
      <c r="E7" t="s">
        <v>81</v>
      </c>
      <c r="F7" t="s">
        <v>71</v>
      </c>
      <c r="G7" s="12" t="s">
        <v>3465</v>
      </c>
      <c r="H7" s="12" t="s">
        <v>88</v>
      </c>
      <c r="I7">
        <v>63</v>
      </c>
      <c r="J7">
        <v>65</v>
      </c>
      <c r="K7">
        <v>156</v>
      </c>
      <c r="L7">
        <v>91</v>
      </c>
      <c r="M7" t="s">
        <v>72</v>
      </c>
      <c r="N7">
        <v>149</v>
      </c>
      <c r="O7">
        <v>95</v>
      </c>
      <c r="P7" t="s">
        <v>72</v>
      </c>
      <c r="Q7" t="s">
        <v>72</v>
      </c>
      <c r="R7">
        <v>74.2</v>
      </c>
      <c r="S7">
        <v>162.5</v>
      </c>
      <c r="T7" s="8">
        <f t="shared" si="0"/>
        <v>28.099408284023671</v>
      </c>
      <c r="U7" s="13" t="str" cm="1">
        <f t="array" ref="U7">IF(T7="","",_xlfn.IFS(T7&lt;18.5,"Bajo peso",T7&lt;25,"Peso normal",T7&lt;30,"Sobrepeso",T7&lt;35,"Obesidad clase I",T7&lt;40,"Obesidad clase II",T7&gt;=40,"Obesidad clase III"))</f>
        <v>Sobrepeso</v>
      </c>
      <c r="V7">
        <v>94</v>
      </c>
      <c r="X7" t="s">
        <v>3463</v>
      </c>
      <c r="Y7">
        <v>0.59</v>
      </c>
      <c r="AA7">
        <v>90</v>
      </c>
      <c r="AB7" s="9">
        <f t="shared" si="1"/>
        <v>116.74005135185368</v>
      </c>
      <c r="AD7" t="s">
        <v>73</v>
      </c>
      <c r="AF7" t="s">
        <v>73</v>
      </c>
      <c r="AH7" t="s">
        <v>3463</v>
      </c>
      <c r="AI7" t="s">
        <v>3463</v>
      </c>
      <c r="AJ7" t="s">
        <v>3463</v>
      </c>
      <c r="AK7" t="s">
        <v>3463</v>
      </c>
      <c r="AL7" t="s">
        <v>3465</v>
      </c>
      <c r="AM7" t="s">
        <v>110</v>
      </c>
      <c r="AN7" t="s">
        <v>110</v>
      </c>
      <c r="AP7" t="s">
        <v>3463</v>
      </c>
      <c r="AQ7" t="s">
        <v>111</v>
      </c>
      <c r="AR7" t="s">
        <v>3488</v>
      </c>
      <c r="AV7" t="s">
        <v>112</v>
      </c>
      <c r="AW7" t="s">
        <v>3917</v>
      </c>
      <c r="BA7" t="s">
        <v>3920</v>
      </c>
      <c r="BE7" t="s">
        <v>113</v>
      </c>
      <c r="BF7" t="s">
        <v>3922</v>
      </c>
      <c r="BG7" t="s">
        <v>114</v>
      </c>
      <c r="BH7" t="s">
        <v>4019</v>
      </c>
      <c r="BI7" t="s">
        <v>76</v>
      </c>
      <c r="BM7" t="s">
        <v>115</v>
      </c>
      <c r="BP7" t="s">
        <v>4259</v>
      </c>
      <c r="BQ7" t="s">
        <v>3463</v>
      </c>
      <c r="BR7" t="s">
        <v>3463</v>
      </c>
      <c r="BS7" t="s">
        <v>3465</v>
      </c>
      <c r="BT7" t="s">
        <v>3465</v>
      </c>
      <c r="BU7" t="s">
        <v>3465</v>
      </c>
      <c r="BV7" t="s">
        <v>3465</v>
      </c>
      <c r="BW7" t="s">
        <v>3465</v>
      </c>
      <c r="BX7" t="s">
        <v>79</v>
      </c>
      <c r="BY7" t="s">
        <v>87</v>
      </c>
      <c r="BZ7" t="s">
        <v>79</v>
      </c>
      <c r="CA7" s="10">
        <v>45908</v>
      </c>
    </row>
    <row r="8" spans="1:79">
      <c r="A8">
        <v>7</v>
      </c>
      <c r="B8">
        <v>8</v>
      </c>
      <c r="C8">
        <v>39</v>
      </c>
      <c r="D8" t="s">
        <v>3466</v>
      </c>
      <c r="F8" t="s">
        <v>71</v>
      </c>
      <c r="G8" s="12" t="s">
        <v>3463</v>
      </c>
      <c r="I8">
        <v>63</v>
      </c>
      <c r="K8">
        <v>137</v>
      </c>
      <c r="L8">
        <v>75</v>
      </c>
      <c r="M8" t="s">
        <v>82</v>
      </c>
      <c r="P8" t="s">
        <v>83</v>
      </c>
      <c r="Q8" t="s">
        <v>82</v>
      </c>
      <c r="R8">
        <v>81.7</v>
      </c>
      <c r="S8">
        <v>144</v>
      </c>
      <c r="T8" s="8">
        <f t="shared" si="0"/>
        <v>39.400077160493829</v>
      </c>
      <c r="U8" s="13" t="str" cm="1">
        <f t="array" ref="U8">IF(T8="","",_xlfn.IFS(T8&lt;18.5,"Bajo peso",T8&lt;25,"Peso normal",T8&lt;30,"Sobrepeso",T8&lt;35,"Obesidad clase I",T8&lt;40,"Obesidad clase II",T8&gt;=40,"Obesidad clase III"))</f>
        <v>Obesidad clase II</v>
      </c>
      <c r="V8">
        <v>91</v>
      </c>
      <c r="X8" t="s">
        <v>3463</v>
      </c>
      <c r="Y8">
        <v>0.87</v>
      </c>
      <c r="AA8">
        <v>86</v>
      </c>
      <c r="AB8" s="9">
        <f t="shared" si="1"/>
        <v>86.860856156385054</v>
      </c>
      <c r="AD8" t="s">
        <v>73</v>
      </c>
      <c r="AF8" t="s">
        <v>73</v>
      </c>
      <c r="AH8" t="s">
        <v>3463</v>
      </c>
      <c r="AI8" t="s">
        <v>3463</v>
      </c>
      <c r="AJ8" t="s">
        <v>3463</v>
      </c>
      <c r="AK8" t="s">
        <v>3463</v>
      </c>
      <c r="AL8" t="s">
        <v>3465</v>
      </c>
      <c r="AM8" t="s">
        <v>116</v>
      </c>
      <c r="AN8" t="s">
        <v>116</v>
      </c>
      <c r="AP8" t="s">
        <v>3463</v>
      </c>
      <c r="AQ8" t="s">
        <v>117</v>
      </c>
      <c r="AR8" t="s">
        <v>3490</v>
      </c>
      <c r="AT8" t="s">
        <v>3465</v>
      </c>
      <c r="AU8" t="s">
        <v>80</v>
      </c>
      <c r="AV8" t="s">
        <v>74</v>
      </c>
      <c r="AW8" t="s">
        <v>3915</v>
      </c>
      <c r="AX8" t="s">
        <v>3463</v>
      </c>
      <c r="AY8" t="s">
        <v>3465</v>
      </c>
      <c r="AZ8" t="s">
        <v>90</v>
      </c>
      <c r="BF8" t="s">
        <v>3921</v>
      </c>
      <c r="BH8" t="s">
        <v>4020</v>
      </c>
      <c r="BP8" t="s">
        <v>4260</v>
      </c>
      <c r="BQ8" t="s">
        <v>3463</v>
      </c>
      <c r="BR8" t="s">
        <v>3465</v>
      </c>
      <c r="BS8" t="s">
        <v>3465</v>
      </c>
      <c r="BT8" t="s">
        <v>3465</v>
      </c>
      <c r="BU8" t="s">
        <v>3463</v>
      </c>
      <c r="BV8" t="s">
        <v>3463</v>
      </c>
      <c r="BW8" t="s">
        <v>3463</v>
      </c>
      <c r="BX8" t="s">
        <v>79</v>
      </c>
      <c r="BY8" t="s">
        <v>87</v>
      </c>
      <c r="BZ8" t="s">
        <v>79</v>
      </c>
      <c r="CA8" s="10">
        <v>45908</v>
      </c>
    </row>
    <row r="9" spans="1:79">
      <c r="A9">
        <v>8</v>
      </c>
      <c r="B9">
        <v>9</v>
      </c>
      <c r="C9">
        <v>54</v>
      </c>
      <c r="D9" t="s">
        <v>3462</v>
      </c>
      <c r="F9" t="s">
        <v>71</v>
      </c>
      <c r="G9" s="12" t="s">
        <v>3463</v>
      </c>
      <c r="I9">
        <v>73</v>
      </c>
      <c r="K9">
        <v>122</v>
      </c>
      <c r="L9">
        <v>74</v>
      </c>
      <c r="M9" t="s">
        <v>118</v>
      </c>
      <c r="P9" t="s">
        <v>83</v>
      </c>
      <c r="Q9" t="s">
        <v>118</v>
      </c>
      <c r="R9">
        <v>90</v>
      </c>
      <c r="S9">
        <v>183</v>
      </c>
      <c r="T9" s="8">
        <f t="shared" si="0"/>
        <v>26.874496103198066</v>
      </c>
      <c r="U9" s="13" t="str" cm="1">
        <f t="array" ref="U9">IF(T9="","",_xlfn.IFS(T9&lt;18.5,"Bajo peso",T9&lt;25,"Peso normal",T9&lt;30,"Sobrepeso",T9&lt;35,"Obesidad clase I",T9&lt;40,"Obesidad clase II",T9&gt;=40,"Obesidad clase III"))</f>
        <v>Sobrepeso</v>
      </c>
      <c r="V9">
        <v>96</v>
      </c>
      <c r="X9" t="s">
        <v>3463</v>
      </c>
      <c r="Y9">
        <v>0.7</v>
      </c>
      <c r="AA9">
        <v>90</v>
      </c>
      <c r="AB9" s="9">
        <f t="shared" si="1"/>
        <v>109.4953217928133</v>
      </c>
      <c r="AD9" t="s">
        <v>73</v>
      </c>
      <c r="AF9" t="s">
        <v>73</v>
      </c>
      <c r="AH9" t="s">
        <v>3463</v>
      </c>
      <c r="AI9" t="s">
        <v>3465</v>
      </c>
      <c r="AJ9" t="s">
        <v>3463</v>
      </c>
      <c r="AK9" t="s">
        <v>3465</v>
      </c>
      <c r="AL9" t="s">
        <v>3465</v>
      </c>
      <c r="AM9" t="s">
        <v>119</v>
      </c>
      <c r="AN9" t="s">
        <v>3604</v>
      </c>
      <c r="AP9" t="s">
        <v>3463</v>
      </c>
      <c r="AQ9" t="s">
        <v>120</v>
      </c>
      <c r="AR9" t="s">
        <v>3491</v>
      </c>
      <c r="AS9" t="s">
        <v>3463</v>
      </c>
      <c r="AW9" t="s">
        <v>3916</v>
      </c>
      <c r="BF9" t="s">
        <v>3921</v>
      </c>
      <c r="BH9" t="s">
        <v>4020</v>
      </c>
      <c r="BP9" t="s">
        <v>4260</v>
      </c>
      <c r="BQ9" t="s">
        <v>3463</v>
      </c>
      <c r="BR9" t="s">
        <v>3463</v>
      </c>
      <c r="BS9" t="s">
        <v>3463</v>
      </c>
      <c r="BT9" t="s">
        <v>3465</v>
      </c>
      <c r="BU9" t="s">
        <v>3463</v>
      </c>
      <c r="BV9" t="s">
        <v>3463</v>
      </c>
      <c r="BW9" t="s">
        <v>3463</v>
      </c>
      <c r="BX9" t="s">
        <v>79</v>
      </c>
      <c r="BY9" t="s">
        <v>121</v>
      </c>
      <c r="BZ9" t="s">
        <v>79</v>
      </c>
      <c r="CA9" s="10">
        <v>45908</v>
      </c>
    </row>
    <row r="10" spans="1:79">
      <c r="A10">
        <v>9</v>
      </c>
      <c r="B10">
        <v>10</v>
      </c>
      <c r="C10">
        <v>56</v>
      </c>
      <c r="D10" t="s">
        <v>3466</v>
      </c>
      <c r="E10" t="s">
        <v>122</v>
      </c>
      <c r="F10" t="s">
        <v>71</v>
      </c>
      <c r="G10" s="12" t="s">
        <v>3463</v>
      </c>
      <c r="I10">
        <v>67</v>
      </c>
      <c r="J10">
        <v>65</v>
      </c>
      <c r="K10">
        <v>152</v>
      </c>
      <c r="L10">
        <v>86</v>
      </c>
      <c r="M10" t="s">
        <v>72</v>
      </c>
      <c r="N10">
        <v>142</v>
      </c>
      <c r="O10">
        <v>79</v>
      </c>
      <c r="P10" t="s">
        <v>72</v>
      </c>
      <c r="Q10" t="s">
        <v>72</v>
      </c>
      <c r="R10">
        <v>65.599999999999994</v>
      </c>
      <c r="S10">
        <v>152.5</v>
      </c>
      <c r="T10" s="8">
        <f t="shared" si="0"/>
        <v>28.207471109916689</v>
      </c>
      <c r="U10" s="13" t="str" cm="1">
        <f t="array" ref="U10">IF(T10="","",_xlfn.IFS(T10&lt;18.5,"Bajo peso",T10&lt;25,"Peso normal",T10&lt;30,"Sobrepeso",T10&lt;35,"Obesidad clase I",T10&lt;40,"Obesidad clase II",T10&gt;=40,"Obesidad clase III"))</f>
        <v>Sobrepeso</v>
      </c>
      <c r="V10">
        <v>106</v>
      </c>
      <c r="X10" t="s">
        <v>3463</v>
      </c>
      <c r="Y10">
        <v>0.68</v>
      </c>
      <c r="AA10">
        <v>90</v>
      </c>
      <c r="AB10" s="9">
        <f t="shared" si="1"/>
        <v>102.15189122362986</v>
      </c>
      <c r="AD10" t="s">
        <v>73</v>
      </c>
      <c r="AF10" t="s">
        <v>73</v>
      </c>
      <c r="AH10" t="s">
        <v>3463</v>
      </c>
      <c r="AI10" t="s">
        <v>3463</v>
      </c>
      <c r="AJ10" t="s">
        <v>3463</v>
      </c>
      <c r="AK10" t="s">
        <v>3463</v>
      </c>
      <c r="AL10" t="s">
        <v>3465</v>
      </c>
      <c r="AM10" t="s">
        <v>123</v>
      </c>
      <c r="AN10" t="s">
        <v>3605</v>
      </c>
      <c r="AO10" t="s">
        <v>3465</v>
      </c>
      <c r="AP10" t="s">
        <v>3465</v>
      </c>
      <c r="AQ10" t="s">
        <v>124</v>
      </c>
      <c r="AR10" t="s">
        <v>3492</v>
      </c>
      <c r="AT10" t="s">
        <v>3465</v>
      </c>
      <c r="AU10" t="s">
        <v>125</v>
      </c>
      <c r="AV10" t="s">
        <v>126</v>
      </c>
      <c r="AW10" t="s">
        <v>126</v>
      </c>
      <c r="AX10" t="s">
        <v>3463</v>
      </c>
      <c r="AY10" t="s">
        <v>3465</v>
      </c>
      <c r="AZ10" t="s">
        <v>127</v>
      </c>
      <c r="BA10" t="s">
        <v>3920</v>
      </c>
      <c r="BC10" t="s">
        <v>128</v>
      </c>
      <c r="BF10" t="s">
        <v>3921</v>
      </c>
      <c r="BG10" t="s">
        <v>129</v>
      </c>
      <c r="BH10" t="s">
        <v>4021</v>
      </c>
      <c r="BI10" t="s">
        <v>76</v>
      </c>
      <c r="BP10" t="s">
        <v>4261</v>
      </c>
      <c r="BQ10" t="s">
        <v>3463</v>
      </c>
      <c r="BR10" t="s">
        <v>3463</v>
      </c>
      <c r="BS10" t="s">
        <v>3465</v>
      </c>
      <c r="BT10" t="s">
        <v>3465</v>
      </c>
      <c r="BU10" t="s">
        <v>3463</v>
      </c>
      <c r="BV10" t="s">
        <v>3463</v>
      </c>
      <c r="BW10" t="s">
        <v>3463</v>
      </c>
      <c r="BX10" t="s">
        <v>79</v>
      </c>
      <c r="BY10" t="s">
        <v>87</v>
      </c>
      <c r="BZ10" t="s">
        <v>79</v>
      </c>
      <c r="CA10" s="10">
        <v>45908</v>
      </c>
    </row>
    <row r="11" spans="1:79">
      <c r="A11">
        <v>10</v>
      </c>
      <c r="B11">
        <v>11</v>
      </c>
      <c r="C11">
        <v>56</v>
      </c>
      <c r="D11" t="s">
        <v>3466</v>
      </c>
      <c r="F11" t="s">
        <v>71</v>
      </c>
      <c r="G11" s="12" t="s">
        <v>3463</v>
      </c>
      <c r="I11">
        <v>82</v>
      </c>
      <c r="J11">
        <v>83</v>
      </c>
      <c r="K11">
        <v>157</v>
      </c>
      <c r="L11">
        <v>87</v>
      </c>
      <c r="M11" t="s">
        <v>72</v>
      </c>
      <c r="N11">
        <v>135</v>
      </c>
      <c r="O11">
        <v>91</v>
      </c>
      <c r="P11" t="s">
        <v>72</v>
      </c>
      <c r="Q11" t="s">
        <v>72</v>
      </c>
      <c r="R11">
        <v>91.1</v>
      </c>
      <c r="S11">
        <v>153</v>
      </c>
      <c r="T11" s="8">
        <f t="shared" si="0"/>
        <v>38.916655987013542</v>
      </c>
      <c r="U11" s="13" t="str" cm="1">
        <f t="array" ref="U11">IF(T11="","",_xlfn.IFS(T11&lt;18.5,"Bajo peso",T11&lt;25,"Peso normal",T11&lt;30,"Sobrepeso",T11&lt;35,"Obesidad clase I",T11&lt;40,"Obesidad clase II",T11&gt;=40,"Obesidad clase III"))</f>
        <v>Obesidad clase II</v>
      </c>
      <c r="V11">
        <v>95</v>
      </c>
      <c r="X11" t="s">
        <v>3463</v>
      </c>
      <c r="Y11">
        <v>1</v>
      </c>
      <c r="AA11">
        <v>66</v>
      </c>
      <c r="AB11" s="9">
        <f t="shared" si="1"/>
        <v>66.119579029045681</v>
      </c>
      <c r="AD11" t="s">
        <v>73</v>
      </c>
      <c r="AF11" t="s">
        <v>73</v>
      </c>
      <c r="AH11" t="s">
        <v>3463</v>
      </c>
      <c r="AI11" t="s">
        <v>3463</v>
      </c>
      <c r="AJ11" t="s">
        <v>3465</v>
      </c>
      <c r="AK11" t="s">
        <v>3463</v>
      </c>
      <c r="AL11" t="s">
        <v>3463</v>
      </c>
      <c r="AP11" t="s">
        <v>3463</v>
      </c>
      <c r="AQ11" t="s">
        <v>117</v>
      </c>
      <c r="AR11" t="s">
        <v>3490</v>
      </c>
      <c r="AT11" t="s">
        <v>3463</v>
      </c>
      <c r="AV11" t="s">
        <v>126</v>
      </c>
      <c r="AW11" t="s">
        <v>126</v>
      </c>
      <c r="AX11" t="s">
        <v>3463</v>
      </c>
      <c r="AY11" t="s">
        <v>3463</v>
      </c>
      <c r="AZ11" t="s">
        <v>130</v>
      </c>
      <c r="BF11" t="s">
        <v>3921</v>
      </c>
      <c r="BH11" t="s">
        <v>4020</v>
      </c>
      <c r="BP11" t="s">
        <v>4260</v>
      </c>
      <c r="BQ11" t="s">
        <v>3463</v>
      </c>
      <c r="BR11" t="s">
        <v>3463</v>
      </c>
      <c r="BS11" t="s">
        <v>3463</v>
      </c>
      <c r="BT11" t="s">
        <v>3463</v>
      </c>
      <c r="BU11" t="s">
        <v>3463</v>
      </c>
      <c r="BV11" t="s">
        <v>3463</v>
      </c>
      <c r="BW11" t="s">
        <v>3463</v>
      </c>
      <c r="BX11" t="s">
        <v>79</v>
      </c>
      <c r="BY11" t="s">
        <v>87</v>
      </c>
      <c r="BZ11" t="s">
        <v>79</v>
      </c>
      <c r="CA11" s="10">
        <v>45908</v>
      </c>
    </row>
    <row r="12" spans="1:79">
      <c r="A12">
        <v>11</v>
      </c>
      <c r="B12">
        <v>12</v>
      </c>
      <c r="C12">
        <v>53</v>
      </c>
      <c r="D12" t="s">
        <v>3462</v>
      </c>
      <c r="F12" t="s">
        <v>71</v>
      </c>
      <c r="G12" s="12" t="s">
        <v>3465</v>
      </c>
      <c r="H12" s="12" t="s">
        <v>88</v>
      </c>
      <c r="I12">
        <v>60</v>
      </c>
      <c r="J12">
        <v>57</v>
      </c>
      <c r="K12">
        <v>157</v>
      </c>
      <c r="L12">
        <v>102</v>
      </c>
      <c r="M12" t="s">
        <v>72</v>
      </c>
      <c r="N12">
        <v>161</v>
      </c>
      <c r="O12">
        <v>98</v>
      </c>
      <c r="P12" t="s">
        <v>72</v>
      </c>
      <c r="Q12" t="s">
        <v>72</v>
      </c>
      <c r="R12">
        <v>75.3</v>
      </c>
      <c r="S12">
        <v>167</v>
      </c>
      <c r="T12" s="8">
        <f t="shared" si="0"/>
        <v>26.999892430707447</v>
      </c>
      <c r="U12" s="13" t="str" cm="1">
        <f t="array" ref="U12">IF(T12="","",_xlfn.IFS(T12&lt;18.5,"Bajo peso",T12&lt;25,"Peso normal",T12&lt;30,"Sobrepeso",T12&lt;35,"Obesidad clase I",T12&lt;40,"Obesidad clase II",T12&gt;=40,"Obesidad clase III"))</f>
        <v>Sobrepeso</v>
      </c>
      <c r="V12">
        <v>102</v>
      </c>
      <c r="X12" t="s">
        <v>3463</v>
      </c>
      <c r="Y12">
        <v>1.27</v>
      </c>
      <c r="AA12">
        <v>68</v>
      </c>
      <c r="AB12" s="9">
        <f t="shared" si="1"/>
        <v>67.555620643995184</v>
      </c>
      <c r="AD12" t="s">
        <v>73</v>
      </c>
      <c r="AF12" t="s">
        <v>73</v>
      </c>
      <c r="AH12" t="s">
        <v>3463</v>
      </c>
      <c r="AI12" t="s">
        <v>3463</v>
      </c>
      <c r="AJ12" t="s">
        <v>3463</v>
      </c>
      <c r="AK12" t="s">
        <v>3463</v>
      </c>
      <c r="AL12" t="s">
        <v>3463</v>
      </c>
      <c r="AP12" t="s">
        <v>3463</v>
      </c>
      <c r="AQ12" t="s">
        <v>131</v>
      </c>
      <c r="AR12" t="s">
        <v>3493</v>
      </c>
      <c r="AV12" t="s">
        <v>126</v>
      </c>
      <c r="AW12" t="s">
        <v>126</v>
      </c>
      <c r="BA12" t="s">
        <v>3920</v>
      </c>
      <c r="BD12" t="s">
        <v>105</v>
      </c>
      <c r="BF12" t="s">
        <v>3921</v>
      </c>
      <c r="BG12" t="s">
        <v>132</v>
      </c>
      <c r="BH12" t="s">
        <v>4022</v>
      </c>
      <c r="BI12" t="s">
        <v>76</v>
      </c>
      <c r="BK12" t="s">
        <v>133</v>
      </c>
      <c r="BM12" t="s">
        <v>134</v>
      </c>
      <c r="BN12" t="s">
        <v>135</v>
      </c>
      <c r="BP12" t="s">
        <v>4262</v>
      </c>
      <c r="BQ12" t="s">
        <v>3463</v>
      </c>
      <c r="BR12" t="s">
        <v>3463</v>
      </c>
      <c r="BS12" t="s">
        <v>3463</v>
      </c>
      <c r="BT12" t="s">
        <v>3463</v>
      </c>
      <c r="BU12" t="s">
        <v>3463</v>
      </c>
      <c r="BV12" t="s">
        <v>3463</v>
      </c>
      <c r="BW12" t="s">
        <v>3463</v>
      </c>
      <c r="BX12" t="s">
        <v>79</v>
      </c>
      <c r="BY12" t="s">
        <v>87</v>
      </c>
      <c r="BZ12" t="s">
        <v>79</v>
      </c>
      <c r="CA12" s="10">
        <v>45908</v>
      </c>
    </row>
    <row r="13" spans="1:79">
      <c r="A13">
        <v>12</v>
      </c>
      <c r="B13">
        <v>13</v>
      </c>
      <c r="C13">
        <v>63</v>
      </c>
      <c r="D13" t="s">
        <v>3466</v>
      </c>
      <c r="E13" t="s">
        <v>81</v>
      </c>
      <c r="F13" t="s">
        <v>71</v>
      </c>
      <c r="G13" s="12" t="s">
        <v>3463</v>
      </c>
      <c r="I13">
        <v>65</v>
      </c>
      <c r="J13">
        <v>60</v>
      </c>
      <c r="K13">
        <v>147</v>
      </c>
      <c r="L13">
        <v>84</v>
      </c>
      <c r="M13" t="s">
        <v>72</v>
      </c>
      <c r="N13">
        <v>168</v>
      </c>
      <c r="O13">
        <v>88</v>
      </c>
      <c r="P13" t="s">
        <v>72</v>
      </c>
      <c r="Q13" t="s">
        <v>72</v>
      </c>
      <c r="R13">
        <v>78.599999999999994</v>
      </c>
      <c r="S13">
        <v>151</v>
      </c>
      <c r="T13" s="8">
        <f t="shared" si="0"/>
        <v>34.472172273145908</v>
      </c>
      <c r="U13" s="13" t="str" cm="1">
        <f t="array" ref="U13">IF(T13="","",_xlfn.IFS(T13&lt;18.5,"Bajo peso",T13&lt;25,"Peso normal",T13&lt;30,"Sobrepeso",T13&lt;35,"Obesidad clase I",T13&lt;40,"Obesidad clase II",T13&gt;=40,"Obesidad clase III"))</f>
        <v>Obesidad clase I</v>
      </c>
      <c r="V13">
        <v>104</v>
      </c>
      <c r="X13" t="s">
        <v>3463</v>
      </c>
      <c r="Y13">
        <v>0.55000000000000004</v>
      </c>
      <c r="AA13">
        <v>90</v>
      </c>
      <c r="AB13" s="9">
        <f t="shared" si="1"/>
        <v>102.93109624576357</v>
      </c>
      <c r="AD13" t="s">
        <v>73</v>
      </c>
      <c r="AF13" t="s">
        <v>73</v>
      </c>
      <c r="AH13" t="s">
        <v>3463</v>
      </c>
      <c r="AI13" t="s">
        <v>3465</v>
      </c>
      <c r="AJ13" t="s">
        <v>3463</v>
      </c>
      <c r="AK13" t="s">
        <v>3463</v>
      </c>
      <c r="AL13" t="s">
        <v>3463</v>
      </c>
      <c r="AP13" t="s">
        <v>3463</v>
      </c>
      <c r="AQ13" t="s">
        <v>136</v>
      </c>
      <c r="AR13" t="s">
        <v>3488</v>
      </c>
      <c r="AS13" t="s">
        <v>3465</v>
      </c>
      <c r="AT13" t="s">
        <v>3465</v>
      </c>
      <c r="AU13" t="s">
        <v>80</v>
      </c>
      <c r="AV13" t="s">
        <v>74</v>
      </c>
      <c r="AW13" t="s">
        <v>3915</v>
      </c>
      <c r="AX13" t="s">
        <v>3463</v>
      </c>
      <c r="AY13" t="s">
        <v>3465</v>
      </c>
      <c r="AZ13" t="s">
        <v>137</v>
      </c>
      <c r="BA13" t="s">
        <v>3920</v>
      </c>
      <c r="BF13" t="s">
        <v>3921</v>
      </c>
      <c r="BG13" t="s">
        <v>138</v>
      </c>
      <c r="BH13" t="s">
        <v>4023</v>
      </c>
      <c r="BI13" t="s">
        <v>139</v>
      </c>
      <c r="BN13" t="s">
        <v>140</v>
      </c>
      <c r="BO13" t="s">
        <v>141</v>
      </c>
      <c r="BP13" t="s">
        <v>4263</v>
      </c>
      <c r="BQ13" t="s">
        <v>3463</v>
      </c>
      <c r="BR13" t="s">
        <v>3465</v>
      </c>
      <c r="BS13" t="s">
        <v>3463</v>
      </c>
      <c r="BT13" t="s">
        <v>3463</v>
      </c>
      <c r="BU13" t="s">
        <v>3463</v>
      </c>
      <c r="BV13" t="s">
        <v>3463</v>
      </c>
      <c r="BW13" t="s">
        <v>3463</v>
      </c>
      <c r="BX13" t="s">
        <v>79</v>
      </c>
      <c r="BY13" t="s">
        <v>87</v>
      </c>
      <c r="BZ13" t="s">
        <v>79</v>
      </c>
      <c r="CA13" s="10">
        <v>45908</v>
      </c>
    </row>
    <row r="14" spans="1:79">
      <c r="A14">
        <v>13</v>
      </c>
      <c r="B14">
        <v>14</v>
      </c>
      <c r="C14">
        <v>51</v>
      </c>
      <c r="D14" t="s">
        <v>3462</v>
      </c>
      <c r="F14" t="s">
        <v>71</v>
      </c>
      <c r="G14" s="12" t="s">
        <v>3465</v>
      </c>
      <c r="H14" s="12" t="s">
        <v>88</v>
      </c>
      <c r="I14">
        <v>55</v>
      </c>
      <c r="J14">
        <v>59</v>
      </c>
      <c r="K14">
        <v>155</v>
      </c>
      <c r="L14">
        <v>93</v>
      </c>
      <c r="M14" t="s">
        <v>72</v>
      </c>
      <c r="N14">
        <v>163</v>
      </c>
      <c r="O14">
        <v>92</v>
      </c>
      <c r="P14" t="s">
        <v>72</v>
      </c>
      <c r="Q14" t="s">
        <v>72</v>
      </c>
      <c r="R14">
        <v>78.599999999999994</v>
      </c>
      <c r="S14">
        <v>153</v>
      </c>
      <c r="T14" s="8">
        <f t="shared" si="0"/>
        <v>33.576829424580289</v>
      </c>
      <c r="U14" s="13" t="str" cm="1">
        <f t="array" ref="U14">IF(T14="","",_xlfn.IFS(T14&lt;18.5,"Bajo peso",T14&lt;25,"Peso normal",T14&lt;30,"Sobrepeso",T14&lt;35,"Obesidad clase I",T14&lt;40,"Obesidad clase II",T14&gt;=40,"Obesidad clase III"))</f>
        <v>Obesidad clase I</v>
      </c>
      <c r="V14">
        <v>106</v>
      </c>
      <c r="X14" t="s">
        <v>3463</v>
      </c>
      <c r="Y14">
        <v>0.82</v>
      </c>
      <c r="AA14">
        <v>90</v>
      </c>
      <c r="AB14" s="9">
        <f t="shared" si="1"/>
        <v>106.35218372942951</v>
      </c>
      <c r="AD14" t="s">
        <v>73</v>
      </c>
      <c r="AF14" t="s">
        <v>73</v>
      </c>
      <c r="AH14" t="s">
        <v>3463</v>
      </c>
      <c r="AI14" t="s">
        <v>3465</v>
      </c>
      <c r="AJ14" t="s">
        <v>3463</v>
      </c>
      <c r="AK14" t="s">
        <v>3463</v>
      </c>
      <c r="AL14" t="s">
        <v>3465</v>
      </c>
      <c r="AM14" t="s">
        <v>142</v>
      </c>
      <c r="AN14" t="s">
        <v>3606</v>
      </c>
      <c r="AP14" t="s">
        <v>3463</v>
      </c>
      <c r="AQ14" t="s">
        <v>143</v>
      </c>
      <c r="AR14" t="s">
        <v>3493</v>
      </c>
      <c r="AS14" t="s">
        <v>3463</v>
      </c>
      <c r="AV14" t="s">
        <v>74</v>
      </c>
      <c r="AW14" t="s">
        <v>3915</v>
      </c>
      <c r="BA14" t="s">
        <v>3920</v>
      </c>
      <c r="BF14" t="s">
        <v>3921</v>
      </c>
      <c r="BG14" t="s">
        <v>144</v>
      </c>
      <c r="BH14" t="s">
        <v>4024</v>
      </c>
      <c r="BI14" t="s">
        <v>76</v>
      </c>
      <c r="BK14" t="s">
        <v>145</v>
      </c>
      <c r="BN14" t="s">
        <v>94</v>
      </c>
      <c r="BP14" t="s">
        <v>4264</v>
      </c>
      <c r="BQ14" t="s">
        <v>3463</v>
      </c>
      <c r="BR14" t="s">
        <v>3465</v>
      </c>
      <c r="BS14" t="s">
        <v>3465</v>
      </c>
      <c r="BT14" t="s">
        <v>3465</v>
      </c>
      <c r="BU14" t="s">
        <v>3463</v>
      </c>
      <c r="BV14" t="s">
        <v>3463</v>
      </c>
      <c r="BW14" t="s">
        <v>3463</v>
      </c>
      <c r="BX14" t="s">
        <v>79</v>
      </c>
      <c r="BY14" t="s">
        <v>87</v>
      </c>
      <c r="BZ14" t="s">
        <v>79</v>
      </c>
      <c r="CA14" s="10">
        <v>45908</v>
      </c>
    </row>
    <row r="15" spans="1:79">
      <c r="A15">
        <v>14</v>
      </c>
      <c r="B15">
        <v>15</v>
      </c>
      <c r="C15">
        <v>63</v>
      </c>
      <c r="D15" t="s">
        <v>3466</v>
      </c>
      <c r="F15" t="s">
        <v>71</v>
      </c>
      <c r="G15" s="12" t="s">
        <v>3463</v>
      </c>
      <c r="I15">
        <v>68</v>
      </c>
      <c r="J15">
        <v>66</v>
      </c>
      <c r="K15">
        <v>186</v>
      </c>
      <c r="L15">
        <v>102</v>
      </c>
      <c r="M15" t="s">
        <v>96</v>
      </c>
      <c r="N15">
        <v>187</v>
      </c>
      <c r="O15">
        <v>96</v>
      </c>
      <c r="P15" t="s">
        <v>96</v>
      </c>
      <c r="Q15" t="s">
        <v>96</v>
      </c>
      <c r="R15">
        <v>72.400000000000006</v>
      </c>
      <c r="S15">
        <v>144</v>
      </c>
      <c r="T15" s="8">
        <f t="shared" si="0"/>
        <v>34.915123456790127</v>
      </c>
      <c r="U15" s="13" t="str" cm="1">
        <f t="array" ref="U15">IF(T15="","",_xlfn.IFS(T15&lt;18.5,"Bajo peso",T15&lt;25,"Peso normal",T15&lt;30,"Sobrepeso",T15&lt;35,"Obesidad clase I",T15&lt;40,"Obesidad clase II",T15&gt;=40,"Obesidad clase III"))</f>
        <v>Obesidad clase I</v>
      </c>
      <c r="V15">
        <v>115</v>
      </c>
      <c r="X15" t="s">
        <v>3463</v>
      </c>
      <c r="Y15">
        <v>0.61</v>
      </c>
      <c r="AA15">
        <v>90</v>
      </c>
      <c r="AB15" s="9">
        <f t="shared" si="1"/>
        <v>100.39440636985319</v>
      </c>
      <c r="AD15" t="s">
        <v>73</v>
      </c>
      <c r="AF15" t="s">
        <v>73</v>
      </c>
      <c r="AH15" t="s">
        <v>3463</v>
      </c>
      <c r="AI15" t="s">
        <v>3463</v>
      </c>
      <c r="AJ15" t="s">
        <v>3463</v>
      </c>
      <c r="AK15" t="s">
        <v>3463</v>
      </c>
      <c r="AL15" t="s">
        <v>3463</v>
      </c>
      <c r="AP15" t="s">
        <v>3463</v>
      </c>
      <c r="AT15" t="s">
        <v>3463</v>
      </c>
      <c r="AV15" t="s">
        <v>74</v>
      </c>
      <c r="AW15" t="s">
        <v>3915</v>
      </c>
      <c r="AX15" t="s">
        <v>3463</v>
      </c>
      <c r="AY15" t="s">
        <v>3463</v>
      </c>
      <c r="AZ15" t="s">
        <v>137</v>
      </c>
      <c r="BA15" t="s">
        <v>3920</v>
      </c>
      <c r="BC15" t="s">
        <v>128</v>
      </c>
      <c r="BF15" t="s">
        <v>3921</v>
      </c>
      <c r="BG15" t="s">
        <v>146</v>
      </c>
      <c r="BH15" t="s">
        <v>4017</v>
      </c>
      <c r="BI15" t="s">
        <v>76</v>
      </c>
      <c r="BK15" t="s">
        <v>147</v>
      </c>
      <c r="BN15" t="s">
        <v>94</v>
      </c>
      <c r="BP15" t="s">
        <v>4265</v>
      </c>
      <c r="BQ15" t="s">
        <v>3463</v>
      </c>
      <c r="BR15" t="s">
        <v>3463</v>
      </c>
      <c r="BS15" t="s">
        <v>3463</v>
      </c>
      <c r="BT15" t="s">
        <v>3463</v>
      </c>
      <c r="BU15" t="s">
        <v>3463</v>
      </c>
      <c r="BV15" t="s">
        <v>3463</v>
      </c>
      <c r="BW15" t="s">
        <v>3463</v>
      </c>
      <c r="BX15" t="s">
        <v>79</v>
      </c>
      <c r="BY15" t="s">
        <v>87</v>
      </c>
      <c r="BZ15" t="s">
        <v>79</v>
      </c>
      <c r="CA15" s="10">
        <v>45908</v>
      </c>
    </row>
    <row r="16" spans="1:79">
      <c r="A16">
        <v>15</v>
      </c>
      <c r="B16">
        <v>16</v>
      </c>
      <c r="C16">
        <v>54</v>
      </c>
      <c r="D16" t="s">
        <v>3466</v>
      </c>
      <c r="E16" t="s">
        <v>122</v>
      </c>
      <c r="F16" t="s">
        <v>71</v>
      </c>
      <c r="G16" s="12" t="s">
        <v>3465</v>
      </c>
      <c r="H16" s="12" t="s">
        <v>88</v>
      </c>
      <c r="I16">
        <v>105</v>
      </c>
      <c r="J16">
        <v>94</v>
      </c>
      <c r="K16">
        <v>168</v>
      </c>
      <c r="L16">
        <v>87</v>
      </c>
      <c r="M16" t="s">
        <v>72</v>
      </c>
      <c r="N16">
        <v>162</v>
      </c>
      <c r="O16">
        <v>85</v>
      </c>
      <c r="P16" t="s">
        <v>72</v>
      </c>
      <c r="Q16" t="s">
        <v>72</v>
      </c>
      <c r="R16">
        <v>51.8</v>
      </c>
      <c r="S16">
        <v>160.5</v>
      </c>
      <c r="T16" s="8">
        <f t="shared" si="0"/>
        <v>20.10850049980105</v>
      </c>
      <c r="U16" s="13" t="str" cm="1">
        <f t="array" ref="U16">IF(T16="","",_xlfn.IFS(T16&lt;18.5,"Bajo peso",T16&lt;25,"Peso normal",T16&lt;30,"Sobrepeso",T16&lt;35,"Obesidad clase I",T16&lt;40,"Obesidad clase II",T16&gt;=40,"Obesidad clase III"))</f>
        <v>Peso normal</v>
      </c>
      <c r="V16">
        <v>105</v>
      </c>
      <c r="X16" t="s">
        <v>3463</v>
      </c>
      <c r="Y16">
        <v>1.06</v>
      </c>
      <c r="AA16">
        <v>63</v>
      </c>
      <c r="AB16" s="9">
        <f t="shared" si="1"/>
        <v>62.425935125634538</v>
      </c>
      <c r="AD16" t="s">
        <v>73</v>
      </c>
      <c r="AF16" t="s">
        <v>73</v>
      </c>
      <c r="AH16" t="s">
        <v>3463</v>
      </c>
      <c r="AI16" t="s">
        <v>3463</v>
      </c>
      <c r="AJ16" t="s">
        <v>3463</v>
      </c>
      <c r="AK16" t="s">
        <v>3463</v>
      </c>
      <c r="AL16" t="s">
        <v>3463</v>
      </c>
      <c r="AP16" t="s">
        <v>3463</v>
      </c>
      <c r="AQ16" t="s">
        <v>148</v>
      </c>
      <c r="AR16" t="s">
        <v>3491</v>
      </c>
      <c r="AT16" t="s">
        <v>3465</v>
      </c>
      <c r="AU16" t="s">
        <v>80</v>
      </c>
      <c r="AV16" t="s">
        <v>74</v>
      </c>
      <c r="AW16" t="s">
        <v>3915</v>
      </c>
      <c r="AX16" t="s">
        <v>3463</v>
      </c>
      <c r="AY16" t="s">
        <v>3465</v>
      </c>
      <c r="AZ16" t="s">
        <v>90</v>
      </c>
      <c r="BA16" t="s">
        <v>3920</v>
      </c>
      <c r="BF16" t="s">
        <v>3921</v>
      </c>
      <c r="BG16" t="s">
        <v>149</v>
      </c>
      <c r="BH16" t="s">
        <v>4025</v>
      </c>
      <c r="BI16" t="s">
        <v>76</v>
      </c>
      <c r="BP16" t="s">
        <v>4261</v>
      </c>
      <c r="BQ16" t="s">
        <v>3463</v>
      </c>
      <c r="BR16" t="s">
        <v>3463</v>
      </c>
      <c r="BS16" t="s">
        <v>3465</v>
      </c>
      <c r="BT16" t="s">
        <v>3465</v>
      </c>
      <c r="BU16" t="s">
        <v>3463</v>
      </c>
      <c r="BV16" t="s">
        <v>3463</v>
      </c>
      <c r="BW16" t="s">
        <v>3463</v>
      </c>
      <c r="BX16" t="s">
        <v>79</v>
      </c>
      <c r="BY16" t="s">
        <v>87</v>
      </c>
      <c r="BZ16" t="s">
        <v>79</v>
      </c>
      <c r="CA16" s="10">
        <v>45908</v>
      </c>
    </row>
    <row r="17" spans="1:79">
      <c r="A17">
        <v>16</v>
      </c>
      <c r="B17">
        <v>17</v>
      </c>
      <c r="C17">
        <v>52</v>
      </c>
      <c r="D17" t="s">
        <v>3466</v>
      </c>
      <c r="F17" t="s">
        <v>150</v>
      </c>
      <c r="G17" s="12" t="s">
        <v>3463</v>
      </c>
      <c r="I17">
        <v>72</v>
      </c>
      <c r="K17">
        <v>138</v>
      </c>
      <c r="L17">
        <v>85</v>
      </c>
      <c r="M17" t="s">
        <v>82</v>
      </c>
      <c r="P17" t="s">
        <v>83</v>
      </c>
      <c r="Q17" t="s">
        <v>82</v>
      </c>
      <c r="R17">
        <v>58.5</v>
      </c>
      <c r="S17">
        <v>145</v>
      </c>
      <c r="T17" s="8">
        <f t="shared" si="0"/>
        <v>27.824019024970276</v>
      </c>
      <c r="U17" s="13" t="str" cm="1">
        <f t="array" ref="U17">IF(T17="","",_xlfn.IFS(T17&lt;18.5,"Bajo peso",T17&lt;25,"Peso normal",T17&lt;30,"Sobrepeso",T17&lt;35,"Obesidad clase I",T17&lt;40,"Obesidad clase II",T17&gt;=40,"Obesidad clase III"))</f>
        <v>Sobrepeso</v>
      </c>
      <c r="V17">
        <v>79</v>
      </c>
      <c r="X17" t="s">
        <v>3463</v>
      </c>
      <c r="Y17">
        <v>0.82</v>
      </c>
      <c r="AA17">
        <v>87</v>
      </c>
      <c r="AB17" s="9">
        <f t="shared" si="1"/>
        <v>86.011691258918347</v>
      </c>
      <c r="AD17" t="s">
        <v>73</v>
      </c>
      <c r="AF17" t="s">
        <v>73</v>
      </c>
      <c r="AH17" t="s">
        <v>3463</v>
      </c>
      <c r="AI17" t="s">
        <v>3463</v>
      </c>
      <c r="AJ17" t="s">
        <v>3463</v>
      </c>
      <c r="AK17" t="s">
        <v>3465</v>
      </c>
      <c r="AL17" t="s">
        <v>3463</v>
      </c>
      <c r="AP17" t="s">
        <v>3463</v>
      </c>
      <c r="AT17" t="s">
        <v>3465</v>
      </c>
      <c r="AU17" t="s">
        <v>80</v>
      </c>
      <c r="AV17" t="s">
        <v>112</v>
      </c>
      <c r="AW17" t="s">
        <v>3917</v>
      </c>
      <c r="AX17" t="s">
        <v>3465</v>
      </c>
      <c r="AY17" t="s">
        <v>3465</v>
      </c>
      <c r="AZ17" t="s">
        <v>151</v>
      </c>
      <c r="BF17" t="s">
        <v>3921</v>
      </c>
      <c r="BH17" t="s">
        <v>4020</v>
      </c>
      <c r="BP17" t="s">
        <v>4260</v>
      </c>
      <c r="BQ17" t="s">
        <v>3465</v>
      </c>
      <c r="BR17" t="s">
        <v>3465</v>
      </c>
      <c r="BS17" t="s">
        <v>3465</v>
      </c>
      <c r="BT17" t="s">
        <v>3465</v>
      </c>
      <c r="BU17" t="s">
        <v>3465</v>
      </c>
      <c r="BV17" t="s">
        <v>3465</v>
      </c>
      <c r="BW17" t="s">
        <v>3465</v>
      </c>
      <c r="BX17" t="s">
        <v>79</v>
      </c>
      <c r="BY17" t="s">
        <v>87</v>
      </c>
      <c r="BZ17" t="s">
        <v>79</v>
      </c>
      <c r="CA17" s="10">
        <v>45908</v>
      </c>
    </row>
    <row r="18" spans="1:79">
      <c r="A18">
        <v>17</v>
      </c>
      <c r="B18">
        <v>18</v>
      </c>
      <c r="C18">
        <v>49</v>
      </c>
      <c r="D18" t="s">
        <v>3466</v>
      </c>
      <c r="F18" t="s">
        <v>71</v>
      </c>
      <c r="G18" s="12" t="s">
        <v>3463</v>
      </c>
      <c r="I18">
        <v>80</v>
      </c>
      <c r="J18">
        <v>70</v>
      </c>
      <c r="K18">
        <v>144</v>
      </c>
      <c r="L18">
        <v>71</v>
      </c>
      <c r="M18" t="s">
        <v>72</v>
      </c>
      <c r="N18">
        <v>139</v>
      </c>
      <c r="O18">
        <v>68</v>
      </c>
      <c r="P18" t="s">
        <v>82</v>
      </c>
      <c r="Q18" t="s">
        <v>82</v>
      </c>
      <c r="R18">
        <v>69.2</v>
      </c>
      <c r="S18">
        <v>151</v>
      </c>
      <c r="T18" s="8">
        <f t="shared" si="0"/>
        <v>30.349546072540679</v>
      </c>
      <c r="U18" s="13" t="str" cm="1">
        <f t="array" ref="U18">IF(T18="","",_xlfn.IFS(T18&lt;18.5,"Bajo peso",T18&lt;25,"Peso normal",T18&lt;30,"Sobrepeso",T18&lt;35,"Obesidad clase I",T18&lt;40,"Obesidad clase II",T18&gt;=40,"Obesidad clase III"))</f>
        <v>Obesidad clase I</v>
      </c>
      <c r="V18">
        <v>130</v>
      </c>
      <c r="X18" t="s">
        <v>3463</v>
      </c>
      <c r="Y18">
        <v>0.77</v>
      </c>
      <c r="AA18">
        <v>90</v>
      </c>
      <c r="AB18" s="9">
        <f t="shared" si="1"/>
        <v>94.503580419539475</v>
      </c>
      <c r="AD18" t="s">
        <v>73</v>
      </c>
      <c r="AF18" t="s">
        <v>73</v>
      </c>
      <c r="AH18" t="s">
        <v>3463</v>
      </c>
      <c r="AI18" t="s">
        <v>3463</v>
      </c>
      <c r="AJ18" t="s">
        <v>3463</v>
      </c>
      <c r="AK18" t="s">
        <v>3463</v>
      </c>
      <c r="AL18" t="s">
        <v>3463</v>
      </c>
      <c r="AP18" t="s">
        <v>3463</v>
      </c>
      <c r="AT18" t="s">
        <v>3465</v>
      </c>
      <c r="AU18" t="s">
        <v>80</v>
      </c>
      <c r="AV18" t="s">
        <v>126</v>
      </c>
      <c r="AW18" t="s">
        <v>126</v>
      </c>
      <c r="AX18" t="s">
        <v>3463</v>
      </c>
      <c r="AY18" t="s">
        <v>3465</v>
      </c>
      <c r="AZ18" t="s">
        <v>152</v>
      </c>
      <c r="BE18" t="s">
        <v>153</v>
      </c>
      <c r="BF18" t="s">
        <v>153</v>
      </c>
      <c r="BG18" t="s">
        <v>154</v>
      </c>
      <c r="BH18" t="s">
        <v>4026</v>
      </c>
      <c r="BN18" t="s">
        <v>155</v>
      </c>
      <c r="BP18" t="s">
        <v>4266</v>
      </c>
      <c r="BQ18" t="s">
        <v>3465</v>
      </c>
      <c r="BR18" t="s">
        <v>3465</v>
      </c>
      <c r="BS18" t="s">
        <v>3465</v>
      </c>
      <c r="BT18" t="s">
        <v>3465</v>
      </c>
      <c r="BU18" t="s">
        <v>3463</v>
      </c>
      <c r="BV18" t="s">
        <v>3463</v>
      </c>
      <c r="BW18" t="s">
        <v>3463</v>
      </c>
      <c r="BX18" t="s">
        <v>79</v>
      </c>
      <c r="BY18" t="s">
        <v>87</v>
      </c>
      <c r="BZ18" t="s">
        <v>79</v>
      </c>
      <c r="CA18" s="10">
        <v>45908</v>
      </c>
    </row>
    <row r="19" spans="1:79">
      <c r="A19">
        <v>18</v>
      </c>
      <c r="B19">
        <v>19</v>
      </c>
      <c r="C19">
        <v>53</v>
      </c>
      <c r="D19" t="s">
        <v>3466</v>
      </c>
      <c r="E19" t="s">
        <v>81</v>
      </c>
      <c r="F19" t="s">
        <v>71</v>
      </c>
      <c r="G19" s="12" t="s">
        <v>3463</v>
      </c>
      <c r="I19">
        <v>95</v>
      </c>
      <c r="J19">
        <v>96</v>
      </c>
      <c r="K19">
        <v>173</v>
      </c>
      <c r="L19">
        <v>111</v>
      </c>
      <c r="M19" t="s">
        <v>72</v>
      </c>
      <c r="N19">
        <v>181</v>
      </c>
      <c r="O19">
        <v>118</v>
      </c>
      <c r="P19" t="s">
        <v>96</v>
      </c>
      <c r="Q19" t="s">
        <v>72</v>
      </c>
      <c r="R19">
        <v>95.2</v>
      </c>
      <c r="S19">
        <v>151.5</v>
      </c>
      <c r="T19" s="8">
        <f t="shared" si="0"/>
        <v>41.477415068239502</v>
      </c>
      <c r="U19" s="13" t="str" cm="1">
        <f t="array" ref="U19">IF(T19="","",_xlfn.IFS(T19&lt;18.5,"Bajo peso",T19&lt;25,"Peso normal",T19&lt;30,"Sobrepeso",T19&lt;35,"Obesidad clase I",T19&lt;40,"Obesidad clase II",T19&gt;=40,"Obesidad clase III"))</f>
        <v>Obesidad clase III</v>
      </c>
      <c r="V19">
        <v>118</v>
      </c>
      <c r="X19" t="s">
        <v>3463</v>
      </c>
      <c r="Y19">
        <v>0.82</v>
      </c>
      <c r="AA19">
        <v>85</v>
      </c>
      <c r="AB19" s="9">
        <f t="shared" si="1"/>
        <v>85.478418773113049</v>
      </c>
      <c r="AD19" t="s">
        <v>73</v>
      </c>
      <c r="AF19" t="s">
        <v>73</v>
      </c>
      <c r="AH19" t="s">
        <v>3464</v>
      </c>
      <c r="AI19" t="s">
        <v>3463</v>
      </c>
      <c r="AJ19" t="s">
        <v>3463</v>
      </c>
      <c r="AK19" t="s">
        <v>3463</v>
      </c>
      <c r="AL19" t="s">
        <v>3464</v>
      </c>
      <c r="AP19" t="s">
        <v>3463</v>
      </c>
      <c r="AQ19" t="s">
        <v>156</v>
      </c>
      <c r="AR19" t="s">
        <v>3494</v>
      </c>
      <c r="AT19" t="s">
        <v>3465</v>
      </c>
      <c r="AU19" t="s">
        <v>80</v>
      </c>
      <c r="AV19" t="s">
        <v>126</v>
      </c>
      <c r="AW19" t="s">
        <v>126</v>
      </c>
      <c r="AX19" t="s">
        <v>3463</v>
      </c>
      <c r="AY19" t="s">
        <v>3465</v>
      </c>
      <c r="AZ19" t="s">
        <v>90</v>
      </c>
      <c r="BA19" t="s">
        <v>3920</v>
      </c>
      <c r="BC19" t="s">
        <v>128</v>
      </c>
      <c r="BF19" t="s">
        <v>3921</v>
      </c>
      <c r="BH19" t="s">
        <v>4021</v>
      </c>
      <c r="BI19" t="s">
        <v>76</v>
      </c>
      <c r="BP19" t="s">
        <v>4261</v>
      </c>
      <c r="BQ19" t="s">
        <v>3463</v>
      </c>
      <c r="BR19" t="s">
        <v>3463</v>
      </c>
      <c r="BS19" t="s">
        <v>3463</v>
      </c>
      <c r="BT19" t="s">
        <v>3463</v>
      </c>
      <c r="BU19" t="s">
        <v>3463</v>
      </c>
      <c r="BV19" t="s">
        <v>3463</v>
      </c>
      <c r="BW19" t="s">
        <v>3463</v>
      </c>
      <c r="CA19" s="10">
        <v>45908</v>
      </c>
    </row>
    <row r="20" spans="1:79">
      <c r="A20">
        <v>19</v>
      </c>
      <c r="B20">
        <v>20</v>
      </c>
      <c r="C20">
        <v>53</v>
      </c>
      <c r="D20" t="s">
        <v>3466</v>
      </c>
      <c r="E20" t="s">
        <v>122</v>
      </c>
      <c r="F20" t="s">
        <v>71</v>
      </c>
      <c r="G20" s="12" t="s">
        <v>3465</v>
      </c>
      <c r="H20" s="12" t="s">
        <v>88</v>
      </c>
      <c r="I20">
        <v>56</v>
      </c>
      <c r="J20">
        <v>55</v>
      </c>
      <c r="K20">
        <v>163</v>
      </c>
      <c r="L20">
        <v>83</v>
      </c>
      <c r="M20" t="s">
        <v>72</v>
      </c>
      <c r="N20">
        <v>152</v>
      </c>
      <c r="O20">
        <v>73</v>
      </c>
      <c r="P20" t="s">
        <v>72</v>
      </c>
      <c r="Q20" t="s">
        <v>72</v>
      </c>
      <c r="R20">
        <v>93.6</v>
      </c>
      <c r="S20">
        <v>154</v>
      </c>
      <c r="T20" s="8">
        <f t="shared" si="0"/>
        <v>39.467026480013494</v>
      </c>
      <c r="U20" s="13" t="str" cm="1">
        <f t="array" ref="U20">IF(T20="","",_xlfn.IFS(T20&lt;18.5,"Bajo peso",T20&lt;25,"Peso normal",T20&lt;30,"Sobrepeso",T20&lt;35,"Obesidad clase I",T20&lt;40,"Obesidad clase II",T20&gt;=40,"Obesidad clase III"))</f>
        <v>Obesidad clase II</v>
      </c>
      <c r="V20">
        <v>114</v>
      </c>
      <c r="X20" t="s">
        <v>3463</v>
      </c>
      <c r="Y20">
        <v>0.73</v>
      </c>
      <c r="AA20">
        <v>90</v>
      </c>
      <c r="AB20" s="9">
        <f t="shared" si="1"/>
        <v>98.275592413527121</v>
      </c>
      <c r="AD20" t="s">
        <v>73</v>
      </c>
      <c r="AF20" t="s">
        <v>73</v>
      </c>
      <c r="AH20" t="s">
        <v>3463</v>
      </c>
      <c r="AI20" t="s">
        <v>3463</v>
      </c>
      <c r="AJ20" t="s">
        <v>3463</v>
      </c>
      <c r="AK20" t="s">
        <v>3463</v>
      </c>
      <c r="AL20" t="s">
        <v>3463</v>
      </c>
      <c r="AP20" t="s">
        <v>3463</v>
      </c>
      <c r="AT20" t="s">
        <v>3465</v>
      </c>
      <c r="AU20" t="s">
        <v>80</v>
      </c>
      <c r="AV20" t="s">
        <v>74</v>
      </c>
      <c r="AW20" t="s">
        <v>3915</v>
      </c>
      <c r="AX20" t="s">
        <v>3463</v>
      </c>
      <c r="AY20" t="s">
        <v>3465</v>
      </c>
      <c r="AZ20" t="s">
        <v>104</v>
      </c>
      <c r="BA20" t="s">
        <v>3920</v>
      </c>
      <c r="BF20" t="s">
        <v>3921</v>
      </c>
      <c r="BG20" t="s">
        <v>157</v>
      </c>
      <c r="BH20" t="s">
        <v>4021</v>
      </c>
      <c r="BI20" t="s">
        <v>76</v>
      </c>
      <c r="BN20" t="s">
        <v>94</v>
      </c>
      <c r="BP20" t="s">
        <v>4267</v>
      </c>
      <c r="BQ20" t="s">
        <v>3463</v>
      </c>
      <c r="BR20" t="s">
        <v>3465</v>
      </c>
      <c r="BS20" t="s">
        <v>3463</v>
      </c>
      <c r="BT20" t="s">
        <v>3463</v>
      </c>
      <c r="BU20" t="s">
        <v>3463</v>
      </c>
      <c r="BV20" t="s">
        <v>3463</v>
      </c>
      <c r="BW20" t="s">
        <v>3463</v>
      </c>
      <c r="BX20" t="s">
        <v>79</v>
      </c>
      <c r="BY20" t="s">
        <v>87</v>
      </c>
      <c r="BZ20" t="s">
        <v>79</v>
      </c>
      <c r="CA20" s="10">
        <v>45908</v>
      </c>
    </row>
    <row r="21" spans="1:79">
      <c r="A21">
        <v>20</v>
      </c>
      <c r="B21">
        <v>21</v>
      </c>
      <c r="C21">
        <v>66</v>
      </c>
      <c r="D21" t="s">
        <v>3466</v>
      </c>
      <c r="F21" t="s">
        <v>71</v>
      </c>
      <c r="G21" s="12" t="s">
        <v>3463</v>
      </c>
      <c r="I21">
        <v>75</v>
      </c>
      <c r="J21">
        <v>72</v>
      </c>
      <c r="K21">
        <v>180</v>
      </c>
      <c r="L21">
        <v>94</v>
      </c>
      <c r="M21" t="s">
        <v>96</v>
      </c>
      <c r="N21">
        <v>175</v>
      </c>
      <c r="O21">
        <v>97</v>
      </c>
      <c r="P21" t="s">
        <v>72</v>
      </c>
      <c r="Q21" t="s">
        <v>72</v>
      </c>
      <c r="R21">
        <v>71.3</v>
      </c>
      <c r="S21">
        <v>147.5</v>
      </c>
      <c r="T21" s="8">
        <f t="shared" si="0"/>
        <v>32.772191898879633</v>
      </c>
      <c r="U21" s="13" t="str" cm="1">
        <f t="array" ref="U21">IF(T21="","",_xlfn.IFS(T21&lt;18.5,"Bajo peso",T21&lt;25,"Peso normal",T21&lt;30,"Sobrepeso",T21&lt;35,"Obesidad clase I",T21&lt;40,"Obesidad clase II",T21&gt;=40,"Obesidad clase III"))</f>
        <v>Obesidad clase I</v>
      </c>
      <c r="V21">
        <v>154</v>
      </c>
      <c r="X21" t="s">
        <v>3463</v>
      </c>
      <c r="Y21">
        <v>1.1100000000000001</v>
      </c>
      <c r="AA21">
        <v>55</v>
      </c>
      <c r="AB21" s="9">
        <f t="shared" si="1"/>
        <v>54.819166674237039</v>
      </c>
      <c r="AD21" t="s">
        <v>158</v>
      </c>
      <c r="AF21" t="s">
        <v>158</v>
      </c>
      <c r="AH21" t="s">
        <v>3463</v>
      </c>
      <c r="AI21" t="s">
        <v>3465</v>
      </c>
      <c r="AJ21" t="s">
        <v>3463</v>
      </c>
      <c r="AK21" t="s">
        <v>3463</v>
      </c>
      <c r="AL21" t="s">
        <v>3463</v>
      </c>
      <c r="AP21" t="s">
        <v>3463</v>
      </c>
      <c r="AQ21" t="s">
        <v>159</v>
      </c>
      <c r="AR21" t="s">
        <v>3491</v>
      </c>
      <c r="AS21" t="s">
        <v>3465</v>
      </c>
      <c r="AT21" t="s">
        <v>3465</v>
      </c>
      <c r="AU21" t="s">
        <v>80</v>
      </c>
      <c r="AV21" t="s">
        <v>126</v>
      </c>
      <c r="AW21" t="s">
        <v>126</v>
      </c>
      <c r="AX21" t="s">
        <v>3463</v>
      </c>
      <c r="AY21" t="s">
        <v>3465</v>
      </c>
      <c r="AZ21" t="s">
        <v>137</v>
      </c>
      <c r="BA21" t="s">
        <v>3920</v>
      </c>
      <c r="BF21" t="s">
        <v>3921</v>
      </c>
      <c r="BG21" t="s">
        <v>160</v>
      </c>
      <c r="BH21" t="s">
        <v>4027</v>
      </c>
      <c r="BK21" t="s">
        <v>161</v>
      </c>
      <c r="BN21" t="s">
        <v>162</v>
      </c>
      <c r="BP21" t="s">
        <v>4268</v>
      </c>
      <c r="BQ21" t="s">
        <v>3463</v>
      </c>
      <c r="BR21" t="s">
        <v>3465</v>
      </c>
      <c r="BS21" t="s">
        <v>3465</v>
      </c>
      <c r="BT21" t="s">
        <v>3465</v>
      </c>
      <c r="BU21" t="s">
        <v>3463</v>
      </c>
      <c r="BV21" t="s">
        <v>3463</v>
      </c>
      <c r="BW21" t="s">
        <v>3463</v>
      </c>
      <c r="BX21" t="s">
        <v>79</v>
      </c>
      <c r="BY21" t="s">
        <v>87</v>
      </c>
      <c r="BZ21" t="s">
        <v>79</v>
      </c>
      <c r="CA21" s="10">
        <v>45908</v>
      </c>
    </row>
    <row r="22" spans="1:79">
      <c r="A22">
        <v>21</v>
      </c>
      <c r="B22">
        <v>22</v>
      </c>
      <c r="C22">
        <v>56</v>
      </c>
      <c r="D22" t="s">
        <v>3466</v>
      </c>
      <c r="E22" t="s">
        <v>163</v>
      </c>
      <c r="F22" t="s">
        <v>71</v>
      </c>
      <c r="G22" s="12" t="s">
        <v>3463</v>
      </c>
      <c r="I22">
        <v>82</v>
      </c>
      <c r="J22">
        <v>77</v>
      </c>
      <c r="K22">
        <v>157</v>
      </c>
      <c r="L22">
        <v>93</v>
      </c>
      <c r="M22" t="s">
        <v>72</v>
      </c>
      <c r="N22">
        <v>140</v>
      </c>
      <c r="O22">
        <v>84</v>
      </c>
      <c r="P22" t="s">
        <v>72</v>
      </c>
      <c r="Q22" t="s">
        <v>72</v>
      </c>
      <c r="R22">
        <v>112.8</v>
      </c>
      <c r="S22">
        <v>154</v>
      </c>
      <c r="T22" s="8">
        <f t="shared" si="0"/>
        <v>47.562826783605999</v>
      </c>
      <c r="U22" s="13" t="str" cm="1">
        <f t="array" ref="U22">IF(T22="","",_xlfn.IFS(T22&lt;18.5,"Bajo peso",T22&lt;25,"Peso normal",T22&lt;30,"Sobrepeso",T22&lt;35,"Obesidad clase I",T22&lt;40,"Obesidad clase II",T22&gt;=40,"Obesidad clase III"))</f>
        <v>Obesidad clase III</v>
      </c>
      <c r="V22">
        <v>119</v>
      </c>
      <c r="X22" t="s">
        <v>3463</v>
      </c>
      <c r="Y22">
        <v>0.95</v>
      </c>
      <c r="AA22">
        <v>70</v>
      </c>
      <c r="AB22" s="9">
        <f t="shared" si="1"/>
        <v>70.317229871918684</v>
      </c>
      <c r="AD22" t="s">
        <v>73</v>
      </c>
      <c r="AF22" t="s">
        <v>73</v>
      </c>
      <c r="AH22" t="s">
        <v>3463</v>
      </c>
      <c r="AI22" t="s">
        <v>3465</v>
      </c>
      <c r="AJ22" t="s">
        <v>3463</v>
      </c>
      <c r="AK22" t="s">
        <v>3463</v>
      </c>
      <c r="AL22" t="s">
        <v>3463</v>
      </c>
      <c r="AP22" t="s">
        <v>3463</v>
      </c>
      <c r="AS22" t="s">
        <v>3465</v>
      </c>
      <c r="AT22" t="s">
        <v>3465</v>
      </c>
      <c r="AU22" t="s">
        <v>80</v>
      </c>
      <c r="AV22" t="s">
        <v>74</v>
      </c>
      <c r="AW22" t="s">
        <v>3915</v>
      </c>
      <c r="AX22" t="s">
        <v>3463</v>
      </c>
      <c r="AY22" t="s">
        <v>3465</v>
      </c>
      <c r="AZ22" t="s">
        <v>104</v>
      </c>
      <c r="BA22" t="s">
        <v>3920</v>
      </c>
      <c r="BC22" t="s">
        <v>128</v>
      </c>
      <c r="BF22" t="s">
        <v>3921</v>
      </c>
      <c r="BG22" t="s">
        <v>164</v>
      </c>
      <c r="BH22" t="s">
        <v>4028</v>
      </c>
      <c r="BN22" t="s">
        <v>140</v>
      </c>
      <c r="BP22" t="s">
        <v>4269</v>
      </c>
      <c r="BQ22" t="s">
        <v>3463</v>
      </c>
      <c r="BR22" t="s">
        <v>3463</v>
      </c>
      <c r="BS22" t="s">
        <v>3463</v>
      </c>
      <c r="BT22" t="s">
        <v>3463</v>
      </c>
      <c r="BU22" t="s">
        <v>3463</v>
      </c>
      <c r="BV22" t="s">
        <v>3463</v>
      </c>
      <c r="BW22" t="s">
        <v>3463</v>
      </c>
      <c r="BX22" t="s">
        <v>79</v>
      </c>
      <c r="BY22" t="s">
        <v>87</v>
      </c>
      <c r="BZ22" t="s">
        <v>79</v>
      </c>
      <c r="CA22" s="10">
        <v>45908</v>
      </c>
    </row>
    <row r="23" spans="1:79">
      <c r="A23">
        <v>22</v>
      </c>
      <c r="B23">
        <v>23</v>
      </c>
      <c r="C23">
        <v>34</v>
      </c>
      <c r="D23" t="s">
        <v>3466</v>
      </c>
      <c r="E23" t="s">
        <v>122</v>
      </c>
      <c r="F23" t="s">
        <v>71</v>
      </c>
      <c r="G23" s="12" t="s">
        <v>3463</v>
      </c>
      <c r="I23">
        <v>79</v>
      </c>
      <c r="J23">
        <v>76</v>
      </c>
      <c r="K23">
        <v>145</v>
      </c>
      <c r="L23">
        <v>71</v>
      </c>
      <c r="M23" t="s">
        <v>72</v>
      </c>
      <c r="N23">
        <v>117</v>
      </c>
      <c r="O23">
        <v>63</v>
      </c>
      <c r="P23" t="s">
        <v>80</v>
      </c>
      <c r="Q23" t="s">
        <v>80</v>
      </c>
      <c r="R23">
        <v>62.3</v>
      </c>
      <c r="S23">
        <v>150</v>
      </c>
      <c r="T23" s="8">
        <f t="shared" si="0"/>
        <v>27.68888888888889</v>
      </c>
      <c r="U23" s="13" t="str" cm="1">
        <f t="array" ref="U23">IF(T23="","",_xlfn.IFS(T23&lt;18.5,"Bajo peso",T23&lt;25,"Peso normal",T23&lt;30,"Sobrepeso",T23&lt;35,"Obesidad clase I",T23&lt;40,"Obesidad clase II",T23&gt;=40,"Obesidad clase III"))</f>
        <v>Sobrepeso</v>
      </c>
      <c r="V23">
        <v>94</v>
      </c>
      <c r="X23" t="s">
        <v>3463</v>
      </c>
      <c r="Y23">
        <v>1.03</v>
      </c>
      <c r="AA23">
        <v>73</v>
      </c>
      <c r="AB23" s="9">
        <f t="shared" si="1"/>
        <v>73.172446734568709</v>
      </c>
      <c r="AD23" t="s">
        <v>73</v>
      </c>
      <c r="AF23" t="s">
        <v>73</v>
      </c>
      <c r="AH23" t="s">
        <v>3463</v>
      </c>
      <c r="AI23" t="s">
        <v>3463</v>
      </c>
      <c r="AJ23" t="s">
        <v>3463</v>
      </c>
      <c r="AK23" t="s">
        <v>3463</v>
      </c>
      <c r="AL23" t="s">
        <v>3463</v>
      </c>
      <c r="AP23" t="s">
        <v>3463</v>
      </c>
      <c r="AT23" t="s">
        <v>3463</v>
      </c>
      <c r="AV23" t="s">
        <v>126</v>
      </c>
      <c r="AW23" t="s">
        <v>126</v>
      </c>
      <c r="AX23" t="s">
        <v>3463</v>
      </c>
      <c r="AY23" t="s">
        <v>3465</v>
      </c>
      <c r="AZ23" t="s">
        <v>104</v>
      </c>
      <c r="BF23" t="s">
        <v>3921</v>
      </c>
      <c r="BH23" t="s">
        <v>4020</v>
      </c>
      <c r="BP23" t="s">
        <v>4260</v>
      </c>
      <c r="BQ23" t="s">
        <v>3465</v>
      </c>
      <c r="BR23" t="s">
        <v>3465</v>
      </c>
      <c r="BS23" t="s">
        <v>3463</v>
      </c>
      <c r="BT23" t="s">
        <v>3465</v>
      </c>
      <c r="BU23" t="s">
        <v>3463</v>
      </c>
      <c r="BV23" t="s">
        <v>3463</v>
      </c>
      <c r="BW23" t="s">
        <v>3463</v>
      </c>
      <c r="BX23" t="s">
        <v>79</v>
      </c>
      <c r="BY23" t="s">
        <v>87</v>
      </c>
      <c r="BZ23" t="s">
        <v>79</v>
      </c>
      <c r="CA23" s="10">
        <v>45908</v>
      </c>
    </row>
    <row r="24" spans="1:79">
      <c r="A24">
        <v>23</v>
      </c>
      <c r="B24">
        <v>24</v>
      </c>
      <c r="C24">
        <v>52</v>
      </c>
      <c r="D24" t="s">
        <v>3466</v>
      </c>
      <c r="F24" t="s">
        <v>150</v>
      </c>
      <c r="G24" s="12" t="s">
        <v>3463</v>
      </c>
      <c r="I24">
        <v>68</v>
      </c>
      <c r="J24">
        <v>65</v>
      </c>
      <c r="K24">
        <v>185</v>
      </c>
      <c r="L24">
        <v>98</v>
      </c>
      <c r="M24" t="s">
        <v>96</v>
      </c>
      <c r="N24">
        <v>164</v>
      </c>
      <c r="O24">
        <v>94</v>
      </c>
      <c r="P24" t="s">
        <v>72</v>
      </c>
      <c r="Q24" t="s">
        <v>72</v>
      </c>
      <c r="R24">
        <v>69.5</v>
      </c>
      <c r="S24">
        <v>157</v>
      </c>
      <c r="T24" s="8">
        <f t="shared" si="0"/>
        <v>28.195870015010751</v>
      </c>
      <c r="U24" s="13" t="str" cm="1">
        <f t="array" ref="U24">IF(T24="","",_xlfn.IFS(T24&lt;18.5,"Bajo peso",T24&lt;25,"Peso normal",T24&lt;30,"Sobrepeso",T24&lt;35,"Obesidad clase I",T24&lt;40,"Obesidad clase II",T24&gt;=40,"Obesidad clase III"))</f>
        <v>Sobrepeso</v>
      </c>
      <c r="V24">
        <v>107</v>
      </c>
      <c r="X24" t="s">
        <v>3463</v>
      </c>
      <c r="Y24">
        <v>0.34</v>
      </c>
      <c r="AA24">
        <v>90</v>
      </c>
      <c r="AB24" s="9">
        <f t="shared" si="1"/>
        <v>123.76523500766089</v>
      </c>
      <c r="AD24" t="s">
        <v>73</v>
      </c>
      <c r="AF24" t="s">
        <v>73</v>
      </c>
      <c r="AH24" t="s">
        <v>3463</v>
      </c>
      <c r="AI24" t="s">
        <v>3463</v>
      </c>
      <c r="AJ24" t="s">
        <v>3463</v>
      </c>
      <c r="AK24" t="s">
        <v>3465</v>
      </c>
      <c r="AL24" t="s">
        <v>3463</v>
      </c>
      <c r="AP24" t="s">
        <v>3463</v>
      </c>
      <c r="AT24" t="s">
        <v>3465</v>
      </c>
      <c r="AU24" t="s">
        <v>80</v>
      </c>
      <c r="AV24" t="s">
        <v>112</v>
      </c>
      <c r="AW24" t="s">
        <v>3917</v>
      </c>
      <c r="AX24" t="s">
        <v>3465</v>
      </c>
      <c r="AY24" t="s">
        <v>3465</v>
      </c>
      <c r="AZ24" t="s">
        <v>90</v>
      </c>
      <c r="BA24" t="s">
        <v>3920</v>
      </c>
      <c r="BF24" t="s">
        <v>3921</v>
      </c>
      <c r="BG24" t="s">
        <v>165</v>
      </c>
      <c r="BH24" t="s">
        <v>4021</v>
      </c>
      <c r="BI24" t="s">
        <v>76</v>
      </c>
      <c r="BN24" t="s">
        <v>94</v>
      </c>
      <c r="BP24" t="s">
        <v>4270</v>
      </c>
      <c r="BQ24" t="s">
        <v>3463</v>
      </c>
      <c r="BR24" t="s">
        <v>3465</v>
      </c>
      <c r="BS24" t="s">
        <v>3465</v>
      </c>
      <c r="BT24" t="s">
        <v>3465</v>
      </c>
      <c r="BU24" t="s">
        <v>3463</v>
      </c>
      <c r="BV24" t="s">
        <v>3463</v>
      </c>
      <c r="BW24" t="s">
        <v>3463</v>
      </c>
      <c r="BX24" t="s">
        <v>79</v>
      </c>
      <c r="BY24" t="s">
        <v>87</v>
      </c>
      <c r="BZ24" t="s">
        <v>79</v>
      </c>
      <c r="CA24" s="10">
        <v>45908</v>
      </c>
    </row>
    <row r="25" spans="1:79">
      <c r="A25">
        <v>24</v>
      </c>
      <c r="B25">
        <v>25</v>
      </c>
      <c r="C25">
        <v>39</v>
      </c>
      <c r="D25" t="s">
        <v>3466</v>
      </c>
      <c r="F25" t="s">
        <v>71</v>
      </c>
      <c r="G25" s="12" t="s">
        <v>3463</v>
      </c>
      <c r="I25">
        <v>83</v>
      </c>
      <c r="J25">
        <v>67</v>
      </c>
      <c r="K25">
        <v>147</v>
      </c>
      <c r="L25">
        <v>111</v>
      </c>
      <c r="M25" t="s">
        <v>72</v>
      </c>
      <c r="N25">
        <v>146</v>
      </c>
      <c r="O25">
        <v>77</v>
      </c>
      <c r="P25" t="s">
        <v>72</v>
      </c>
      <c r="Q25" t="s">
        <v>72</v>
      </c>
      <c r="R25">
        <v>101.9</v>
      </c>
      <c r="S25">
        <v>157</v>
      </c>
      <c r="T25" s="8">
        <f t="shared" si="0"/>
        <v>41.340419489634463</v>
      </c>
      <c r="U25" s="13" t="str" cm="1">
        <f t="array" ref="U25">IF(T25="","",_xlfn.IFS(T25&lt;18.5,"Bajo peso",T25&lt;25,"Peso normal",T25&lt;30,"Sobrepeso",T25&lt;35,"Obesidad clase I",T25&lt;40,"Obesidad clase II",T25&gt;=40,"Obesidad clase III"))</f>
        <v>Obesidad clase III</v>
      </c>
      <c r="V25">
        <v>120</v>
      </c>
      <c r="X25" t="s">
        <v>3463</v>
      </c>
      <c r="Y25">
        <v>0.78</v>
      </c>
      <c r="AA25">
        <v>90</v>
      </c>
      <c r="AB25" s="9">
        <f t="shared" si="1"/>
        <v>99.022454164096416</v>
      </c>
      <c r="AD25" t="s">
        <v>73</v>
      </c>
      <c r="AF25" t="s">
        <v>73</v>
      </c>
      <c r="AH25" t="s">
        <v>3463</v>
      </c>
      <c r="AI25" t="s">
        <v>3463</v>
      </c>
      <c r="AJ25" t="s">
        <v>3463</v>
      </c>
      <c r="AK25" t="s">
        <v>3463</v>
      </c>
      <c r="AL25" t="s">
        <v>3463</v>
      </c>
      <c r="AP25" t="s">
        <v>3463</v>
      </c>
      <c r="AQ25" t="s">
        <v>166</v>
      </c>
      <c r="AR25" t="s">
        <v>3495</v>
      </c>
      <c r="AT25" t="s">
        <v>3463</v>
      </c>
      <c r="AV25" t="s">
        <v>74</v>
      </c>
      <c r="AW25" t="s">
        <v>3915</v>
      </c>
      <c r="AX25" t="s">
        <v>3463</v>
      </c>
      <c r="AY25" t="s">
        <v>3465</v>
      </c>
      <c r="AZ25" t="s">
        <v>152</v>
      </c>
      <c r="BA25" t="s">
        <v>3920</v>
      </c>
      <c r="BF25" t="s">
        <v>3921</v>
      </c>
      <c r="BH25" t="s">
        <v>4021</v>
      </c>
      <c r="BI25" t="s">
        <v>76</v>
      </c>
      <c r="BP25" t="s">
        <v>4261</v>
      </c>
      <c r="BQ25" t="s">
        <v>3463</v>
      </c>
      <c r="BR25" t="s">
        <v>3463</v>
      </c>
      <c r="BS25" t="s">
        <v>3465</v>
      </c>
      <c r="BT25" t="s">
        <v>3465</v>
      </c>
      <c r="BU25" t="s">
        <v>3463</v>
      </c>
      <c r="BV25" t="s">
        <v>3463</v>
      </c>
      <c r="BW25" t="s">
        <v>3463</v>
      </c>
      <c r="BX25" t="s">
        <v>79</v>
      </c>
      <c r="BY25" t="s">
        <v>87</v>
      </c>
      <c r="BZ25" t="s">
        <v>79</v>
      </c>
      <c r="CA25" s="10">
        <v>45908</v>
      </c>
    </row>
    <row r="26" spans="1:79">
      <c r="A26">
        <v>25</v>
      </c>
      <c r="B26">
        <v>26</v>
      </c>
      <c r="C26">
        <v>57</v>
      </c>
      <c r="D26" t="s">
        <v>3462</v>
      </c>
      <c r="E26" t="s">
        <v>167</v>
      </c>
      <c r="F26" t="s">
        <v>168</v>
      </c>
      <c r="G26" s="12" t="s">
        <v>3463</v>
      </c>
      <c r="I26">
        <v>59</v>
      </c>
      <c r="J26">
        <v>55</v>
      </c>
      <c r="K26">
        <v>169</v>
      </c>
      <c r="L26">
        <v>93</v>
      </c>
      <c r="M26" t="s">
        <v>72</v>
      </c>
      <c r="N26">
        <v>157</v>
      </c>
      <c r="O26">
        <v>97</v>
      </c>
      <c r="P26" t="s">
        <v>72</v>
      </c>
      <c r="Q26" t="s">
        <v>72</v>
      </c>
      <c r="R26">
        <v>82.8</v>
      </c>
      <c r="S26">
        <v>166.5</v>
      </c>
      <c r="T26" s="8">
        <f t="shared" si="0"/>
        <v>29.86770554338122</v>
      </c>
      <c r="U26" s="13" t="str" cm="1">
        <f t="array" ref="U26">IF(T26="","",_xlfn.IFS(T26&lt;18.5,"Bajo peso",T26&lt;25,"Peso normal",T26&lt;30,"Sobrepeso",T26&lt;35,"Obesidad clase I",T26&lt;40,"Obesidad clase II",T26&gt;=40,"Obesidad clase III"))</f>
        <v>Sobrepeso</v>
      </c>
      <c r="V26">
        <v>145</v>
      </c>
      <c r="X26" t="s">
        <v>3463</v>
      </c>
      <c r="Y26">
        <v>0.88</v>
      </c>
      <c r="AA26">
        <v>90</v>
      </c>
      <c r="AB26" s="9">
        <f t="shared" si="1"/>
        <v>100.29479212866408</v>
      </c>
      <c r="AD26" t="s">
        <v>73</v>
      </c>
      <c r="AF26" t="s">
        <v>73</v>
      </c>
      <c r="AH26" t="s">
        <v>3463</v>
      </c>
      <c r="AI26" t="s">
        <v>3463</v>
      </c>
      <c r="AJ26" t="s">
        <v>3463</v>
      </c>
      <c r="AK26" t="s">
        <v>3463</v>
      </c>
      <c r="AL26" t="s">
        <v>3463</v>
      </c>
      <c r="AP26" t="s">
        <v>3463</v>
      </c>
      <c r="AQ26" t="s">
        <v>169</v>
      </c>
      <c r="AR26" t="s">
        <v>3493</v>
      </c>
      <c r="AV26" t="s">
        <v>74</v>
      </c>
      <c r="AW26" t="s">
        <v>3915</v>
      </c>
      <c r="BA26" t="s">
        <v>3920</v>
      </c>
      <c r="BB26" t="s">
        <v>3485</v>
      </c>
      <c r="BC26" t="s">
        <v>128</v>
      </c>
      <c r="BE26" t="s">
        <v>170</v>
      </c>
      <c r="BF26" t="s">
        <v>3923</v>
      </c>
      <c r="BG26" t="s">
        <v>171</v>
      </c>
      <c r="BH26" t="s">
        <v>4014</v>
      </c>
      <c r="BI26" t="s">
        <v>76</v>
      </c>
      <c r="BJ26" t="s">
        <v>86</v>
      </c>
      <c r="BP26" t="s">
        <v>4271</v>
      </c>
      <c r="BQ26" t="s">
        <v>3463</v>
      </c>
      <c r="BR26" t="s">
        <v>3465</v>
      </c>
      <c r="BS26" t="s">
        <v>3463</v>
      </c>
      <c r="BT26" t="s">
        <v>3465</v>
      </c>
      <c r="BU26" t="s">
        <v>3463</v>
      </c>
      <c r="BV26" t="s">
        <v>3463</v>
      </c>
      <c r="BW26" t="s">
        <v>3463</v>
      </c>
      <c r="BX26" t="s">
        <v>79</v>
      </c>
      <c r="BY26" t="s">
        <v>87</v>
      </c>
      <c r="BZ26" t="s">
        <v>79</v>
      </c>
      <c r="CA26" s="10">
        <v>45908</v>
      </c>
    </row>
    <row r="27" spans="1:79">
      <c r="A27">
        <v>26</v>
      </c>
      <c r="B27">
        <v>27</v>
      </c>
      <c r="C27">
        <v>70</v>
      </c>
      <c r="D27" t="s">
        <v>3462</v>
      </c>
      <c r="F27" t="s">
        <v>168</v>
      </c>
      <c r="G27" s="12" t="s">
        <v>3463</v>
      </c>
      <c r="I27">
        <v>96</v>
      </c>
      <c r="J27">
        <v>55</v>
      </c>
      <c r="K27">
        <v>172</v>
      </c>
      <c r="L27">
        <v>96</v>
      </c>
      <c r="M27" t="s">
        <v>72</v>
      </c>
      <c r="N27">
        <v>168</v>
      </c>
      <c r="O27">
        <v>88</v>
      </c>
      <c r="P27" t="s">
        <v>72</v>
      </c>
      <c r="Q27" t="s">
        <v>72</v>
      </c>
      <c r="R27">
        <v>94.7</v>
      </c>
      <c r="S27">
        <v>170.5</v>
      </c>
      <c r="T27" s="8">
        <f t="shared" si="0"/>
        <v>32.57625923409671</v>
      </c>
      <c r="U27" s="13" t="str" cm="1">
        <f t="array" ref="U27">IF(T27="","",_xlfn.IFS(T27&lt;18.5,"Bajo peso",T27&lt;25,"Peso normal",T27&lt;30,"Sobrepeso",T27&lt;35,"Obesidad clase I",T27&lt;40,"Obesidad clase II",T27&gt;=40,"Obesidad clase III"))</f>
        <v>Obesidad clase I</v>
      </c>
      <c r="V27">
        <v>89</v>
      </c>
      <c r="X27" t="s">
        <v>3463</v>
      </c>
      <c r="Y27">
        <v>0.76</v>
      </c>
      <c r="AA27">
        <v>90</v>
      </c>
      <c r="AB27" s="9">
        <f t="shared" si="1"/>
        <v>96.692623989959543</v>
      </c>
      <c r="AD27" t="s">
        <v>73</v>
      </c>
      <c r="AF27" t="s">
        <v>73</v>
      </c>
      <c r="AH27" t="s">
        <v>3463</v>
      </c>
      <c r="AI27" t="s">
        <v>3463</v>
      </c>
      <c r="AJ27" t="s">
        <v>3463</v>
      </c>
      <c r="AK27" t="s">
        <v>3463</v>
      </c>
      <c r="AL27" t="s">
        <v>3463</v>
      </c>
      <c r="AP27" t="s">
        <v>3463</v>
      </c>
      <c r="AQ27" t="s">
        <v>172</v>
      </c>
      <c r="AR27" t="s">
        <v>3488</v>
      </c>
      <c r="AV27" t="s">
        <v>126</v>
      </c>
      <c r="AW27" t="s">
        <v>126</v>
      </c>
      <c r="BA27" t="s">
        <v>3920</v>
      </c>
      <c r="BD27" t="s">
        <v>105</v>
      </c>
      <c r="BF27" t="s">
        <v>3921</v>
      </c>
      <c r="BG27" t="s">
        <v>173</v>
      </c>
      <c r="BH27" t="s">
        <v>4021</v>
      </c>
      <c r="BI27" t="s">
        <v>76</v>
      </c>
      <c r="BN27" t="s">
        <v>94</v>
      </c>
      <c r="BO27" t="s">
        <v>174</v>
      </c>
      <c r="BP27" t="s">
        <v>4267</v>
      </c>
      <c r="BQ27" t="s">
        <v>3463</v>
      </c>
      <c r="BR27" t="s">
        <v>3463</v>
      </c>
      <c r="BS27" t="s">
        <v>3463</v>
      </c>
      <c r="BT27" t="s">
        <v>3463</v>
      </c>
      <c r="BU27" t="s">
        <v>3463</v>
      </c>
      <c r="BV27" t="s">
        <v>3463</v>
      </c>
      <c r="BW27" t="s">
        <v>3463</v>
      </c>
      <c r="BX27" t="s">
        <v>79</v>
      </c>
      <c r="BY27" t="s">
        <v>87</v>
      </c>
      <c r="BZ27" t="s">
        <v>79</v>
      </c>
      <c r="CA27" s="10">
        <v>45908</v>
      </c>
    </row>
    <row r="28" spans="1:79">
      <c r="A28">
        <v>27</v>
      </c>
      <c r="B28">
        <v>28</v>
      </c>
      <c r="C28">
        <v>27</v>
      </c>
      <c r="D28" t="s">
        <v>3466</v>
      </c>
      <c r="E28" t="s">
        <v>81</v>
      </c>
      <c r="F28" t="s">
        <v>71</v>
      </c>
      <c r="G28" s="12" t="s">
        <v>3463</v>
      </c>
      <c r="I28">
        <v>92</v>
      </c>
      <c r="J28">
        <v>95</v>
      </c>
      <c r="K28">
        <v>143</v>
      </c>
      <c r="L28">
        <v>79</v>
      </c>
      <c r="M28" t="s">
        <v>72</v>
      </c>
      <c r="N28">
        <v>128</v>
      </c>
      <c r="O28">
        <v>78</v>
      </c>
      <c r="P28" t="s">
        <v>118</v>
      </c>
      <c r="Q28" t="s">
        <v>118</v>
      </c>
      <c r="R28">
        <v>57</v>
      </c>
      <c r="S28">
        <v>149</v>
      </c>
      <c r="T28" s="8">
        <f t="shared" si="0"/>
        <v>25.674519165803343</v>
      </c>
      <c r="U28" s="13" t="str" cm="1">
        <f t="array" ref="U28">IF(T28="","",_xlfn.IFS(T28&lt;18.5,"Bajo peso",T28&lt;25,"Peso normal",T28&lt;30,"Sobrepeso",T28&lt;35,"Obesidad clase I",T28&lt;40,"Obesidad clase II",T28&gt;=40,"Obesidad clase III"))</f>
        <v>Sobrepeso</v>
      </c>
      <c r="V28">
        <v>100</v>
      </c>
      <c r="X28" t="s">
        <v>3463</v>
      </c>
      <c r="Y28">
        <v>0.74</v>
      </c>
      <c r="AA28">
        <v>90</v>
      </c>
      <c r="AB28" s="9">
        <f t="shared" si="1"/>
        <v>113.65308698122735</v>
      </c>
      <c r="AD28" t="s">
        <v>73</v>
      </c>
      <c r="AF28" t="s">
        <v>73</v>
      </c>
      <c r="AH28" t="s">
        <v>3463</v>
      </c>
      <c r="AI28" t="s">
        <v>3463</v>
      </c>
      <c r="AJ28" t="s">
        <v>3463</v>
      </c>
      <c r="AK28" t="s">
        <v>3463</v>
      </c>
      <c r="AL28" t="s">
        <v>3463</v>
      </c>
      <c r="AP28" t="s">
        <v>3463</v>
      </c>
      <c r="AT28" t="s">
        <v>3463</v>
      </c>
      <c r="AV28" t="s">
        <v>126</v>
      </c>
      <c r="AW28" t="s">
        <v>126</v>
      </c>
      <c r="AX28" t="s">
        <v>3465</v>
      </c>
      <c r="AY28" t="s">
        <v>3465</v>
      </c>
      <c r="AZ28" t="s">
        <v>104</v>
      </c>
      <c r="BF28" t="s">
        <v>3921</v>
      </c>
      <c r="BG28" t="s">
        <v>175</v>
      </c>
      <c r="BH28" t="s">
        <v>4029</v>
      </c>
      <c r="BO28" t="s">
        <v>174</v>
      </c>
      <c r="BP28" t="s">
        <v>4272</v>
      </c>
      <c r="BQ28" t="s">
        <v>3463</v>
      </c>
      <c r="BR28" t="s">
        <v>3465</v>
      </c>
      <c r="BS28" t="s">
        <v>3463</v>
      </c>
      <c r="BT28" t="s">
        <v>3465</v>
      </c>
      <c r="BU28" t="s">
        <v>3463</v>
      </c>
      <c r="BV28" t="s">
        <v>3463</v>
      </c>
      <c r="BW28" t="s">
        <v>3463</v>
      </c>
      <c r="BX28" t="s">
        <v>79</v>
      </c>
      <c r="BY28" t="s">
        <v>87</v>
      </c>
      <c r="BZ28" t="s">
        <v>79</v>
      </c>
      <c r="CA28" s="10">
        <v>45908</v>
      </c>
    </row>
    <row r="29" spans="1:79">
      <c r="A29">
        <v>28</v>
      </c>
      <c r="B29">
        <v>29</v>
      </c>
      <c r="C29">
        <v>63</v>
      </c>
      <c r="D29" t="s">
        <v>3466</v>
      </c>
      <c r="F29" t="s">
        <v>71</v>
      </c>
      <c r="G29" s="12" t="s">
        <v>3463</v>
      </c>
      <c r="I29">
        <v>75</v>
      </c>
      <c r="J29">
        <v>72</v>
      </c>
      <c r="K29">
        <v>162</v>
      </c>
      <c r="L29">
        <v>72</v>
      </c>
      <c r="M29" t="s">
        <v>72</v>
      </c>
      <c r="N29">
        <v>149</v>
      </c>
      <c r="O29">
        <v>74</v>
      </c>
      <c r="P29" t="s">
        <v>72</v>
      </c>
      <c r="Q29" t="s">
        <v>72</v>
      </c>
      <c r="R29">
        <v>61.5</v>
      </c>
      <c r="S29">
        <v>151.5</v>
      </c>
      <c r="T29" s="8">
        <f t="shared" si="0"/>
        <v>26.794758683789173</v>
      </c>
      <c r="U29" s="13" t="str" cm="1">
        <f t="array" ref="U29">IF(T29="","",_xlfn.IFS(T29&lt;18.5,"Bajo peso",T29&lt;25,"Peso normal",T29&lt;30,"Sobrepeso",T29&lt;35,"Obesidad clase I",T29&lt;40,"Obesidad clase II",T29&gt;=40,"Obesidad clase III"))</f>
        <v>Sobrepeso</v>
      </c>
      <c r="V29">
        <v>96</v>
      </c>
      <c r="X29" t="s">
        <v>3463</v>
      </c>
      <c r="Y29">
        <v>0.69</v>
      </c>
      <c r="AA29">
        <v>90</v>
      </c>
      <c r="AB29" s="9">
        <f t="shared" si="1"/>
        <v>97.456626821621597</v>
      </c>
      <c r="AD29" t="s">
        <v>73</v>
      </c>
      <c r="AF29" t="s">
        <v>73</v>
      </c>
      <c r="AH29" t="s">
        <v>3463</v>
      </c>
      <c r="AI29" t="s">
        <v>3463</v>
      </c>
      <c r="AJ29" t="s">
        <v>3463</v>
      </c>
      <c r="AK29" t="s">
        <v>3463</v>
      </c>
      <c r="AL29" t="s">
        <v>3465</v>
      </c>
      <c r="AM29" t="s">
        <v>176</v>
      </c>
      <c r="AN29" t="s">
        <v>3607</v>
      </c>
      <c r="AP29" t="s">
        <v>3463</v>
      </c>
      <c r="AQ29" t="s">
        <v>177</v>
      </c>
      <c r="AR29" t="s">
        <v>3488</v>
      </c>
      <c r="AT29" t="s">
        <v>3465</v>
      </c>
      <c r="AU29" t="s">
        <v>80</v>
      </c>
      <c r="AV29" t="s">
        <v>178</v>
      </c>
      <c r="AW29" t="s">
        <v>3918</v>
      </c>
      <c r="AX29" t="s">
        <v>3465</v>
      </c>
      <c r="AY29" t="s">
        <v>3465</v>
      </c>
      <c r="AZ29" t="s">
        <v>90</v>
      </c>
      <c r="BF29" t="s">
        <v>3921</v>
      </c>
      <c r="BG29" t="s">
        <v>179</v>
      </c>
      <c r="BH29" t="s">
        <v>4014</v>
      </c>
      <c r="BP29" t="s">
        <v>4255</v>
      </c>
      <c r="BQ29" t="s">
        <v>3463</v>
      </c>
      <c r="BR29" t="s">
        <v>3463</v>
      </c>
      <c r="BS29" t="s">
        <v>3463</v>
      </c>
      <c r="BT29" t="s">
        <v>3463</v>
      </c>
      <c r="BU29" t="s">
        <v>3463</v>
      </c>
      <c r="BV29" t="s">
        <v>3463</v>
      </c>
      <c r="BW29" t="s">
        <v>3463</v>
      </c>
      <c r="BX29" t="s">
        <v>79</v>
      </c>
      <c r="BY29" t="s">
        <v>87</v>
      </c>
      <c r="BZ29" t="s">
        <v>79</v>
      </c>
      <c r="CA29" s="10">
        <v>45908</v>
      </c>
    </row>
    <row r="30" spans="1:79">
      <c r="A30">
        <v>29</v>
      </c>
      <c r="B30">
        <v>30</v>
      </c>
      <c r="C30">
        <v>26</v>
      </c>
      <c r="D30" t="s">
        <v>3466</v>
      </c>
      <c r="E30" t="s">
        <v>81</v>
      </c>
      <c r="F30" t="s">
        <v>71</v>
      </c>
      <c r="G30" s="12" t="s">
        <v>3463</v>
      </c>
      <c r="I30">
        <v>102</v>
      </c>
      <c r="K30">
        <v>135</v>
      </c>
      <c r="L30">
        <v>79</v>
      </c>
      <c r="M30" t="s">
        <v>82</v>
      </c>
      <c r="P30" t="s">
        <v>83</v>
      </c>
      <c r="Q30" t="s">
        <v>82</v>
      </c>
      <c r="R30">
        <v>51.4</v>
      </c>
      <c r="S30">
        <v>160.5</v>
      </c>
      <c r="T30" s="8">
        <f t="shared" si="0"/>
        <v>19.953222503663589</v>
      </c>
      <c r="U30" s="13" t="str" cm="1">
        <f t="array" ref="U30">IF(T30="","",_xlfn.IFS(T30&lt;18.5,"Bajo peso",T30&lt;25,"Peso normal",T30&lt;30,"Sobrepeso",T30&lt;35,"Obesidad clase I",T30&lt;40,"Obesidad clase II",T30&gt;=40,"Obesidad clase III"))</f>
        <v>Peso normal</v>
      </c>
      <c r="V30">
        <v>95</v>
      </c>
      <c r="X30" t="s">
        <v>3463</v>
      </c>
      <c r="Y30">
        <v>0.92</v>
      </c>
      <c r="AA30">
        <v>88</v>
      </c>
      <c r="AB30" s="9">
        <f t="shared" si="1"/>
        <v>88.067347238365429</v>
      </c>
      <c r="AD30" t="s">
        <v>73</v>
      </c>
      <c r="AF30" t="s">
        <v>73</v>
      </c>
      <c r="AH30" t="s">
        <v>3463</v>
      </c>
      <c r="AI30" t="s">
        <v>3463</v>
      </c>
      <c r="AJ30" t="s">
        <v>3463</v>
      </c>
      <c r="AK30" t="s">
        <v>3463</v>
      </c>
      <c r="AL30" t="s">
        <v>3463</v>
      </c>
      <c r="AP30" t="s">
        <v>3463</v>
      </c>
      <c r="AT30" t="s">
        <v>3463</v>
      </c>
      <c r="AV30" t="s">
        <v>74</v>
      </c>
      <c r="AW30" t="s">
        <v>3915</v>
      </c>
      <c r="AX30" t="s">
        <v>3463</v>
      </c>
      <c r="AY30" t="s">
        <v>3463</v>
      </c>
      <c r="BF30" t="s">
        <v>3921</v>
      </c>
      <c r="BH30" t="s">
        <v>4020</v>
      </c>
      <c r="BP30" t="s">
        <v>4260</v>
      </c>
      <c r="BQ30" t="s">
        <v>3465</v>
      </c>
      <c r="BR30" t="s">
        <v>3463</v>
      </c>
      <c r="BS30" t="s">
        <v>3465</v>
      </c>
      <c r="BT30" t="s">
        <v>3465</v>
      </c>
      <c r="BU30" t="s">
        <v>3463</v>
      </c>
      <c r="BV30" t="s">
        <v>3463</v>
      </c>
      <c r="BW30" t="s">
        <v>3463</v>
      </c>
      <c r="BX30" t="s">
        <v>79</v>
      </c>
      <c r="BY30" t="s">
        <v>87</v>
      </c>
      <c r="BZ30" t="s">
        <v>79</v>
      </c>
      <c r="CA30" s="10">
        <v>45908</v>
      </c>
    </row>
    <row r="31" spans="1:79">
      <c r="A31">
        <v>30</v>
      </c>
      <c r="B31">
        <v>31</v>
      </c>
      <c r="C31">
        <v>58</v>
      </c>
      <c r="D31" t="s">
        <v>3462</v>
      </c>
      <c r="E31" t="s">
        <v>180</v>
      </c>
      <c r="F31" t="s">
        <v>71</v>
      </c>
      <c r="G31" s="12" t="s">
        <v>3463</v>
      </c>
      <c r="I31">
        <v>63</v>
      </c>
      <c r="J31">
        <v>59</v>
      </c>
      <c r="K31">
        <v>164</v>
      </c>
      <c r="L31">
        <v>91</v>
      </c>
      <c r="M31" t="s">
        <v>72</v>
      </c>
      <c r="N31">
        <v>156</v>
      </c>
      <c r="O31">
        <v>89</v>
      </c>
      <c r="P31" t="s">
        <v>72</v>
      </c>
      <c r="Q31" t="s">
        <v>72</v>
      </c>
      <c r="R31">
        <v>66</v>
      </c>
      <c r="S31">
        <v>151</v>
      </c>
      <c r="T31" s="8">
        <f t="shared" si="0"/>
        <v>28.946098855313366</v>
      </c>
      <c r="U31" s="13" t="str" cm="1">
        <f t="array" ref="U31">IF(T31="","",_xlfn.IFS(T31&lt;18.5,"Bajo peso",T31&lt;25,"Peso normal",T31&lt;30,"Sobrepeso",T31&lt;35,"Obesidad clase I",T31&lt;40,"Obesidad clase II",T31&gt;=40,"Obesidad clase III"))</f>
        <v>Sobrepeso</v>
      </c>
      <c r="V31">
        <v>145</v>
      </c>
      <c r="X31" t="s">
        <v>3463</v>
      </c>
      <c r="Y31">
        <v>0.97</v>
      </c>
      <c r="AA31">
        <v>90</v>
      </c>
      <c r="AB31" s="9">
        <f t="shared" si="1"/>
        <v>90.488801126138199</v>
      </c>
      <c r="AD31" t="s">
        <v>73</v>
      </c>
      <c r="AF31" t="s">
        <v>73</v>
      </c>
      <c r="AH31" t="s">
        <v>3463</v>
      </c>
      <c r="AI31" t="s">
        <v>3463</v>
      </c>
      <c r="AJ31" t="s">
        <v>3463</v>
      </c>
      <c r="AK31" t="s">
        <v>3463</v>
      </c>
      <c r="AL31" t="s">
        <v>3465</v>
      </c>
      <c r="AM31" t="s">
        <v>181</v>
      </c>
      <c r="AN31" t="s">
        <v>3608</v>
      </c>
      <c r="AP31" t="s">
        <v>3463</v>
      </c>
      <c r="AV31" t="s">
        <v>74</v>
      </c>
      <c r="AW31" t="s">
        <v>3915</v>
      </c>
      <c r="BA31" t="s">
        <v>3920</v>
      </c>
      <c r="BF31" t="s">
        <v>3921</v>
      </c>
      <c r="BG31" t="s">
        <v>182</v>
      </c>
      <c r="BH31" t="s">
        <v>4030</v>
      </c>
      <c r="BI31" t="s">
        <v>76</v>
      </c>
      <c r="BN31" t="s">
        <v>94</v>
      </c>
      <c r="BP31" t="s">
        <v>4270</v>
      </c>
      <c r="BQ31" t="s">
        <v>3463</v>
      </c>
      <c r="BR31" t="s">
        <v>3465</v>
      </c>
      <c r="BS31" t="s">
        <v>3463</v>
      </c>
      <c r="BT31" t="s">
        <v>3463</v>
      </c>
      <c r="BU31" t="s">
        <v>3465</v>
      </c>
      <c r="BV31" t="s">
        <v>3463</v>
      </c>
      <c r="BW31" t="s">
        <v>3463</v>
      </c>
      <c r="BX31" t="s">
        <v>79</v>
      </c>
      <c r="BY31" t="s">
        <v>87</v>
      </c>
      <c r="BZ31" t="s">
        <v>79</v>
      </c>
      <c r="CA31" s="10">
        <v>45908</v>
      </c>
    </row>
    <row r="32" spans="1:79">
      <c r="A32">
        <v>31</v>
      </c>
      <c r="B32">
        <v>32</v>
      </c>
      <c r="C32">
        <v>55</v>
      </c>
      <c r="D32" t="s">
        <v>3466</v>
      </c>
      <c r="F32" t="s">
        <v>71</v>
      </c>
      <c r="G32" s="12" t="s">
        <v>3463</v>
      </c>
      <c r="I32">
        <v>85</v>
      </c>
      <c r="J32">
        <v>85</v>
      </c>
      <c r="K32">
        <v>152</v>
      </c>
      <c r="L32">
        <v>77</v>
      </c>
      <c r="M32" t="s">
        <v>72</v>
      </c>
      <c r="N32">
        <v>127</v>
      </c>
      <c r="O32">
        <v>76</v>
      </c>
      <c r="P32" t="s">
        <v>118</v>
      </c>
      <c r="Q32" t="s">
        <v>118</v>
      </c>
      <c r="R32">
        <v>54.7</v>
      </c>
      <c r="S32">
        <v>151</v>
      </c>
      <c r="T32" s="8">
        <f t="shared" si="0"/>
        <v>23.990175869479412</v>
      </c>
      <c r="U32" s="13" t="str" cm="1">
        <f t="array" ref="U32">IF(T32="","",_xlfn.IFS(T32&lt;18.5,"Bajo peso",T32&lt;25,"Peso normal",T32&lt;30,"Sobrepeso",T32&lt;35,"Obesidad clase I",T32&lt;40,"Obesidad clase II",T32&gt;=40,"Obesidad clase III"))</f>
        <v>Peso normal</v>
      </c>
      <c r="V32">
        <v>109</v>
      </c>
      <c r="X32" t="s">
        <v>3463</v>
      </c>
      <c r="Y32">
        <v>1</v>
      </c>
      <c r="AA32">
        <v>67</v>
      </c>
      <c r="AB32" s="9">
        <f t="shared" si="1"/>
        <v>66.532077912100704</v>
      </c>
      <c r="AD32" t="s">
        <v>73</v>
      </c>
      <c r="AF32" t="s">
        <v>73</v>
      </c>
      <c r="AH32" t="s">
        <v>3464</v>
      </c>
      <c r="AI32" t="s">
        <v>3463</v>
      </c>
      <c r="AJ32" t="s">
        <v>3463</v>
      </c>
      <c r="AK32" t="s">
        <v>3463</v>
      </c>
      <c r="AL32" t="s">
        <v>3465</v>
      </c>
      <c r="AM32" t="s">
        <v>183</v>
      </c>
      <c r="AN32" t="s">
        <v>3609</v>
      </c>
      <c r="AP32" t="s">
        <v>3463</v>
      </c>
      <c r="AQ32" t="s">
        <v>184</v>
      </c>
      <c r="AR32" t="s">
        <v>3488</v>
      </c>
      <c r="AT32" t="s">
        <v>3465</v>
      </c>
      <c r="AU32" t="s">
        <v>80</v>
      </c>
      <c r="AV32" t="s">
        <v>74</v>
      </c>
      <c r="AW32" t="s">
        <v>3915</v>
      </c>
      <c r="AX32" t="s">
        <v>3463</v>
      </c>
      <c r="AY32" t="s">
        <v>3465</v>
      </c>
      <c r="AZ32" t="s">
        <v>185</v>
      </c>
      <c r="BF32" t="s">
        <v>3921</v>
      </c>
      <c r="BG32" t="s">
        <v>186</v>
      </c>
      <c r="BH32" t="s">
        <v>4014</v>
      </c>
      <c r="BP32" t="s">
        <v>4255</v>
      </c>
      <c r="BQ32" t="s">
        <v>3463</v>
      </c>
      <c r="BR32" t="s">
        <v>3465</v>
      </c>
      <c r="BS32" t="s">
        <v>3463</v>
      </c>
      <c r="BT32" t="s">
        <v>3463</v>
      </c>
      <c r="BU32" t="s">
        <v>3463</v>
      </c>
      <c r="BV32" t="s">
        <v>3463</v>
      </c>
      <c r="BW32" t="s">
        <v>3463</v>
      </c>
      <c r="BX32" t="s">
        <v>79</v>
      </c>
      <c r="BY32" t="s">
        <v>87</v>
      </c>
      <c r="BZ32" t="s">
        <v>79</v>
      </c>
      <c r="CA32" s="10">
        <v>45908</v>
      </c>
    </row>
    <row r="33" spans="1:79">
      <c r="A33">
        <v>32</v>
      </c>
      <c r="B33">
        <v>33</v>
      </c>
      <c r="C33">
        <v>51</v>
      </c>
      <c r="D33" t="s">
        <v>3466</v>
      </c>
      <c r="F33" t="s">
        <v>71</v>
      </c>
      <c r="G33" s="12" t="s">
        <v>3463</v>
      </c>
      <c r="I33">
        <v>77</v>
      </c>
      <c r="K33">
        <v>128</v>
      </c>
      <c r="L33">
        <v>71</v>
      </c>
      <c r="M33" t="s">
        <v>118</v>
      </c>
      <c r="P33" t="s">
        <v>83</v>
      </c>
      <c r="Q33" t="s">
        <v>118</v>
      </c>
      <c r="R33">
        <v>63.7</v>
      </c>
      <c r="S33">
        <v>160.5</v>
      </c>
      <c r="T33" s="8">
        <f t="shared" si="0"/>
        <v>24.728020884890483</v>
      </c>
      <c r="U33" s="13" t="str" cm="1">
        <f t="array" ref="U33">IF(T33="","",_xlfn.IFS(T33&lt;18.5,"Bajo peso",T33&lt;25,"Peso normal",T33&lt;30,"Sobrepeso",T33&lt;35,"Obesidad clase I",T33&lt;40,"Obesidad clase II",T33&gt;=40,"Obesidad clase III"))</f>
        <v>Peso normal</v>
      </c>
      <c r="V33">
        <v>100</v>
      </c>
      <c r="X33" t="s">
        <v>3463</v>
      </c>
      <c r="Y33">
        <v>0.85</v>
      </c>
      <c r="AA33">
        <v>83</v>
      </c>
      <c r="AB33" s="9">
        <f t="shared" si="1"/>
        <v>82.895777056083091</v>
      </c>
      <c r="AD33" t="s">
        <v>73</v>
      </c>
      <c r="AF33" t="s">
        <v>73</v>
      </c>
      <c r="AH33" t="s">
        <v>3463</v>
      </c>
      <c r="AI33" t="s">
        <v>3463</v>
      </c>
      <c r="AJ33" t="s">
        <v>3465</v>
      </c>
      <c r="AK33" t="s">
        <v>3463</v>
      </c>
      <c r="AL33" t="s">
        <v>3465</v>
      </c>
      <c r="AM33" t="s">
        <v>116</v>
      </c>
      <c r="AN33" t="s">
        <v>116</v>
      </c>
      <c r="AP33" t="s">
        <v>3463</v>
      </c>
      <c r="AQ33" t="s">
        <v>89</v>
      </c>
      <c r="AR33" t="s">
        <v>3488</v>
      </c>
      <c r="AT33" t="s">
        <v>3465</v>
      </c>
      <c r="AU33" t="s">
        <v>80</v>
      </c>
      <c r="AV33" t="s">
        <v>74</v>
      </c>
      <c r="AW33" t="s">
        <v>3915</v>
      </c>
      <c r="AX33" t="s">
        <v>3463</v>
      </c>
      <c r="AY33" t="s">
        <v>3465</v>
      </c>
      <c r="AZ33" t="s">
        <v>187</v>
      </c>
      <c r="BE33" t="s">
        <v>188</v>
      </c>
      <c r="BF33" t="s">
        <v>3924</v>
      </c>
      <c r="BG33" t="s">
        <v>189</v>
      </c>
      <c r="BH33" t="s">
        <v>4031</v>
      </c>
      <c r="BK33" t="s">
        <v>190</v>
      </c>
      <c r="BN33" t="s">
        <v>191</v>
      </c>
      <c r="BO33" t="s">
        <v>192</v>
      </c>
      <c r="BP33" t="s">
        <v>4273</v>
      </c>
      <c r="BQ33" t="s">
        <v>3463</v>
      </c>
      <c r="BR33" t="s">
        <v>3463</v>
      </c>
      <c r="BS33" t="s">
        <v>3465</v>
      </c>
      <c r="BT33" t="s">
        <v>3465</v>
      </c>
      <c r="BU33" t="s">
        <v>3463</v>
      </c>
      <c r="BV33" t="s">
        <v>3463</v>
      </c>
      <c r="BW33" t="s">
        <v>3463</v>
      </c>
      <c r="BX33" t="s">
        <v>79</v>
      </c>
      <c r="BY33" t="s">
        <v>87</v>
      </c>
      <c r="BZ33" t="s">
        <v>79</v>
      </c>
      <c r="CA33" s="10">
        <v>45908</v>
      </c>
    </row>
    <row r="34" spans="1:79">
      <c r="A34">
        <v>33</v>
      </c>
      <c r="B34">
        <v>34</v>
      </c>
      <c r="C34">
        <v>23</v>
      </c>
      <c r="D34" t="s">
        <v>3466</v>
      </c>
      <c r="E34" t="s">
        <v>81</v>
      </c>
      <c r="F34" t="s">
        <v>71</v>
      </c>
      <c r="G34" s="12" t="s">
        <v>3463</v>
      </c>
      <c r="I34">
        <v>62</v>
      </c>
      <c r="J34">
        <v>61</v>
      </c>
      <c r="K34">
        <v>142</v>
      </c>
      <c r="L34">
        <v>65</v>
      </c>
      <c r="M34" t="s">
        <v>72</v>
      </c>
      <c r="N34">
        <v>127</v>
      </c>
      <c r="O34">
        <v>57</v>
      </c>
      <c r="P34" t="s">
        <v>118</v>
      </c>
      <c r="Q34" t="s">
        <v>118</v>
      </c>
      <c r="R34">
        <v>55.6</v>
      </c>
      <c r="S34">
        <v>154.5</v>
      </c>
      <c r="T34" s="8">
        <f t="shared" si="0"/>
        <v>23.292592243482996</v>
      </c>
      <c r="U34" s="13" t="str" cm="1">
        <f t="array" ref="U34">IF(T34="","",_xlfn.IFS(T34&lt;18.5,"Bajo peso",T34&lt;25,"Peso normal",T34&lt;30,"Sobrepeso",T34&lt;35,"Obesidad clase I",T34&lt;40,"Obesidad clase II",T34&gt;=40,"Obesidad clase III"))</f>
        <v>Peso normal</v>
      </c>
      <c r="V34">
        <v>108</v>
      </c>
      <c r="X34" t="s">
        <v>3463</v>
      </c>
      <c r="Y34">
        <v>0.83</v>
      </c>
      <c r="AA34">
        <v>90</v>
      </c>
      <c r="AB34" s="9">
        <f t="shared" si="1"/>
        <v>101.52421016673524</v>
      </c>
      <c r="AD34" t="s">
        <v>73</v>
      </c>
      <c r="AF34" t="s">
        <v>73</v>
      </c>
      <c r="AH34" t="s">
        <v>3463</v>
      </c>
      <c r="AI34" t="s">
        <v>3463</v>
      </c>
      <c r="AJ34" t="s">
        <v>3463</v>
      </c>
      <c r="AK34" t="s">
        <v>3463</v>
      </c>
      <c r="AL34" t="s">
        <v>3465</v>
      </c>
      <c r="AM34" t="s">
        <v>193</v>
      </c>
      <c r="AN34" t="s">
        <v>3610</v>
      </c>
      <c r="AP34" t="s">
        <v>3463</v>
      </c>
      <c r="AQ34" t="s">
        <v>194</v>
      </c>
      <c r="AR34" t="s">
        <v>3488</v>
      </c>
      <c r="AT34" t="s">
        <v>3463</v>
      </c>
      <c r="AV34" t="s">
        <v>74</v>
      </c>
      <c r="AW34" t="s">
        <v>3915</v>
      </c>
      <c r="AX34" t="s">
        <v>3463</v>
      </c>
      <c r="AY34" t="s">
        <v>3463</v>
      </c>
      <c r="BF34" t="s">
        <v>3921</v>
      </c>
      <c r="BH34" t="s">
        <v>4020</v>
      </c>
      <c r="BP34" t="s">
        <v>4260</v>
      </c>
      <c r="BQ34" t="s">
        <v>3465</v>
      </c>
      <c r="BR34" t="s">
        <v>3465</v>
      </c>
      <c r="BS34" t="s">
        <v>3463</v>
      </c>
      <c r="BT34" t="s">
        <v>3463</v>
      </c>
      <c r="BU34" t="s">
        <v>3463</v>
      </c>
      <c r="BV34" t="s">
        <v>3463</v>
      </c>
      <c r="BW34" t="s">
        <v>3463</v>
      </c>
      <c r="BX34" t="s">
        <v>79</v>
      </c>
      <c r="BY34" t="s">
        <v>87</v>
      </c>
      <c r="BZ34" t="s">
        <v>79</v>
      </c>
      <c r="CA34" s="10">
        <v>45908</v>
      </c>
    </row>
    <row r="35" spans="1:79">
      <c r="A35">
        <v>34</v>
      </c>
      <c r="B35">
        <v>35</v>
      </c>
      <c r="C35">
        <v>92</v>
      </c>
      <c r="D35" t="s">
        <v>3462</v>
      </c>
      <c r="F35" t="s">
        <v>71</v>
      </c>
      <c r="G35" s="12" t="s">
        <v>3463</v>
      </c>
      <c r="I35">
        <v>80</v>
      </c>
      <c r="K35">
        <v>119</v>
      </c>
      <c r="L35">
        <v>59</v>
      </c>
      <c r="M35" t="s">
        <v>80</v>
      </c>
      <c r="P35" t="s">
        <v>83</v>
      </c>
      <c r="Q35" t="s">
        <v>80</v>
      </c>
      <c r="R35">
        <v>65.400000000000006</v>
      </c>
      <c r="S35">
        <v>152</v>
      </c>
      <c r="T35" s="8">
        <f t="shared" si="0"/>
        <v>28.306786703601109</v>
      </c>
      <c r="U35" s="13" t="str" cm="1">
        <f t="array" ref="U35">IF(T35="","",_xlfn.IFS(T35&lt;18.5,"Bajo peso",T35&lt;25,"Peso normal",T35&lt;30,"Sobrepeso",T35&lt;35,"Obesidad clase I",T35&lt;40,"Obesidad clase II",T35&gt;=40,"Obesidad clase III"))</f>
        <v>Sobrepeso</v>
      </c>
      <c r="V35">
        <v>139</v>
      </c>
      <c r="X35" t="s">
        <v>3463</v>
      </c>
      <c r="Y35">
        <v>1.1399999999999999</v>
      </c>
      <c r="AA35">
        <v>61</v>
      </c>
      <c r="AB35" s="9">
        <f t="shared" si="1"/>
        <v>60.339378942457664</v>
      </c>
      <c r="AD35" t="s">
        <v>73</v>
      </c>
      <c r="AF35" t="s">
        <v>73</v>
      </c>
      <c r="AH35" t="s">
        <v>3463</v>
      </c>
      <c r="AI35" t="s">
        <v>3463</v>
      </c>
      <c r="AJ35" t="s">
        <v>3463</v>
      </c>
      <c r="AK35" t="s">
        <v>3465</v>
      </c>
      <c r="AL35" t="s">
        <v>3463</v>
      </c>
      <c r="AP35" t="s">
        <v>3463</v>
      </c>
      <c r="AQ35" t="s">
        <v>195</v>
      </c>
      <c r="AR35" t="s">
        <v>3493</v>
      </c>
      <c r="AV35" t="s">
        <v>74</v>
      </c>
      <c r="AW35" t="s">
        <v>3915</v>
      </c>
      <c r="BD35" t="s">
        <v>105</v>
      </c>
      <c r="BE35" t="s">
        <v>197</v>
      </c>
      <c r="BF35" t="s">
        <v>3925</v>
      </c>
      <c r="BG35" t="s">
        <v>198</v>
      </c>
      <c r="BH35" t="s">
        <v>4032</v>
      </c>
      <c r="BI35" t="s">
        <v>139</v>
      </c>
      <c r="BK35" t="s">
        <v>199</v>
      </c>
      <c r="BM35" t="s">
        <v>200</v>
      </c>
      <c r="BN35" t="s">
        <v>94</v>
      </c>
      <c r="BO35" t="s">
        <v>201</v>
      </c>
      <c r="BP35" t="s">
        <v>4274</v>
      </c>
      <c r="BQ35" t="s">
        <v>3463</v>
      </c>
      <c r="BR35" t="s">
        <v>3463</v>
      </c>
      <c r="BS35" t="s">
        <v>3463</v>
      </c>
      <c r="BT35" t="s">
        <v>3463</v>
      </c>
      <c r="BU35" t="s">
        <v>3465</v>
      </c>
      <c r="BV35" t="s">
        <v>3465</v>
      </c>
      <c r="BW35" t="s">
        <v>3465</v>
      </c>
      <c r="BX35" t="s">
        <v>79</v>
      </c>
      <c r="BY35" t="s">
        <v>87</v>
      </c>
      <c r="BZ35" t="s">
        <v>79</v>
      </c>
      <c r="CA35" s="10">
        <v>45908</v>
      </c>
    </row>
    <row r="36" spans="1:79">
      <c r="A36">
        <v>35</v>
      </c>
      <c r="B36">
        <v>36</v>
      </c>
      <c r="C36">
        <v>58</v>
      </c>
      <c r="D36" t="s">
        <v>3462</v>
      </c>
      <c r="E36" t="s">
        <v>122</v>
      </c>
      <c r="F36" t="s">
        <v>71</v>
      </c>
      <c r="G36" s="12" t="s">
        <v>3463</v>
      </c>
      <c r="I36">
        <v>86</v>
      </c>
      <c r="J36">
        <v>79</v>
      </c>
      <c r="K36">
        <v>157</v>
      </c>
      <c r="L36">
        <v>86</v>
      </c>
      <c r="M36" t="s">
        <v>72</v>
      </c>
      <c r="N36">
        <v>152</v>
      </c>
      <c r="O36">
        <v>90</v>
      </c>
      <c r="P36" t="s">
        <v>72</v>
      </c>
      <c r="Q36" t="s">
        <v>72</v>
      </c>
      <c r="R36">
        <v>78.900000000000006</v>
      </c>
      <c r="S36">
        <v>174.5</v>
      </c>
      <c r="T36" s="8">
        <f t="shared" si="0"/>
        <v>25.911117314307766</v>
      </c>
      <c r="U36" s="13" t="str" cm="1">
        <f t="array" ref="U36">IF(T36="","",_xlfn.IFS(T36&lt;18.5,"Bajo peso",T36&lt;25,"Peso normal",T36&lt;30,"Sobrepeso",T36&lt;35,"Obesidad clase I",T36&lt;40,"Obesidad clase II",T36&gt;=40,"Obesidad clase III"))</f>
        <v>Sobrepeso</v>
      </c>
      <c r="V36">
        <v>125</v>
      </c>
      <c r="X36" t="s">
        <v>3463</v>
      </c>
      <c r="Y36">
        <v>1.29</v>
      </c>
      <c r="AA36">
        <v>64</v>
      </c>
      <c r="AB36" s="9">
        <f t="shared" si="1"/>
        <v>64.270734492888494</v>
      </c>
      <c r="AD36" t="s">
        <v>73</v>
      </c>
      <c r="AF36" t="s">
        <v>73</v>
      </c>
      <c r="AH36" t="s">
        <v>3463</v>
      </c>
      <c r="AI36" t="s">
        <v>3465</v>
      </c>
      <c r="AJ36" t="s">
        <v>3463</v>
      </c>
      <c r="AK36" t="s">
        <v>3463</v>
      </c>
      <c r="AL36" t="s">
        <v>3465</v>
      </c>
      <c r="AM36" t="s">
        <v>202</v>
      </c>
      <c r="AN36" t="s">
        <v>3611</v>
      </c>
      <c r="AP36" t="s">
        <v>3463</v>
      </c>
      <c r="AQ36" t="s">
        <v>203</v>
      </c>
      <c r="AR36" t="s">
        <v>3488</v>
      </c>
      <c r="AS36" t="s">
        <v>3465</v>
      </c>
      <c r="AV36" t="s">
        <v>74</v>
      </c>
      <c r="AW36" t="s">
        <v>3915</v>
      </c>
      <c r="BA36" t="s">
        <v>3920</v>
      </c>
      <c r="BF36" t="s">
        <v>3921</v>
      </c>
      <c r="BG36" t="s">
        <v>204</v>
      </c>
      <c r="BH36" t="s">
        <v>4033</v>
      </c>
      <c r="BI36" t="s">
        <v>139</v>
      </c>
      <c r="BN36" t="s">
        <v>205</v>
      </c>
      <c r="BO36" t="s">
        <v>206</v>
      </c>
      <c r="BP36" t="s">
        <v>4275</v>
      </c>
      <c r="BQ36" t="s">
        <v>3463</v>
      </c>
      <c r="BR36" t="s">
        <v>3465</v>
      </c>
      <c r="BS36" t="s">
        <v>3463</v>
      </c>
      <c r="BT36" t="s">
        <v>3465</v>
      </c>
      <c r="BU36" t="s">
        <v>3463</v>
      </c>
      <c r="BV36" t="s">
        <v>3463</v>
      </c>
      <c r="BW36" t="s">
        <v>3463</v>
      </c>
      <c r="BX36" t="s">
        <v>79</v>
      </c>
      <c r="BY36" t="s">
        <v>87</v>
      </c>
      <c r="BZ36" t="s">
        <v>79</v>
      </c>
      <c r="CA36" s="10">
        <v>45908</v>
      </c>
    </row>
    <row r="37" spans="1:79">
      <c r="A37">
        <v>36</v>
      </c>
      <c r="B37">
        <v>37</v>
      </c>
      <c r="C37">
        <v>60</v>
      </c>
      <c r="D37" t="s">
        <v>3462</v>
      </c>
      <c r="F37" t="s">
        <v>71</v>
      </c>
      <c r="G37" s="12" t="s">
        <v>3463</v>
      </c>
      <c r="I37">
        <v>67</v>
      </c>
      <c r="J37">
        <v>65</v>
      </c>
      <c r="K37">
        <v>166</v>
      </c>
      <c r="L37">
        <v>86</v>
      </c>
      <c r="M37" t="s">
        <v>72</v>
      </c>
      <c r="N37">
        <v>159</v>
      </c>
      <c r="O37">
        <v>86</v>
      </c>
      <c r="P37" t="s">
        <v>72</v>
      </c>
      <c r="Q37" t="s">
        <v>72</v>
      </c>
      <c r="R37">
        <v>91</v>
      </c>
      <c r="S37">
        <v>173</v>
      </c>
      <c r="T37" s="8">
        <f t="shared" si="0"/>
        <v>30.405292525644022</v>
      </c>
      <c r="U37" s="13" t="str" cm="1">
        <f t="array" ref="U37">IF(T37="","",_xlfn.IFS(T37&lt;18.5,"Bajo peso",T37&lt;25,"Peso normal",T37&lt;30,"Sobrepeso",T37&lt;35,"Obesidad clase I",T37&lt;40,"Obesidad clase II",T37&gt;=40,"Obesidad clase III"))</f>
        <v>Obesidad clase I</v>
      </c>
      <c r="V37">
        <v>106</v>
      </c>
      <c r="X37" t="s">
        <v>3463</v>
      </c>
      <c r="Y37">
        <v>1.1200000000000001</v>
      </c>
      <c r="AA37">
        <v>75</v>
      </c>
      <c r="AB37" s="9">
        <f t="shared" si="1"/>
        <v>75.206828218264988</v>
      </c>
      <c r="AD37" t="s">
        <v>73</v>
      </c>
      <c r="AF37" t="s">
        <v>73</v>
      </c>
      <c r="AH37" t="s">
        <v>3463</v>
      </c>
      <c r="AI37" t="s">
        <v>3465</v>
      </c>
      <c r="AJ37" t="s">
        <v>3465</v>
      </c>
      <c r="AK37" t="s">
        <v>3463</v>
      </c>
      <c r="AL37" t="s">
        <v>3465</v>
      </c>
      <c r="AM37" t="s">
        <v>207</v>
      </c>
      <c r="AN37" t="s">
        <v>3612</v>
      </c>
      <c r="AP37" t="s">
        <v>3463</v>
      </c>
      <c r="AQ37" t="s">
        <v>177</v>
      </c>
      <c r="AR37" t="s">
        <v>3488</v>
      </c>
      <c r="AS37" t="s">
        <v>3465</v>
      </c>
      <c r="AV37" t="s">
        <v>126</v>
      </c>
      <c r="AW37" t="s">
        <v>126</v>
      </c>
      <c r="BA37" t="s">
        <v>3920</v>
      </c>
      <c r="BF37" t="s">
        <v>3921</v>
      </c>
      <c r="BG37" t="s">
        <v>208</v>
      </c>
      <c r="BH37" t="s">
        <v>4034</v>
      </c>
      <c r="BI37" t="s">
        <v>139</v>
      </c>
      <c r="BN37" t="s">
        <v>209</v>
      </c>
      <c r="BO37" t="s">
        <v>210</v>
      </c>
      <c r="BP37" t="s">
        <v>4276</v>
      </c>
      <c r="BQ37" t="s">
        <v>3463</v>
      </c>
      <c r="BR37" t="s">
        <v>3465</v>
      </c>
      <c r="BS37" t="s">
        <v>3465</v>
      </c>
      <c r="BT37" t="s">
        <v>3465</v>
      </c>
      <c r="BU37" t="s">
        <v>3463</v>
      </c>
      <c r="BV37" t="s">
        <v>3463</v>
      </c>
      <c r="BW37" t="s">
        <v>3463</v>
      </c>
      <c r="BX37" t="s">
        <v>79</v>
      </c>
      <c r="BY37" t="s">
        <v>87</v>
      </c>
      <c r="BZ37" t="s">
        <v>79</v>
      </c>
      <c r="CA37" s="10">
        <v>45908</v>
      </c>
    </row>
    <row r="38" spans="1:79">
      <c r="A38">
        <v>37</v>
      </c>
      <c r="B38">
        <v>38</v>
      </c>
      <c r="C38">
        <v>64</v>
      </c>
      <c r="D38" t="s">
        <v>3462</v>
      </c>
      <c r="E38" t="s">
        <v>81</v>
      </c>
      <c r="F38" t="s">
        <v>71</v>
      </c>
      <c r="G38" s="12" t="s">
        <v>3463</v>
      </c>
      <c r="I38">
        <v>102</v>
      </c>
      <c r="J38">
        <v>100</v>
      </c>
      <c r="K38">
        <v>143</v>
      </c>
      <c r="L38">
        <v>86</v>
      </c>
      <c r="M38" t="s">
        <v>72</v>
      </c>
      <c r="N38">
        <v>131</v>
      </c>
      <c r="O38">
        <v>92</v>
      </c>
      <c r="P38" t="s">
        <v>72</v>
      </c>
      <c r="Q38" t="s">
        <v>72</v>
      </c>
      <c r="R38">
        <v>96.3</v>
      </c>
      <c r="S38">
        <v>174</v>
      </c>
      <c r="T38" s="8">
        <f t="shared" si="0"/>
        <v>31.807372175980973</v>
      </c>
      <c r="U38" s="13" t="str" cm="1">
        <f t="array" ref="U38">IF(T38="","",_xlfn.IFS(T38&lt;18.5,"Bajo peso",T38&lt;25,"Peso normal",T38&lt;30,"Sobrepeso",T38&lt;35,"Obesidad clase I",T38&lt;40,"Obesidad clase II",T38&gt;=40,"Obesidad clase III"))</f>
        <v>Obesidad clase I</v>
      </c>
      <c r="V38">
        <v>457</v>
      </c>
      <c r="X38" t="s">
        <v>3465</v>
      </c>
      <c r="Y38">
        <v>1.63</v>
      </c>
      <c r="AA38">
        <v>47</v>
      </c>
      <c r="AB38" s="9">
        <f t="shared" si="1"/>
        <v>46.761641133419452</v>
      </c>
      <c r="AD38" t="s">
        <v>158</v>
      </c>
      <c r="AF38" t="s">
        <v>158</v>
      </c>
      <c r="AG38" t="s">
        <v>3465</v>
      </c>
      <c r="AH38" t="s">
        <v>3465</v>
      </c>
      <c r="AI38" t="s">
        <v>3464</v>
      </c>
      <c r="AJ38" t="s">
        <v>3465</v>
      </c>
      <c r="AK38" t="s">
        <v>3463</v>
      </c>
      <c r="AL38" t="s">
        <v>3465</v>
      </c>
      <c r="AM38" t="s">
        <v>211</v>
      </c>
      <c r="AN38" t="s">
        <v>3613</v>
      </c>
      <c r="AP38" t="s">
        <v>3464</v>
      </c>
      <c r="AQ38" t="s">
        <v>194</v>
      </c>
      <c r="AR38" t="s">
        <v>3488</v>
      </c>
      <c r="AV38" t="s">
        <v>112</v>
      </c>
      <c r="AW38" t="s">
        <v>3917</v>
      </c>
      <c r="BB38" t="s">
        <v>3485</v>
      </c>
      <c r="BF38" t="s">
        <v>3921</v>
      </c>
      <c r="BG38" t="s">
        <v>212</v>
      </c>
      <c r="BH38" t="s">
        <v>4035</v>
      </c>
      <c r="BK38" t="s">
        <v>213</v>
      </c>
      <c r="BN38" t="s">
        <v>140</v>
      </c>
      <c r="BP38" t="s">
        <v>4277</v>
      </c>
      <c r="BQ38" t="s">
        <v>3463</v>
      </c>
      <c r="BR38" t="s">
        <v>3463</v>
      </c>
      <c r="BS38" t="s">
        <v>3463</v>
      </c>
      <c r="BT38" t="s">
        <v>3463</v>
      </c>
      <c r="BU38" t="s">
        <v>3463</v>
      </c>
      <c r="BV38" t="s">
        <v>3463</v>
      </c>
      <c r="BW38" t="s">
        <v>3463</v>
      </c>
      <c r="BX38" t="s">
        <v>79</v>
      </c>
      <c r="BY38" t="s">
        <v>87</v>
      </c>
      <c r="BZ38" t="s">
        <v>79</v>
      </c>
      <c r="CA38" s="10">
        <v>45908</v>
      </c>
    </row>
    <row r="39" spans="1:79">
      <c r="A39">
        <v>38</v>
      </c>
      <c r="B39">
        <v>39</v>
      </c>
      <c r="C39">
        <v>71</v>
      </c>
      <c r="D39" t="s">
        <v>3466</v>
      </c>
      <c r="E39" t="s">
        <v>214</v>
      </c>
      <c r="F39" t="s">
        <v>71</v>
      </c>
      <c r="G39" s="12" t="s">
        <v>3463</v>
      </c>
      <c r="I39">
        <v>69</v>
      </c>
      <c r="J39">
        <v>72</v>
      </c>
      <c r="K39">
        <v>169</v>
      </c>
      <c r="L39">
        <v>81</v>
      </c>
      <c r="M39" t="s">
        <v>72</v>
      </c>
      <c r="N39">
        <v>157</v>
      </c>
      <c r="O39">
        <v>81</v>
      </c>
      <c r="P39" t="s">
        <v>72</v>
      </c>
      <c r="Q39" t="s">
        <v>72</v>
      </c>
      <c r="R39">
        <v>81.599999999999994</v>
      </c>
      <c r="S39">
        <v>148.5</v>
      </c>
      <c r="T39" s="8">
        <f t="shared" si="0"/>
        <v>37.003026902016799</v>
      </c>
      <c r="U39" s="13" t="str" cm="1">
        <f t="array" ref="U39">IF(T39="","",_xlfn.IFS(T39&lt;18.5,"Bajo peso",T39&lt;25,"Peso normal",T39&lt;30,"Sobrepeso",T39&lt;35,"Obesidad clase I",T39&lt;40,"Obesidad clase II",T39&gt;=40,"Obesidad clase III"))</f>
        <v>Obesidad clase II</v>
      </c>
      <c r="V39">
        <v>113</v>
      </c>
      <c r="X39" t="s">
        <v>3463</v>
      </c>
      <c r="Y39">
        <v>0.82</v>
      </c>
      <c r="AA39">
        <v>77</v>
      </c>
      <c r="AB39" s="9">
        <f t="shared" si="1"/>
        <v>76.425509576366025</v>
      </c>
      <c r="AD39" t="s">
        <v>73</v>
      </c>
      <c r="AF39" t="s">
        <v>73</v>
      </c>
      <c r="AH39" t="s">
        <v>3463</v>
      </c>
      <c r="AI39" t="s">
        <v>3465</v>
      </c>
      <c r="AJ39" t="s">
        <v>3463</v>
      </c>
      <c r="AK39" t="s">
        <v>3463</v>
      </c>
      <c r="AL39" t="s">
        <v>3465</v>
      </c>
      <c r="AM39" t="s">
        <v>215</v>
      </c>
      <c r="AN39" t="s">
        <v>110</v>
      </c>
      <c r="AP39" t="s">
        <v>3463</v>
      </c>
      <c r="AQ39" t="s">
        <v>216</v>
      </c>
      <c r="AR39" t="s">
        <v>3497</v>
      </c>
      <c r="AS39" t="s">
        <v>3465</v>
      </c>
      <c r="AT39" t="s">
        <v>3465</v>
      </c>
      <c r="AU39" t="s">
        <v>80</v>
      </c>
      <c r="AV39" t="s">
        <v>112</v>
      </c>
      <c r="AW39" t="s">
        <v>3917</v>
      </c>
      <c r="AX39" t="s">
        <v>3463</v>
      </c>
      <c r="AY39" t="s">
        <v>3463</v>
      </c>
      <c r="BA39" t="s">
        <v>3920</v>
      </c>
      <c r="BF39" t="s">
        <v>3921</v>
      </c>
      <c r="BG39" t="s">
        <v>217</v>
      </c>
      <c r="BH39" t="s">
        <v>4023</v>
      </c>
      <c r="BN39" t="s">
        <v>140</v>
      </c>
      <c r="BO39" t="s">
        <v>206</v>
      </c>
      <c r="BP39" t="s">
        <v>4278</v>
      </c>
      <c r="BQ39" t="s">
        <v>3463</v>
      </c>
      <c r="BR39" t="s">
        <v>3465</v>
      </c>
      <c r="BS39" t="s">
        <v>3463</v>
      </c>
      <c r="BT39" t="s">
        <v>3465</v>
      </c>
      <c r="BU39" t="s">
        <v>3463</v>
      </c>
      <c r="BV39" t="s">
        <v>3463</v>
      </c>
      <c r="BW39" t="s">
        <v>3463</v>
      </c>
      <c r="BX39" t="s">
        <v>79</v>
      </c>
      <c r="BY39" t="s">
        <v>87</v>
      </c>
      <c r="BZ39" t="s">
        <v>79</v>
      </c>
      <c r="CA39" s="10">
        <v>45908</v>
      </c>
    </row>
    <row r="40" spans="1:79">
      <c r="A40">
        <v>39</v>
      </c>
      <c r="B40">
        <v>40</v>
      </c>
      <c r="C40">
        <v>78</v>
      </c>
      <c r="D40" t="s">
        <v>3466</v>
      </c>
      <c r="F40" t="s">
        <v>71</v>
      </c>
      <c r="G40" s="12" t="s">
        <v>3463</v>
      </c>
      <c r="I40">
        <v>57</v>
      </c>
      <c r="J40">
        <v>54</v>
      </c>
      <c r="K40">
        <v>226</v>
      </c>
      <c r="L40">
        <v>102</v>
      </c>
      <c r="M40" t="s">
        <v>96</v>
      </c>
      <c r="N40">
        <v>200</v>
      </c>
      <c r="O40">
        <v>92</v>
      </c>
      <c r="P40" t="s">
        <v>96</v>
      </c>
      <c r="Q40" t="s">
        <v>96</v>
      </c>
      <c r="R40">
        <v>81.099999999999994</v>
      </c>
      <c r="S40">
        <v>150</v>
      </c>
      <c r="T40" s="8">
        <f t="shared" si="0"/>
        <v>36.044444444444444</v>
      </c>
      <c r="U40" s="13" t="str" cm="1">
        <f t="array" ref="U40">IF(T40="","",_xlfn.IFS(T40&lt;18.5,"Bajo peso",T40&lt;25,"Peso normal",T40&lt;30,"Sobrepeso",T40&lt;35,"Obesidad clase I",T40&lt;40,"Obesidad clase II",T40&gt;=40,"Obesidad clase III"))</f>
        <v>Obesidad clase II</v>
      </c>
      <c r="V40">
        <v>104</v>
      </c>
      <c r="X40" t="s">
        <v>3463</v>
      </c>
      <c r="Y40">
        <v>1.68</v>
      </c>
      <c r="AA40">
        <v>31</v>
      </c>
      <c r="AB40" s="9">
        <f t="shared" si="1"/>
        <v>30.941173050810129</v>
      </c>
      <c r="AD40" t="s">
        <v>218</v>
      </c>
      <c r="AF40" t="s">
        <v>218</v>
      </c>
      <c r="AG40" t="s">
        <v>3465</v>
      </c>
      <c r="AH40" t="s">
        <v>3465</v>
      </c>
      <c r="AI40" t="s">
        <v>3465</v>
      </c>
      <c r="AJ40" t="s">
        <v>3464</v>
      </c>
      <c r="AK40" t="s">
        <v>3463</v>
      </c>
      <c r="AL40" t="s">
        <v>3465</v>
      </c>
      <c r="AM40" t="s">
        <v>219</v>
      </c>
      <c r="AN40" t="s">
        <v>3614</v>
      </c>
      <c r="AO40" t="s">
        <v>3463</v>
      </c>
      <c r="AP40" t="s">
        <v>3465</v>
      </c>
      <c r="AS40" t="s">
        <v>3465</v>
      </c>
      <c r="AT40" t="s">
        <v>3465</v>
      </c>
      <c r="AU40" t="s">
        <v>80</v>
      </c>
      <c r="AV40" t="s">
        <v>178</v>
      </c>
      <c r="AW40" t="s">
        <v>3918</v>
      </c>
      <c r="AX40" t="s">
        <v>3463</v>
      </c>
      <c r="AY40" t="s">
        <v>3463</v>
      </c>
      <c r="BA40" t="s">
        <v>3920</v>
      </c>
      <c r="BB40" t="s">
        <v>3485</v>
      </c>
      <c r="BC40" t="s">
        <v>128</v>
      </c>
      <c r="BD40" t="s">
        <v>105</v>
      </c>
      <c r="BE40" t="s">
        <v>220</v>
      </c>
      <c r="BF40" t="s">
        <v>3926</v>
      </c>
      <c r="BG40" t="s">
        <v>221</v>
      </c>
      <c r="BH40" t="s">
        <v>4036</v>
      </c>
      <c r="BN40" t="s">
        <v>222</v>
      </c>
      <c r="BO40" t="s">
        <v>141</v>
      </c>
      <c r="BP40" t="s">
        <v>4279</v>
      </c>
      <c r="BQ40" t="s">
        <v>3463</v>
      </c>
      <c r="BR40" t="s">
        <v>3463</v>
      </c>
      <c r="BS40" t="s">
        <v>3463</v>
      </c>
      <c r="BT40" t="s">
        <v>3463</v>
      </c>
      <c r="BU40" t="s">
        <v>3463</v>
      </c>
      <c r="BV40" t="s">
        <v>3463</v>
      </c>
      <c r="BW40" t="s">
        <v>3463</v>
      </c>
      <c r="BX40" t="s">
        <v>79</v>
      </c>
      <c r="BY40" t="s">
        <v>87</v>
      </c>
      <c r="BZ40" t="s">
        <v>95</v>
      </c>
      <c r="CA40" s="10">
        <v>45908</v>
      </c>
    </row>
    <row r="41" spans="1:79">
      <c r="A41">
        <v>40</v>
      </c>
      <c r="B41">
        <v>41</v>
      </c>
      <c r="C41">
        <v>64</v>
      </c>
      <c r="D41" t="s">
        <v>3466</v>
      </c>
      <c r="F41" t="s">
        <v>71</v>
      </c>
      <c r="G41" s="12" t="s">
        <v>3463</v>
      </c>
      <c r="I41">
        <v>76</v>
      </c>
      <c r="J41">
        <v>72</v>
      </c>
      <c r="K41">
        <v>173</v>
      </c>
      <c r="L41">
        <v>73</v>
      </c>
      <c r="M41" t="s">
        <v>72</v>
      </c>
      <c r="N41">
        <v>168</v>
      </c>
      <c r="O41">
        <v>71</v>
      </c>
      <c r="P41" t="s">
        <v>72</v>
      </c>
      <c r="Q41" t="s">
        <v>72</v>
      </c>
      <c r="R41">
        <v>87.5</v>
      </c>
      <c r="S41">
        <v>149</v>
      </c>
      <c r="T41" s="8">
        <f t="shared" si="0"/>
        <v>39.412639070312146</v>
      </c>
      <c r="U41" s="13" t="str" cm="1">
        <f t="array" ref="U41">IF(T41="","",_xlfn.IFS(T41&lt;18.5,"Bajo peso",T41&lt;25,"Peso normal",T41&lt;30,"Sobrepeso",T41&lt;35,"Obesidad clase I",T41&lt;40,"Obesidad clase II",T41&gt;=40,"Obesidad clase III"))</f>
        <v>Obesidad clase II</v>
      </c>
      <c r="V41">
        <v>103</v>
      </c>
      <c r="X41" t="s">
        <v>3463</v>
      </c>
      <c r="Y41">
        <v>0.81</v>
      </c>
      <c r="AA41">
        <v>81</v>
      </c>
      <c r="AB41" s="9">
        <f t="shared" si="1"/>
        <v>81.010254484060084</v>
      </c>
      <c r="AD41" t="s">
        <v>73</v>
      </c>
      <c r="AF41" t="s">
        <v>73</v>
      </c>
      <c r="AH41" t="s">
        <v>3463</v>
      </c>
      <c r="AI41" t="s">
        <v>3465</v>
      </c>
      <c r="AJ41" t="s">
        <v>3463</v>
      </c>
      <c r="AK41" t="s">
        <v>3463</v>
      </c>
      <c r="AL41" t="s">
        <v>3465</v>
      </c>
      <c r="AM41" t="s">
        <v>116</v>
      </c>
      <c r="AN41" t="s">
        <v>116</v>
      </c>
      <c r="AP41" t="s">
        <v>3463</v>
      </c>
      <c r="AQ41" t="s">
        <v>169</v>
      </c>
      <c r="AR41" t="s">
        <v>3493</v>
      </c>
      <c r="AS41" t="s">
        <v>3465</v>
      </c>
      <c r="AT41" t="s">
        <v>3465</v>
      </c>
      <c r="AU41" t="s">
        <v>80</v>
      </c>
      <c r="AV41" t="s">
        <v>74</v>
      </c>
      <c r="AW41" t="s">
        <v>3915</v>
      </c>
      <c r="AX41" t="s">
        <v>3463</v>
      </c>
      <c r="AY41" t="s">
        <v>3465</v>
      </c>
      <c r="AZ41" t="s">
        <v>90</v>
      </c>
      <c r="BA41" t="s">
        <v>3920</v>
      </c>
      <c r="BC41" t="s">
        <v>128</v>
      </c>
      <c r="BE41" t="s">
        <v>116</v>
      </c>
      <c r="BF41" t="s">
        <v>116</v>
      </c>
      <c r="BG41" t="s">
        <v>223</v>
      </c>
      <c r="BH41" t="s">
        <v>4037</v>
      </c>
      <c r="BK41" t="s">
        <v>224</v>
      </c>
      <c r="BN41" t="s">
        <v>225</v>
      </c>
      <c r="BO41" t="s">
        <v>226</v>
      </c>
      <c r="BP41" t="s">
        <v>4280</v>
      </c>
      <c r="BQ41" t="s">
        <v>3463</v>
      </c>
      <c r="BR41" t="s">
        <v>3465</v>
      </c>
      <c r="BS41" t="s">
        <v>3465</v>
      </c>
      <c r="BT41" t="s">
        <v>3465</v>
      </c>
      <c r="BU41" t="s">
        <v>3463</v>
      </c>
      <c r="BV41" t="s">
        <v>3463</v>
      </c>
      <c r="BW41" t="s">
        <v>3463</v>
      </c>
      <c r="BX41" t="s">
        <v>79</v>
      </c>
      <c r="BY41" t="s">
        <v>87</v>
      </c>
      <c r="BZ41" t="s">
        <v>79</v>
      </c>
      <c r="CA41" s="10">
        <v>45908</v>
      </c>
    </row>
    <row r="42" spans="1:79">
      <c r="A42">
        <v>41</v>
      </c>
      <c r="B42">
        <v>42</v>
      </c>
      <c r="C42">
        <v>57</v>
      </c>
      <c r="D42" t="s">
        <v>3466</v>
      </c>
      <c r="E42" t="s">
        <v>227</v>
      </c>
      <c r="F42" t="s">
        <v>71</v>
      </c>
      <c r="G42" s="12" t="s">
        <v>3463</v>
      </c>
      <c r="I42">
        <v>67</v>
      </c>
      <c r="J42">
        <v>65</v>
      </c>
      <c r="K42">
        <v>173</v>
      </c>
      <c r="L42">
        <v>82</v>
      </c>
      <c r="M42" t="s">
        <v>72</v>
      </c>
      <c r="N42">
        <v>160</v>
      </c>
      <c r="O42">
        <v>81</v>
      </c>
      <c r="P42" t="s">
        <v>72</v>
      </c>
      <c r="Q42" t="s">
        <v>72</v>
      </c>
      <c r="R42">
        <v>86.5</v>
      </c>
      <c r="S42">
        <v>153</v>
      </c>
      <c r="T42" s="8">
        <f t="shared" si="0"/>
        <v>36.951599812038104</v>
      </c>
      <c r="U42" s="13" t="str" cm="1">
        <f t="array" ref="U42">IF(T42="","",_xlfn.IFS(T42&lt;18.5,"Bajo peso",T42&lt;25,"Peso normal",T42&lt;30,"Sobrepeso",T42&lt;35,"Obesidad clase I",T42&lt;40,"Obesidad clase II",T42&gt;=40,"Obesidad clase III"))</f>
        <v>Obesidad clase II</v>
      </c>
      <c r="V42">
        <v>177</v>
      </c>
      <c r="X42" t="s">
        <v>3463</v>
      </c>
      <c r="Y42">
        <v>0.75</v>
      </c>
      <c r="AA42">
        <v>90</v>
      </c>
      <c r="AB42" s="9">
        <f t="shared" si="1"/>
        <v>92.801619698635562</v>
      </c>
      <c r="AD42" t="s">
        <v>73</v>
      </c>
      <c r="AF42" t="s">
        <v>73</v>
      </c>
      <c r="AG42" t="s">
        <v>3465</v>
      </c>
      <c r="AH42" t="s">
        <v>3465</v>
      </c>
      <c r="AI42" t="s">
        <v>3465</v>
      </c>
      <c r="AJ42" t="s">
        <v>3463</v>
      </c>
      <c r="AK42" t="s">
        <v>3463</v>
      </c>
      <c r="AL42" t="s">
        <v>3465</v>
      </c>
      <c r="AM42" t="s">
        <v>228</v>
      </c>
      <c r="AN42" t="s">
        <v>3615</v>
      </c>
      <c r="AO42" t="s">
        <v>3465</v>
      </c>
      <c r="AP42" t="s">
        <v>3465</v>
      </c>
      <c r="AQ42" t="s">
        <v>229</v>
      </c>
      <c r="AR42" t="s">
        <v>3498</v>
      </c>
      <c r="AS42" t="s">
        <v>3465</v>
      </c>
      <c r="AT42" t="s">
        <v>3465</v>
      </c>
      <c r="AU42" t="s">
        <v>80</v>
      </c>
      <c r="AV42" t="s">
        <v>74</v>
      </c>
      <c r="AW42" t="s">
        <v>3915</v>
      </c>
      <c r="AX42" t="s">
        <v>3463</v>
      </c>
      <c r="AY42" t="s">
        <v>3465</v>
      </c>
      <c r="AZ42" t="s">
        <v>137</v>
      </c>
      <c r="BA42" t="s">
        <v>3920</v>
      </c>
      <c r="BB42" t="s">
        <v>3485</v>
      </c>
      <c r="BF42" t="s">
        <v>3921</v>
      </c>
      <c r="BG42" t="s">
        <v>230</v>
      </c>
      <c r="BH42" t="s">
        <v>4038</v>
      </c>
      <c r="BN42" t="s">
        <v>140</v>
      </c>
      <c r="BP42" t="s">
        <v>4281</v>
      </c>
      <c r="BQ42" t="s">
        <v>3463</v>
      </c>
      <c r="BR42" t="s">
        <v>3463</v>
      </c>
      <c r="BS42" t="s">
        <v>3463</v>
      </c>
      <c r="BT42" t="s">
        <v>3463</v>
      </c>
      <c r="BU42" t="s">
        <v>3463</v>
      </c>
      <c r="BV42" t="s">
        <v>3463</v>
      </c>
      <c r="BW42" t="s">
        <v>3463</v>
      </c>
      <c r="BX42" t="s">
        <v>79</v>
      </c>
      <c r="BY42" t="s">
        <v>87</v>
      </c>
      <c r="BZ42" t="s">
        <v>79</v>
      </c>
      <c r="CA42" s="10">
        <v>45908</v>
      </c>
    </row>
    <row r="43" spans="1:79">
      <c r="A43">
        <v>42</v>
      </c>
      <c r="B43">
        <v>43</v>
      </c>
      <c r="C43">
        <v>46</v>
      </c>
      <c r="D43" t="s">
        <v>3462</v>
      </c>
      <c r="F43" t="s">
        <v>168</v>
      </c>
      <c r="G43" s="12" t="s">
        <v>3463</v>
      </c>
      <c r="I43">
        <v>97</v>
      </c>
      <c r="J43">
        <v>93</v>
      </c>
      <c r="K43">
        <v>181</v>
      </c>
      <c r="L43">
        <v>118</v>
      </c>
      <c r="M43" t="s">
        <v>96</v>
      </c>
      <c r="N43">
        <v>176</v>
      </c>
      <c r="O43">
        <v>107</v>
      </c>
      <c r="P43" t="s">
        <v>72</v>
      </c>
      <c r="Q43" t="s">
        <v>72</v>
      </c>
      <c r="R43">
        <v>111.7</v>
      </c>
      <c r="S43">
        <v>173.5</v>
      </c>
      <c r="T43" s="8">
        <f t="shared" si="0"/>
        <v>37.106860782831852</v>
      </c>
      <c r="U43" s="13" t="str" cm="1">
        <f t="array" ref="U43">IF(T43="","",_xlfn.IFS(T43&lt;18.5,"Bajo peso",T43&lt;25,"Peso normal",T43&lt;30,"Sobrepeso",T43&lt;35,"Obesidad clase I",T43&lt;40,"Obesidad clase II",T43&gt;=40,"Obesidad clase III"))</f>
        <v>Obesidad clase II</v>
      </c>
      <c r="V43">
        <v>108</v>
      </c>
      <c r="X43" t="s">
        <v>3463</v>
      </c>
      <c r="Y43">
        <v>1.1599999999999999</v>
      </c>
      <c r="AA43">
        <v>79</v>
      </c>
      <c r="AB43" s="9">
        <f t="shared" si="1"/>
        <v>78.665339167819099</v>
      </c>
      <c r="AD43" t="s">
        <v>73</v>
      </c>
      <c r="AF43" t="s">
        <v>73</v>
      </c>
      <c r="AH43" t="s">
        <v>3463</v>
      </c>
      <c r="AI43" t="s">
        <v>3463</v>
      </c>
      <c r="AJ43" t="s">
        <v>3463</v>
      </c>
      <c r="AK43" t="s">
        <v>3463</v>
      </c>
      <c r="AL43" t="s">
        <v>3463</v>
      </c>
      <c r="AP43" t="s">
        <v>3463</v>
      </c>
      <c r="AQ43" t="s">
        <v>159</v>
      </c>
      <c r="AR43" t="s">
        <v>3491</v>
      </c>
      <c r="AV43" t="s">
        <v>126</v>
      </c>
      <c r="AW43" t="s">
        <v>126</v>
      </c>
      <c r="BA43" t="s">
        <v>3920</v>
      </c>
      <c r="BC43" t="s">
        <v>128</v>
      </c>
      <c r="BF43" t="s">
        <v>3921</v>
      </c>
      <c r="BG43" t="s">
        <v>231</v>
      </c>
      <c r="BH43" t="s">
        <v>4017</v>
      </c>
      <c r="BI43" t="s">
        <v>76</v>
      </c>
      <c r="BN43" t="s">
        <v>162</v>
      </c>
      <c r="BP43" t="s">
        <v>4282</v>
      </c>
      <c r="BQ43" t="s">
        <v>3465</v>
      </c>
      <c r="BR43" t="s">
        <v>3465</v>
      </c>
      <c r="BS43" t="s">
        <v>3463</v>
      </c>
      <c r="BT43" t="s">
        <v>3463</v>
      </c>
      <c r="BU43" t="s">
        <v>3463</v>
      </c>
      <c r="BV43" t="s">
        <v>3463</v>
      </c>
      <c r="BW43" t="s">
        <v>3463</v>
      </c>
      <c r="BX43" t="s">
        <v>79</v>
      </c>
      <c r="BY43" t="s">
        <v>87</v>
      </c>
      <c r="BZ43" t="s">
        <v>79</v>
      </c>
      <c r="CA43" s="10">
        <v>45908</v>
      </c>
    </row>
    <row r="44" spans="1:79">
      <c r="A44">
        <v>43</v>
      </c>
      <c r="B44">
        <v>44</v>
      </c>
      <c r="C44">
        <v>65</v>
      </c>
      <c r="D44" t="s">
        <v>3462</v>
      </c>
      <c r="E44" t="s">
        <v>232</v>
      </c>
      <c r="F44" t="s">
        <v>71</v>
      </c>
      <c r="G44" s="12" t="s">
        <v>3463</v>
      </c>
      <c r="I44">
        <v>56</v>
      </c>
      <c r="J44">
        <v>56</v>
      </c>
      <c r="K44">
        <v>146</v>
      </c>
      <c r="L44">
        <v>70</v>
      </c>
      <c r="M44" t="s">
        <v>72</v>
      </c>
      <c r="N44">
        <v>133</v>
      </c>
      <c r="O44">
        <v>64</v>
      </c>
      <c r="P44" t="s">
        <v>82</v>
      </c>
      <c r="Q44" t="s">
        <v>82</v>
      </c>
      <c r="R44">
        <v>80</v>
      </c>
      <c r="S44">
        <v>166.5</v>
      </c>
      <c r="T44" s="8">
        <f t="shared" si="0"/>
        <v>28.857686515344174</v>
      </c>
      <c r="U44" s="13" t="str" cm="1">
        <f t="array" ref="U44">IF(T44="","",_xlfn.IFS(T44&lt;18.5,"Bajo peso",T44&lt;25,"Peso normal",T44&lt;30,"Sobrepeso",T44&lt;35,"Obesidad clase I",T44&lt;40,"Obesidad clase II",T44&gt;=40,"Obesidad clase III"))</f>
        <v>Sobrepeso</v>
      </c>
      <c r="V44">
        <v>138</v>
      </c>
      <c r="X44" t="s">
        <v>3463</v>
      </c>
      <c r="Y44">
        <v>0.82</v>
      </c>
      <c r="AA44">
        <v>90</v>
      </c>
      <c r="AB44" s="9">
        <f t="shared" si="1"/>
        <v>97.483767548626361</v>
      </c>
      <c r="AD44" t="s">
        <v>73</v>
      </c>
      <c r="AF44" t="s">
        <v>73</v>
      </c>
      <c r="AH44" t="s">
        <v>3463</v>
      </c>
      <c r="AI44" t="s">
        <v>3465</v>
      </c>
      <c r="AJ44" t="s">
        <v>3465</v>
      </c>
      <c r="AK44" t="s">
        <v>3463</v>
      </c>
      <c r="AL44" t="s">
        <v>3465</v>
      </c>
      <c r="AM44" t="s">
        <v>233</v>
      </c>
      <c r="AN44" t="s">
        <v>3616</v>
      </c>
      <c r="AP44" t="s">
        <v>3463</v>
      </c>
      <c r="AQ44" t="s">
        <v>234</v>
      </c>
      <c r="AR44" t="s">
        <v>3499</v>
      </c>
      <c r="AS44" t="s">
        <v>3465</v>
      </c>
      <c r="AV44" t="s">
        <v>74</v>
      </c>
      <c r="AW44" t="s">
        <v>3915</v>
      </c>
      <c r="BF44" t="s">
        <v>3921</v>
      </c>
      <c r="BG44" t="s">
        <v>235</v>
      </c>
      <c r="BH44" t="s">
        <v>4039</v>
      </c>
      <c r="BN44" t="s">
        <v>209</v>
      </c>
      <c r="BO44" t="s">
        <v>236</v>
      </c>
      <c r="BP44" t="s">
        <v>4283</v>
      </c>
      <c r="BQ44" t="s">
        <v>3463</v>
      </c>
      <c r="BR44" t="s">
        <v>3465</v>
      </c>
      <c r="BS44" t="s">
        <v>3463</v>
      </c>
      <c r="BT44" t="s">
        <v>3465</v>
      </c>
      <c r="BU44" t="s">
        <v>3463</v>
      </c>
      <c r="BV44" t="s">
        <v>3463</v>
      </c>
      <c r="BW44" t="s">
        <v>3463</v>
      </c>
      <c r="BX44" t="s">
        <v>79</v>
      </c>
      <c r="BY44" t="s">
        <v>87</v>
      </c>
      <c r="BZ44" t="s">
        <v>79</v>
      </c>
      <c r="CA44" s="10">
        <v>45908</v>
      </c>
    </row>
    <row r="45" spans="1:79">
      <c r="A45">
        <v>44</v>
      </c>
      <c r="B45">
        <v>45</v>
      </c>
      <c r="C45">
        <v>69</v>
      </c>
      <c r="D45" t="s">
        <v>3466</v>
      </c>
      <c r="E45" t="s">
        <v>237</v>
      </c>
      <c r="F45" t="s">
        <v>71</v>
      </c>
      <c r="G45" s="12" t="s">
        <v>3465</v>
      </c>
      <c r="H45" s="12" t="s">
        <v>88</v>
      </c>
      <c r="I45">
        <v>85</v>
      </c>
      <c r="J45">
        <v>83</v>
      </c>
      <c r="K45">
        <v>177</v>
      </c>
      <c r="L45">
        <v>89</v>
      </c>
      <c r="M45" t="s">
        <v>72</v>
      </c>
      <c r="N45">
        <v>161</v>
      </c>
      <c r="O45">
        <v>84</v>
      </c>
      <c r="P45" t="s">
        <v>72</v>
      </c>
      <c r="Q45" t="s">
        <v>72</v>
      </c>
      <c r="R45">
        <v>82</v>
      </c>
      <c r="S45">
        <v>162.5</v>
      </c>
      <c r="T45" s="8">
        <f t="shared" si="0"/>
        <v>31.053254437869825</v>
      </c>
      <c r="U45" s="13" t="str" cm="1">
        <f t="array" ref="U45">IF(T45="","",_xlfn.IFS(T45&lt;18.5,"Bajo peso",T45&lt;25,"Peso normal",T45&lt;30,"Sobrepeso",T45&lt;35,"Obesidad clase I",T45&lt;40,"Obesidad clase II",T45&gt;=40,"Obesidad clase III"))</f>
        <v>Obesidad clase I</v>
      </c>
      <c r="V45">
        <v>101</v>
      </c>
      <c r="X45" t="s">
        <v>3463</v>
      </c>
      <c r="Y45">
        <v>0.83</v>
      </c>
      <c r="AA45">
        <v>77</v>
      </c>
      <c r="AB45" s="9">
        <f t="shared" si="1"/>
        <v>76.264648034610246</v>
      </c>
      <c r="AD45" t="s">
        <v>73</v>
      </c>
      <c r="AF45" t="s">
        <v>73</v>
      </c>
      <c r="AG45" t="s">
        <v>3465</v>
      </c>
      <c r="AH45" t="s">
        <v>3465</v>
      </c>
      <c r="AI45" t="s">
        <v>3465</v>
      </c>
      <c r="AJ45" t="s">
        <v>3463</v>
      </c>
      <c r="AK45" t="s">
        <v>3463</v>
      </c>
      <c r="AL45" t="s">
        <v>3465</v>
      </c>
      <c r="AM45" t="s">
        <v>238</v>
      </c>
      <c r="AN45" t="s">
        <v>649</v>
      </c>
      <c r="AO45" t="s">
        <v>3465</v>
      </c>
      <c r="AP45" t="s">
        <v>3465</v>
      </c>
      <c r="AQ45" t="s">
        <v>239</v>
      </c>
      <c r="AR45" t="s">
        <v>3493</v>
      </c>
      <c r="AS45" t="s">
        <v>3465</v>
      </c>
      <c r="AT45" t="s">
        <v>3465</v>
      </c>
      <c r="AU45" t="s">
        <v>80</v>
      </c>
      <c r="AV45" t="s">
        <v>74</v>
      </c>
      <c r="AW45" t="s">
        <v>3915</v>
      </c>
      <c r="AX45" t="s">
        <v>3465</v>
      </c>
      <c r="AY45" t="s">
        <v>3465</v>
      </c>
      <c r="AZ45" t="s">
        <v>90</v>
      </c>
      <c r="BA45" t="s">
        <v>3920</v>
      </c>
      <c r="BC45" t="s">
        <v>128</v>
      </c>
      <c r="BF45" t="s">
        <v>3921</v>
      </c>
      <c r="BG45" t="s">
        <v>240</v>
      </c>
      <c r="BH45" t="s">
        <v>4040</v>
      </c>
      <c r="BI45" t="s">
        <v>139</v>
      </c>
      <c r="BP45" t="s">
        <v>4284</v>
      </c>
      <c r="BQ45" t="s">
        <v>3463</v>
      </c>
      <c r="BR45" t="s">
        <v>3463</v>
      </c>
      <c r="BS45" t="s">
        <v>3465</v>
      </c>
      <c r="BT45" t="s">
        <v>3465</v>
      </c>
      <c r="BU45" t="s">
        <v>3465</v>
      </c>
      <c r="BV45" t="s">
        <v>3465</v>
      </c>
      <c r="BW45" t="s">
        <v>3465</v>
      </c>
      <c r="BX45" t="s">
        <v>79</v>
      </c>
      <c r="BY45" t="s">
        <v>87</v>
      </c>
      <c r="BZ45" t="s">
        <v>79</v>
      </c>
      <c r="CA45" s="10">
        <v>45908</v>
      </c>
    </row>
    <row r="46" spans="1:79">
      <c r="A46">
        <v>45</v>
      </c>
      <c r="B46">
        <v>46</v>
      </c>
      <c r="C46">
        <v>39</v>
      </c>
      <c r="D46" t="s">
        <v>3462</v>
      </c>
      <c r="F46" t="s">
        <v>71</v>
      </c>
      <c r="G46" s="12" t="s">
        <v>3463</v>
      </c>
      <c r="I46">
        <v>86</v>
      </c>
      <c r="J46">
        <v>82</v>
      </c>
      <c r="K46">
        <v>157</v>
      </c>
      <c r="L46">
        <v>85</v>
      </c>
      <c r="M46" t="s">
        <v>72</v>
      </c>
      <c r="N46">
        <v>154</v>
      </c>
      <c r="O46">
        <v>84</v>
      </c>
      <c r="P46" t="s">
        <v>72</v>
      </c>
      <c r="Q46" t="s">
        <v>72</v>
      </c>
      <c r="R46">
        <v>132.69999999999999</v>
      </c>
      <c r="S46">
        <v>180</v>
      </c>
      <c r="T46" s="8">
        <f t="shared" si="0"/>
        <v>40.956790123456791</v>
      </c>
      <c r="U46" s="13" t="str" cm="1">
        <f t="array" ref="U46">IF(T46="","",_xlfn.IFS(T46&lt;18.5,"Bajo peso",T46&lt;25,"Peso normal",T46&lt;30,"Sobrepeso",T46&lt;35,"Obesidad clase I",T46&lt;40,"Obesidad clase II",T46&gt;=40,"Obesidad clase III"))</f>
        <v>Obesidad clase III</v>
      </c>
      <c r="V46">
        <v>181</v>
      </c>
      <c r="X46" t="s">
        <v>3463</v>
      </c>
      <c r="Y46">
        <v>0.96</v>
      </c>
      <c r="AA46">
        <v>90</v>
      </c>
      <c r="AB46" s="9">
        <f t="shared" si="1"/>
        <v>103.11327482184706</v>
      </c>
      <c r="AD46" t="s">
        <v>73</v>
      </c>
      <c r="AF46" t="s">
        <v>73</v>
      </c>
      <c r="AH46" t="s">
        <v>3463</v>
      </c>
      <c r="AI46" t="s">
        <v>3463</v>
      </c>
      <c r="AJ46" t="s">
        <v>3463</v>
      </c>
      <c r="AK46" t="s">
        <v>3463</v>
      </c>
      <c r="AL46" t="s">
        <v>3463</v>
      </c>
      <c r="AP46" t="s">
        <v>3463</v>
      </c>
      <c r="AQ46" t="s">
        <v>169</v>
      </c>
      <c r="AR46" t="s">
        <v>3493</v>
      </c>
      <c r="AV46" t="s">
        <v>74</v>
      </c>
      <c r="AW46" t="s">
        <v>3915</v>
      </c>
      <c r="BA46" t="s">
        <v>3920</v>
      </c>
      <c r="BF46" t="s">
        <v>3921</v>
      </c>
      <c r="BG46" t="s">
        <v>241</v>
      </c>
      <c r="BH46" t="s">
        <v>4041</v>
      </c>
      <c r="BI46" t="s">
        <v>76</v>
      </c>
      <c r="BJ46" t="s">
        <v>86</v>
      </c>
      <c r="BK46" t="s">
        <v>242</v>
      </c>
      <c r="BN46" t="s">
        <v>94</v>
      </c>
      <c r="BP46" t="s">
        <v>4285</v>
      </c>
      <c r="BQ46" t="s">
        <v>3463</v>
      </c>
      <c r="BR46" t="s">
        <v>3465</v>
      </c>
      <c r="BS46" t="s">
        <v>3463</v>
      </c>
      <c r="BT46" t="s">
        <v>3463</v>
      </c>
      <c r="BU46" t="s">
        <v>3463</v>
      </c>
      <c r="BV46" t="s">
        <v>3463</v>
      </c>
      <c r="BW46" t="s">
        <v>3463</v>
      </c>
      <c r="BX46" t="s">
        <v>79</v>
      </c>
      <c r="BY46" t="s">
        <v>87</v>
      </c>
      <c r="BZ46" t="s">
        <v>79</v>
      </c>
      <c r="CA46" s="10">
        <v>45908</v>
      </c>
    </row>
    <row r="47" spans="1:79">
      <c r="A47">
        <v>46</v>
      </c>
      <c r="B47">
        <v>47</v>
      </c>
      <c r="C47">
        <v>62</v>
      </c>
      <c r="D47" t="s">
        <v>3462</v>
      </c>
      <c r="F47" t="s">
        <v>71</v>
      </c>
      <c r="G47" s="12" t="s">
        <v>3463</v>
      </c>
      <c r="I47">
        <v>70</v>
      </c>
      <c r="J47">
        <v>71</v>
      </c>
      <c r="K47">
        <v>163</v>
      </c>
      <c r="L47">
        <v>90</v>
      </c>
      <c r="M47" t="s">
        <v>72</v>
      </c>
      <c r="N47">
        <v>159</v>
      </c>
      <c r="O47">
        <v>84</v>
      </c>
      <c r="P47" t="s">
        <v>72</v>
      </c>
      <c r="Q47" t="s">
        <v>72</v>
      </c>
      <c r="R47">
        <v>85.6</v>
      </c>
      <c r="S47">
        <v>168</v>
      </c>
      <c r="T47" s="8">
        <f t="shared" si="0"/>
        <v>30.328798185941039</v>
      </c>
      <c r="U47" s="13" t="str" cm="1">
        <f t="array" ref="U47">IF(T47="","",_xlfn.IFS(T47&lt;18.5,"Bajo peso",T47&lt;25,"Peso normal",T47&lt;30,"Sobrepeso",T47&lt;35,"Obesidad clase I",T47&lt;40,"Obesidad clase II",T47&gt;=40,"Obesidad clase III"))</f>
        <v>Obesidad clase I</v>
      </c>
      <c r="V47">
        <v>115</v>
      </c>
      <c r="X47" t="s">
        <v>3463</v>
      </c>
      <c r="Y47">
        <v>1.01</v>
      </c>
      <c r="AA47">
        <v>84</v>
      </c>
      <c r="AB47" s="9">
        <f t="shared" si="1"/>
        <v>84.087460476655806</v>
      </c>
      <c r="AD47" t="s">
        <v>73</v>
      </c>
      <c r="AF47" t="s">
        <v>73</v>
      </c>
      <c r="AH47" t="s">
        <v>3463</v>
      </c>
      <c r="AI47" t="s">
        <v>3463</v>
      </c>
      <c r="AJ47" t="s">
        <v>3463</v>
      </c>
      <c r="AK47" t="s">
        <v>3463</v>
      </c>
      <c r="AL47" t="s">
        <v>3463</v>
      </c>
      <c r="AP47" t="s">
        <v>3463</v>
      </c>
      <c r="AQ47" t="s">
        <v>243</v>
      </c>
      <c r="AR47" t="s">
        <v>3494</v>
      </c>
      <c r="AV47" t="s">
        <v>74</v>
      </c>
      <c r="AW47" t="s">
        <v>3915</v>
      </c>
      <c r="BA47" t="s">
        <v>3920</v>
      </c>
      <c r="BF47" t="s">
        <v>3921</v>
      </c>
      <c r="BG47" t="s">
        <v>244</v>
      </c>
      <c r="BH47" t="s">
        <v>4042</v>
      </c>
      <c r="BN47" t="s">
        <v>140</v>
      </c>
      <c r="BO47" t="s">
        <v>206</v>
      </c>
      <c r="BP47" t="s">
        <v>4286</v>
      </c>
      <c r="BQ47" t="s">
        <v>3463</v>
      </c>
      <c r="BR47" t="s">
        <v>3465</v>
      </c>
      <c r="BS47" t="s">
        <v>3463</v>
      </c>
      <c r="BT47" t="s">
        <v>3463</v>
      </c>
      <c r="BU47" t="s">
        <v>3463</v>
      </c>
      <c r="BV47" t="s">
        <v>3463</v>
      </c>
      <c r="BW47" t="s">
        <v>3463</v>
      </c>
      <c r="BX47" t="s">
        <v>79</v>
      </c>
      <c r="BY47" t="s">
        <v>87</v>
      </c>
      <c r="BZ47" t="s">
        <v>79</v>
      </c>
      <c r="CA47" s="10">
        <v>45908</v>
      </c>
    </row>
    <row r="48" spans="1:79">
      <c r="A48">
        <v>47</v>
      </c>
      <c r="B48">
        <v>48</v>
      </c>
      <c r="C48">
        <v>29</v>
      </c>
      <c r="D48" t="s">
        <v>3466</v>
      </c>
      <c r="F48" t="s">
        <v>71</v>
      </c>
      <c r="G48" s="12" t="s">
        <v>3463</v>
      </c>
      <c r="I48">
        <v>89</v>
      </c>
      <c r="J48">
        <v>84</v>
      </c>
      <c r="K48">
        <v>145</v>
      </c>
      <c r="L48">
        <v>80</v>
      </c>
      <c r="M48" t="s">
        <v>72</v>
      </c>
      <c r="N48">
        <v>149</v>
      </c>
      <c r="O48">
        <v>79</v>
      </c>
      <c r="P48" t="s">
        <v>72</v>
      </c>
      <c r="Q48" t="s">
        <v>72</v>
      </c>
      <c r="R48">
        <v>79.5</v>
      </c>
      <c r="S48">
        <v>159</v>
      </c>
      <c r="T48" s="8">
        <f t="shared" si="0"/>
        <v>31.446540880503147</v>
      </c>
      <c r="U48" s="13" t="str" cm="1">
        <f t="array" ref="U48">IF(T48="","",_xlfn.IFS(T48&lt;18.5,"Bajo peso",T48&lt;25,"Peso normal",T48&lt;30,"Sobrepeso",T48&lt;35,"Obesidad clase I",T48&lt;40,"Obesidad clase II",T48&gt;=40,"Obesidad clase III"))</f>
        <v>Obesidad clase I</v>
      </c>
      <c r="V48">
        <v>102</v>
      </c>
      <c r="X48" t="s">
        <v>3463</v>
      </c>
      <c r="Y48">
        <v>1.03</v>
      </c>
      <c r="AA48">
        <v>76</v>
      </c>
      <c r="AB48" s="9">
        <f t="shared" si="1"/>
        <v>75.483601836519455</v>
      </c>
      <c r="AD48" t="s">
        <v>73</v>
      </c>
      <c r="AF48" t="s">
        <v>73</v>
      </c>
      <c r="AH48" t="s">
        <v>3463</v>
      </c>
      <c r="AI48" t="s">
        <v>3463</v>
      </c>
      <c r="AJ48" t="s">
        <v>3463</v>
      </c>
      <c r="AK48" t="s">
        <v>3465</v>
      </c>
      <c r="AL48" t="s">
        <v>3465</v>
      </c>
      <c r="AM48" t="s">
        <v>245</v>
      </c>
      <c r="AN48" t="s">
        <v>1938</v>
      </c>
      <c r="AP48" t="s">
        <v>3463</v>
      </c>
      <c r="AQ48" t="s">
        <v>246</v>
      </c>
      <c r="AR48" t="s">
        <v>3491</v>
      </c>
      <c r="AT48" t="s">
        <v>3463</v>
      </c>
      <c r="AV48" t="s">
        <v>74</v>
      </c>
      <c r="AW48" t="s">
        <v>3915</v>
      </c>
      <c r="AX48" t="s">
        <v>3465</v>
      </c>
      <c r="AY48" t="s">
        <v>3465</v>
      </c>
      <c r="AZ48" t="s">
        <v>247</v>
      </c>
      <c r="BF48" t="s">
        <v>3921</v>
      </c>
      <c r="BG48" t="s">
        <v>248</v>
      </c>
      <c r="BH48" t="s">
        <v>4024</v>
      </c>
      <c r="BO48" t="s">
        <v>249</v>
      </c>
      <c r="BP48" t="s">
        <v>4287</v>
      </c>
      <c r="BQ48" t="s">
        <v>3465</v>
      </c>
      <c r="BR48" t="s">
        <v>3465</v>
      </c>
      <c r="BS48" t="s">
        <v>3465</v>
      </c>
      <c r="BT48" t="s">
        <v>3465</v>
      </c>
      <c r="BU48" t="s">
        <v>3463</v>
      </c>
      <c r="BV48" t="s">
        <v>3463</v>
      </c>
      <c r="BW48" t="s">
        <v>3463</v>
      </c>
      <c r="BX48" t="s">
        <v>79</v>
      </c>
      <c r="BY48" t="s">
        <v>87</v>
      </c>
      <c r="BZ48" t="s">
        <v>79</v>
      </c>
      <c r="CA48" s="10">
        <v>45908</v>
      </c>
    </row>
    <row r="49" spans="1:79">
      <c r="A49">
        <v>48</v>
      </c>
      <c r="B49">
        <v>50</v>
      </c>
      <c r="C49">
        <v>55</v>
      </c>
      <c r="D49" t="s">
        <v>3466</v>
      </c>
      <c r="E49" t="s">
        <v>214</v>
      </c>
      <c r="F49" t="s">
        <v>71</v>
      </c>
      <c r="G49" s="12" t="s">
        <v>3463</v>
      </c>
      <c r="I49">
        <v>87</v>
      </c>
      <c r="J49">
        <v>85</v>
      </c>
      <c r="K49">
        <v>154</v>
      </c>
      <c r="L49">
        <v>80</v>
      </c>
      <c r="M49" t="s">
        <v>72</v>
      </c>
      <c r="N49">
        <v>142</v>
      </c>
      <c r="O49">
        <v>80</v>
      </c>
      <c r="P49" t="s">
        <v>72</v>
      </c>
      <c r="Q49" t="s">
        <v>72</v>
      </c>
      <c r="R49">
        <v>82</v>
      </c>
      <c r="S49">
        <v>157</v>
      </c>
      <c r="T49" s="8">
        <f t="shared" si="0"/>
        <v>33.267069657998292</v>
      </c>
      <c r="U49" s="13" t="str" cm="1">
        <f t="array" ref="U49">IF(T49="","",_xlfn.IFS(T49&lt;18.5,"Bajo peso",T49&lt;25,"Peso normal",T49&lt;30,"Sobrepeso",T49&lt;35,"Obesidad clase I",T49&lt;40,"Obesidad clase II",T49&gt;=40,"Obesidad clase III"))</f>
        <v>Obesidad clase I</v>
      </c>
      <c r="V49">
        <v>94</v>
      </c>
      <c r="X49" t="s">
        <v>3463</v>
      </c>
      <c r="Y49">
        <v>1</v>
      </c>
      <c r="AA49">
        <v>67</v>
      </c>
      <c r="AB49" s="9">
        <f t="shared" si="1"/>
        <v>66.532077912100704</v>
      </c>
      <c r="AD49" t="s">
        <v>73</v>
      </c>
      <c r="AF49" t="s">
        <v>73</v>
      </c>
      <c r="AH49" t="s">
        <v>3463</v>
      </c>
      <c r="AI49" t="s">
        <v>3463</v>
      </c>
      <c r="AJ49" t="s">
        <v>3463</v>
      </c>
      <c r="AK49" t="s">
        <v>3463</v>
      </c>
      <c r="AL49" t="s">
        <v>3463</v>
      </c>
      <c r="AO49" t="s">
        <v>3463</v>
      </c>
      <c r="AP49" t="s">
        <v>3465</v>
      </c>
      <c r="AQ49" t="s">
        <v>250</v>
      </c>
      <c r="AR49" t="s">
        <v>3500</v>
      </c>
      <c r="AT49" t="s">
        <v>3465</v>
      </c>
      <c r="AU49" t="s">
        <v>125</v>
      </c>
      <c r="AV49" t="s">
        <v>126</v>
      </c>
      <c r="AW49" t="s">
        <v>126</v>
      </c>
      <c r="AX49" t="s">
        <v>3463</v>
      </c>
      <c r="AY49" t="s">
        <v>3465</v>
      </c>
      <c r="AZ49" t="s">
        <v>104</v>
      </c>
      <c r="BA49" t="s">
        <v>3920</v>
      </c>
      <c r="BC49" t="s">
        <v>128</v>
      </c>
      <c r="BF49" t="s">
        <v>3921</v>
      </c>
      <c r="BG49" t="s">
        <v>251</v>
      </c>
      <c r="BH49" t="s">
        <v>4021</v>
      </c>
      <c r="BI49" t="s">
        <v>252</v>
      </c>
      <c r="BP49" t="s">
        <v>4288</v>
      </c>
      <c r="BQ49" t="s">
        <v>3463</v>
      </c>
      <c r="BR49" t="s">
        <v>3463</v>
      </c>
      <c r="BS49" t="s">
        <v>3465</v>
      </c>
      <c r="BT49" t="s">
        <v>3465</v>
      </c>
      <c r="BU49" t="s">
        <v>3463</v>
      </c>
      <c r="BV49" t="s">
        <v>3463</v>
      </c>
      <c r="BW49" t="s">
        <v>3463</v>
      </c>
      <c r="BX49" t="s">
        <v>79</v>
      </c>
      <c r="BY49" t="s">
        <v>87</v>
      </c>
      <c r="BZ49" t="s">
        <v>79</v>
      </c>
      <c r="CA49" s="10">
        <v>45908</v>
      </c>
    </row>
    <row r="50" spans="1:79">
      <c r="A50">
        <v>49</v>
      </c>
      <c r="B50">
        <v>51</v>
      </c>
      <c r="C50">
        <v>38</v>
      </c>
      <c r="D50" t="s">
        <v>3466</v>
      </c>
      <c r="F50" t="s">
        <v>71</v>
      </c>
      <c r="G50" s="12" t="s">
        <v>3463</v>
      </c>
      <c r="I50">
        <v>77</v>
      </c>
      <c r="K50">
        <v>126</v>
      </c>
      <c r="L50">
        <v>63</v>
      </c>
      <c r="M50" t="s">
        <v>118</v>
      </c>
      <c r="P50" t="s">
        <v>83</v>
      </c>
      <c r="Q50" t="s">
        <v>118</v>
      </c>
      <c r="R50">
        <v>67.5</v>
      </c>
      <c r="S50">
        <v>152.5</v>
      </c>
      <c r="T50" s="8">
        <f t="shared" si="0"/>
        <v>29.02445579145391</v>
      </c>
      <c r="U50" s="13" t="str" cm="1">
        <f t="array" ref="U50">IF(T50="","",_xlfn.IFS(T50&lt;18.5,"Bajo peso",T50&lt;25,"Peso normal",T50&lt;30,"Sobrepeso",T50&lt;35,"Obesidad clase I",T50&lt;40,"Obesidad clase II",T50&gt;=40,"Obesidad clase III"))</f>
        <v>Sobrepeso</v>
      </c>
      <c r="V50">
        <v>103</v>
      </c>
      <c r="X50" t="s">
        <v>3463</v>
      </c>
      <c r="Y50">
        <v>0.78</v>
      </c>
      <c r="AA50">
        <v>90</v>
      </c>
      <c r="AB50" s="9">
        <f t="shared" si="1"/>
        <v>99.640223550107081</v>
      </c>
      <c r="AD50" t="s">
        <v>73</v>
      </c>
      <c r="AF50" t="s">
        <v>73</v>
      </c>
      <c r="AH50" t="s">
        <v>3463</v>
      </c>
      <c r="AI50" t="s">
        <v>3463</v>
      </c>
      <c r="AJ50" t="s">
        <v>3463</v>
      </c>
      <c r="AK50" t="s">
        <v>3463</v>
      </c>
      <c r="AL50" t="s">
        <v>3463</v>
      </c>
      <c r="AP50" t="s">
        <v>3463</v>
      </c>
      <c r="AT50" t="s">
        <v>3463</v>
      </c>
      <c r="AV50" t="s">
        <v>126</v>
      </c>
      <c r="AW50" t="s">
        <v>126</v>
      </c>
      <c r="AX50" t="s">
        <v>3463</v>
      </c>
      <c r="AY50" t="s">
        <v>3463</v>
      </c>
      <c r="AZ50" t="s">
        <v>253</v>
      </c>
      <c r="BF50" t="s">
        <v>3921</v>
      </c>
      <c r="BG50" t="s">
        <v>254</v>
      </c>
      <c r="BH50" t="s">
        <v>4043</v>
      </c>
      <c r="BO50" t="s">
        <v>174</v>
      </c>
      <c r="BP50" t="s">
        <v>4289</v>
      </c>
      <c r="BQ50" t="s">
        <v>3463</v>
      </c>
      <c r="BR50" t="s">
        <v>3463</v>
      </c>
      <c r="BS50" t="s">
        <v>3465</v>
      </c>
      <c r="BT50" t="s">
        <v>3465</v>
      </c>
      <c r="BU50" t="s">
        <v>3463</v>
      </c>
      <c r="BV50" t="s">
        <v>3463</v>
      </c>
      <c r="BW50" t="s">
        <v>3463</v>
      </c>
      <c r="BX50" t="s">
        <v>79</v>
      </c>
      <c r="BY50" t="s">
        <v>87</v>
      </c>
      <c r="BZ50" t="s">
        <v>79</v>
      </c>
      <c r="CA50" s="10">
        <v>45908</v>
      </c>
    </row>
    <row r="51" spans="1:79">
      <c r="A51">
        <v>50</v>
      </c>
      <c r="B51">
        <v>53</v>
      </c>
      <c r="C51">
        <v>33</v>
      </c>
      <c r="D51" t="s">
        <v>3466</v>
      </c>
      <c r="E51" t="s">
        <v>81</v>
      </c>
      <c r="F51" t="s">
        <v>71</v>
      </c>
      <c r="G51" s="12" t="s">
        <v>3463</v>
      </c>
      <c r="I51">
        <v>81</v>
      </c>
      <c r="K51">
        <v>119</v>
      </c>
      <c r="L51">
        <v>69</v>
      </c>
      <c r="M51" t="s">
        <v>80</v>
      </c>
      <c r="P51" t="s">
        <v>83</v>
      </c>
      <c r="Q51" t="s">
        <v>80</v>
      </c>
      <c r="R51">
        <v>72.2</v>
      </c>
      <c r="S51">
        <v>169</v>
      </c>
      <c r="T51" s="8">
        <f t="shared" si="0"/>
        <v>25.279226917825007</v>
      </c>
      <c r="U51" s="13" t="str" cm="1">
        <f t="array" ref="U51">IF(T51="","",_xlfn.IFS(T51&lt;18.5,"Bajo peso",T51&lt;25,"Peso normal",T51&lt;30,"Sobrepeso",T51&lt;35,"Obesidad clase I",T51&lt;40,"Obesidad clase II",T51&gt;=40,"Obesidad clase III"))</f>
        <v>Sobrepeso</v>
      </c>
      <c r="V51">
        <v>106</v>
      </c>
      <c r="X51" t="s">
        <v>3463</v>
      </c>
      <c r="Y51">
        <v>0.76</v>
      </c>
      <c r="AA51">
        <v>90</v>
      </c>
      <c r="AB51" s="9">
        <f t="shared" si="1"/>
        <v>106.04176402210574</v>
      </c>
      <c r="AD51" t="s">
        <v>73</v>
      </c>
      <c r="AF51" t="s">
        <v>73</v>
      </c>
      <c r="AH51" t="s">
        <v>3463</v>
      </c>
      <c r="AI51" t="s">
        <v>3463</v>
      </c>
      <c r="AJ51" t="s">
        <v>3463</v>
      </c>
      <c r="AK51" t="s">
        <v>3465</v>
      </c>
      <c r="AL51" t="s">
        <v>3463</v>
      </c>
      <c r="AP51" t="s">
        <v>3463</v>
      </c>
      <c r="AT51" t="s">
        <v>3463</v>
      </c>
      <c r="AV51" t="s">
        <v>126</v>
      </c>
      <c r="AW51" t="s">
        <v>126</v>
      </c>
      <c r="AX51" t="s">
        <v>3463</v>
      </c>
      <c r="AY51" t="s">
        <v>3465</v>
      </c>
      <c r="AZ51" t="s">
        <v>247</v>
      </c>
      <c r="BF51" t="s">
        <v>3921</v>
      </c>
      <c r="BH51" t="s">
        <v>4020</v>
      </c>
      <c r="BP51" t="s">
        <v>4260</v>
      </c>
      <c r="BQ51" t="s">
        <v>3465</v>
      </c>
      <c r="BR51" t="s">
        <v>3465</v>
      </c>
      <c r="BS51" t="s">
        <v>3463</v>
      </c>
      <c r="BT51" t="s">
        <v>3463</v>
      </c>
      <c r="BU51" t="s">
        <v>3463</v>
      </c>
      <c r="BV51" t="s">
        <v>3463</v>
      </c>
      <c r="BW51" t="s">
        <v>3463</v>
      </c>
      <c r="BX51" t="s">
        <v>79</v>
      </c>
      <c r="BY51" t="s">
        <v>87</v>
      </c>
      <c r="BZ51" t="s">
        <v>79</v>
      </c>
      <c r="CA51" s="10">
        <v>45908</v>
      </c>
    </row>
    <row r="52" spans="1:79">
      <c r="A52">
        <v>51</v>
      </c>
      <c r="B52">
        <v>54</v>
      </c>
      <c r="C52">
        <v>26</v>
      </c>
      <c r="D52" t="s">
        <v>3462</v>
      </c>
      <c r="F52" t="s">
        <v>150</v>
      </c>
      <c r="G52" s="12" t="s">
        <v>3463</v>
      </c>
      <c r="I52">
        <v>78</v>
      </c>
      <c r="J52">
        <v>80</v>
      </c>
      <c r="K52">
        <v>181</v>
      </c>
      <c r="L52">
        <v>95</v>
      </c>
      <c r="M52" t="s">
        <v>96</v>
      </c>
      <c r="N52">
        <v>151</v>
      </c>
      <c r="O52">
        <v>84</v>
      </c>
      <c r="P52" t="s">
        <v>72</v>
      </c>
      <c r="Q52" t="s">
        <v>72</v>
      </c>
      <c r="R52">
        <v>113</v>
      </c>
      <c r="S52">
        <v>168</v>
      </c>
      <c r="T52" s="8">
        <f t="shared" si="0"/>
        <v>40.036848072562364</v>
      </c>
      <c r="U52" s="13" t="str" cm="1">
        <f t="array" ref="U52">IF(T52="","",_xlfn.IFS(T52&lt;18.5,"Bajo peso",T52&lt;25,"Peso normal",T52&lt;30,"Sobrepeso",T52&lt;35,"Obesidad clase I",T52&lt;40,"Obesidad clase II",T52&gt;=40,"Obesidad clase III"))</f>
        <v>Obesidad clase III</v>
      </c>
      <c r="V52">
        <v>106</v>
      </c>
      <c r="X52" t="s">
        <v>3463</v>
      </c>
      <c r="Y52">
        <v>1.19</v>
      </c>
      <c r="AA52">
        <v>87</v>
      </c>
      <c r="AB52" s="9">
        <f t="shared" si="1"/>
        <v>86.396630404528494</v>
      </c>
      <c r="AD52" t="s">
        <v>73</v>
      </c>
      <c r="AF52" t="s">
        <v>73</v>
      </c>
      <c r="AH52" t="s">
        <v>3463</v>
      </c>
      <c r="AI52" t="s">
        <v>3463</v>
      </c>
      <c r="AJ52" t="s">
        <v>3463</v>
      </c>
      <c r="AK52" t="s">
        <v>3463</v>
      </c>
      <c r="AL52" t="s">
        <v>3465</v>
      </c>
      <c r="AM52" t="s">
        <v>255</v>
      </c>
      <c r="AN52" t="s">
        <v>3617</v>
      </c>
      <c r="AP52" t="s">
        <v>3463</v>
      </c>
      <c r="AV52" t="s">
        <v>126</v>
      </c>
      <c r="AW52" t="s">
        <v>126</v>
      </c>
      <c r="BA52" t="s">
        <v>3920</v>
      </c>
      <c r="BC52" t="s">
        <v>128</v>
      </c>
      <c r="BF52" t="s">
        <v>3921</v>
      </c>
      <c r="BG52" t="s">
        <v>256</v>
      </c>
      <c r="BH52" t="s">
        <v>4041</v>
      </c>
      <c r="BI52" t="s">
        <v>76</v>
      </c>
      <c r="BN52" t="s">
        <v>94</v>
      </c>
      <c r="BP52" t="s">
        <v>4290</v>
      </c>
      <c r="BQ52" t="s">
        <v>3465</v>
      </c>
      <c r="BR52" t="s">
        <v>3465</v>
      </c>
      <c r="BS52" t="s">
        <v>3465</v>
      </c>
      <c r="BT52" t="s">
        <v>3465</v>
      </c>
      <c r="BU52" t="s">
        <v>3463</v>
      </c>
      <c r="BV52" t="s">
        <v>3463</v>
      </c>
      <c r="BW52" t="s">
        <v>3463</v>
      </c>
      <c r="BX52" t="s">
        <v>79</v>
      </c>
      <c r="BY52" t="s">
        <v>87</v>
      </c>
      <c r="BZ52" t="s">
        <v>79</v>
      </c>
      <c r="CA52" s="10">
        <v>45908</v>
      </c>
    </row>
    <row r="53" spans="1:79">
      <c r="A53">
        <v>52</v>
      </c>
      <c r="B53">
        <v>55</v>
      </c>
      <c r="C53">
        <v>63</v>
      </c>
      <c r="D53" t="s">
        <v>3466</v>
      </c>
      <c r="F53" t="s">
        <v>71</v>
      </c>
      <c r="G53" s="12" t="s">
        <v>3463</v>
      </c>
      <c r="I53">
        <v>97</v>
      </c>
      <c r="J53">
        <v>93</v>
      </c>
      <c r="K53">
        <v>165</v>
      </c>
      <c r="L53">
        <v>88</v>
      </c>
      <c r="M53" t="s">
        <v>72</v>
      </c>
      <c r="N53">
        <v>151</v>
      </c>
      <c r="O53">
        <v>90</v>
      </c>
      <c r="P53" t="s">
        <v>72</v>
      </c>
      <c r="Q53" t="s">
        <v>72</v>
      </c>
      <c r="R53">
        <v>66.3</v>
      </c>
      <c r="S53">
        <v>153</v>
      </c>
      <c r="T53" s="8">
        <f t="shared" si="0"/>
        <v>28.322440087145971</v>
      </c>
      <c r="U53" s="13" t="str" cm="1">
        <f t="array" ref="U53">IF(T53="","",_xlfn.IFS(T53&lt;18.5,"Bajo peso",T53&lt;25,"Peso normal",T53&lt;30,"Sobrepeso",T53&lt;35,"Obesidad clase I",T53&lt;40,"Obesidad clase II",T53&gt;=40,"Obesidad clase III"))</f>
        <v>Sobrepeso</v>
      </c>
      <c r="V53">
        <v>149</v>
      </c>
      <c r="X53" t="s">
        <v>3463</v>
      </c>
      <c r="Y53">
        <v>1.87</v>
      </c>
      <c r="AA53">
        <v>30</v>
      </c>
      <c r="AB53" s="9">
        <f t="shared" si="1"/>
        <v>29.868478407055676</v>
      </c>
      <c r="AD53" t="s">
        <v>218</v>
      </c>
      <c r="AF53" t="s">
        <v>218</v>
      </c>
      <c r="AG53" t="s">
        <v>3465</v>
      </c>
      <c r="AH53" t="s">
        <v>3465</v>
      </c>
      <c r="AI53" t="s">
        <v>3463</v>
      </c>
      <c r="AJ53" t="s">
        <v>3463</v>
      </c>
      <c r="AK53" t="s">
        <v>3463</v>
      </c>
      <c r="AL53" t="s">
        <v>3465</v>
      </c>
      <c r="AM53" t="s">
        <v>257</v>
      </c>
      <c r="AN53" t="s">
        <v>116</v>
      </c>
      <c r="AP53" t="s">
        <v>3464</v>
      </c>
      <c r="AT53" t="s">
        <v>3465</v>
      </c>
      <c r="AU53" t="s">
        <v>80</v>
      </c>
      <c r="AV53" t="s">
        <v>74</v>
      </c>
      <c r="AW53" t="s">
        <v>3915</v>
      </c>
      <c r="AX53" t="s">
        <v>3463</v>
      </c>
      <c r="AY53" t="s">
        <v>3465</v>
      </c>
      <c r="AZ53" t="s">
        <v>247</v>
      </c>
      <c r="BB53" t="s">
        <v>3485</v>
      </c>
      <c r="BE53" t="s">
        <v>116</v>
      </c>
      <c r="BF53" t="s">
        <v>116</v>
      </c>
      <c r="BG53" t="s">
        <v>258</v>
      </c>
      <c r="BH53" t="s">
        <v>4044</v>
      </c>
      <c r="BK53" t="s">
        <v>259</v>
      </c>
      <c r="BN53" t="s">
        <v>162</v>
      </c>
      <c r="BP53" t="s">
        <v>4291</v>
      </c>
      <c r="BQ53" t="s">
        <v>3463</v>
      </c>
      <c r="BR53" t="s">
        <v>3463</v>
      </c>
      <c r="BS53" t="s">
        <v>3463</v>
      </c>
      <c r="BT53" t="s">
        <v>3463</v>
      </c>
      <c r="BU53" t="s">
        <v>3463</v>
      </c>
      <c r="BV53" t="s">
        <v>3463</v>
      </c>
      <c r="BW53" t="s">
        <v>3463</v>
      </c>
      <c r="BX53" t="s">
        <v>79</v>
      </c>
      <c r="BY53" t="s">
        <v>87</v>
      </c>
      <c r="BZ53" t="s">
        <v>79</v>
      </c>
      <c r="CA53" s="10">
        <v>45908</v>
      </c>
    </row>
    <row r="54" spans="1:79">
      <c r="A54">
        <v>53</v>
      </c>
      <c r="B54">
        <v>57</v>
      </c>
      <c r="C54">
        <v>43</v>
      </c>
      <c r="D54" t="s">
        <v>3462</v>
      </c>
      <c r="F54" t="s">
        <v>71</v>
      </c>
      <c r="G54" s="12" t="s">
        <v>3465</v>
      </c>
      <c r="H54" s="12" t="s">
        <v>88</v>
      </c>
      <c r="I54">
        <v>58</v>
      </c>
      <c r="J54">
        <v>51</v>
      </c>
      <c r="K54">
        <v>167</v>
      </c>
      <c r="L54">
        <v>103</v>
      </c>
      <c r="M54" t="s">
        <v>72</v>
      </c>
      <c r="N54">
        <v>167</v>
      </c>
      <c r="O54">
        <v>105</v>
      </c>
      <c r="P54" t="s">
        <v>72</v>
      </c>
      <c r="Q54" t="s">
        <v>72</v>
      </c>
      <c r="R54">
        <v>101.6</v>
      </c>
      <c r="S54">
        <v>163</v>
      </c>
      <c r="T54" s="8">
        <f t="shared" si="0"/>
        <v>38.240054198502008</v>
      </c>
      <c r="U54" s="13" t="str" cm="1">
        <f t="array" ref="U54">IF(T54="","",_xlfn.IFS(T54&lt;18.5,"Bajo peso",T54&lt;25,"Peso normal",T54&lt;30,"Sobrepeso",T54&lt;35,"Obesidad clase I",T54&lt;40,"Obesidad clase II",T54&gt;=40,"Obesidad clase III"))</f>
        <v>Obesidad clase II</v>
      </c>
      <c r="V54">
        <v>106</v>
      </c>
      <c r="X54" t="s">
        <v>3463</v>
      </c>
      <c r="Y54">
        <v>1.07</v>
      </c>
      <c r="AA54">
        <v>88</v>
      </c>
      <c r="AB54" s="9">
        <f t="shared" si="1"/>
        <v>88.303007640607646</v>
      </c>
      <c r="AD54" t="s">
        <v>73</v>
      </c>
      <c r="AF54" t="s">
        <v>73</v>
      </c>
      <c r="AH54" t="s">
        <v>3463</v>
      </c>
      <c r="AI54" t="s">
        <v>3463</v>
      </c>
      <c r="AJ54" t="s">
        <v>3463</v>
      </c>
      <c r="AK54" t="s">
        <v>3463</v>
      </c>
      <c r="AL54" t="s">
        <v>3463</v>
      </c>
      <c r="AP54" t="s">
        <v>3463</v>
      </c>
      <c r="AQ54" t="s">
        <v>260</v>
      </c>
      <c r="AR54" t="s">
        <v>3493</v>
      </c>
      <c r="AV54" t="s">
        <v>74</v>
      </c>
      <c r="AW54" t="s">
        <v>3915</v>
      </c>
      <c r="BA54" t="s">
        <v>3920</v>
      </c>
      <c r="BC54" t="s">
        <v>128</v>
      </c>
      <c r="BF54" t="s">
        <v>3921</v>
      </c>
      <c r="BG54" t="s">
        <v>261</v>
      </c>
      <c r="BH54" t="s">
        <v>4017</v>
      </c>
      <c r="BI54" t="s">
        <v>76</v>
      </c>
      <c r="BN54" t="s">
        <v>94</v>
      </c>
      <c r="BP54" t="s">
        <v>4270</v>
      </c>
      <c r="BQ54" t="s">
        <v>3463</v>
      </c>
      <c r="BR54" t="s">
        <v>3465</v>
      </c>
      <c r="BT54" t="s">
        <v>3463</v>
      </c>
      <c r="BU54" t="s">
        <v>3463</v>
      </c>
      <c r="BV54" t="s">
        <v>3463</v>
      </c>
      <c r="BW54" t="s">
        <v>3463</v>
      </c>
      <c r="BX54" t="s">
        <v>79</v>
      </c>
      <c r="BY54" t="s">
        <v>87</v>
      </c>
      <c r="BZ54" t="s">
        <v>79</v>
      </c>
      <c r="CA54" s="10">
        <v>45908</v>
      </c>
    </row>
    <row r="55" spans="1:79">
      <c r="A55">
        <v>54</v>
      </c>
      <c r="B55">
        <v>59</v>
      </c>
      <c r="C55">
        <v>55</v>
      </c>
      <c r="D55" t="s">
        <v>3462</v>
      </c>
      <c r="F55" t="s">
        <v>150</v>
      </c>
      <c r="G55" s="12" t="s">
        <v>3465</v>
      </c>
      <c r="H55" s="12" t="s">
        <v>88</v>
      </c>
      <c r="I55">
        <v>91</v>
      </c>
      <c r="J55">
        <v>90</v>
      </c>
      <c r="K55">
        <v>147</v>
      </c>
      <c r="L55">
        <v>92</v>
      </c>
      <c r="M55" t="s">
        <v>72</v>
      </c>
      <c r="N55">
        <v>148</v>
      </c>
      <c r="O55">
        <v>97</v>
      </c>
      <c r="P55" t="s">
        <v>72</v>
      </c>
      <c r="Q55" t="s">
        <v>72</v>
      </c>
      <c r="R55">
        <v>102.5</v>
      </c>
      <c r="S55">
        <v>166</v>
      </c>
      <c r="T55" s="8">
        <f t="shared" si="0"/>
        <v>37.196980693859771</v>
      </c>
      <c r="U55" s="13" t="str" cm="1">
        <f t="array" ref="U55">IF(T55="","",_xlfn.IFS(T55&lt;18.5,"Bajo peso",T55&lt;25,"Peso normal",T55&lt;30,"Sobrepeso",T55&lt;35,"Obesidad clase I",T55&lt;40,"Obesidad clase II",T55&gt;=40,"Obesidad clase III"))</f>
        <v>Obesidad clase II</v>
      </c>
      <c r="V55">
        <v>112</v>
      </c>
      <c r="X55" t="s">
        <v>3463</v>
      </c>
      <c r="Y55">
        <v>1.03</v>
      </c>
      <c r="AA55">
        <v>86</v>
      </c>
      <c r="AB55" s="9">
        <f t="shared" si="1"/>
        <v>85.786563044493647</v>
      </c>
      <c r="AD55" t="s">
        <v>73</v>
      </c>
      <c r="AF55" t="s">
        <v>73</v>
      </c>
      <c r="AH55" t="s">
        <v>3463</v>
      </c>
      <c r="AI55" t="s">
        <v>3463</v>
      </c>
      <c r="AJ55" t="s">
        <v>3463</v>
      </c>
      <c r="AK55" t="s">
        <v>3463</v>
      </c>
      <c r="AL55" t="s">
        <v>3463</v>
      </c>
      <c r="AP55" t="s">
        <v>3463</v>
      </c>
      <c r="AV55" t="s">
        <v>74</v>
      </c>
      <c r="AW55" t="s">
        <v>3915</v>
      </c>
      <c r="BF55" t="s">
        <v>3921</v>
      </c>
      <c r="BH55" t="s">
        <v>4020</v>
      </c>
      <c r="BP55" t="s">
        <v>4260</v>
      </c>
      <c r="BQ55" t="s">
        <v>3465</v>
      </c>
      <c r="BR55" t="s">
        <v>3463</v>
      </c>
      <c r="BS55" t="s">
        <v>3463</v>
      </c>
      <c r="BT55" t="s">
        <v>3463</v>
      </c>
      <c r="BU55" t="s">
        <v>3463</v>
      </c>
      <c r="BV55" t="s">
        <v>3463</v>
      </c>
      <c r="BW55" t="s">
        <v>3463</v>
      </c>
      <c r="CA55" s="10">
        <v>45908</v>
      </c>
    </row>
    <row r="56" spans="1:79">
      <c r="A56">
        <v>55</v>
      </c>
      <c r="B56">
        <v>61</v>
      </c>
      <c r="C56">
        <v>67</v>
      </c>
      <c r="D56" t="s">
        <v>3462</v>
      </c>
      <c r="E56" t="s">
        <v>81</v>
      </c>
      <c r="F56" t="s">
        <v>71</v>
      </c>
      <c r="G56" s="12" t="s">
        <v>3463</v>
      </c>
      <c r="I56">
        <v>75</v>
      </c>
      <c r="J56">
        <v>72</v>
      </c>
      <c r="K56">
        <v>224</v>
      </c>
      <c r="L56">
        <v>126</v>
      </c>
      <c r="M56" t="s">
        <v>96</v>
      </c>
      <c r="N56">
        <v>206</v>
      </c>
      <c r="O56">
        <v>107</v>
      </c>
      <c r="P56" t="s">
        <v>96</v>
      </c>
      <c r="Q56" t="s">
        <v>96</v>
      </c>
      <c r="R56">
        <v>82</v>
      </c>
      <c r="S56">
        <v>168.5</v>
      </c>
      <c r="T56" s="8">
        <f t="shared" si="0"/>
        <v>28.88112072836778</v>
      </c>
      <c r="U56" s="13" t="str" cm="1">
        <f t="array" ref="U56">IF(T56="","",_xlfn.IFS(T56&lt;18.5,"Bajo peso",T56&lt;25,"Peso normal",T56&lt;30,"Sobrepeso",T56&lt;35,"Obesidad clase I",T56&lt;40,"Obesidad clase II",T56&gt;=40,"Obesidad clase III"))</f>
        <v>Sobrepeso</v>
      </c>
      <c r="V56">
        <v>102</v>
      </c>
      <c r="X56" t="s">
        <v>3463</v>
      </c>
      <c r="Y56">
        <v>0.85</v>
      </c>
      <c r="AA56">
        <v>90</v>
      </c>
      <c r="AB56" s="9">
        <f t="shared" si="1"/>
        <v>95.239598986141601</v>
      </c>
      <c r="AD56" t="s">
        <v>73</v>
      </c>
      <c r="AF56" t="s">
        <v>73</v>
      </c>
      <c r="AH56" t="s">
        <v>3463</v>
      </c>
      <c r="AI56" t="s">
        <v>3463</v>
      </c>
      <c r="AJ56" t="s">
        <v>3463</v>
      </c>
      <c r="AK56" t="s">
        <v>3463</v>
      </c>
      <c r="AL56" t="s">
        <v>3463</v>
      </c>
      <c r="AP56" t="s">
        <v>3463</v>
      </c>
      <c r="AQ56" t="s">
        <v>262</v>
      </c>
      <c r="AR56" t="s">
        <v>3501</v>
      </c>
      <c r="AV56" t="s">
        <v>126</v>
      </c>
      <c r="AW56" t="s">
        <v>126</v>
      </c>
      <c r="BA56" t="s">
        <v>3920</v>
      </c>
      <c r="BF56" t="s">
        <v>3921</v>
      </c>
      <c r="BG56" t="s">
        <v>263</v>
      </c>
      <c r="BH56" t="s">
        <v>4045</v>
      </c>
      <c r="BN56" t="s">
        <v>264</v>
      </c>
      <c r="BO56" t="s">
        <v>265</v>
      </c>
      <c r="BP56" t="s">
        <v>4292</v>
      </c>
      <c r="BQ56" t="s">
        <v>3463</v>
      </c>
      <c r="BR56" t="s">
        <v>3463</v>
      </c>
      <c r="BS56" t="s">
        <v>3463</v>
      </c>
      <c r="BT56" t="s">
        <v>3463</v>
      </c>
      <c r="BU56" t="s">
        <v>3463</v>
      </c>
      <c r="BV56" t="s">
        <v>3463</v>
      </c>
      <c r="BW56" t="s">
        <v>3463</v>
      </c>
      <c r="BX56" t="s">
        <v>79</v>
      </c>
      <c r="BY56" t="s">
        <v>87</v>
      </c>
      <c r="BZ56" t="s">
        <v>79</v>
      </c>
      <c r="CA56" s="10">
        <v>45908</v>
      </c>
    </row>
    <row r="57" spans="1:79">
      <c r="A57">
        <v>56</v>
      </c>
      <c r="B57">
        <v>63</v>
      </c>
      <c r="C57">
        <v>38</v>
      </c>
      <c r="D57" t="s">
        <v>3462</v>
      </c>
      <c r="E57" t="s">
        <v>266</v>
      </c>
      <c r="F57" t="s">
        <v>71</v>
      </c>
      <c r="G57" s="12" t="s">
        <v>3465</v>
      </c>
      <c r="H57" s="12" t="s">
        <v>88</v>
      </c>
      <c r="I57">
        <v>62</v>
      </c>
      <c r="K57">
        <v>138</v>
      </c>
      <c r="L57">
        <v>79</v>
      </c>
      <c r="M57" t="s">
        <v>82</v>
      </c>
      <c r="P57" t="s">
        <v>83</v>
      </c>
      <c r="Q57" t="s">
        <v>82</v>
      </c>
      <c r="R57">
        <v>70.8</v>
      </c>
      <c r="S57">
        <v>166</v>
      </c>
      <c r="T57" s="8">
        <f t="shared" si="0"/>
        <v>25.693133981709973</v>
      </c>
      <c r="U57" s="13" t="str" cm="1">
        <f t="array" ref="U57">IF(T57="","",_xlfn.IFS(T57&lt;18.5,"Bajo peso",T57&lt;25,"Peso normal",T57&lt;30,"Sobrepeso",T57&lt;35,"Obesidad clase I",T57&lt;40,"Obesidad clase II",T57&gt;=40,"Obesidad clase III"))</f>
        <v>Sobrepeso</v>
      </c>
      <c r="V57">
        <v>115</v>
      </c>
      <c r="X57" t="s">
        <v>3463</v>
      </c>
      <c r="Y57">
        <v>0.97</v>
      </c>
      <c r="AA57">
        <v>90</v>
      </c>
      <c r="AB57" s="9">
        <f t="shared" si="1"/>
        <v>102.47430609025099</v>
      </c>
      <c r="AD57" t="s">
        <v>73</v>
      </c>
      <c r="AF57" t="s">
        <v>73</v>
      </c>
      <c r="AH57" t="s">
        <v>3463</v>
      </c>
      <c r="AI57" t="s">
        <v>3463</v>
      </c>
      <c r="AJ57" t="s">
        <v>3465</v>
      </c>
      <c r="AK57" t="s">
        <v>3463</v>
      </c>
      <c r="AL57" t="s">
        <v>3463</v>
      </c>
      <c r="AP57" t="s">
        <v>3463</v>
      </c>
      <c r="AV57" t="s">
        <v>74</v>
      </c>
      <c r="AW57" t="s">
        <v>3915</v>
      </c>
      <c r="BA57" t="s">
        <v>3920</v>
      </c>
      <c r="BF57" t="s">
        <v>3921</v>
      </c>
      <c r="BH57" t="s">
        <v>4021</v>
      </c>
      <c r="BI57" t="s">
        <v>76</v>
      </c>
      <c r="BP57" t="s">
        <v>4261</v>
      </c>
      <c r="BQ57" t="s">
        <v>3463</v>
      </c>
      <c r="BR57" t="s">
        <v>3465</v>
      </c>
      <c r="BS57" t="s">
        <v>3463</v>
      </c>
      <c r="BT57" t="s">
        <v>3463</v>
      </c>
      <c r="BU57" t="s">
        <v>3463</v>
      </c>
      <c r="BV57" t="s">
        <v>3463</v>
      </c>
      <c r="BW57" t="s">
        <v>3463</v>
      </c>
      <c r="BX57" t="s">
        <v>79</v>
      </c>
      <c r="BY57" t="s">
        <v>87</v>
      </c>
      <c r="BZ57" t="s">
        <v>79</v>
      </c>
      <c r="CA57" s="10">
        <v>45908</v>
      </c>
    </row>
    <row r="58" spans="1:79">
      <c r="A58">
        <v>57</v>
      </c>
      <c r="B58">
        <v>64</v>
      </c>
      <c r="C58">
        <v>48</v>
      </c>
      <c r="D58" t="s">
        <v>3462</v>
      </c>
      <c r="F58" t="s">
        <v>71</v>
      </c>
      <c r="G58" s="12" t="s">
        <v>3463</v>
      </c>
      <c r="I58">
        <v>61</v>
      </c>
      <c r="J58">
        <v>56</v>
      </c>
      <c r="K58">
        <v>147</v>
      </c>
      <c r="L58">
        <v>88</v>
      </c>
      <c r="M58" t="s">
        <v>72</v>
      </c>
      <c r="N58">
        <v>129</v>
      </c>
      <c r="O58">
        <v>77</v>
      </c>
      <c r="P58" t="s">
        <v>118</v>
      </c>
      <c r="Q58" t="s">
        <v>118</v>
      </c>
      <c r="R58">
        <v>99.5</v>
      </c>
      <c r="S58">
        <v>177</v>
      </c>
      <c r="T58" s="8">
        <f t="shared" si="0"/>
        <v>31.759711449455779</v>
      </c>
      <c r="U58" s="13" t="str" cm="1">
        <f t="array" ref="U58">IF(T58="","",_xlfn.IFS(T58&lt;18.5,"Bajo peso",T58&lt;25,"Peso normal",T58&lt;30,"Sobrepeso",T58&lt;35,"Obesidad clase I",T58&lt;40,"Obesidad clase II",T58&gt;=40,"Obesidad clase III"))</f>
        <v>Obesidad clase I</v>
      </c>
      <c r="V58">
        <v>124</v>
      </c>
      <c r="X58" t="s">
        <v>3463</v>
      </c>
      <c r="Y58">
        <v>0.95</v>
      </c>
      <c r="AA58">
        <v>90</v>
      </c>
      <c r="AB58" s="9">
        <f t="shared" si="1"/>
        <v>98.733075426735127</v>
      </c>
      <c r="AD58" t="s">
        <v>73</v>
      </c>
      <c r="AF58" t="s">
        <v>73</v>
      </c>
      <c r="AH58" t="s">
        <v>3463</v>
      </c>
      <c r="AI58" t="s">
        <v>3463</v>
      </c>
      <c r="AJ58" t="s">
        <v>3463</v>
      </c>
      <c r="AK58" t="s">
        <v>3463</v>
      </c>
      <c r="AL58" t="s">
        <v>3463</v>
      </c>
      <c r="AP58" t="s">
        <v>3463</v>
      </c>
      <c r="AQ58" t="s">
        <v>267</v>
      </c>
      <c r="AR58" t="s">
        <v>3502</v>
      </c>
      <c r="AV58" t="s">
        <v>74</v>
      </c>
      <c r="AW58" t="s">
        <v>3915</v>
      </c>
      <c r="BF58" t="s">
        <v>3921</v>
      </c>
      <c r="BH58" t="s">
        <v>4020</v>
      </c>
      <c r="BP58" t="s">
        <v>4260</v>
      </c>
      <c r="BQ58" t="s">
        <v>3463</v>
      </c>
      <c r="BR58" t="s">
        <v>3465</v>
      </c>
      <c r="BS58" t="s">
        <v>3463</v>
      </c>
      <c r="BT58" t="s">
        <v>3463</v>
      </c>
      <c r="BU58" t="s">
        <v>3463</v>
      </c>
      <c r="BV58" t="s">
        <v>3463</v>
      </c>
      <c r="BW58" t="s">
        <v>3463</v>
      </c>
      <c r="BX58" t="s">
        <v>79</v>
      </c>
      <c r="BY58" t="s">
        <v>87</v>
      </c>
      <c r="BZ58" t="s">
        <v>79</v>
      </c>
      <c r="CA58" s="10">
        <v>45908</v>
      </c>
    </row>
    <row r="59" spans="1:79">
      <c r="A59">
        <v>58</v>
      </c>
      <c r="B59">
        <v>65</v>
      </c>
      <c r="C59">
        <v>61</v>
      </c>
      <c r="D59" t="s">
        <v>3462</v>
      </c>
      <c r="F59" t="s">
        <v>71</v>
      </c>
      <c r="G59" s="12" t="s">
        <v>3465</v>
      </c>
      <c r="H59" s="12" t="s">
        <v>88</v>
      </c>
      <c r="I59">
        <v>72</v>
      </c>
      <c r="J59">
        <v>72</v>
      </c>
      <c r="K59">
        <v>172</v>
      </c>
      <c r="L59">
        <v>88</v>
      </c>
      <c r="M59" t="s">
        <v>72</v>
      </c>
      <c r="N59">
        <v>172</v>
      </c>
      <c r="O59">
        <v>89</v>
      </c>
      <c r="P59" t="s">
        <v>72</v>
      </c>
      <c r="Q59" t="s">
        <v>72</v>
      </c>
      <c r="R59">
        <v>81.5</v>
      </c>
      <c r="S59">
        <v>162</v>
      </c>
      <c r="T59" s="8">
        <f t="shared" si="0"/>
        <v>31.054717268709041</v>
      </c>
      <c r="U59" s="13" t="str" cm="1">
        <f t="array" ref="U59">IF(T59="","",_xlfn.IFS(T59&lt;18.5,"Bajo peso",T59&lt;25,"Peso normal",T59&lt;30,"Sobrepeso",T59&lt;35,"Obesidad clase I",T59&lt;40,"Obesidad clase II",T59&gt;=40,"Obesidad clase III"))</f>
        <v>Obesidad clase I</v>
      </c>
      <c r="V59">
        <v>108</v>
      </c>
      <c r="X59" t="s">
        <v>3463</v>
      </c>
      <c r="Y59">
        <v>1</v>
      </c>
      <c r="AA59">
        <v>86</v>
      </c>
      <c r="AB59" s="9">
        <f t="shared" si="1"/>
        <v>85.628412530835035</v>
      </c>
      <c r="AD59" t="s">
        <v>73</v>
      </c>
      <c r="AF59" t="s">
        <v>73</v>
      </c>
      <c r="AH59" t="s">
        <v>3463</v>
      </c>
      <c r="AI59" t="s">
        <v>3465</v>
      </c>
      <c r="AJ59" t="s">
        <v>3463</v>
      </c>
      <c r="AK59" t="s">
        <v>3463</v>
      </c>
      <c r="AL59" t="s">
        <v>3463</v>
      </c>
      <c r="AP59" t="s">
        <v>3463</v>
      </c>
      <c r="AS59" t="s">
        <v>3465</v>
      </c>
      <c r="AV59" t="s">
        <v>74</v>
      </c>
      <c r="AW59" t="s">
        <v>3915</v>
      </c>
      <c r="BA59" t="s">
        <v>3920</v>
      </c>
      <c r="BF59" t="s">
        <v>3921</v>
      </c>
      <c r="BG59" t="s">
        <v>268</v>
      </c>
      <c r="BH59" t="s">
        <v>4046</v>
      </c>
      <c r="BI59" t="s">
        <v>76</v>
      </c>
      <c r="BK59" t="s">
        <v>269</v>
      </c>
      <c r="BN59" t="s">
        <v>94</v>
      </c>
      <c r="BP59" t="s">
        <v>4254</v>
      </c>
      <c r="BQ59" t="s">
        <v>3463</v>
      </c>
      <c r="BR59" t="s">
        <v>3465</v>
      </c>
      <c r="BS59" t="s">
        <v>3463</v>
      </c>
      <c r="BT59" t="s">
        <v>3463</v>
      </c>
      <c r="BU59" t="s">
        <v>3463</v>
      </c>
      <c r="BV59" t="s">
        <v>3463</v>
      </c>
      <c r="BW59" t="s">
        <v>3463</v>
      </c>
      <c r="BX59" t="s">
        <v>79</v>
      </c>
      <c r="BY59" t="s">
        <v>87</v>
      </c>
      <c r="BZ59" t="s">
        <v>95</v>
      </c>
      <c r="CA59" s="10">
        <v>45908</v>
      </c>
    </row>
    <row r="60" spans="1:79">
      <c r="A60">
        <v>59</v>
      </c>
      <c r="B60">
        <v>66</v>
      </c>
      <c r="C60">
        <v>45</v>
      </c>
      <c r="D60" t="s">
        <v>3462</v>
      </c>
      <c r="E60" t="s">
        <v>122</v>
      </c>
      <c r="F60" t="s">
        <v>71</v>
      </c>
      <c r="G60" s="12" t="s">
        <v>3463</v>
      </c>
      <c r="I60">
        <v>79</v>
      </c>
      <c r="J60">
        <v>75</v>
      </c>
      <c r="K60">
        <v>158</v>
      </c>
      <c r="L60">
        <v>86</v>
      </c>
      <c r="M60" t="s">
        <v>72</v>
      </c>
      <c r="N60">
        <v>124</v>
      </c>
      <c r="O60">
        <v>77</v>
      </c>
      <c r="P60" t="s">
        <v>118</v>
      </c>
      <c r="Q60" t="s">
        <v>118</v>
      </c>
      <c r="R60">
        <v>81.8</v>
      </c>
      <c r="S60">
        <v>168</v>
      </c>
      <c r="T60" s="8">
        <f t="shared" si="0"/>
        <v>28.982426303854872</v>
      </c>
      <c r="U60" s="13" t="str" cm="1">
        <f t="array" ref="U60">IF(T60="","",_xlfn.IFS(T60&lt;18.5,"Bajo peso",T60&lt;25,"Peso normal",T60&lt;30,"Sobrepeso",T60&lt;35,"Obesidad clase I",T60&lt;40,"Obesidad clase II",T60&gt;=40,"Obesidad clase III"))</f>
        <v>Sobrepeso</v>
      </c>
      <c r="V60">
        <v>95</v>
      </c>
      <c r="X60" t="s">
        <v>3463</v>
      </c>
      <c r="Y60">
        <v>0.85</v>
      </c>
      <c r="AA60">
        <v>90</v>
      </c>
      <c r="AB60" s="9">
        <f t="shared" si="1"/>
        <v>109.20429641042736</v>
      </c>
      <c r="AD60" t="s">
        <v>73</v>
      </c>
      <c r="AF60" t="s">
        <v>73</v>
      </c>
      <c r="AH60" t="s">
        <v>3463</v>
      </c>
      <c r="AI60" t="s">
        <v>3463</v>
      </c>
      <c r="AJ60" t="s">
        <v>3463</v>
      </c>
      <c r="AK60" t="s">
        <v>3463</v>
      </c>
      <c r="AL60" t="s">
        <v>3463</v>
      </c>
      <c r="AP60" t="s">
        <v>3464</v>
      </c>
      <c r="AQ60" t="s">
        <v>270</v>
      </c>
      <c r="AR60" t="s">
        <v>3488</v>
      </c>
      <c r="AV60" t="s">
        <v>74</v>
      </c>
      <c r="AW60" t="s">
        <v>3915</v>
      </c>
      <c r="BF60" t="s">
        <v>3921</v>
      </c>
      <c r="BH60" t="s">
        <v>4020</v>
      </c>
      <c r="BP60" t="s">
        <v>4260</v>
      </c>
      <c r="BQ60" t="s">
        <v>3465</v>
      </c>
      <c r="BR60" t="s">
        <v>3465</v>
      </c>
      <c r="BS60" t="s">
        <v>3463</v>
      </c>
      <c r="BT60" t="s">
        <v>3463</v>
      </c>
      <c r="BU60" t="s">
        <v>3463</v>
      </c>
      <c r="BV60" t="s">
        <v>3463</v>
      </c>
      <c r="BW60" t="s">
        <v>3463</v>
      </c>
      <c r="BX60" t="s">
        <v>79</v>
      </c>
      <c r="BY60" t="s">
        <v>87</v>
      </c>
      <c r="BZ60" t="s">
        <v>79</v>
      </c>
      <c r="CA60" s="10">
        <v>45908</v>
      </c>
    </row>
    <row r="61" spans="1:79">
      <c r="A61">
        <v>61</v>
      </c>
      <c r="B61">
        <v>68</v>
      </c>
      <c r="C61">
        <v>61</v>
      </c>
      <c r="D61" t="s">
        <v>3462</v>
      </c>
      <c r="E61" t="s">
        <v>271</v>
      </c>
      <c r="F61" t="s">
        <v>71</v>
      </c>
      <c r="G61" s="12" t="s">
        <v>3465</v>
      </c>
      <c r="H61" t="s">
        <v>88</v>
      </c>
      <c r="I61">
        <v>59</v>
      </c>
      <c r="J61">
        <v>61</v>
      </c>
      <c r="K61">
        <v>191</v>
      </c>
      <c r="L61">
        <v>103</v>
      </c>
      <c r="M61" t="s">
        <v>96</v>
      </c>
      <c r="N61">
        <v>203</v>
      </c>
      <c r="O61">
        <v>103</v>
      </c>
      <c r="P61" t="s">
        <v>96</v>
      </c>
      <c r="Q61" t="s">
        <v>96</v>
      </c>
      <c r="R61">
        <v>73.599999999999994</v>
      </c>
      <c r="S61">
        <v>147</v>
      </c>
      <c r="T61" s="8">
        <f t="shared" si="0"/>
        <v>34.05988245638391</v>
      </c>
      <c r="U61" s="13" t="str" cm="1">
        <f t="array" ref="U61">IF(T61="","",_xlfn.IFS(T61&lt;18.5,"Bajo peso",T61&lt;25,"Peso normal",T61&lt;30,"Sobrepeso",T61&lt;35,"Obesidad clase I",T61&lt;40,"Obesidad clase II",T61&gt;=40,"Obesidad clase III"))</f>
        <v>Obesidad clase I</v>
      </c>
      <c r="V61">
        <v>103</v>
      </c>
      <c r="X61" t="s">
        <v>3463</v>
      </c>
      <c r="Y61">
        <v>0.99</v>
      </c>
      <c r="AA61">
        <v>87</v>
      </c>
      <c r="AB61" s="9">
        <f t="shared" si="1"/>
        <v>86.667378275697558</v>
      </c>
      <c r="AD61" t="s">
        <v>73</v>
      </c>
      <c r="AF61" t="s">
        <v>73</v>
      </c>
      <c r="AH61" t="s">
        <v>3463</v>
      </c>
      <c r="AI61" t="s">
        <v>3463</v>
      </c>
      <c r="AJ61" t="s">
        <v>3463</v>
      </c>
      <c r="AK61" t="s">
        <v>3463</v>
      </c>
      <c r="AL61" t="s">
        <v>3463</v>
      </c>
      <c r="AP61" t="s">
        <v>3463</v>
      </c>
      <c r="AQ61" t="s">
        <v>159</v>
      </c>
      <c r="AR61" t="s">
        <v>3491</v>
      </c>
      <c r="AV61" t="s">
        <v>126</v>
      </c>
      <c r="AW61" t="s">
        <v>126</v>
      </c>
      <c r="BA61" t="s">
        <v>3920</v>
      </c>
      <c r="BF61" t="s">
        <v>3921</v>
      </c>
      <c r="BG61" t="s">
        <v>272</v>
      </c>
      <c r="BH61" t="s">
        <v>4048</v>
      </c>
      <c r="BI61" t="s">
        <v>76</v>
      </c>
      <c r="BK61" t="s">
        <v>273</v>
      </c>
      <c r="BN61" t="s">
        <v>94</v>
      </c>
      <c r="BP61" t="s">
        <v>4293</v>
      </c>
      <c r="BQ61" t="s">
        <v>3463</v>
      </c>
      <c r="BR61" t="s">
        <v>3465</v>
      </c>
      <c r="BS61" t="s">
        <v>3463</v>
      </c>
      <c r="BT61" t="s">
        <v>3463</v>
      </c>
      <c r="BU61" t="s">
        <v>3463</v>
      </c>
      <c r="BV61" t="s">
        <v>3463</v>
      </c>
      <c r="BW61" t="s">
        <v>3463</v>
      </c>
      <c r="BX61" t="s">
        <v>79</v>
      </c>
      <c r="BY61" t="s">
        <v>87</v>
      </c>
      <c r="BZ61" t="s">
        <v>79</v>
      </c>
      <c r="CA61" s="10">
        <v>45908</v>
      </c>
    </row>
    <row r="62" spans="1:79">
      <c r="A62">
        <v>62</v>
      </c>
      <c r="B62">
        <v>69</v>
      </c>
      <c r="C62">
        <v>40</v>
      </c>
      <c r="D62" t="s">
        <v>3462</v>
      </c>
      <c r="F62" t="s">
        <v>71</v>
      </c>
      <c r="G62" s="12" t="s">
        <v>3463</v>
      </c>
      <c r="H62" s="12"/>
      <c r="I62">
        <v>77</v>
      </c>
      <c r="J62">
        <v>71</v>
      </c>
      <c r="K62">
        <v>163</v>
      </c>
      <c r="L62">
        <v>80</v>
      </c>
      <c r="M62" t="s">
        <v>72</v>
      </c>
      <c r="N62">
        <v>155</v>
      </c>
      <c r="O62">
        <v>83</v>
      </c>
      <c r="P62" t="s">
        <v>72</v>
      </c>
      <c r="Q62" t="s">
        <v>72</v>
      </c>
      <c r="R62">
        <v>81.900000000000006</v>
      </c>
      <c r="S62">
        <v>164</v>
      </c>
      <c r="T62" s="8">
        <f t="shared" si="0"/>
        <v>30.450624628197502</v>
      </c>
      <c r="U62" s="13" t="str" cm="1">
        <f t="array" ref="U62">IF(T62="","",_xlfn.IFS(T62&lt;18.5,"Bajo peso",T62&lt;25,"Peso normal",T62&lt;30,"Sobrepeso",T62&lt;35,"Obesidad clase I",T62&lt;40,"Obesidad clase II",T62&gt;=40,"Obesidad clase III"))</f>
        <v>Obesidad clase I</v>
      </c>
      <c r="V62">
        <v>82</v>
      </c>
      <c r="X62" t="s">
        <v>3463</v>
      </c>
      <c r="Y62">
        <v>0.96</v>
      </c>
      <c r="AA62">
        <v>90</v>
      </c>
      <c r="AB62" s="9">
        <f t="shared" si="1"/>
        <v>102.47397251795161</v>
      </c>
      <c r="AD62" t="s">
        <v>73</v>
      </c>
      <c r="AF62" t="s">
        <v>73</v>
      </c>
      <c r="AH62" t="s">
        <v>3463</v>
      </c>
      <c r="AI62" t="s">
        <v>3463</v>
      </c>
      <c r="AJ62" t="s">
        <v>3463</v>
      </c>
      <c r="AK62" t="s">
        <v>3463</v>
      </c>
      <c r="AL62" t="s">
        <v>3463</v>
      </c>
      <c r="AP62" t="s">
        <v>3463</v>
      </c>
      <c r="AV62" t="s">
        <v>74</v>
      </c>
      <c r="AW62" t="s">
        <v>3915</v>
      </c>
      <c r="BA62" t="s">
        <v>3920</v>
      </c>
      <c r="BF62" t="s">
        <v>3921</v>
      </c>
      <c r="BG62" t="s">
        <v>274</v>
      </c>
      <c r="BH62" t="s">
        <v>4049</v>
      </c>
      <c r="BI62" t="s">
        <v>76</v>
      </c>
      <c r="BN62" t="s">
        <v>94</v>
      </c>
      <c r="BP62" t="s">
        <v>4270</v>
      </c>
      <c r="BQ62" t="s">
        <v>3465</v>
      </c>
      <c r="BR62" t="s">
        <v>3465</v>
      </c>
      <c r="BS62" t="s">
        <v>3463</v>
      </c>
      <c r="BT62" t="s">
        <v>3465</v>
      </c>
      <c r="BU62" t="s">
        <v>3463</v>
      </c>
      <c r="BV62" t="s">
        <v>3463</v>
      </c>
      <c r="BW62" t="s">
        <v>3463</v>
      </c>
      <c r="BX62" t="s">
        <v>79</v>
      </c>
      <c r="BY62" t="s">
        <v>87</v>
      </c>
      <c r="BZ62" t="s">
        <v>79</v>
      </c>
      <c r="CA62" s="10">
        <v>45908</v>
      </c>
    </row>
    <row r="63" spans="1:79">
      <c r="A63">
        <v>63</v>
      </c>
      <c r="B63">
        <v>70</v>
      </c>
      <c r="C63">
        <v>41</v>
      </c>
      <c r="D63" t="s">
        <v>3466</v>
      </c>
      <c r="F63" t="s">
        <v>71</v>
      </c>
      <c r="G63" s="12" t="s">
        <v>3463</v>
      </c>
      <c r="I63">
        <v>83</v>
      </c>
      <c r="J63">
        <v>80</v>
      </c>
      <c r="K63">
        <v>172</v>
      </c>
      <c r="L63">
        <v>86</v>
      </c>
      <c r="M63" t="s">
        <v>72</v>
      </c>
      <c r="N63">
        <v>161</v>
      </c>
      <c r="O63">
        <v>94</v>
      </c>
      <c r="P63" t="s">
        <v>72</v>
      </c>
      <c r="Q63" t="s">
        <v>72</v>
      </c>
      <c r="R63">
        <v>96.8</v>
      </c>
      <c r="S63">
        <v>165.5</v>
      </c>
      <c r="T63" s="8">
        <f t="shared" si="0"/>
        <v>35.34104288934931</v>
      </c>
      <c r="U63" s="13" t="str" cm="1">
        <f t="array" ref="U63">IF(T63="","",_xlfn.IFS(T63&lt;18.5,"Bajo peso",T63&lt;25,"Peso normal",T63&lt;30,"Sobrepeso",T63&lt;35,"Obesidad clase I",T63&lt;40,"Obesidad clase II",T63&gt;=40,"Obesidad clase III"))</f>
        <v>Obesidad clase II</v>
      </c>
      <c r="V63">
        <v>112</v>
      </c>
      <c r="X63" t="s">
        <v>3463</v>
      </c>
      <c r="Y63">
        <v>0.82</v>
      </c>
      <c r="AA63">
        <v>90</v>
      </c>
      <c r="AB63" s="9">
        <f t="shared" si="1"/>
        <v>92.101896043240558</v>
      </c>
      <c r="AD63" t="s">
        <v>73</v>
      </c>
      <c r="AF63" t="s">
        <v>73</v>
      </c>
      <c r="AH63" t="s">
        <v>3463</v>
      </c>
      <c r="AI63" t="s">
        <v>3463</v>
      </c>
      <c r="AJ63" t="s">
        <v>3465</v>
      </c>
      <c r="AK63" t="s">
        <v>3463</v>
      </c>
      <c r="AL63" t="s">
        <v>3465</v>
      </c>
      <c r="AM63" t="s">
        <v>275</v>
      </c>
      <c r="AN63" t="s">
        <v>3618</v>
      </c>
      <c r="AP63" t="s">
        <v>3463</v>
      </c>
      <c r="AQ63" t="s">
        <v>276</v>
      </c>
      <c r="AR63" t="s">
        <v>3491</v>
      </c>
      <c r="AT63" t="s">
        <v>3465</v>
      </c>
      <c r="AU63" t="s">
        <v>125</v>
      </c>
      <c r="AV63" t="s">
        <v>74</v>
      </c>
      <c r="AW63" t="s">
        <v>3915</v>
      </c>
      <c r="AX63" t="s">
        <v>3463</v>
      </c>
      <c r="AY63" t="s">
        <v>3465</v>
      </c>
      <c r="AZ63" t="s">
        <v>247</v>
      </c>
      <c r="BE63" t="s">
        <v>277</v>
      </c>
      <c r="BF63" t="s">
        <v>3927</v>
      </c>
      <c r="BG63" t="s">
        <v>278</v>
      </c>
      <c r="BH63" t="s">
        <v>4014</v>
      </c>
      <c r="BI63" t="s">
        <v>76</v>
      </c>
      <c r="BP63" t="s">
        <v>4294</v>
      </c>
      <c r="BQ63" t="s">
        <v>3463</v>
      </c>
      <c r="BR63" t="s">
        <v>3465</v>
      </c>
      <c r="BS63" t="s">
        <v>3465</v>
      </c>
      <c r="BT63" t="s">
        <v>3465</v>
      </c>
      <c r="BU63" t="s">
        <v>3463</v>
      </c>
      <c r="BV63" t="s">
        <v>3463</v>
      </c>
      <c r="BW63" t="s">
        <v>3463</v>
      </c>
      <c r="BX63" t="s">
        <v>79</v>
      </c>
      <c r="BY63" t="s">
        <v>87</v>
      </c>
      <c r="BZ63" t="s">
        <v>79</v>
      </c>
      <c r="CA63" s="10">
        <v>45908</v>
      </c>
    </row>
    <row r="64" spans="1:79">
      <c r="A64">
        <v>64</v>
      </c>
      <c r="B64">
        <v>71</v>
      </c>
      <c r="C64">
        <v>51</v>
      </c>
      <c r="D64" t="s">
        <v>3462</v>
      </c>
      <c r="E64" t="s">
        <v>279</v>
      </c>
      <c r="F64" t="s">
        <v>71</v>
      </c>
      <c r="G64" s="12" t="s">
        <v>3465</v>
      </c>
      <c r="H64" t="s">
        <v>88</v>
      </c>
      <c r="I64">
        <v>59</v>
      </c>
      <c r="J64">
        <v>58</v>
      </c>
      <c r="K64">
        <v>165</v>
      </c>
      <c r="L64">
        <v>90</v>
      </c>
      <c r="M64" t="s">
        <v>72</v>
      </c>
      <c r="N64">
        <v>153</v>
      </c>
      <c r="O64">
        <v>81</v>
      </c>
      <c r="P64" t="s">
        <v>72</v>
      </c>
      <c r="Q64" t="s">
        <v>72</v>
      </c>
      <c r="R64">
        <v>61.7</v>
      </c>
      <c r="S64">
        <v>154</v>
      </c>
      <c r="T64" s="8">
        <f t="shared" si="0"/>
        <v>26.016191600607186</v>
      </c>
      <c r="U64" s="13" t="str" cm="1">
        <f t="array" ref="U64">IF(T64="","",_xlfn.IFS(T64&lt;18.5,"Bajo peso",T64&lt;25,"Peso normal",T64&lt;30,"Sobrepeso",T64&lt;35,"Obesidad clase I",T64&lt;40,"Obesidad clase II",T64&gt;=40,"Obesidad clase III"))</f>
        <v>Sobrepeso</v>
      </c>
      <c r="V64">
        <v>107</v>
      </c>
      <c r="X64" t="s">
        <v>3463</v>
      </c>
      <c r="Y64">
        <v>0.96</v>
      </c>
      <c r="AA64">
        <v>90</v>
      </c>
      <c r="AB64" s="9">
        <f t="shared" si="1"/>
        <v>95.697917903350287</v>
      </c>
      <c r="AD64" t="s">
        <v>73</v>
      </c>
      <c r="AF64" t="s">
        <v>73</v>
      </c>
      <c r="AH64" t="s">
        <v>3463</v>
      </c>
      <c r="AI64" t="s">
        <v>3463</v>
      </c>
      <c r="AJ64" t="s">
        <v>3463</v>
      </c>
      <c r="AK64" t="s">
        <v>3463</v>
      </c>
      <c r="AL64" t="s">
        <v>3463</v>
      </c>
      <c r="AP64" t="s">
        <v>3463</v>
      </c>
      <c r="AQ64" t="s">
        <v>148</v>
      </c>
      <c r="AR64" t="s">
        <v>3491</v>
      </c>
      <c r="AV64" t="s">
        <v>74</v>
      </c>
      <c r="AW64" t="s">
        <v>3915</v>
      </c>
      <c r="BA64" t="s">
        <v>3920</v>
      </c>
      <c r="BF64" t="s">
        <v>3921</v>
      </c>
      <c r="BG64" t="s">
        <v>280</v>
      </c>
      <c r="BH64" t="s">
        <v>4021</v>
      </c>
      <c r="BI64" t="s">
        <v>76</v>
      </c>
      <c r="BN64" t="s">
        <v>94</v>
      </c>
      <c r="BP64" t="s">
        <v>4270</v>
      </c>
      <c r="BQ64" t="s">
        <v>3463</v>
      </c>
      <c r="BR64" t="s">
        <v>3463</v>
      </c>
      <c r="BS64" t="s">
        <v>3463</v>
      </c>
      <c r="BT64" t="s">
        <v>3463</v>
      </c>
      <c r="BU64" t="s">
        <v>3463</v>
      </c>
      <c r="BV64" t="s">
        <v>3463</v>
      </c>
      <c r="BW64" t="s">
        <v>3463</v>
      </c>
      <c r="BX64" t="s">
        <v>79</v>
      </c>
      <c r="BY64" t="s">
        <v>87</v>
      </c>
      <c r="BZ64" t="s">
        <v>79</v>
      </c>
      <c r="CA64" s="10">
        <v>45908</v>
      </c>
    </row>
    <row r="65" spans="1:79">
      <c r="A65">
        <v>65</v>
      </c>
      <c r="B65">
        <v>72</v>
      </c>
      <c r="C65">
        <v>60</v>
      </c>
      <c r="D65" t="s">
        <v>3462</v>
      </c>
      <c r="E65" t="s">
        <v>81</v>
      </c>
      <c r="F65" t="s">
        <v>71</v>
      </c>
      <c r="G65" s="12" t="s">
        <v>3463</v>
      </c>
      <c r="H65" s="12"/>
      <c r="I65">
        <v>58</v>
      </c>
      <c r="J65">
        <v>57</v>
      </c>
      <c r="K65">
        <v>157</v>
      </c>
      <c r="L65">
        <v>79</v>
      </c>
      <c r="M65" t="s">
        <v>72</v>
      </c>
      <c r="N65">
        <v>163</v>
      </c>
      <c r="O65">
        <v>80</v>
      </c>
      <c r="P65" t="s">
        <v>72</v>
      </c>
      <c r="Q65" t="s">
        <v>72</v>
      </c>
      <c r="R65">
        <v>83.1</v>
      </c>
      <c r="S65">
        <v>169</v>
      </c>
      <c r="T65" s="8">
        <f t="shared" si="0"/>
        <v>29.095619901263959</v>
      </c>
      <c r="U65" s="13" t="str" cm="1">
        <f t="array" ref="U65">IF(T65="","",_xlfn.IFS(T65&lt;18.5,"Bajo peso",T65&lt;25,"Peso normal",T65&lt;30,"Sobrepeso",T65&lt;35,"Obesidad clase I",T65&lt;40,"Obesidad clase II",T65&gt;=40,"Obesidad clase III"))</f>
        <v>Sobrepeso</v>
      </c>
      <c r="V65">
        <v>109</v>
      </c>
      <c r="X65" t="s">
        <v>3463</v>
      </c>
      <c r="Y65">
        <v>1.05</v>
      </c>
      <c r="AA65">
        <v>82</v>
      </c>
      <c r="AB65" s="9">
        <f t="shared" si="1"/>
        <v>81.262792337733714</v>
      </c>
      <c r="AD65" t="s">
        <v>73</v>
      </c>
      <c r="AF65" t="s">
        <v>73</v>
      </c>
      <c r="AH65" t="s">
        <v>3463</v>
      </c>
      <c r="AI65" t="s">
        <v>3465</v>
      </c>
      <c r="AJ65" t="s">
        <v>3463</v>
      </c>
      <c r="AK65" t="s">
        <v>3463</v>
      </c>
      <c r="AL65" t="s">
        <v>3463</v>
      </c>
      <c r="AP65" t="s">
        <v>3463</v>
      </c>
      <c r="AS65" t="s">
        <v>3463</v>
      </c>
      <c r="AV65" t="s">
        <v>74</v>
      </c>
      <c r="AW65" t="s">
        <v>3915</v>
      </c>
      <c r="BA65" t="s">
        <v>3920</v>
      </c>
      <c r="BB65" t="s">
        <v>3485</v>
      </c>
      <c r="BF65" t="s">
        <v>3921</v>
      </c>
      <c r="BG65" t="s">
        <v>281</v>
      </c>
      <c r="BH65" t="s">
        <v>4035</v>
      </c>
      <c r="BI65" t="s">
        <v>76</v>
      </c>
      <c r="BN65" t="s">
        <v>94</v>
      </c>
      <c r="BP65" t="s">
        <v>4293</v>
      </c>
      <c r="BQ65" t="s">
        <v>3463</v>
      </c>
      <c r="BR65" t="s">
        <v>3465</v>
      </c>
      <c r="BS65" t="s">
        <v>3463</v>
      </c>
      <c r="BT65" t="s">
        <v>3463</v>
      </c>
      <c r="BU65" t="s">
        <v>3463</v>
      </c>
      <c r="BV65" t="s">
        <v>3463</v>
      </c>
      <c r="BW65" t="s">
        <v>3463</v>
      </c>
      <c r="BX65" t="s">
        <v>79</v>
      </c>
      <c r="BY65" t="s">
        <v>87</v>
      </c>
      <c r="BZ65" t="s">
        <v>79</v>
      </c>
      <c r="CA65" s="10">
        <v>45908</v>
      </c>
    </row>
    <row r="66" spans="1:79">
      <c r="A66">
        <v>66</v>
      </c>
      <c r="B66">
        <v>73</v>
      </c>
      <c r="C66">
        <v>32</v>
      </c>
      <c r="D66" t="s">
        <v>3462</v>
      </c>
      <c r="F66" t="s">
        <v>71</v>
      </c>
      <c r="G66" s="12" t="s">
        <v>3465</v>
      </c>
      <c r="H66" t="s">
        <v>88</v>
      </c>
      <c r="I66">
        <v>68</v>
      </c>
      <c r="K66">
        <v>128</v>
      </c>
      <c r="L66">
        <v>71</v>
      </c>
      <c r="M66" t="s">
        <v>118</v>
      </c>
      <c r="P66" t="s">
        <v>83</v>
      </c>
      <c r="Q66" t="s">
        <v>118</v>
      </c>
      <c r="R66">
        <v>98.1</v>
      </c>
      <c r="S66">
        <v>179.5</v>
      </c>
      <c r="T66" s="8">
        <f t="shared" ref="T66:T129" si="2">IFERROR(R66/(S66^2)*10000,"")</f>
        <v>30.446691133681455</v>
      </c>
      <c r="U66" s="13" t="str" cm="1">
        <f t="array" ref="U66">IF(T66="","",_xlfn.IFS(T66&lt;18.5,"Bajo peso",T66&lt;25,"Peso normal",T66&lt;30,"Sobrepeso",T66&lt;35,"Obesidad clase I",T66&lt;40,"Obesidad clase II",T66&gt;=40,"Obesidad clase III"))</f>
        <v>Obesidad clase I</v>
      </c>
      <c r="V66">
        <v>83</v>
      </c>
      <c r="X66" t="s">
        <v>3463</v>
      </c>
      <c r="Y66">
        <v>0.8</v>
      </c>
      <c r="AA66">
        <v>90</v>
      </c>
      <c r="AB66" s="9">
        <f t="shared" ref="AB66:AB129" si="3">IF(OR(C66="",D66="",Y66=""),"",142*POWER(MIN(Y66/IF(D66="Mujer",0.7,0.9),1),IF(D66="Mujer",-0.241,-0.302))*POWER(MAX(Y66/IF(D66="Mujer",0.7,0.9),1),-1.2)*POWER(0.9938,C66)*IF(D66="Mujer",1.012,1))</f>
        <v>120.5880197124408</v>
      </c>
      <c r="AD66" t="s">
        <v>73</v>
      </c>
      <c r="AF66" t="s">
        <v>73</v>
      </c>
      <c r="AH66" t="s">
        <v>3463</v>
      </c>
      <c r="AI66" t="s">
        <v>3463</v>
      </c>
      <c r="AJ66" t="s">
        <v>3463</v>
      </c>
      <c r="AK66" t="s">
        <v>3463</v>
      </c>
      <c r="AL66" t="s">
        <v>3463</v>
      </c>
      <c r="AP66" t="s">
        <v>3463</v>
      </c>
      <c r="AQ66" t="s">
        <v>169</v>
      </c>
      <c r="AR66" t="s">
        <v>3493</v>
      </c>
      <c r="AV66" t="s">
        <v>74</v>
      </c>
      <c r="AW66" t="s">
        <v>3915</v>
      </c>
      <c r="BF66" t="s">
        <v>3921</v>
      </c>
      <c r="BH66" t="s">
        <v>4020</v>
      </c>
      <c r="BP66" t="s">
        <v>4260</v>
      </c>
      <c r="BQ66" t="s">
        <v>3463</v>
      </c>
      <c r="BR66" t="s">
        <v>3465</v>
      </c>
      <c r="BS66" t="s">
        <v>3463</v>
      </c>
      <c r="BT66" t="s">
        <v>3463</v>
      </c>
      <c r="BU66" t="s">
        <v>3463</v>
      </c>
      <c r="BV66" t="s">
        <v>3463</v>
      </c>
      <c r="BW66" t="s">
        <v>3463</v>
      </c>
      <c r="BX66" t="s">
        <v>79</v>
      </c>
      <c r="BY66" t="s">
        <v>87</v>
      </c>
      <c r="BZ66" t="s">
        <v>79</v>
      </c>
      <c r="CA66" s="10">
        <v>45908</v>
      </c>
    </row>
    <row r="67" spans="1:79">
      <c r="A67">
        <v>67</v>
      </c>
      <c r="B67">
        <v>74</v>
      </c>
      <c r="C67">
        <v>27</v>
      </c>
      <c r="D67" t="s">
        <v>3462</v>
      </c>
      <c r="F67" t="s">
        <v>71</v>
      </c>
      <c r="G67" s="12" t="s">
        <v>3465</v>
      </c>
      <c r="H67" s="12" t="s">
        <v>88</v>
      </c>
      <c r="I67">
        <v>75</v>
      </c>
      <c r="J67">
        <v>72</v>
      </c>
      <c r="K67">
        <v>159</v>
      </c>
      <c r="L67">
        <v>92</v>
      </c>
      <c r="M67" t="s">
        <v>72</v>
      </c>
      <c r="N67">
        <v>157</v>
      </c>
      <c r="O67">
        <v>91</v>
      </c>
      <c r="P67" t="s">
        <v>72</v>
      </c>
      <c r="Q67" t="s">
        <v>72</v>
      </c>
      <c r="R67">
        <v>99.7</v>
      </c>
      <c r="S67">
        <v>171</v>
      </c>
      <c r="T67" s="8">
        <f t="shared" si="2"/>
        <v>34.09596115043945</v>
      </c>
      <c r="U67" s="13" t="str" cm="1">
        <f t="array" ref="U67">IF(T67="","",_xlfn.IFS(T67&lt;18.5,"Bajo peso",T67&lt;25,"Peso normal",T67&lt;30,"Sobrepeso",T67&lt;35,"Obesidad clase I",T67&lt;40,"Obesidad clase II",T67&gt;=40,"Obesidad clase III"))</f>
        <v>Obesidad clase I</v>
      </c>
      <c r="V67">
        <v>113</v>
      </c>
      <c r="X67" t="s">
        <v>3463</v>
      </c>
      <c r="Y67">
        <v>1.0900000000000001</v>
      </c>
      <c r="AA67">
        <v>90</v>
      </c>
      <c r="AB67" s="9">
        <f t="shared" si="3"/>
        <v>95.39823796802753</v>
      </c>
      <c r="AD67" t="s">
        <v>73</v>
      </c>
      <c r="AF67" t="s">
        <v>73</v>
      </c>
      <c r="AH67" t="s">
        <v>3463</v>
      </c>
      <c r="AI67" t="s">
        <v>3463</v>
      </c>
      <c r="AJ67" t="s">
        <v>3463</v>
      </c>
      <c r="AK67" t="s">
        <v>3463</v>
      </c>
      <c r="AL67" t="s">
        <v>3463</v>
      </c>
      <c r="AP67" t="s">
        <v>3463</v>
      </c>
      <c r="AQ67" t="s">
        <v>282</v>
      </c>
      <c r="AR67" t="s">
        <v>3488</v>
      </c>
      <c r="AV67" t="s">
        <v>126</v>
      </c>
      <c r="AW67" t="s">
        <v>126</v>
      </c>
      <c r="BA67" t="s">
        <v>3920</v>
      </c>
      <c r="BF67" t="s">
        <v>3921</v>
      </c>
      <c r="BG67" t="s">
        <v>283</v>
      </c>
      <c r="BH67" t="s">
        <v>4017</v>
      </c>
      <c r="BI67" t="s">
        <v>76</v>
      </c>
      <c r="BL67" t="s">
        <v>284</v>
      </c>
      <c r="BN67" t="s">
        <v>94</v>
      </c>
      <c r="BO67" t="s">
        <v>285</v>
      </c>
      <c r="BP67" t="s">
        <v>4295</v>
      </c>
      <c r="BQ67" t="s">
        <v>3463</v>
      </c>
      <c r="BR67" t="s">
        <v>3463</v>
      </c>
      <c r="BS67" t="s">
        <v>3463</v>
      </c>
      <c r="BT67" t="s">
        <v>3463</v>
      </c>
      <c r="BU67" t="s">
        <v>3463</v>
      </c>
      <c r="BV67" t="s">
        <v>3463</v>
      </c>
      <c r="BW67" t="s">
        <v>3463</v>
      </c>
      <c r="BX67" t="s">
        <v>79</v>
      </c>
      <c r="BY67" t="s">
        <v>87</v>
      </c>
      <c r="BZ67" t="s">
        <v>79</v>
      </c>
      <c r="CA67" s="10">
        <v>45908</v>
      </c>
    </row>
    <row r="68" spans="1:79">
      <c r="A68">
        <v>69</v>
      </c>
      <c r="B68">
        <v>76</v>
      </c>
      <c r="C68">
        <v>61</v>
      </c>
      <c r="D68" t="s">
        <v>3466</v>
      </c>
      <c r="E68" t="s">
        <v>81</v>
      </c>
      <c r="F68" t="s">
        <v>71</v>
      </c>
      <c r="G68" s="12" t="s">
        <v>3463</v>
      </c>
      <c r="H68" s="12"/>
      <c r="I68">
        <v>65</v>
      </c>
      <c r="K68">
        <v>133</v>
      </c>
      <c r="L68">
        <v>63</v>
      </c>
      <c r="M68" t="s">
        <v>82</v>
      </c>
      <c r="P68" t="s">
        <v>83</v>
      </c>
      <c r="Q68" t="s">
        <v>82</v>
      </c>
      <c r="R68">
        <v>59</v>
      </c>
      <c r="S68">
        <v>145</v>
      </c>
      <c r="T68" s="8">
        <f t="shared" si="2"/>
        <v>28.061831153388823</v>
      </c>
      <c r="U68" s="13" t="str" cm="1">
        <f t="array" ref="U68">IF(T68="","",_xlfn.IFS(T68&lt;18.5,"Bajo peso",T68&lt;25,"Peso normal",T68&lt;30,"Sobrepeso",T68&lt;35,"Obesidad clase I",T68&lt;40,"Obesidad clase II",T68&gt;=40,"Obesidad clase III"))</f>
        <v>Sobrepeso</v>
      </c>
      <c r="V68">
        <v>118</v>
      </c>
      <c r="X68" t="s">
        <v>3463</v>
      </c>
      <c r="Y68">
        <v>0.79</v>
      </c>
      <c r="AA68">
        <v>86</v>
      </c>
      <c r="AB68" s="9">
        <f t="shared" si="3"/>
        <v>85.049650315478502</v>
      </c>
      <c r="AD68" t="s">
        <v>73</v>
      </c>
      <c r="AF68" t="s">
        <v>73</v>
      </c>
      <c r="AH68" t="s">
        <v>3463</v>
      </c>
      <c r="AI68" t="s">
        <v>3463</v>
      </c>
      <c r="AJ68" t="s">
        <v>3463</v>
      </c>
      <c r="AK68" t="s">
        <v>3463</v>
      </c>
      <c r="AL68" t="s">
        <v>3463</v>
      </c>
      <c r="AP68" t="s">
        <v>3463</v>
      </c>
      <c r="AT68" t="s">
        <v>3465</v>
      </c>
      <c r="AU68" t="s">
        <v>80</v>
      </c>
      <c r="AV68" t="s">
        <v>74</v>
      </c>
      <c r="AW68" t="s">
        <v>3915</v>
      </c>
      <c r="AX68" t="s">
        <v>3463</v>
      </c>
      <c r="AY68" t="s">
        <v>3465</v>
      </c>
      <c r="AZ68" t="s">
        <v>90</v>
      </c>
      <c r="BF68" t="s">
        <v>3921</v>
      </c>
      <c r="BH68" t="s">
        <v>4020</v>
      </c>
      <c r="BP68" t="s">
        <v>4260</v>
      </c>
      <c r="BQ68" t="s">
        <v>3463</v>
      </c>
      <c r="BR68" t="s">
        <v>3463</v>
      </c>
      <c r="BS68" t="s">
        <v>3463</v>
      </c>
      <c r="BT68" t="s">
        <v>3463</v>
      </c>
      <c r="BU68" t="s">
        <v>3463</v>
      </c>
      <c r="BV68" t="s">
        <v>3463</v>
      </c>
      <c r="BW68" t="s">
        <v>3463</v>
      </c>
      <c r="BX68" t="s">
        <v>79</v>
      </c>
      <c r="BY68" t="s">
        <v>87</v>
      </c>
      <c r="BZ68" t="s">
        <v>79</v>
      </c>
      <c r="CA68" s="10">
        <v>45908</v>
      </c>
    </row>
    <row r="69" spans="1:79">
      <c r="A69">
        <v>70</v>
      </c>
      <c r="B69">
        <v>77</v>
      </c>
      <c r="C69">
        <v>28</v>
      </c>
      <c r="D69" t="s">
        <v>3466</v>
      </c>
      <c r="F69" t="s">
        <v>71</v>
      </c>
      <c r="G69" s="12" t="s">
        <v>3463</v>
      </c>
      <c r="I69">
        <v>73</v>
      </c>
      <c r="K69">
        <v>134</v>
      </c>
      <c r="L69">
        <v>81</v>
      </c>
      <c r="M69" t="s">
        <v>82</v>
      </c>
      <c r="P69" t="s">
        <v>83</v>
      </c>
      <c r="Q69" t="s">
        <v>82</v>
      </c>
      <c r="R69">
        <v>104.3</v>
      </c>
      <c r="S69">
        <v>163.5</v>
      </c>
      <c r="T69" s="8">
        <f t="shared" si="2"/>
        <v>39.016543687867653</v>
      </c>
      <c r="U69" s="13" t="str" cm="1">
        <f t="array" ref="U69">IF(T69="","",_xlfn.IFS(T69&lt;18.5,"Bajo peso",T69&lt;25,"Peso normal",T69&lt;30,"Sobrepeso",T69&lt;35,"Obesidad clase I",T69&lt;40,"Obesidad clase II",T69&gt;=40,"Obesidad clase III"))</f>
        <v>Obesidad clase II</v>
      </c>
      <c r="V69">
        <v>96</v>
      </c>
      <c r="X69" t="s">
        <v>3463</v>
      </c>
      <c r="Y69">
        <v>1.06</v>
      </c>
      <c r="AA69">
        <v>73</v>
      </c>
      <c r="AB69" s="9">
        <f t="shared" si="3"/>
        <v>73.382288924799283</v>
      </c>
      <c r="AD69" t="s">
        <v>73</v>
      </c>
      <c r="AF69" t="s">
        <v>73</v>
      </c>
      <c r="AH69" t="s">
        <v>3463</v>
      </c>
      <c r="AI69" t="s">
        <v>3463</v>
      </c>
      <c r="AJ69" t="s">
        <v>3463</v>
      </c>
      <c r="AK69" t="s">
        <v>3463</v>
      </c>
      <c r="AL69" t="s">
        <v>3463</v>
      </c>
      <c r="AP69" t="s">
        <v>3464</v>
      </c>
      <c r="AQ69" t="s">
        <v>169</v>
      </c>
      <c r="AR69" t="s">
        <v>3493</v>
      </c>
      <c r="AT69" t="s">
        <v>3463</v>
      </c>
      <c r="AV69" t="s">
        <v>74</v>
      </c>
      <c r="AW69" t="s">
        <v>3915</v>
      </c>
      <c r="AX69" t="s">
        <v>3463</v>
      </c>
      <c r="AY69" t="s">
        <v>3465</v>
      </c>
      <c r="AZ69" t="s">
        <v>90</v>
      </c>
      <c r="BF69" t="s">
        <v>3921</v>
      </c>
      <c r="BH69" t="s">
        <v>4020</v>
      </c>
      <c r="BP69" t="s">
        <v>4260</v>
      </c>
      <c r="BQ69" t="s">
        <v>3463</v>
      </c>
      <c r="BR69" t="s">
        <v>3463</v>
      </c>
      <c r="BS69" t="s">
        <v>3463</v>
      </c>
      <c r="BT69" t="s">
        <v>3463</v>
      </c>
      <c r="BU69" t="s">
        <v>3463</v>
      </c>
      <c r="BV69" t="s">
        <v>3463</v>
      </c>
      <c r="BW69" t="s">
        <v>3463</v>
      </c>
      <c r="BX69" t="s">
        <v>79</v>
      </c>
      <c r="BY69" t="s">
        <v>87</v>
      </c>
      <c r="BZ69" t="s">
        <v>79</v>
      </c>
      <c r="CA69" s="10">
        <v>45908</v>
      </c>
    </row>
    <row r="70" spans="1:79">
      <c r="A70">
        <v>71</v>
      </c>
      <c r="B70">
        <v>78</v>
      </c>
      <c r="C70">
        <v>35</v>
      </c>
      <c r="D70" t="s">
        <v>3466</v>
      </c>
      <c r="F70" t="s">
        <v>71</v>
      </c>
      <c r="G70" s="12" t="s">
        <v>3465</v>
      </c>
      <c r="H70" t="s">
        <v>88</v>
      </c>
      <c r="I70">
        <v>80</v>
      </c>
      <c r="J70">
        <v>84</v>
      </c>
      <c r="K70">
        <v>145</v>
      </c>
      <c r="L70">
        <v>83</v>
      </c>
      <c r="M70" t="s">
        <v>72</v>
      </c>
      <c r="N70">
        <v>129</v>
      </c>
      <c r="O70">
        <v>81</v>
      </c>
      <c r="P70" t="s">
        <v>82</v>
      </c>
      <c r="Q70" t="s">
        <v>82</v>
      </c>
      <c r="R70">
        <v>103.5</v>
      </c>
      <c r="S70">
        <v>169</v>
      </c>
      <c r="T70" s="8">
        <f t="shared" si="2"/>
        <v>36.238226952837785</v>
      </c>
      <c r="U70" s="13" t="str" cm="1">
        <f t="array" ref="U70">IF(T70="","",_xlfn.IFS(T70&lt;18.5,"Bajo peso",T70&lt;25,"Peso normal",T70&lt;30,"Sobrepeso",T70&lt;35,"Obesidad clase I",T70&lt;40,"Obesidad clase II",T70&gt;=40,"Obesidad clase III"))</f>
        <v>Obesidad clase II</v>
      </c>
      <c r="V70">
        <v>86</v>
      </c>
      <c r="X70" t="s">
        <v>3463</v>
      </c>
      <c r="Y70">
        <v>1.1599999999999999</v>
      </c>
      <c r="AA70">
        <v>63</v>
      </c>
      <c r="AB70" s="9">
        <f t="shared" si="3"/>
        <v>63.052404375635462</v>
      </c>
      <c r="AD70" t="s">
        <v>73</v>
      </c>
      <c r="AF70" t="s">
        <v>73</v>
      </c>
      <c r="AH70" t="s">
        <v>3464</v>
      </c>
      <c r="AI70" t="s">
        <v>3463</v>
      </c>
      <c r="AJ70" t="s">
        <v>3463</v>
      </c>
      <c r="AK70" t="s">
        <v>3463</v>
      </c>
      <c r="AL70" t="s">
        <v>3465</v>
      </c>
      <c r="AM70" t="s">
        <v>286</v>
      </c>
      <c r="AN70" t="s">
        <v>3619</v>
      </c>
      <c r="AP70" t="s">
        <v>3463</v>
      </c>
      <c r="AQ70" t="s">
        <v>287</v>
      </c>
      <c r="AR70" t="s">
        <v>3491</v>
      </c>
      <c r="AT70" t="s">
        <v>3463</v>
      </c>
      <c r="AV70" t="s">
        <v>74</v>
      </c>
      <c r="AW70" t="s">
        <v>3915</v>
      </c>
      <c r="AX70" t="s">
        <v>3463</v>
      </c>
      <c r="AY70" t="s">
        <v>3465</v>
      </c>
      <c r="AZ70" t="s">
        <v>288</v>
      </c>
      <c r="BF70" t="s">
        <v>3921</v>
      </c>
      <c r="BH70" t="s">
        <v>4020</v>
      </c>
      <c r="BP70" t="s">
        <v>4260</v>
      </c>
      <c r="BQ70" t="s">
        <v>3463</v>
      </c>
      <c r="BR70" t="s">
        <v>3465</v>
      </c>
      <c r="BS70" t="s">
        <v>3465</v>
      </c>
      <c r="BT70" t="s">
        <v>3465</v>
      </c>
      <c r="BU70" t="s">
        <v>3463</v>
      </c>
      <c r="BV70" t="s">
        <v>3463</v>
      </c>
      <c r="BW70" t="s">
        <v>3463</v>
      </c>
      <c r="BX70" t="s">
        <v>79</v>
      </c>
      <c r="BY70" t="s">
        <v>87</v>
      </c>
      <c r="BZ70" t="s">
        <v>79</v>
      </c>
      <c r="CA70" s="10">
        <v>45908</v>
      </c>
    </row>
    <row r="71" spans="1:79">
      <c r="A71">
        <v>72</v>
      </c>
      <c r="B71">
        <v>79</v>
      </c>
      <c r="C71">
        <v>63</v>
      </c>
      <c r="D71" t="s">
        <v>3462</v>
      </c>
      <c r="E71" t="s">
        <v>122</v>
      </c>
      <c r="F71" t="s">
        <v>71</v>
      </c>
      <c r="G71" s="12" t="s">
        <v>3463</v>
      </c>
      <c r="I71">
        <v>71</v>
      </c>
      <c r="J71">
        <v>68</v>
      </c>
      <c r="K71">
        <v>171</v>
      </c>
      <c r="L71">
        <v>101</v>
      </c>
      <c r="M71" t="s">
        <v>72</v>
      </c>
      <c r="N71">
        <v>175</v>
      </c>
      <c r="O71">
        <v>105</v>
      </c>
      <c r="P71" t="s">
        <v>72</v>
      </c>
      <c r="Q71" t="s">
        <v>72</v>
      </c>
      <c r="R71">
        <v>87</v>
      </c>
      <c r="S71">
        <v>169</v>
      </c>
      <c r="T71" s="8">
        <f t="shared" si="2"/>
        <v>30.461118308182485</v>
      </c>
      <c r="U71" s="13" t="str" cm="1">
        <f t="array" ref="U71">IF(T71="","",_xlfn.IFS(T71&lt;18.5,"Bajo peso",T71&lt;25,"Peso normal",T71&lt;30,"Sobrepeso",T71&lt;35,"Obesidad clase I",T71&lt;40,"Obesidad clase II",T71&gt;=40,"Obesidad clase III"))</f>
        <v>Obesidad clase I</v>
      </c>
      <c r="V71">
        <v>110</v>
      </c>
      <c r="X71" t="s">
        <v>3463</v>
      </c>
      <c r="Y71">
        <v>1.24</v>
      </c>
      <c r="AA71">
        <v>66</v>
      </c>
      <c r="AB71" s="9">
        <f t="shared" si="3"/>
        <v>65.329578370824834</v>
      </c>
      <c r="AD71" t="s">
        <v>73</v>
      </c>
      <c r="AF71" t="s">
        <v>73</v>
      </c>
      <c r="AH71" t="s">
        <v>3463</v>
      </c>
      <c r="AI71" t="s">
        <v>3463</v>
      </c>
      <c r="AJ71" t="s">
        <v>3463</v>
      </c>
      <c r="AK71" t="s">
        <v>3463</v>
      </c>
      <c r="AL71" t="s">
        <v>3465</v>
      </c>
      <c r="AM71" t="s">
        <v>289</v>
      </c>
      <c r="AN71" t="s">
        <v>3620</v>
      </c>
      <c r="AP71" t="s">
        <v>3463</v>
      </c>
      <c r="AV71" t="s">
        <v>74</v>
      </c>
      <c r="AW71" t="s">
        <v>3915</v>
      </c>
      <c r="BE71" t="s">
        <v>290</v>
      </c>
      <c r="BF71" t="s">
        <v>3620</v>
      </c>
      <c r="BG71" t="s">
        <v>291</v>
      </c>
      <c r="BH71" t="s">
        <v>4022</v>
      </c>
      <c r="BI71" t="s">
        <v>76</v>
      </c>
      <c r="BJ71" t="s">
        <v>86</v>
      </c>
      <c r="BP71" t="s">
        <v>4297</v>
      </c>
      <c r="BQ71" t="s">
        <v>3463</v>
      </c>
      <c r="BR71" t="s">
        <v>3465</v>
      </c>
      <c r="BS71" t="s">
        <v>3465</v>
      </c>
      <c r="BT71" t="s">
        <v>3465</v>
      </c>
      <c r="BU71" t="s">
        <v>3463</v>
      </c>
      <c r="BV71" t="s">
        <v>3463</v>
      </c>
      <c r="BW71" t="s">
        <v>3463</v>
      </c>
      <c r="BX71" t="s">
        <v>79</v>
      </c>
      <c r="BY71" t="s">
        <v>87</v>
      </c>
      <c r="BZ71" t="s">
        <v>79</v>
      </c>
      <c r="CA71" s="10">
        <v>45908</v>
      </c>
    </row>
    <row r="72" spans="1:79">
      <c r="A72">
        <v>73</v>
      </c>
      <c r="B72">
        <v>80</v>
      </c>
      <c r="C72">
        <v>65</v>
      </c>
      <c r="D72" t="s">
        <v>3462</v>
      </c>
      <c r="F72" t="s">
        <v>71</v>
      </c>
      <c r="G72" s="12" t="s">
        <v>3463</v>
      </c>
      <c r="H72" s="12"/>
      <c r="I72">
        <v>78</v>
      </c>
      <c r="J72">
        <v>70</v>
      </c>
      <c r="K72">
        <v>153</v>
      </c>
      <c r="L72">
        <v>91</v>
      </c>
      <c r="M72" t="s">
        <v>72</v>
      </c>
      <c r="N72">
        <v>157</v>
      </c>
      <c r="O72">
        <v>94</v>
      </c>
      <c r="P72" t="s">
        <v>72</v>
      </c>
      <c r="Q72" t="s">
        <v>72</v>
      </c>
      <c r="R72">
        <v>113.4</v>
      </c>
      <c r="S72">
        <v>173.5</v>
      </c>
      <c r="T72" s="8">
        <f t="shared" si="2"/>
        <v>37.671602621066533</v>
      </c>
      <c r="U72" s="13" t="str" cm="1">
        <f t="array" ref="U72">IF(T72="","",_xlfn.IFS(T72&lt;18.5,"Bajo peso",T72&lt;25,"Peso normal",T72&lt;30,"Sobrepeso",T72&lt;35,"Obesidad clase I",T72&lt;40,"Obesidad clase II",T72&gt;=40,"Obesidad clase III"))</f>
        <v>Obesidad clase II</v>
      </c>
      <c r="V72">
        <v>267</v>
      </c>
      <c r="X72" t="s">
        <v>3465</v>
      </c>
      <c r="Y72">
        <v>0.85</v>
      </c>
      <c r="AA72">
        <v>90</v>
      </c>
      <c r="AB72" s="9">
        <f t="shared" si="3"/>
        <v>96.431644546096834</v>
      </c>
      <c r="AD72" t="s">
        <v>73</v>
      </c>
      <c r="AF72" t="s">
        <v>73</v>
      </c>
      <c r="AG72" t="s">
        <v>3465</v>
      </c>
      <c r="AH72" t="s">
        <v>3465</v>
      </c>
      <c r="AI72" t="s">
        <v>3465</v>
      </c>
      <c r="AJ72" t="s">
        <v>3465</v>
      </c>
      <c r="AK72" t="s">
        <v>3463</v>
      </c>
      <c r="AL72" t="s">
        <v>3465</v>
      </c>
      <c r="AM72" t="s">
        <v>292</v>
      </c>
      <c r="AN72" t="s">
        <v>3621</v>
      </c>
      <c r="AP72" t="s">
        <v>3463</v>
      </c>
      <c r="AS72" t="s">
        <v>3465</v>
      </c>
      <c r="AV72" t="s">
        <v>74</v>
      </c>
      <c r="AW72" t="s">
        <v>3915</v>
      </c>
      <c r="BA72" t="s">
        <v>3920</v>
      </c>
      <c r="BB72" t="s">
        <v>3485</v>
      </c>
      <c r="BF72" t="s">
        <v>3921</v>
      </c>
      <c r="BG72" t="s">
        <v>293</v>
      </c>
      <c r="BH72" t="s">
        <v>4041</v>
      </c>
      <c r="BN72" t="s">
        <v>140</v>
      </c>
      <c r="BO72" t="s">
        <v>294</v>
      </c>
      <c r="BP72" t="s">
        <v>4298</v>
      </c>
      <c r="BQ72" t="s">
        <v>3463</v>
      </c>
      <c r="BR72" t="s">
        <v>3463</v>
      </c>
      <c r="BS72" t="s">
        <v>3463</v>
      </c>
      <c r="BT72" t="s">
        <v>3463</v>
      </c>
      <c r="BU72" t="s">
        <v>3465</v>
      </c>
      <c r="BV72" t="s">
        <v>3465</v>
      </c>
      <c r="BW72" t="s">
        <v>3465</v>
      </c>
      <c r="BX72" t="s">
        <v>79</v>
      </c>
      <c r="BY72" t="s">
        <v>87</v>
      </c>
      <c r="BZ72" t="s">
        <v>79</v>
      </c>
      <c r="CA72" s="10">
        <v>45908</v>
      </c>
    </row>
    <row r="73" spans="1:79">
      <c r="A73">
        <v>74</v>
      </c>
      <c r="B73">
        <v>81</v>
      </c>
      <c r="C73">
        <v>60</v>
      </c>
      <c r="D73" t="s">
        <v>3466</v>
      </c>
      <c r="F73" t="s">
        <v>71</v>
      </c>
      <c r="G73" s="12" t="s">
        <v>3465</v>
      </c>
      <c r="H73" t="s">
        <v>88</v>
      </c>
      <c r="I73">
        <v>71</v>
      </c>
      <c r="J73">
        <v>68</v>
      </c>
      <c r="K73">
        <v>140</v>
      </c>
      <c r="L73">
        <v>72</v>
      </c>
      <c r="M73" t="s">
        <v>72</v>
      </c>
      <c r="N73">
        <v>133</v>
      </c>
      <c r="O73">
        <v>73</v>
      </c>
      <c r="P73" t="s">
        <v>82</v>
      </c>
      <c r="Q73" t="s">
        <v>82</v>
      </c>
      <c r="R73">
        <v>78</v>
      </c>
      <c r="S73">
        <v>156.5</v>
      </c>
      <c r="T73" s="8">
        <f t="shared" si="2"/>
        <v>31.846808684379752</v>
      </c>
      <c r="U73" s="13" t="str" cm="1">
        <f t="array" ref="U73">IF(T73="","",_xlfn.IFS(T73&lt;18.5,"Bajo peso",T73&lt;25,"Peso normal",T73&lt;30,"Sobrepeso",T73&lt;35,"Obesidad clase I",T73&lt;40,"Obesidad clase II",T73&gt;=40,"Obesidad clase III"))</f>
        <v>Obesidad clase I</v>
      </c>
      <c r="V73">
        <v>89</v>
      </c>
      <c r="X73" t="s">
        <v>3463</v>
      </c>
      <c r="Y73">
        <v>0.88</v>
      </c>
      <c r="AA73">
        <v>75</v>
      </c>
      <c r="AB73" s="9">
        <f t="shared" si="3"/>
        <v>75.187707441245877</v>
      </c>
      <c r="AD73" t="s">
        <v>73</v>
      </c>
      <c r="AF73" t="s">
        <v>73</v>
      </c>
      <c r="AH73" t="s">
        <v>3463</v>
      </c>
      <c r="AI73" t="s">
        <v>3463</v>
      </c>
      <c r="AJ73" t="s">
        <v>3463</v>
      </c>
      <c r="AK73" t="s">
        <v>3463</v>
      </c>
      <c r="AL73" t="s">
        <v>3463</v>
      </c>
      <c r="AP73" t="s">
        <v>3463</v>
      </c>
      <c r="AT73" t="s">
        <v>3465</v>
      </c>
      <c r="AU73" t="s">
        <v>125</v>
      </c>
      <c r="AV73" t="s">
        <v>112</v>
      </c>
      <c r="AW73" t="s">
        <v>3917</v>
      </c>
      <c r="AX73" t="s">
        <v>3463</v>
      </c>
      <c r="AY73" t="s">
        <v>3465</v>
      </c>
      <c r="AZ73" t="s">
        <v>90</v>
      </c>
      <c r="BF73" t="s">
        <v>3921</v>
      </c>
      <c r="BH73" t="s">
        <v>4020</v>
      </c>
      <c r="BP73" t="s">
        <v>4260</v>
      </c>
      <c r="BQ73" t="s">
        <v>3463</v>
      </c>
      <c r="BR73" t="s">
        <v>3463</v>
      </c>
      <c r="BS73" t="s">
        <v>3463</v>
      </c>
      <c r="BT73" t="s">
        <v>3463</v>
      </c>
      <c r="BU73" t="s">
        <v>3463</v>
      </c>
      <c r="BV73" t="s">
        <v>3463</v>
      </c>
      <c r="BW73" t="s">
        <v>3463</v>
      </c>
      <c r="BX73" t="s">
        <v>79</v>
      </c>
      <c r="BY73" t="s">
        <v>87</v>
      </c>
      <c r="BZ73" t="s">
        <v>79</v>
      </c>
      <c r="CA73" s="10">
        <v>45908</v>
      </c>
    </row>
    <row r="74" spans="1:79">
      <c r="A74">
        <v>75</v>
      </c>
      <c r="B74">
        <v>82</v>
      </c>
      <c r="C74">
        <v>28</v>
      </c>
      <c r="D74" t="s">
        <v>3462</v>
      </c>
      <c r="E74" t="s">
        <v>81</v>
      </c>
      <c r="F74" t="s">
        <v>71</v>
      </c>
      <c r="G74" s="12" t="s">
        <v>3465</v>
      </c>
      <c r="H74" t="s">
        <v>88</v>
      </c>
      <c r="I74">
        <v>66</v>
      </c>
      <c r="K74">
        <v>128</v>
      </c>
      <c r="L74">
        <v>82</v>
      </c>
      <c r="M74" t="s">
        <v>82</v>
      </c>
      <c r="P74" t="s">
        <v>83</v>
      </c>
      <c r="Q74" t="s">
        <v>82</v>
      </c>
      <c r="R74">
        <v>96.1</v>
      </c>
      <c r="S74">
        <v>168</v>
      </c>
      <c r="T74" s="8">
        <f t="shared" si="2"/>
        <v>34.049036281179134</v>
      </c>
      <c r="U74" s="13" t="str" cm="1">
        <f t="array" ref="U74">IF(T74="","",_xlfn.IFS(T74&lt;18.5,"Bajo peso",T74&lt;25,"Peso normal",T74&lt;30,"Sobrepeso",T74&lt;35,"Obesidad clase I",T74&lt;40,"Obesidad clase II",T74&gt;=40,"Obesidad clase III"))</f>
        <v>Obesidad clase I</v>
      </c>
      <c r="V74">
        <v>86</v>
      </c>
      <c r="X74" t="s">
        <v>3463</v>
      </c>
      <c r="Y74">
        <v>1.26</v>
      </c>
      <c r="AA74">
        <v>80</v>
      </c>
      <c r="AB74" s="9">
        <f t="shared" si="3"/>
        <v>79.672141197775034</v>
      </c>
      <c r="AD74" t="s">
        <v>73</v>
      </c>
      <c r="AF74" t="s">
        <v>73</v>
      </c>
      <c r="AH74" t="s">
        <v>3463</v>
      </c>
      <c r="AI74" t="s">
        <v>3463</v>
      </c>
      <c r="AJ74" t="s">
        <v>3463</v>
      </c>
      <c r="AK74" t="s">
        <v>3463</v>
      </c>
      <c r="AL74" t="s">
        <v>3463</v>
      </c>
      <c r="AP74" t="s">
        <v>3464</v>
      </c>
      <c r="AV74" t="s">
        <v>74</v>
      </c>
      <c r="AW74" t="s">
        <v>3915</v>
      </c>
      <c r="BF74" t="s">
        <v>3921</v>
      </c>
      <c r="BH74" t="s">
        <v>4020</v>
      </c>
      <c r="BP74" t="s">
        <v>4260</v>
      </c>
      <c r="BQ74" t="s">
        <v>3463</v>
      </c>
      <c r="BR74" t="s">
        <v>3465</v>
      </c>
      <c r="BS74" t="s">
        <v>3465</v>
      </c>
      <c r="BT74" t="s">
        <v>3465</v>
      </c>
      <c r="BU74" t="s">
        <v>3463</v>
      </c>
      <c r="BV74" t="s">
        <v>3463</v>
      </c>
      <c r="BW74" t="s">
        <v>3463</v>
      </c>
      <c r="BX74" t="s">
        <v>79</v>
      </c>
      <c r="BY74" t="s">
        <v>87</v>
      </c>
      <c r="BZ74" t="s">
        <v>79</v>
      </c>
      <c r="CA74" s="10">
        <v>45908</v>
      </c>
    </row>
    <row r="75" spans="1:79">
      <c r="A75">
        <v>76</v>
      </c>
      <c r="B75">
        <v>83</v>
      </c>
      <c r="C75">
        <v>53</v>
      </c>
      <c r="D75" t="s">
        <v>3462</v>
      </c>
      <c r="F75" t="s">
        <v>295</v>
      </c>
      <c r="G75" s="12" t="s">
        <v>3463</v>
      </c>
      <c r="H75" s="12"/>
      <c r="I75">
        <v>87</v>
      </c>
      <c r="J75">
        <v>83</v>
      </c>
      <c r="K75">
        <v>177</v>
      </c>
      <c r="L75">
        <v>85</v>
      </c>
      <c r="M75" t="s">
        <v>72</v>
      </c>
      <c r="N75">
        <v>145</v>
      </c>
      <c r="O75">
        <v>85</v>
      </c>
      <c r="P75" t="s">
        <v>72</v>
      </c>
      <c r="Q75" t="s">
        <v>72</v>
      </c>
      <c r="R75">
        <v>97</v>
      </c>
      <c r="S75">
        <v>168.5</v>
      </c>
      <c r="T75" s="8">
        <f t="shared" si="2"/>
        <v>34.164252568922862</v>
      </c>
      <c r="U75" s="13" t="str" cm="1">
        <f t="array" ref="U75">IF(T75="","",_xlfn.IFS(T75&lt;18.5,"Bajo peso",T75&lt;25,"Peso normal",T75&lt;30,"Sobrepeso",T75&lt;35,"Obesidad clase I",T75&lt;40,"Obesidad clase II",T75&gt;=40,"Obesidad clase III"))</f>
        <v>Obesidad clase I</v>
      </c>
      <c r="V75">
        <v>264</v>
      </c>
      <c r="X75" t="s">
        <v>3465</v>
      </c>
      <c r="Y75">
        <v>1.08</v>
      </c>
      <c r="AA75">
        <v>83</v>
      </c>
      <c r="AB75" s="9">
        <f t="shared" si="3"/>
        <v>82.057342308120596</v>
      </c>
      <c r="AD75" t="s">
        <v>73</v>
      </c>
      <c r="AF75" t="s">
        <v>73</v>
      </c>
      <c r="AG75" t="s">
        <v>3465</v>
      </c>
      <c r="AH75" t="s">
        <v>3465</v>
      </c>
      <c r="AI75" t="s">
        <v>3463</v>
      </c>
      <c r="AJ75" t="s">
        <v>3463</v>
      </c>
      <c r="AK75" t="s">
        <v>3463</v>
      </c>
      <c r="AL75" t="s">
        <v>3463</v>
      </c>
      <c r="AP75" t="s">
        <v>3463</v>
      </c>
      <c r="AQ75" t="s">
        <v>296</v>
      </c>
      <c r="AR75" t="s">
        <v>3493</v>
      </c>
      <c r="AV75" t="s">
        <v>126</v>
      </c>
      <c r="AW75" t="s">
        <v>126</v>
      </c>
      <c r="BA75" t="s">
        <v>3920</v>
      </c>
      <c r="BB75" t="s">
        <v>3485</v>
      </c>
      <c r="BC75" t="s">
        <v>128</v>
      </c>
      <c r="BE75" t="s">
        <v>153</v>
      </c>
      <c r="BF75" t="s">
        <v>153</v>
      </c>
      <c r="BG75" t="s">
        <v>297</v>
      </c>
      <c r="BH75" t="s">
        <v>4021</v>
      </c>
      <c r="BI75" t="s">
        <v>298</v>
      </c>
      <c r="BJ75" t="s">
        <v>86</v>
      </c>
      <c r="BN75" t="s">
        <v>299</v>
      </c>
      <c r="BO75" t="s">
        <v>174</v>
      </c>
      <c r="BP75" t="s">
        <v>4299</v>
      </c>
      <c r="BQ75" t="s">
        <v>3465</v>
      </c>
      <c r="BR75" t="s">
        <v>3465</v>
      </c>
      <c r="BS75" t="s">
        <v>3463</v>
      </c>
      <c r="BT75" t="s">
        <v>3463</v>
      </c>
      <c r="BU75" t="s">
        <v>3463</v>
      </c>
      <c r="BV75" t="s">
        <v>3463</v>
      </c>
      <c r="BW75" t="s">
        <v>3463</v>
      </c>
      <c r="BX75" t="s">
        <v>79</v>
      </c>
      <c r="BY75" t="s">
        <v>87</v>
      </c>
      <c r="BZ75" t="s">
        <v>79</v>
      </c>
      <c r="CA75" s="10">
        <v>45908</v>
      </c>
    </row>
    <row r="76" spans="1:79">
      <c r="A76">
        <v>77</v>
      </c>
      <c r="B76">
        <v>84</v>
      </c>
      <c r="C76">
        <v>28</v>
      </c>
      <c r="D76" t="s">
        <v>3462</v>
      </c>
      <c r="F76" t="s">
        <v>71</v>
      </c>
      <c r="G76" s="12" t="s">
        <v>3463</v>
      </c>
      <c r="H76" s="12"/>
      <c r="I76">
        <v>59</v>
      </c>
      <c r="J76">
        <v>66</v>
      </c>
      <c r="K76">
        <v>142</v>
      </c>
      <c r="L76">
        <v>82</v>
      </c>
      <c r="M76" t="s">
        <v>72</v>
      </c>
      <c r="N76">
        <v>129</v>
      </c>
      <c r="O76">
        <v>84</v>
      </c>
      <c r="P76" t="s">
        <v>82</v>
      </c>
      <c r="Q76" t="s">
        <v>82</v>
      </c>
      <c r="R76">
        <v>82.5</v>
      </c>
      <c r="S76">
        <v>174</v>
      </c>
      <c r="T76" s="8">
        <f t="shared" si="2"/>
        <v>27.249306381292115</v>
      </c>
      <c r="U76" s="13" t="str" cm="1">
        <f t="array" ref="U76">IF(T76="","",_xlfn.IFS(T76&lt;18.5,"Bajo peso",T76&lt;25,"Peso normal",T76&lt;30,"Sobrepeso",T76&lt;35,"Obesidad clase I",T76&lt;40,"Obesidad clase II",T76&gt;=40,"Obesidad clase III"))</f>
        <v>Sobrepeso</v>
      </c>
      <c r="V76">
        <v>113</v>
      </c>
      <c r="X76" t="s">
        <v>3463</v>
      </c>
      <c r="Y76">
        <v>1.22</v>
      </c>
      <c r="AA76">
        <v>83</v>
      </c>
      <c r="AB76" s="9">
        <f t="shared" si="3"/>
        <v>82.816971776067263</v>
      </c>
      <c r="AD76" t="s">
        <v>73</v>
      </c>
      <c r="AF76" t="s">
        <v>73</v>
      </c>
      <c r="AH76" t="s">
        <v>3463</v>
      </c>
      <c r="AI76" t="s">
        <v>3463</v>
      </c>
      <c r="AJ76" t="s">
        <v>3463</v>
      </c>
      <c r="AK76" t="s">
        <v>3463</v>
      </c>
      <c r="AL76" t="s">
        <v>3463</v>
      </c>
      <c r="AP76" t="s">
        <v>3463</v>
      </c>
      <c r="AV76" t="s">
        <v>74</v>
      </c>
      <c r="AW76" t="s">
        <v>3915</v>
      </c>
      <c r="BF76" t="s">
        <v>3921</v>
      </c>
      <c r="BH76" t="s">
        <v>4020</v>
      </c>
      <c r="BP76" t="s">
        <v>4260</v>
      </c>
      <c r="BQ76" t="s">
        <v>3463</v>
      </c>
      <c r="BR76" t="s">
        <v>3463</v>
      </c>
      <c r="BS76" t="s">
        <v>3463</v>
      </c>
      <c r="BT76" t="s">
        <v>3463</v>
      </c>
      <c r="BU76" t="s">
        <v>3463</v>
      </c>
      <c r="BV76" t="s">
        <v>3463</v>
      </c>
      <c r="BW76" t="s">
        <v>3463</v>
      </c>
      <c r="BX76" t="s">
        <v>79</v>
      </c>
      <c r="BY76" t="s">
        <v>87</v>
      </c>
      <c r="BZ76" t="s">
        <v>79</v>
      </c>
      <c r="CA76" s="10">
        <v>45908</v>
      </c>
    </row>
    <row r="77" spans="1:79">
      <c r="A77">
        <v>78</v>
      </c>
      <c r="B77">
        <v>85</v>
      </c>
      <c r="C77">
        <v>56</v>
      </c>
      <c r="D77" t="s">
        <v>3462</v>
      </c>
      <c r="E77" t="s">
        <v>300</v>
      </c>
      <c r="F77" t="s">
        <v>71</v>
      </c>
      <c r="G77" s="12" t="s">
        <v>3465</v>
      </c>
      <c r="H77" t="s">
        <v>88</v>
      </c>
      <c r="I77">
        <v>56</v>
      </c>
      <c r="K77">
        <v>124</v>
      </c>
      <c r="L77">
        <v>77</v>
      </c>
      <c r="M77" t="s">
        <v>118</v>
      </c>
      <c r="P77" t="s">
        <v>83</v>
      </c>
      <c r="Q77" t="s">
        <v>118</v>
      </c>
      <c r="R77">
        <v>80</v>
      </c>
      <c r="S77">
        <v>165.5</v>
      </c>
      <c r="T77" s="8">
        <f t="shared" si="2"/>
        <v>29.207473462272159</v>
      </c>
      <c r="U77" s="13" t="str" cm="1">
        <f t="array" ref="U77">IF(T77="","",_xlfn.IFS(T77&lt;18.5,"Bajo peso",T77&lt;25,"Peso normal",T77&lt;30,"Sobrepeso",T77&lt;35,"Obesidad clase I",T77&lt;40,"Obesidad clase II",T77&gt;=40,"Obesidad clase III"))</f>
        <v>Sobrepeso</v>
      </c>
      <c r="V77">
        <v>100</v>
      </c>
      <c r="X77" t="s">
        <v>3463</v>
      </c>
      <c r="Y77">
        <v>1.32</v>
      </c>
      <c r="AA77">
        <v>63</v>
      </c>
      <c r="AB77" s="9">
        <f t="shared" si="3"/>
        <v>63.304446105347125</v>
      </c>
      <c r="AD77" t="s">
        <v>73</v>
      </c>
      <c r="AF77" t="s">
        <v>73</v>
      </c>
      <c r="AH77" t="s">
        <v>3463</v>
      </c>
      <c r="AI77" t="s">
        <v>3463</v>
      </c>
      <c r="AJ77" t="s">
        <v>3463</v>
      </c>
      <c r="AK77" t="s">
        <v>3463</v>
      </c>
      <c r="AL77" t="s">
        <v>3465</v>
      </c>
      <c r="AM77" t="s">
        <v>301</v>
      </c>
      <c r="AN77" t="s">
        <v>3617</v>
      </c>
      <c r="AP77" t="s">
        <v>3463</v>
      </c>
      <c r="AQ77" t="s">
        <v>169</v>
      </c>
      <c r="AR77" t="s">
        <v>3493</v>
      </c>
      <c r="AV77" t="s">
        <v>126</v>
      </c>
      <c r="AW77" t="s">
        <v>126</v>
      </c>
      <c r="BF77" t="s">
        <v>3921</v>
      </c>
      <c r="BH77" t="s">
        <v>4020</v>
      </c>
      <c r="BP77" t="s">
        <v>4260</v>
      </c>
      <c r="BQ77" t="s">
        <v>3463</v>
      </c>
      <c r="BR77" t="s">
        <v>3463</v>
      </c>
      <c r="BS77" t="s">
        <v>3463</v>
      </c>
      <c r="BT77" t="s">
        <v>3463</v>
      </c>
      <c r="BU77" t="s">
        <v>3463</v>
      </c>
      <c r="BV77" t="s">
        <v>3463</v>
      </c>
      <c r="BW77" t="s">
        <v>3463</v>
      </c>
      <c r="BX77" t="s">
        <v>79</v>
      </c>
      <c r="BY77" t="s">
        <v>87</v>
      </c>
      <c r="BZ77" t="s">
        <v>79</v>
      </c>
      <c r="CA77" s="10">
        <v>45908</v>
      </c>
    </row>
    <row r="78" spans="1:79">
      <c r="A78">
        <v>79</v>
      </c>
      <c r="B78">
        <v>86</v>
      </c>
      <c r="C78">
        <v>43</v>
      </c>
      <c r="D78" t="s">
        <v>3466</v>
      </c>
      <c r="F78" t="s">
        <v>71</v>
      </c>
      <c r="G78" s="12" t="s">
        <v>3463</v>
      </c>
      <c r="I78">
        <v>70</v>
      </c>
      <c r="J78">
        <v>66</v>
      </c>
      <c r="K78">
        <v>150</v>
      </c>
      <c r="L78">
        <v>87</v>
      </c>
      <c r="M78" t="s">
        <v>72</v>
      </c>
      <c r="N78">
        <v>126</v>
      </c>
      <c r="O78">
        <v>82</v>
      </c>
      <c r="P78" t="s">
        <v>82</v>
      </c>
      <c r="Q78" t="s">
        <v>82</v>
      </c>
      <c r="R78">
        <v>77.7</v>
      </c>
      <c r="S78">
        <v>166.5</v>
      </c>
      <c r="T78" s="8">
        <f t="shared" si="2"/>
        <v>28.028028028028029</v>
      </c>
      <c r="U78" s="13" t="str" cm="1">
        <f t="array" ref="U78">IF(T78="","",_xlfn.IFS(T78&lt;18.5,"Bajo peso",T78&lt;25,"Peso normal",T78&lt;30,"Sobrepeso",T78&lt;35,"Obesidad clase I",T78&lt;40,"Obesidad clase II",T78&gt;=40,"Obesidad clase III"))</f>
        <v>Sobrepeso</v>
      </c>
      <c r="V78">
        <v>80</v>
      </c>
      <c r="X78" t="s">
        <v>3463</v>
      </c>
      <c r="Y78">
        <v>9</v>
      </c>
      <c r="AA78">
        <v>81</v>
      </c>
      <c r="AB78" s="9">
        <f t="shared" si="3"/>
        <v>5.1327742934013791</v>
      </c>
      <c r="AD78" t="s">
        <v>73</v>
      </c>
      <c r="AF78" t="s">
        <v>73</v>
      </c>
      <c r="AH78" t="s">
        <v>3463</v>
      </c>
      <c r="AI78" t="s">
        <v>3465</v>
      </c>
      <c r="AJ78" t="s">
        <v>3463</v>
      </c>
      <c r="AK78" t="s">
        <v>3463</v>
      </c>
      <c r="AL78" t="s">
        <v>3463</v>
      </c>
      <c r="AO78" t="s">
        <v>3465</v>
      </c>
      <c r="AP78" t="s">
        <v>3465</v>
      </c>
      <c r="AQ78" t="s">
        <v>302</v>
      </c>
      <c r="AR78" t="s">
        <v>3503</v>
      </c>
      <c r="AS78" t="s">
        <v>3463</v>
      </c>
      <c r="AT78" t="s">
        <v>3465</v>
      </c>
      <c r="AU78" t="s">
        <v>80</v>
      </c>
      <c r="AV78" t="s">
        <v>126</v>
      </c>
      <c r="AW78" t="s">
        <v>126</v>
      </c>
      <c r="AX78" t="s">
        <v>3463</v>
      </c>
      <c r="AY78" t="s">
        <v>3465</v>
      </c>
      <c r="AZ78" t="s">
        <v>90</v>
      </c>
      <c r="BF78" t="s">
        <v>3921</v>
      </c>
      <c r="BH78" t="s">
        <v>4020</v>
      </c>
      <c r="BP78" t="s">
        <v>4260</v>
      </c>
      <c r="BQ78" t="s">
        <v>3463</v>
      </c>
      <c r="BR78" t="s">
        <v>3465</v>
      </c>
      <c r="BS78" t="s">
        <v>3465</v>
      </c>
      <c r="BT78" t="s">
        <v>3465</v>
      </c>
      <c r="BU78" t="s">
        <v>3463</v>
      </c>
      <c r="BV78" t="s">
        <v>3463</v>
      </c>
      <c r="BW78" t="s">
        <v>3463</v>
      </c>
      <c r="BX78" t="s">
        <v>79</v>
      </c>
      <c r="BY78" t="s">
        <v>87</v>
      </c>
      <c r="BZ78" t="s">
        <v>79</v>
      </c>
      <c r="CA78" s="10">
        <v>45908</v>
      </c>
    </row>
    <row r="79" spans="1:79">
      <c r="A79">
        <v>80</v>
      </c>
      <c r="B79">
        <v>87</v>
      </c>
      <c r="C79">
        <v>51</v>
      </c>
      <c r="D79" t="s">
        <v>3462</v>
      </c>
      <c r="F79" t="s">
        <v>295</v>
      </c>
      <c r="G79" s="12" t="s">
        <v>3465</v>
      </c>
      <c r="H79" s="12" t="s">
        <v>88</v>
      </c>
      <c r="I79">
        <v>66</v>
      </c>
      <c r="K79">
        <v>137</v>
      </c>
      <c r="L79">
        <v>94</v>
      </c>
      <c r="M79" t="s">
        <v>72</v>
      </c>
      <c r="P79" t="s">
        <v>83</v>
      </c>
      <c r="Q79" t="s">
        <v>72</v>
      </c>
      <c r="R79">
        <v>86.1</v>
      </c>
      <c r="S79">
        <v>188.5</v>
      </c>
      <c r="T79" s="8">
        <f t="shared" si="2"/>
        <v>24.231507996256919</v>
      </c>
      <c r="U79" s="13" t="str" cm="1">
        <f t="array" ref="U79">IF(T79="","",_xlfn.IFS(T79&lt;18.5,"Bajo peso",T79&lt;25,"Peso normal",T79&lt;30,"Sobrepeso",T79&lt;35,"Obesidad clase I",T79&lt;40,"Obesidad clase II",T79&gt;=40,"Obesidad clase III"))</f>
        <v>Peso normal</v>
      </c>
      <c r="V79">
        <v>179</v>
      </c>
      <c r="X79" t="s">
        <v>3463</v>
      </c>
      <c r="Y79">
        <v>0.3</v>
      </c>
      <c r="AA79">
        <v>90</v>
      </c>
      <c r="AB79" s="9">
        <f t="shared" si="3"/>
        <v>144.08792136176407</v>
      </c>
      <c r="AD79" t="s">
        <v>73</v>
      </c>
      <c r="AF79" t="s">
        <v>73</v>
      </c>
      <c r="AG79" t="s">
        <v>3463</v>
      </c>
      <c r="AH79" t="s">
        <v>3465</v>
      </c>
      <c r="AI79" t="s">
        <v>3463</v>
      </c>
      <c r="AJ79" t="s">
        <v>3463</v>
      </c>
      <c r="AK79" t="s">
        <v>3463</v>
      </c>
      <c r="AL79" t="s">
        <v>3463</v>
      </c>
      <c r="AP79" t="s">
        <v>3463</v>
      </c>
      <c r="AQ79" t="s">
        <v>169</v>
      </c>
      <c r="AR79" t="s">
        <v>3493</v>
      </c>
      <c r="AV79" t="s">
        <v>126</v>
      </c>
      <c r="AW79" t="s">
        <v>126</v>
      </c>
      <c r="BF79" t="s">
        <v>3921</v>
      </c>
      <c r="BH79" t="s">
        <v>4020</v>
      </c>
      <c r="BP79" t="s">
        <v>4260</v>
      </c>
      <c r="BQ79" t="s">
        <v>3463</v>
      </c>
      <c r="BR79" t="s">
        <v>3465</v>
      </c>
      <c r="BS79" t="s">
        <v>3465</v>
      </c>
      <c r="BT79" t="s">
        <v>3465</v>
      </c>
      <c r="BU79" t="s">
        <v>3463</v>
      </c>
      <c r="BV79" t="s">
        <v>3463</v>
      </c>
      <c r="BW79" t="s">
        <v>3463</v>
      </c>
      <c r="BX79" t="s">
        <v>79</v>
      </c>
      <c r="BY79" t="s">
        <v>87</v>
      </c>
      <c r="BZ79" t="s">
        <v>79</v>
      </c>
      <c r="CA79" s="10">
        <v>45908</v>
      </c>
    </row>
    <row r="80" spans="1:79">
      <c r="A80">
        <v>81</v>
      </c>
      <c r="B80">
        <v>88</v>
      </c>
      <c r="C80">
        <v>61</v>
      </c>
      <c r="D80" t="s">
        <v>3462</v>
      </c>
      <c r="E80" t="s">
        <v>81</v>
      </c>
      <c r="F80" t="s">
        <v>71</v>
      </c>
      <c r="G80" s="12" t="s">
        <v>3463</v>
      </c>
      <c r="I80">
        <v>64</v>
      </c>
      <c r="K80">
        <v>126</v>
      </c>
      <c r="L80">
        <v>83</v>
      </c>
      <c r="M80" t="s">
        <v>82</v>
      </c>
      <c r="P80" t="s">
        <v>83</v>
      </c>
      <c r="Q80" t="s">
        <v>82</v>
      </c>
      <c r="R80">
        <v>69.5</v>
      </c>
      <c r="S80">
        <v>157.5</v>
      </c>
      <c r="T80" s="8">
        <f t="shared" si="2"/>
        <v>28.017132779037542</v>
      </c>
      <c r="U80" s="13" t="str" cm="1">
        <f t="array" ref="U80">IF(T80="","",_xlfn.IFS(T80&lt;18.5,"Bajo peso",T80&lt;25,"Peso normal",T80&lt;30,"Sobrepeso",T80&lt;35,"Obesidad clase I",T80&lt;40,"Obesidad clase II",T80&gt;=40,"Obesidad clase III"))</f>
        <v>Sobrepeso</v>
      </c>
      <c r="V80">
        <v>90</v>
      </c>
      <c r="X80" t="s">
        <v>3463</v>
      </c>
      <c r="Y80">
        <v>1.35</v>
      </c>
      <c r="AA80">
        <v>60</v>
      </c>
      <c r="AB80" s="9">
        <f t="shared" si="3"/>
        <v>59.73341859375644</v>
      </c>
      <c r="AD80" t="s">
        <v>73</v>
      </c>
      <c r="AF80" t="s">
        <v>73</v>
      </c>
      <c r="AW80" t="s">
        <v>3916</v>
      </c>
      <c r="BF80" t="s">
        <v>3921</v>
      </c>
      <c r="BH80" t="s">
        <v>4020</v>
      </c>
      <c r="BP80" t="s">
        <v>4260</v>
      </c>
      <c r="BQ80" t="s">
        <v>3463</v>
      </c>
      <c r="BR80" t="s">
        <v>3463</v>
      </c>
      <c r="BX80" t="s">
        <v>79</v>
      </c>
      <c r="BY80" t="s">
        <v>87</v>
      </c>
      <c r="BZ80" t="s">
        <v>79</v>
      </c>
      <c r="CA80" s="10">
        <v>45908</v>
      </c>
    </row>
    <row r="81" spans="1:79">
      <c r="A81">
        <v>82</v>
      </c>
      <c r="B81">
        <v>89</v>
      </c>
      <c r="C81">
        <v>38</v>
      </c>
      <c r="D81" t="s">
        <v>3466</v>
      </c>
      <c r="F81" t="s">
        <v>71</v>
      </c>
      <c r="G81" s="12" t="s">
        <v>3465</v>
      </c>
      <c r="H81" s="12" t="s">
        <v>88</v>
      </c>
      <c r="I81">
        <v>81</v>
      </c>
      <c r="J81">
        <v>75</v>
      </c>
      <c r="K81">
        <v>150</v>
      </c>
      <c r="L81">
        <v>86</v>
      </c>
      <c r="M81" t="s">
        <v>72</v>
      </c>
      <c r="N81">
        <v>137</v>
      </c>
      <c r="O81">
        <v>78</v>
      </c>
      <c r="P81" t="s">
        <v>82</v>
      </c>
      <c r="Q81" t="s">
        <v>82</v>
      </c>
      <c r="R81">
        <v>82.8</v>
      </c>
      <c r="S81">
        <v>155</v>
      </c>
      <c r="T81" s="8">
        <f t="shared" si="2"/>
        <v>34.464099895941729</v>
      </c>
      <c r="U81" s="13" t="str" cm="1">
        <f t="array" ref="U81">IF(T81="","",_xlfn.IFS(T81&lt;18.5,"Bajo peso",T81&lt;25,"Peso normal",T81&lt;30,"Sobrepeso",T81&lt;35,"Obesidad clase I",T81&lt;40,"Obesidad clase II",T81&gt;=40,"Obesidad clase III"))</f>
        <v>Obesidad clase I</v>
      </c>
      <c r="V81">
        <v>117</v>
      </c>
      <c r="X81" t="s">
        <v>3463</v>
      </c>
      <c r="Y81">
        <v>0.96</v>
      </c>
      <c r="AA81">
        <v>77</v>
      </c>
      <c r="AB81" s="9">
        <f t="shared" si="3"/>
        <v>77.664533296546466</v>
      </c>
      <c r="AD81" t="s">
        <v>73</v>
      </c>
      <c r="AF81" t="s">
        <v>73</v>
      </c>
      <c r="AW81" t="s">
        <v>3916</v>
      </c>
      <c r="BF81" t="s">
        <v>3921</v>
      </c>
      <c r="BH81" t="s">
        <v>4020</v>
      </c>
      <c r="BP81" t="s">
        <v>4260</v>
      </c>
      <c r="BQ81" t="s">
        <v>3463</v>
      </c>
      <c r="BR81" t="s">
        <v>3463</v>
      </c>
      <c r="BX81" t="s">
        <v>79</v>
      </c>
      <c r="BY81" t="s">
        <v>87</v>
      </c>
      <c r="BZ81" t="s">
        <v>79</v>
      </c>
      <c r="CA81" s="10">
        <v>45908</v>
      </c>
    </row>
    <row r="82" spans="1:79">
      <c r="A82">
        <v>83</v>
      </c>
      <c r="B82">
        <v>90</v>
      </c>
      <c r="C82">
        <v>71</v>
      </c>
      <c r="D82" t="s">
        <v>3462</v>
      </c>
      <c r="E82" t="s">
        <v>122</v>
      </c>
      <c r="F82" t="s">
        <v>71</v>
      </c>
      <c r="G82" s="12" t="s">
        <v>3465</v>
      </c>
      <c r="H82" t="s">
        <v>88</v>
      </c>
      <c r="I82">
        <v>100</v>
      </c>
      <c r="J82">
        <v>89</v>
      </c>
      <c r="K82">
        <v>157</v>
      </c>
      <c r="L82">
        <v>91</v>
      </c>
      <c r="M82" t="s">
        <v>72</v>
      </c>
      <c r="N82">
        <v>164</v>
      </c>
      <c r="O82">
        <v>83</v>
      </c>
      <c r="P82" t="s">
        <v>72</v>
      </c>
      <c r="Q82" t="s">
        <v>72</v>
      </c>
      <c r="R82">
        <v>104</v>
      </c>
      <c r="S82">
        <v>167</v>
      </c>
      <c r="T82" s="8">
        <f t="shared" si="2"/>
        <v>37.290688084908027</v>
      </c>
      <c r="U82" s="13" t="str" cm="1">
        <f t="array" ref="U82">IF(T82="","",_xlfn.IFS(T82&lt;18.5,"Bajo peso",T82&lt;25,"Peso normal",T82&lt;30,"Sobrepeso",T82&lt;35,"Obesidad clase I",T82&lt;40,"Obesidad clase II",T82&gt;=40,"Obesidad clase III"))</f>
        <v>Obesidad clase II</v>
      </c>
      <c r="V82">
        <v>136</v>
      </c>
      <c r="W82">
        <v>159</v>
      </c>
      <c r="X82" t="s">
        <v>3463</v>
      </c>
      <c r="Y82">
        <v>2.62</v>
      </c>
      <c r="Z82">
        <v>2.58</v>
      </c>
      <c r="AA82">
        <v>25</v>
      </c>
      <c r="AB82" s="9">
        <f t="shared" si="3"/>
        <v>25.330646092509596</v>
      </c>
      <c r="AC82">
        <v>26</v>
      </c>
      <c r="AD82" t="s">
        <v>303</v>
      </c>
      <c r="AE82" t="s">
        <v>303</v>
      </c>
      <c r="AF82" t="s">
        <v>303</v>
      </c>
      <c r="AH82" t="s">
        <v>3463</v>
      </c>
      <c r="AI82" t="s">
        <v>3465</v>
      </c>
      <c r="AJ82" t="s">
        <v>3463</v>
      </c>
      <c r="AK82" t="s">
        <v>3463</v>
      </c>
      <c r="AL82" t="s">
        <v>3465</v>
      </c>
      <c r="AM82" t="s">
        <v>304</v>
      </c>
      <c r="AN82" t="s">
        <v>3622</v>
      </c>
      <c r="AP82" t="s">
        <v>3463</v>
      </c>
      <c r="AQ82" t="s">
        <v>148</v>
      </c>
      <c r="AR82" t="s">
        <v>3491</v>
      </c>
      <c r="AS82" t="s">
        <v>3465</v>
      </c>
      <c r="AV82" t="s">
        <v>74</v>
      </c>
      <c r="AW82" t="s">
        <v>3915</v>
      </c>
      <c r="BA82" t="s">
        <v>3920</v>
      </c>
      <c r="BB82" t="s">
        <v>3485</v>
      </c>
      <c r="BC82" t="s">
        <v>128</v>
      </c>
      <c r="BD82" t="s">
        <v>105</v>
      </c>
      <c r="BF82" t="s">
        <v>3921</v>
      </c>
      <c r="BH82" t="s">
        <v>4020</v>
      </c>
      <c r="BP82" t="s">
        <v>4260</v>
      </c>
      <c r="BQ82" t="s">
        <v>3463</v>
      </c>
      <c r="BR82" t="s">
        <v>3465</v>
      </c>
      <c r="BS82" t="s">
        <v>3463</v>
      </c>
      <c r="BT82" t="s">
        <v>3463</v>
      </c>
      <c r="BU82" t="s">
        <v>3463</v>
      </c>
      <c r="BV82" t="s">
        <v>3463</v>
      </c>
      <c r="BW82" t="s">
        <v>3463</v>
      </c>
      <c r="BX82" t="s">
        <v>79</v>
      </c>
      <c r="BY82" t="s">
        <v>87</v>
      </c>
      <c r="BZ82" t="s">
        <v>79</v>
      </c>
      <c r="CA82" s="10">
        <v>45908</v>
      </c>
    </row>
    <row r="83" spans="1:79">
      <c r="A83">
        <v>84</v>
      </c>
      <c r="B83">
        <v>91</v>
      </c>
      <c r="C83">
        <v>41</v>
      </c>
      <c r="D83" t="s">
        <v>3466</v>
      </c>
      <c r="F83" t="s">
        <v>168</v>
      </c>
      <c r="G83" s="12" t="s">
        <v>3463</v>
      </c>
      <c r="H83" s="12"/>
      <c r="I83">
        <v>90</v>
      </c>
      <c r="K83">
        <v>142</v>
      </c>
      <c r="L83">
        <v>96</v>
      </c>
      <c r="M83" t="s">
        <v>72</v>
      </c>
      <c r="P83" t="s">
        <v>83</v>
      </c>
      <c r="Q83" t="s">
        <v>72</v>
      </c>
      <c r="R83">
        <v>66</v>
      </c>
      <c r="S83">
        <v>153</v>
      </c>
      <c r="T83" s="8">
        <f t="shared" si="2"/>
        <v>28.19428424964757</v>
      </c>
      <c r="U83" s="13" t="str" cm="1">
        <f t="array" ref="U83">IF(T83="","",_xlfn.IFS(T83&lt;18.5,"Bajo peso",T83&lt;25,"Peso normal",T83&lt;30,"Sobrepeso",T83&lt;35,"Obesidad clase I",T83&lt;40,"Obesidad clase II",T83&gt;=40,"Obesidad clase III"))</f>
        <v>Sobrepeso</v>
      </c>
      <c r="V83">
        <v>96</v>
      </c>
      <c r="X83" t="s">
        <v>3463</v>
      </c>
      <c r="Y83">
        <v>1.1299999999999999</v>
      </c>
      <c r="AA83">
        <v>62</v>
      </c>
      <c r="AB83" s="9">
        <f t="shared" si="3"/>
        <v>62.683185893037717</v>
      </c>
      <c r="AD83" t="s">
        <v>73</v>
      </c>
      <c r="AF83" t="s">
        <v>73</v>
      </c>
      <c r="AH83" t="s">
        <v>3463</v>
      </c>
      <c r="AI83" t="s">
        <v>3463</v>
      </c>
      <c r="AJ83" t="s">
        <v>3463</v>
      </c>
      <c r="AK83" t="s">
        <v>3463</v>
      </c>
      <c r="AL83" t="s">
        <v>3465</v>
      </c>
      <c r="AM83" t="s">
        <v>183</v>
      </c>
      <c r="AN83" t="s">
        <v>3609</v>
      </c>
      <c r="AP83" t="s">
        <v>3463</v>
      </c>
      <c r="AQ83" t="s">
        <v>305</v>
      </c>
      <c r="AR83" t="s">
        <v>3491</v>
      </c>
      <c r="AT83" t="s">
        <v>3463</v>
      </c>
      <c r="AV83" t="s">
        <v>126</v>
      </c>
      <c r="AW83" t="s">
        <v>126</v>
      </c>
      <c r="AX83" t="s">
        <v>3463</v>
      </c>
      <c r="AY83" t="s">
        <v>3463</v>
      </c>
      <c r="BF83" t="s">
        <v>3921</v>
      </c>
      <c r="BH83" t="s">
        <v>4020</v>
      </c>
      <c r="BP83" t="s">
        <v>4260</v>
      </c>
      <c r="BQ83" t="s">
        <v>3463</v>
      </c>
      <c r="BR83" t="s">
        <v>3465</v>
      </c>
      <c r="BS83" t="s">
        <v>3465</v>
      </c>
      <c r="BT83" t="s">
        <v>3465</v>
      </c>
      <c r="BU83" t="s">
        <v>3463</v>
      </c>
      <c r="BV83" t="s">
        <v>3463</v>
      </c>
      <c r="BW83" t="s">
        <v>3463</v>
      </c>
      <c r="BX83" t="s">
        <v>79</v>
      </c>
      <c r="BY83" t="s">
        <v>87</v>
      </c>
      <c r="BZ83" t="s">
        <v>79</v>
      </c>
      <c r="CA83" s="10">
        <v>45908</v>
      </c>
    </row>
    <row r="84" spans="1:79">
      <c r="A84">
        <v>85</v>
      </c>
      <c r="B84">
        <v>92</v>
      </c>
      <c r="C84">
        <v>40</v>
      </c>
      <c r="D84" t="s">
        <v>3462</v>
      </c>
      <c r="F84" t="s">
        <v>71</v>
      </c>
      <c r="G84" s="12" t="s">
        <v>3463</v>
      </c>
      <c r="H84" s="12"/>
      <c r="I84">
        <v>58</v>
      </c>
      <c r="K84">
        <v>135</v>
      </c>
      <c r="L84">
        <v>70</v>
      </c>
      <c r="M84" t="s">
        <v>82</v>
      </c>
      <c r="P84" t="s">
        <v>83</v>
      </c>
      <c r="Q84" t="s">
        <v>82</v>
      </c>
      <c r="R84">
        <v>77.2</v>
      </c>
      <c r="S84">
        <v>176</v>
      </c>
      <c r="T84" s="8">
        <f t="shared" si="2"/>
        <v>24.922520661157026</v>
      </c>
      <c r="U84" s="13" t="str" cm="1">
        <f t="array" ref="U84">IF(T84="","",_xlfn.IFS(T84&lt;18.5,"Bajo peso",T84&lt;25,"Peso normal",T84&lt;30,"Sobrepeso",T84&lt;35,"Obesidad clase I",T84&lt;40,"Obesidad clase II",T84&gt;=40,"Obesidad clase III"))</f>
        <v>Peso normal</v>
      </c>
      <c r="V84">
        <v>89</v>
      </c>
      <c r="X84" t="s">
        <v>3463</v>
      </c>
      <c r="Y84">
        <v>1.38</v>
      </c>
      <c r="AA84">
        <v>66</v>
      </c>
      <c r="AB84" s="9">
        <f t="shared" si="3"/>
        <v>66.295514960715323</v>
      </c>
      <c r="AD84" t="s">
        <v>73</v>
      </c>
      <c r="AF84" t="s">
        <v>73</v>
      </c>
      <c r="AH84" t="s">
        <v>3463</v>
      </c>
      <c r="AI84" t="s">
        <v>3463</v>
      </c>
      <c r="AJ84" t="s">
        <v>3463</v>
      </c>
      <c r="AK84" t="s">
        <v>3463</v>
      </c>
      <c r="AL84" t="s">
        <v>3463</v>
      </c>
      <c r="AP84" t="s">
        <v>3463</v>
      </c>
      <c r="AQ84" t="s">
        <v>169</v>
      </c>
      <c r="AR84" t="s">
        <v>3493</v>
      </c>
      <c r="AS84" t="s">
        <v>3463</v>
      </c>
      <c r="AV84" t="s">
        <v>74</v>
      </c>
      <c r="AW84" t="s">
        <v>3915</v>
      </c>
      <c r="BF84" t="s">
        <v>3921</v>
      </c>
      <c r="BH84" t="s">
        <v>4020</v>
      </c>
      <c r="BP84" t="s">
        <v>4260</v>
      </c>
      <c r="BQ84" t="s">
        <v>3465</v>
      </c>
      <c r="BR84" t="s">
        <v>3465</v>
      </c>
      <c r="BS84" t="s">
        <v>3465</v>
      </c>
      <c r="BT84" t="s">
        <v>3465</v>
      </c>
      <c r="BU84" t="s">
        <v>3463</v>
      </c>
      <c r="BV84" t="s">
        <v>3463</v>
      </c>
      <c r="BW84" t="s">
        <v>3463</v>
      </c>
      <c r="BX84" t="s">
        <v>79</v>
      </c>
      <c r="BY84" t="s">
        <v>87</v>
      </c>
      <c r="BZ84" t="s">
        <v>79</v>
      </c>
      <c r="CA84" s="10">
        <v>45908</v>
      </c>
    </row>
    <row r="85" spans="1:79">
      <c r="A85">
        <v>86</v>
      </c>
      <c r="B85">
        <v>93</v>
      </c>
      <c r="C85">
        <v>50</v>
      </c>
      <c r="D85" t="s">
        <v>3462</v>
      </c>
      <c r="E85" t="s">
        <v>306</v>
      </c>
      <c r="F85" t="s">
        <v>71</v>
      </c>
      <c r="G85" s="12" t="s">
        <v>3463</v>
      </c>
      <c r="I85">
        <v>75</v>
      </c>
      <c r="K85">
        <v>129</v>
      </c>
      <c r="L85">
        <v>85</v>
      </c>
      <c r="M85" t="s">
        <v>82</v>
      </c>
      <c r="P85" t="s">
        <v>83</v>
      </c>
      <c r="Q85" t="s">
        <v>82</v>
      </c>
      <c r="R85">
        <v>93.5</v>
      </c>
      <c r="S85">
        <v>172</v>
      </c>
      <c r="T85" s="8">
        <f t="shared" si="2"/>
        <v>31.60492157923202</v>
      </c>
      <c r="U85" s="13" t="str" cm="1">
        <f t="array" ref="U85">IF(T85="","",_xlfn.IFS(T85&lt;18.5,"Bajo peso",T85&lt;25,"Peso normal",T85&lt;30,"Sobrepeso",T85&lt;35,"Obesidad clase I",T85&lt;40,"Obesidad clase II",T85&gt;=40,"Obesidad clase III"))</f>
        <v>Obesidad clase I</v>
      </c>
      <c r="V85">
        <v>270</v>
      </c>
      <c r="X85" t="s">
        <v>3465</v>
      </c>
      <c r="Y85">
        <v>0.87</v>
      </c>
      <c r="AA85">
        <v>90</v>
      </c>
      <c r="AB85" s="9">
        <f t="shared" si="3"/>
        <v>105.11976671534505</v>
      </c>
      <c r="AD85" t="s">
        <v>73</v>
      </c>
      <c r="AF85" t="s">
        <v>73</v>
      </c>
      <c r="AG85" t="s">
        <v>3465</v>
      </c>
      <c r="AH85" t="s">
        <v>3465</v>
      </c>
      <c r="AI85" t="s">
        <v>3465</v>
      </c>
      <c r="AJ85" t="s">
        <v>3463</v>
      </c>
      <c r="AK85" t="s">
        <v>3463</v>
      </c>
      <c r="AL85" t="s">
        <v>3463</v>
      </c>
      <c r="AP85" t="s">
        <v>3463</v>
      </c>
      <c r="AQ85" t="s">
        <v>307</v>
      </c>
      <c r="AR85" t="s">
        <v>3493</v>
      </c>
      <c r="AS85" t="s">
        <v>3464</v>
      </c>
      <c r="AV85" t="s">
        <v>74</v>
      </c>
      <c r="AW85" t="s">
        <v>3915</v>
      </c>
      <c r="BF85" t="s">
        <v>3921</v>
      </c>
      <c r="BH85" t="s">
        <v>4020</v>
      </c>
      <c r="BP85" t="s">
        <v>4260</v>
      </c>
      <c r="BQ85" t="s">
        <v>3463</v>
      </c>
      <c r="BR85" t="s">
        <v>3465</v>
      </c>
      <c r="BS85" t="s">
        <v>3463</v>
      </c>
      <c r="BT85" t="s">
        <v>3463</v>
      </c>
      <c r="BU85" t="s">
        <v>3463</v>
      </c>
      <c r="BV85" t="s">
        <v>3463</v>
      </c>
      <c r="BW85" t="s">
        <v>3463</v>
      </c>
      <c r="BX85" t="s">
        <v>79</v>
      </c>
      <c r="BY85" t="s">
        <v>87</v>
      </c>
      <c r="BZ85" t="s">
        <v>79</v>
      </c>
      <c r="CA85" s="10">
        <v>45908</v>
      </c>
    </row>
    <row r="86" spans="1:79">
      <c r="A86">
        <v>87</v>
      </c>
      <c r="B86">
        <v>94</v>
      </c>
      <c r="C86">
        <v>35</v>
      </c>
      <c r="D86" t="s">
        <v>3462</v>
      </c>
      <c r="F86" t="s">
        <v>71</v>
      </c>
      <c r="G86" s="12" t="s">
        <v>3463</v>
      </c>
      <c r="I86">
        <v>46</v>
      </c>
      <c r="K86">
        <v>149</v>
      </c>
      <c r="L86">
        <v>71</v>
      </c>
      <c r="M86" t="s">
        <v>72</v>
      </c>
      <c r="P86" t="s">
        <v>83</v>
      </c>
      <c r="Q86" t="s">
        <v>72</v>
      </c>
      <c r="R86">
        <v>82</v>
      </c>
      <c r="S86">
        <v>177</v>
      </c>
      <c r="T86" s="8">
        <f t="shared" si="2"/>
        <v>26.173832551310287</v>
      </c>
      <c r="U86" s="13" t="str" cm="1">
        <f t="array" ref="U86">IF(T86="","",_xlfn.IFS(T86&lt;18.5,"Bajo peso",T86&lt;25,"Peso normal",T86&lt;30,"Sobrepeso",T86&lt;35,"Obesidad clase I",T86&lt;40,"Obesidad clase II",T86&gt;=40,"Obesidad clase III"))</f>
        <v>Sobrepeso</v>
      </c>
      <c r="V86">
        <v>109</v>
      </c>
      <c r="X86" t="s">
        <v>3463</v>
      </c>
      <c r="Y86">
        <v>1.5</v>
      </c>
      <c r="AA86">
        <v>62</v>
      </c>
      <c r="AB86" s="9">
        <f t="shared" si="3"/>
        <v>61.877759358967587</v>
      </c>
      <c r="AD86" t="s">
        <v>73</v>
      </c>
      <c r="AF86" t="s">
        <v>73</v>
      </c>
      <c r="AH86" t="s">
        <v>3463</v>
      </c>
      <c r="AI86" t="s">
        <v>3463</v>
      </c>
      <c r="AJ86" t="s">
        <v>3463</v>
      </c>
      <c r="AK86" t="s">
        <v>3463</v>
      </c>
      <c r="AL86" t="s">
        <v>3463</v>
      </c>
      <c r="AP86" t="s">
        <v>3463</v>
      </c>
      <c r="AQ86" t="s">
        <v>308</v>
      </c>
      <c r="AR86" t="s">
        <v>3490</v>
      </c>
      <c r="AV86" t="s">
        <v>74</v>
      </c>
      <c r="AW86" t="s">
        <v>3915</v>
      </c>
      <c r="BA86" t="s">
        <v>3920</v>
      </c>
      <c r="BF86" t="s">
        <v>3921</v>
      </c>
      <c r="BG86" t="s">
        <v>309</v>
      </c>
      <c r="BH86" t="s">
        <v>4045</v>
      </c>
      <c r="BI86" t="s">
        <v>76</v>
      </c>
      <c r="BN86" t="s">
        <v>140</v>
      </c>
      <c r="BP86" t="s">
        <v>4282</v>
      </c>
      <c r="BQ86" t="s">
        <v>3465</v>
      </c>
      <c r="BR86" t="s">
        <v>3465</v>
      </c>
      <c r="BS86" t="s">
        <v>3463</v>
      </c>
      <c r="BT86" t="s">
        <v>3463</v>
      </c>
      <c r="BU86" t="s">
        <v>3463</v>
      </c>
      <c r="BV86" t="s">
        <v>3463</v>
      </c>
      <c r="BX86" t="s">
        <v>79</v>
      </c>
      <c r="BY86" t="s">
        <v>87</v>
      </c>
      <c r="BZ86" t="s">
        <v>79</v>
      </c>
      <c r="CA86" s="10">
        <v>45908</v>
      </c>
    </row>
    <row r="87" spans="1:79">
      <c r="A87">
        <v>88</v>
      </c>
      <c r="B87">
        <v>95</v>
      </c>
      <c r="C87">
        <v>41</v>
      </c>
      <c r="D87" t="s">
        <v>3466</v>
      </c>
      <c r="E87" t="s">
        <v>310</v>
      </c>
      <c r="F87" t="s">
        <v>71</v>
      </c>
      <c r="G87" s="12" t="s">
        <v>3465</v>
      </c>
      <c r="H87" t="s">
        <v>88</v>
      </c>
      <c r="I87">
        <v>80</v>
      </c>
      <c r="J87">
        <v>75</v>
      </c>
      <c r="K87">
        <v>173</v>
      </c>
      <c r="L87">
        <v>108</v>
      </c>
      <c r="M87" t="s">
        <v>72</v>
      </c>
      <c r="N87">
        <v>158</v>
      </c>
      <c r="O87">
        <v>102</v>
      </c>
      <c r="P87" t="s">
        <v>72</v>
      </c>
      <c r="Q87" t="s">
        <v>72</v>
      </c>
      <c r="R87">
        <v>73.099999999999994</v>
      </c>
      <c r="S87">
        <v>171</v>
      </c>
      <c r="T87" s="8">
        <f t="shared" si="2"/>
        <v>24.999145036079476</v>
      </c>
      <c r="U87" s="13" t="str" cm="1">
        <f t="array" ref="U87">IF(T87="","",_xlfn.IFS(T87&lt;18.5,"Bajo peso",T87&lt;25,"Peso normal",T87&lt;30,"Sobrepeso",T87&lt;35,"Obesidad clase I",T87&lt;40,"Obesidad clase II",T87&gt;=40,"Obesidad clase III"))</f>
        <v>Peso normal</v>
      </c>
      <c r="V87">
        <v>100</v>
      </c>
      <c r="X87" t="s">
        <v>3463</v>
      </c>
      <c r="Y87">
        <v>0.95</v>
      </c>
      <c r="AA87">
        <v>77</v>
      </c>
      <c r="AB87" s="9">
        <f t="shared" si="3"/>
        <v>77.192812983975145</v>
      </c>
      <c r="AD87" t="s">
        <v>73</v>
      </c>
      <c r="AF87" t="s">
        <v>73</v>
      </c>
      <c r="AH87" t="s">
        <v>3463</v>
      </c>
      <c r="AI87" t="s">
        <v>3463</v>
      </c>
      <c r="AJ87" t="s">
        <v>3463</v>
      </c>
      <c r="AK87" t="s">
        <v>3465</v>
      </c>
      <c r="AL87" t="s">
        <v>3463</v>
      </c>
      <c r="AP87" t="s">
        <v>3463</v>
      </c>
      <c r="AQ87" t="s">
        <v>311</v>
      </c>
      <c r="AR87" t="s">
        <v>3495</v>
      </c>
      <c r="AT87" t="s">
        <v>3465</v>
      </c>
      <c r="AU87" t="s">
        <v>80</v>
      </c>
      <c r="AV87" t="s">
        <v>74</v>
      </c>
      <c r="AW87" t="s">
        <v>3915</v>
      </c>
      <c r="AX87" t="s">
        <v>3463</v>
      </c>
      <c r="AY87" t="s">
        <v>3465</v>
      </c>
      <c r="AZ87" t="s">
        <v>90</v>
      </c>
      <c r="BA87" t="s">
        <v>3920</v>
      </c>
      <c r="BF87" t="s">
        <v>3921</v>
      </c>
      <c r="BG87" t="s">
        <v>312</v>
      </c>
      <c r="BH87" t="s">
        <v>4051</v>
      </c>
      <c r="BI87" t="s">
        <v>76</v>
      </c>
      <c r="BN87" t="s">
        <v>94</v>
      </c>
      <c r="BP87" t="s">
        <v>4270</v>
      </c>
      <c r="BQ87" t="s">
        <v>3463</v>
      </c>
      <c r="BR87" t="s">
        <v>3465</v>
      </c>
      <c r="BS87" t="s">
        <v>3465</v>
      </c>
      <c r="BT87" t="s">
        <v>3465</v>
      </c>
      <c r="BU87" t="s">
        <v>3463</v>
      </c>
      <c r="BV87" t="s">
        <v>3463</v>
      </c>
      <c r="BW87" t="s">
        <v>3463</v>
      </c>
      <c r="CA87" s="10">
        <v>45908</v>
      </c>
    </row>
    <row r="88" spans="1:79">
      <c r="A88">
        <v>89</v>
      </c>
      <c r="B88">
        <v>96</v>
      </c>
      <c r="C88">
        <v>52</v>
      </c>
      <c r="D88" t="s">
        <v>3462</v>
      </c>
      <c r="F88" t="s">
        <v>71</v>
      </c>
      <c r="G88" s="12" t="s">
        <v>3463</v>
      </c>
      <c r="I88">
        <v>72</v>
      </c>
      <c r="J88">
        <v>72</v>
      </c>
      <c r="K88">
        <v>179</v>
      </c>
      <c r="L88">
        <v>113</v>
      </c>
      <c r="M88" t="s">
        <v>72</v>
      </c>
      <c r="N88">
        <v>159</v>
      </c>
      <c r="O88">
        <v>104</v>
      </c>
      <c r="P88" t="s">
        <v>72</v>
      </c>
      <c r="Q88" t="s">
        <v>72</v>
      </c>
      <c r="R88">
        <v>105.5</v>
      </c>
      <c r="S88">
        <v>172.5</v>
      </c>
      <c r="T88" s="8">
        <f t="shared" si="2"/>
        <v>35.45473639991598</v>
      </c>
      <c r="U88" s="13" t="str" cm="1">
        <f t="array" ref="U88">IF(T88="","",_xlfn.IFS(T88&lt;18.5,"Bajo peso",T88&lt;25,"Peso normal",T88&lt;30,"Sobrepeso",T88&lt;35,"Obesidad clase I",T88&lt;40,"Obesidad clase II",T88&gt;=40,"Obesidad clase III"))</f>
        <v>Obesidad clase II</v>
      </c>
      <c r="V88">
        <v>118</v>
      </c>
      <c r="X88" t="s">
        <v>3463</v>
      </c>
      <c r="Y88">
        <v>1.68</v>
      </c>
      <c r="AA88">
        <v>48</v>
      </c>
      <c r="AB88" s="9">
        <f t="shared" si="3"/>
        <v>48.590998436226108</v>
      </c>
      <c r="AD88" t="s">
        <v>158</v>
      </c>
      <c r="AF88" t="s">
        <v>158</v>
      </c>
      <c r="AH88" t="s">
        <v>3463</v>
      </c>
      <c r="AI88" t="s">
        <v>3465</v>
      </c>
      <c r="AJ88" t="s">
        <v>3463</v>
      </c>
      <c r="AK88" t="s">
        <v>3463</v>
      </c>
      <c r="AL88" t="s">
        <v>3463</v>
      </c>
      <c r="AP88" t="s">
        <v>3463</v>
      </c>
      <c r="AS88" t="s">
        <v>3463</v>
      </c>
      <c r="AV88" t="s">
        <v>74</v>
      </c>
      <c r="AW88" t="s">
        <v>3915</v>
      </c>
      <c r="BA88" t="s">
        <v>3920</v>
      </c>
      <c r="BD88" t="s">
        <v>105</v>
      </c>
      <c r="BF88" t="s">
        <v>3921</v>
      </c>
      <c r="BG88" t="s">
        <v>313</v>
      </c>
      <c r="BH88" t="s">
        <v>4052</v>
      </c>
      <c r="BI88" t="s">
        <v>314</v>
      </c>
      <c r="BK88" t="s">
        <v>315</v>
      </c>
      <c r="BN88" t="s">
        <v>225</v>
      </c>
      <c r="BO88" t="s">
        <v>316</v>
      </c>
      <c r="BP88" t="s">
        <v>4300</v>
      </c>
      <c r="BQ88" t="s">
        <v>3463</v>
      </c>
      <c r="BR88" t="s">
        <v>3465</v>
      </c>
      <c r="BS88" t="s">
        <v>3465</v>
      </c>
      <c r="BT88" t="s">
        <v>3465</v>
      </c>
      <c r="BU88" t="s">
        <v>3463</v>
      </c>
      <c r="BV88" t="s">
        <v>3463</v>
      </c>
      <c r="BW88" t="s">
        <v>3463</v>
      </c>
      <c r="BX88" t="s">
        <v>79</v>
      </c>
      <c r="BY88" t="s">
        <v>87</v>
      </c>
      <c r="BZ88" t="s">
        <v>79</v>
      </c>
      <c r="CA88" s="10">
        <v>45908</v>
      </c>
    </row>
    <row r="89" spans="1:79">
      <c r="A89">
        <v>90</v>
      </c>
      <c r="B89">
        <v>97</v>
      </c>
      <c r="C89">
        <v>53</v>
      </c>
      <c r="D89" t="s">
        <v>3462</v>
      </c>
      <c r="F89" t="s">
        <v>71</v>
      </c>
      <c r="G89" s="12" t="s">
        <v>3463</v>
      </c>
      <c r="H89" s="12"/>
      <c r="I89">
        <v>78</v>
      </c>
      <c r="K89">
        <v>139</v>
      </c>
      <c r="L89">
        <v>82</v>
      </c>
      <c r="M89" t="s">
        <v>82</v>
      </c>
      <c r="P89" t="s">
        <v>83</v>
      </c>
      <c r="Q89" t="s">
        <v>82</v>
      </c>
      <c r="R89">
        <v>68.7</v>
      </c>
      <c r="S89">
        <v>165</v>
      </c>
      <c r="T89" s="8">
        <f t="shared" si="2"/>
        <v>25.234159779614327</v>
      </c>
      <c r="U89" s="13" t="str" cm="1">
        <f t="array" ref="U89">IF(T89="","",_xlfn.IFS(T89&lt;18.5,"Bajo peso",T89&lt;25,"Peso normal",T89&lt;30,"Sobrepeso",T89&lt;35,"Obesidad clase I",T89&lt;40,"Obesidad clase II",T89&gt;=40,"Obesidad clase III"))</f>
        <v>Sobrepeso</v>
      </c>
      <c r="V89">
        <v>110</v>
      </c>
      <c r="X89" t="s">
        <v>3463</v>
      </c>
      <c r="Y89">
        <v>1.56</v>
      </c>
      <c r="AA89">
        <v>53</v>
      </c>
      <c r="AB89" s="9">
        <f t="shared" si="3"/>
        <v>52.780856736418727</v>
      </c>
      <c r="AD89" t="s">
        <v>158</v>
      </c>
      <c r="AF89" t="s">
        <v>158</v>
      </c>
      <c r="AH89" t="s">
        <v>3463</v>
      </c>
      <c r="AI89" t="s">
        <v>3463</v>
      </c>
      <c r="AJ89" t="s">
        <v>3463</v>
      </c>
      <c r="AK89" t="s">
        <v>3463</v>
      </c>
      <c r="AL89" t="s">
        <v>3463</v>
      </c>
      <c r="AP89" t="s">
        <v>3463</v>
      </c>
      <c r="AV89" t="s">
        <v>74</v>
      </c>
      <c r="AW89" t="s">
        <v>3915</v>
      </c>
      <c r="BF89" t="s">
        <v>3921</v>
      </c>
      <c r="BG89" t="s">
        <v>317</v>
      </c>
      <c r="BH89" t="s">
        <v>4053</v>
      </c>
      <c r="BK89" t="s">
        <v>3467</v>
      </c>
      <c r="BN89" t="s">
        <v>94</v>
      </c>
      <c r="BP89" t="s">
        <v>4301</v>
      </c>
      <c r="BQ89" t="s">
        <v>3465</v>
      </c>
      <c r="BR89" t="s">
        <v>3465</v>
      </c>
      <c r="BS89" t="s">
        <v>3463</v>
      </c>
      <c r="BT89" t="s">
        <v>3463</v>
      </c>
      <c r="BU89" t="s">
        <v>3463</v>
      </c>
      <c r="BV89" t="s">
        <v>3463</v>
      </c>
      <c r="BW89" t="s">
        <v>3463</v>
      </c>
      <c r="BX89" t="s">
        <v>79</v>
      </c>
      <c r="BY89" t="s">
        <v>87</v>
      </c>
      <c r="BZ89" t="s">
        <v>79</v>
      </c>
      <c r="CA89" s="10">
        <v>45908</v>
      </c>
    </row>
    <row r="90" spans="1:79">
      <c r="A90">
        <v>91</v>
      </c>
      <c r="B90">
        <v>98</v>
      </c>
      <c r="C90">
        <v>52</v>
      </c>
      <c r="D90" t="s">
        <v>3466</v>
      </c>
      <c r="E90" t="s">
        <v>71</v>
      </c>
      <c r="F90" t="s">
        <v>71</v>
      </c>
      <c r="G90" s="12" t="s">
        <v>3463</v>
      </c>
      <c r="I90">
        <v>76</v>
      </c>
      <c r="J90">
        <v>81</v>
      </c>
      <c r="K90">
        <v>157</v>
      </c>
      <c r="L90">
        <v>97</v>
      </c>
      <c r="M90" t="s">
        <v>72</v>
      </c>
      <c r="N90">
        <v>167</v>
      </c>
      <c r="O90">
        <v>102</v>
      </c>
      <c r="P90" t="s">
        <v>72</v>
      </c>
      <c r="Q90" t="s">
        <v>72</v>
      </c>
      <c r="R90">
        <v>74</v>
      </c>
      <c r="S90">
        <v>151</v>
      </c>
      <c r="T90" s="8">
        <f t="shared" si="2"/>
        <v>32.454716898381648</v>
      </c>
      <c r="U90" s="13" t="str" cm="1">
        <f t="array" ref="U90">IF(T90="","",_xlfn.IFS(T90&lt;18.5,"Bajo peso",T90&lt;25,"Peso normal",T90&lt;30,"Sobrepeso",T90&lt;35,"Obesidad clase I",T90&lt;40,"Obesidad clase II",T90&gt;=40,"Obesidad clase III"))</f>
        <v>Obesidad clase I</v>
      </c>
      <c r="V90">
        <v>113</v>
      </c>
      <c r="X90" t="s">
        <v>3463</v>
      </c>
      <c r="Y90">
        <v>0.95</v>
      </c>
      <c r="AA90">
        <v>72</v>
      </c>
      <c r="AB90" s="9">
        <f t="shared" si="3"/>
        <v>72.08846596022245</v>
      </c>
      <c r="AD90" t="s">
        <v>73</v>
      </c>
      <c r="AF90" t="s">
        <v>73</v>
      </c>
      <c r="AH90" t="s">
        <v>3463</v>
      </c>
      <c r="AI90" t="s">
        <v>3463</v>
      </c>
      <c r="AJ90" t="s">
        <v>3463</v>
      </c>
      <c r="AK90" t="s">
        <v>3463</v>
      </c>
      <c r="AL90" t="s">
        <v>3463</v>
      </c>
      <c r="AP90" t="s">
        <v>3463</v>
      </c>
      <c r="AT90" t="s">
        <v>3463</v>
      </c>
      <c r="AW90" t="s">
        <v>3916</v>
      </c>
      <c r="AX90" t="s">
        <v>3463</v>
      </c>
      <c r="AY90" t="s">
        <v>3465</v>
      </c>
      <c r="BA90" t="s">
        <v>3920</v>
      </c>
      <c r="BF90" t="s">
        <v>3921</v>
      </c>
      <c r="BG90" t="s">
        <v>318</v>
      </c>
      <c r="BH90" t="s">
        <v>4017</v>
      </c>
      <c r="BI90" t="s">
        <v>139</v>
      </c>
      <c r="BN90" t="s">
        <v>94</v>
      </c>
      <c r="BP90" t="s">
        <v>4270</v>
      </c>
      <c r="BQ90" t="s">
        <v>3463</v>
      </c>
      <c r="BR90" t="s">
        <v>3465</v>
      </c>
      <c r="BS90" t="s">
        <v>3465</v>
      </c>
      <c r="BT90" t="s">
        <v>3465</v>
      </c>
      <c r="BU90" t="s">
        <v>3463</v>
      </c>
      <c r="BV90" t="s">
        <v>3463</v>
      </c>
      <c r="BW90" t="s">
        <v>3463</v>
      </c>
      <c r="BX90" t="s">
        <v>79</v>
      </c>
      <c r="BY90" t="s">
        <v>87</v>
      </c>
      <c r="BZ90" t="s">
        <v>79</v>
      </c>
      <c r="CA90" s="10">
        <v>45908</v>
      </c>
    </row>
    <row r="91" spans="1:79">
      <c r="A91">
        <v>92</v>
      </c>
      <c r="B91">
        <v>99</v>
      </c>
      <c r="C91">
        <v>36</v>
      </c>
      <c r="D91" t="s">
        <v>3462</v>
      </c>
      <c r="E91" t="s">
        <v>319</v>
      </c>
      <c r="F91" t="s">
        <v>71</v>
      </c>
      <c r="G91" s="12" t="s">
        <v>3463</v>
      </c>
      <c r="I91">
        <v>72</v>
      </c>
      <c r="J91">
        <v>72</v>
      </c>
      <c r="K91">
        <v>145</v>
      </c>
      <c r="L91">
        <v>76</v>
      </c>
      <c r="M91" t="s">
        <v>72</v>
      </c>
      <c r="N91">
        <v>129</v>
      </c>
      <c r="O91">
        <v>79</v>
      </c>
      <c r="P91" t="s">
        <v>118</v>
      </c>
      <c r="Q91" t="s">
        <v>118</v>
      </c>
      <c r="R91">
        <v>84.9</v>
      </c>
      <c r="S91">
        <v>180.2</v>
      </c>
      <c r="T91" s="8">
        <f t="shared" si="2"/>
        <v>26.145570158203803</v>
      </c>
      <c r="U91" s="13" t="str" cm="1">
        <f t="array" ref="U91">IF(T91="","",_xlfn.IFS(T91&lt;18.5,"Bajo peso",T91&lt;25,"Peso normal",T91&lt;30,"Sobrepeso",T91&lt;35,"Obesidad clase I",T91&lt;40,"Obesidad clase II",T91&gt;=40,"Obesidad clase III"))</f>
        <v>Sobrepeso</v>
      </c>
      <c r="V91">
        <v>89</v>
      </c>
      <c r="X91" t="s">
        <v>3463</v>
      </c>
      <c r="Y91">
        <v>1.39</v>
      </c>
      <c r="AA91">
        <v>67</v>
      </c>
      <c r="AB91" s="9">
        <f t="shared" si="3"/>
        <v>67.379118066346606</v>
      </c>
      <c r="AD91" t="s">
        <v>73</v>
      </c>
      <c r="AF91" t="s">
        <v>73</v>
      </c>
      <c r="AH91" t="s">
        <v>3463</v>
      </c>
      <c r="AI91" t="s">
        <v>3463</v>
      </c>
      <c r="AJ91" t="s">
        <v>3463</v>
      </c>
      <c r="AK91" t="s">
        <v>3463</v>
      </c>
      <c r="AL91" t="s">
        <v>3463</v>
      </c>
      <c r="AP91" t="s">
        <v>3463</v>
      </c>
      <c r="AV91" t="s">
        <v>74</v>
      </c>
      <c r="AW91" t="s">
        <v>3915</v>
      </c>
      <c r="BF91" t="s">
        <v>3921</v>
      </c>
      <c r="BH91" t="s">
        <v>4020</v>
      </c>
      <c r="BP91" t="s">
        <v>4260</v>
      </c>
      <c r="BQ91" t="s">
        <v>3463</v>
      </c>
      <c r="BR91" t="s">
        <v>3463</v>
      </c>
      <c r="BS91" t="s">
        <v>3463</v>
      </c>
      <c r="BT91" t="s">
        <v>3463</v>
      </c>
      <c r="BU91" t="s">
        <v>3463</v>
      </c>
      <c r="BV91" t="s">
        <v>3463</v>
      </c>
      <c r="BW91" t="s">
        <v>3463</v>
      </c>
      <c r="BX91" t="s">
        <v>79</v>
      </c>
      <c r="BY91" t="s">
        <v>87</v>
      </c>
      <c r="BZ91" t="s">
        <v>79</v>
      </c>
      <c r="CA91" s="10">
        <v>45908</v>
      </c>
    </row>
    <row r="92" spans="1:79">
      <c r="A92">
        <v>93</v>
      </c>
      <c r="B92">
        <v>100</v>
      </c>
      <c r="C92">
        <v>32</v>
      </c>
      <c r="D92" t="s">
        <v>3462</v>
      </c>
      <c r="F92" t="s">
        <v>71</v>
      </c>
      <c r="G92" s="12" t="s">
        <v>3465</v>
      </c>
      <c r="H92" t="s">
        <v>88</v>
      </c>
      <c r="I92">
        <v>62</v>
      </c>
      <c r="K92">
        <v>130</v>
      </c>
      <c r="L92">
        <v>78</v>
      </c>
      <c r="M92" t="s">
        <v>82</v>
      </c>
      <c r="P92" t="s">
        <v>83</v>
      </c>
      <c r="Q92" t="s">
        <v>82</v>
      </c>
      <c r="R92">
        <v>83</v>
      </c>
      <c r="S92">
        <v>177</v>
      </c>
      <c r="T92" s="8">
        <f t="shared" si="2"/>
        <v>26.493025631204315</v>
      </c>
      <c r="U92" s="13" t="str" cm="1">
        <f t="array" ref="U92">IF(T92="","",_xlfn.IFS(T92&lt;18.5,"Bajo peso",T92&lt;25,"Peso normal",T92&lt;30,"Sobrepeso",T92&lt;35,"Obesidad clase I",T92&lt;40,"Obesidad clase II",T92&gt;=40,"Obesidad clase III"))</f>
        <v>Sobrepeso</v>
      </c>
      <c r="V92">
        <v>116</v>
      </c>
      <c r="X92" t="s">
        <v>3463</v>
      </c>
      <c r="Y92">
        <v>1.33</v>
      </c>
      <c r="AA92">
        <v>73</v>
      </c>
      <c r="AB92" s="9">
        <f t="shared" si="3"/>
        <v>72.832487613498159</v>
      </c>
      <c r="AD92" t="s">
        <v>73</v>
      </c>
      <c r="AF92" t="s">
        <v>73</v>
      </c>
      <c r="AH92" t="s">
        <v>3463</v>
      </c>
      <c r="AI92" t="s">
        <v>3463</v>
      </c>
      <c r="AJ92" t="s">
        <v>3463</v>
      </c>
      <c r="AK92" t="s">
        <v>3463</v>
      </c>
      <c r="AL92" t="s">
        <v>3463</v>
      </c>
      <c r="AP92" t="s">
        <v>3463</v>
      </c>
      <c r="AV92" t="s">
        <v>126</v>
      </c>
      <c r="AW92" t="s">
        <v>126</v>
      </c>
      <c r="BF92" t="s">
        <v>3921</v>
      </c>
      <c r="BH92" t="s">
        <v>4020</v>
      </c>
      <c r="BP92" t="s">
        <v>4260</v>
      </c>
      <c r="BQ92" t="s">
        <v>3463</v>
      </c>
      <c r="BR92" t="s">
        <v>3463</v>
      </c>
      <c r="BS92" t="s">
        <v>3463</v>
      </c>
      <c r="BT92" t="s">
        <v>3463</v>
      </c>
      <c r="BU92" t="s">
        <v>3463</v>
      </c>
      <c r="BV92" t="s">
        <v>3463</v>
      </c>
      <c r="BW92" t="s">
        <v>3463</v>
      </c>
      <c r="BX92" t="s">
        <v>79</v>
      </c>
      <c r="BY92" t="s">
        <v>87</v>
      </c>
      <c r="BZ92" t="s">
        <v>79</v>
      </c>
      <c r="CA92" s="10">
        <v>45908</v>
      </c>
    </row>
    <row r="93" spans="1:79">
      <c r="A93">
        <v>94</v>
      </c>
      <c r="B93">
        <v>102</v>
      </c>
      <c r="C93">
        <v>46</v>
      </c>
      <c r="D93" t="s">
        <v>3462</v>
      </c>
      <c r="F93" t="s">
        <v>150</v>
      </c>
      <c r="G93" s="12" t="s">
        <v>3463</v>
      </c>
      <c r="I93">
        <v>73</v>
      </c>
      <c r="J93">
        <v>74</v>
      </c>
      <c r="K93">
        <v>153</v>
      </c>
      <c r="L93">
        <v>85</v>
      </c>
      <c r="M93" t="s">
        <v>72</v>
      </c>
      <c r="N93">
        <v>153</v>
      </c>
      <c r="O93">
        <v>84</v>
      </c>
      <c r="P93" t="s">
        <v>72</v>
      </c>
      <c r="Q93" t="s">
        <v>72</v>
      </c>
      <c r="R93">
        <v>97</v>
      </c>
      <c r="S93">
        <v>168</v>
      </c>
      <c r="T93" s="8">
        <f t="shared" si="2"/>
        <v>34.367913832199548</v>
      </c>
      <c r="U93" s="13" t="str" cm="1">
        <f t="array" ref="U93">IF(T93="","",_xlfn.IFS(T93&lt;18.5,"Bajo peso",T93&lt;25,"Peso normal",T93&lt;30,"Sobrepeso",T93&lt;35,"Obesidad clase I",T93&lt;40,"Obesidad clase II",T93&gt;=40,"Obesidad clase III"))</f>
        <v>Obesidad clase I</v>
      </c>
      <c r="V93">
        <v>142</v>
      </c>
      <c r="X93" t="s">
        <v>3463</v>
      </c>
      <c r="Y93">
        <v>1.73</v>
      </c>
      <c r="AA93">
        <v>49</v>
      </c>
      <c r="AB93" s="9">
        <f t="shared" si="3"/>
        <v>48.694250187838506</v>
      </c>
      <c r="AD93" t="s">
        <v>158</v>
      </c>
      <c r="AF93" t="s">
        <v>158</v>
      </c>
      <c r="AH93" t="s">
        <v>3463</v>
      </c>
      <c r="AI93" t="s">
        <v>3463</v>
      </c>
      <c r="AJ93" t="s">
        <v>3463</v>
      </c>
      <c r="AK93" t="s">
        <v>3463</v>
      </c>
      <c r="AL93" t="s">
        <v>3463</v>
      </c>
      <c r="AP93" t="s">
        <v>3463</v>
      </c>
      <c r="AQ93" t="s">
        <v>320</v>
      </c>
      <c r="AR93" t="s">
        <v>3493</v>
      </c>
      <c r="AV93" t="s">
        <v>74</v>
      </c>
      <c r="AW93" t="s">
        <v>3915</v>
      </c>
      <c r="BA93" t="s">
        <v>3920</v>
      </c>
      <c r="BF93" t="s">
        <v>3921</v>
      </c>
      <c r="BG93" t="s">
        <v>321</v>
      </c>
      <c r="BH93" t="s">
        <v>4022</v>
      </c>
      <c r="BI93" t="s">
        <v>76</v>
      </c>
      <c r="BK93" t="s">
        <v>322</v>
      </c>
      <c r="BN93" t="s">
        <v>94</v>
      </c>
      <c r="BP93" t="s">
        <v>4302</v>
      </c>
      <c r="BQ93" t="s">
        <v>3465</v>
      </c>
      <c r="BR93" t="s">
        <v>3465</v>
      </c>
      <c r="BS93" t="s">
        <v>3463</v>
      </c>
      <c r="BT93" t="s">
        <v>3463</v>
      </c>
      <c r="BU93" t="s">
        <v>3463</v>
      </c>
      <c r="BV93" t="s">
        <v>3463</v>
      </c>
      <c r="BW93" t="s">
        <v>3463</v>
      </c>
      <c r="BX93" t="s">
        <v>79</v>
      </c>
      <c r="BY93" t="s">
        <v>87</v>
      </c>
      <c r="BZ93" t="s">
        <v>79</v>
      </c>
      <c r="CA93" s="10">
        <v>45908</v>
      </c>
    </row>
    <row r="94" spans="1:79">
      <c r="A94">
        <v>95</v>
      </c>
      <c r="B94">
        <v>103</v>
      </c>
      <c r="C94">
        <v>64</v>
      </c>
      <c r="D94" t="s">
        <v>3462</v>
      </c>
      <c r="F94" t="s">
        <v>150</v>
      </c>
      <c r="G94" s="12" t="s">
        <v>3463</v>
      </c>
      <c r="H94" s="12"/>
      <c r="I94">
        <v>81</v>
      </c>
      <c r="J94">
        <v>84</v>
      </c>
      <c r="K94">
        <v>217</v>
      </c>
      <c r="L94">
        <v>140</v>
      </c>
      <c r="M94" t="s">
        <v>96</v>
      </c>
      <c r="N94">
        <v>205</v>
      </c>
      <c r="O94">
        <v>134</v>
      </c>
      <c r="P94" t="s">
        <v>96</v>
      </c>
      <c r="Q94" t="s">
        <v>96</v>
      </c>
      <c r="R94">
        <v>89</v>
      </c>
      <c r="S94">
        <v>167</v>
      </c>
      <c r="T94" s="8">
        <f t="shared" si="2"/>
        <v>31.912223457277062</v>
      </c>
      <c r="U94" s="13" t="str" cm="1">
        <f t="array" ref="U94">IF(T94="","",_xlfn.IFS(T94&lt;18.5,"Bajo peso",T94&lt;25,"Peso normal",T94&lt;30,"Sobrepeso",T94&lt;35,"Obesidad clase I",T94&lt;40,"Obesidad clase II",T94&gt;=40,"Obesidad clase III"))</f>
        <v>Obesidad clase I</v>
      </c>
      <c r="V94">
        <v>100</v>
      </c>
      <c r="W94">
        <v>108</v>
      </c>
      <c r="X94" t="s">
        <v>3463</v>
      </c>
      <c r="Y94">
        <v>1.75</v>
      </c>
      <c r="Z94">
        <v>1.9</v>
      </c>
      <c r="AA94">
        <v>43</v>
      </c>
      <c r="AB94" s="9">
        <f t="shared" si="3"/>
        <v>42.940709063255447</v>
      </c>
      <c r="AC94">
        <v>39</v>
      </c>
      <c r="AD94" t="s">
        <v>218</v>
      </c>
      <c r="AE94" t="s">
        <v>218</v>
      </c>
      <c r="AF94" t="s">
        <v>218</v>
      </c>
      <c r="AH94" t="s">
        <v>3463</v>
      </c>
      <c r="AI94" t="s">
        <v>3465</v>
      </c>
      <c r="AJ94" t="s">
        <v>3463</v>
      </c>
      <c r="AK94" t="s">
        <v>3463</v>
      </c>
      <c r="AL94" t="s">
        <v>3465</v>
      </c>
      <c r="AM94" t="s">
        <v>323</v>
      </c>
      <c r="AN94" t="s">
        <v>3623</v>
      </c>
      <c r="AP94" t="s">
        <v>3463</v>
      </c>
      <c r="AQ94" t="s">
        <v>324</v>
      </c>
      <c r="AR94" t="s">
        <v>3493</v>
      </c>
      <c r="AS94" t="s">
        <v>3465</v>
      </c>
      <c r="AV94" t="s">
        <v>74</v>
      </c>
      <c r="AW94" t="s">
        <v>3915</v>
      </c>
      <c r="BA94" t="s">
        <v>3920</v>
      </c>
      <c r="BC94" t="s">
        <v>128</v>
      </c>
      <c r="BD94" t="s">
        <v>105</v>
      </c>
      <c r="BE94" t="s">
        <v>325</v>
      </c>
      <c r="BF94" t="s">
        <v>3929</v>
      </c>
      <c r="BG94" t="s">
        <v>326</v>
      </c>
      <c r="BH94" t="s">
        <v>4054</v>
      </c>
      <c r="BI94" t="s">
        <v>327</v>
      </c>
      <c r="BJ94" t="s">
        <v>86</v>
      </c>
      <c r="BK94" t="s">
        <v>328</v>
      </c>
      <c r="BL94" t="s">
        <v>329</v>
      </c>
      <c r="BN94" t="s">
        <v>330</v>
      </c>
      <c r="BP94" t="s">
        <v>4303</v>
      </c>
      <c r="BQ94" t="s">
        <v>3465</v>
      </c>
      <c r="BR94" t="s">
        <v>3465</v>
      </c>
      <c r="BS94" t="s">
        <v>3463</v>
      </c>
      <c r="BT94" t="s">
        <v>3463</v>
      </c>
      <c r="BU94" t="s">
        <v>3463</v>
      </c>
      <c r="BV94" t="s">
        <v>3463</v>
      </c>
      <c r="BW94" t="s">
        <v>3463</v>
      </c>
      <c r="BX94" t="s">
        <v>79</v>
      </c>
      <c r="BY94" t="s">
        <v>87</v>
      </c>
      <c r="BZ94" t="s">
        <v>79</v>
      </c>
      <c r="CA94" s="10">
        <v>45908</v>
      </c>
    </row>
    <row r="95" spans="1:79">
      <c r="A95">
        <v>96</v>
      </c>
      <c r="B95">
        <v>104</v>
      </c>
      <c r="C95">
        <v>62</v>
      </c>
      <c r="D95" t="s">
        <v>3462</v>
      </c>
      <c r="F95" t="s">
        <v>71</v>
      </c>
      <c r="G95" s="12" t="s">
        <v>3463</v>
      </c>
      <c r="I95">
        <v>64</v>
      </c>
      <c r="K95">
        <v>138</v>
      </c>
      <c r="L95">
        <v>76</v>
      </c>
      <c r="M95" t="s">
        <v>82</v>
      </c>
      <c r="P95" t="s">
        <v>83</v>
      </c>
      <c r="Q95" t="s">
        <v>82</v>
      </c>
      <c r="R95">
        <v>99</v>
      </c>
      <c r="S95">
        <v>167</v>
      </c>
      <c r="T95" s="8">
        <f t="shared" si="2"/>
        <v>35.49786654236437</v>
      </c>
      <c r="U95" s="13" t="str" cm="1">
        <f t="array" ref="U95">IF(T95="","",_xlfn.IFS(T95&lt;18.5,"Bajo peso",T95&lt;25,"Peso normal",T95&lt;30,"Sobrepeso",T95&lt;35,"Obesidad clase I",T95&lt;40,"Obesidad clase II",T95&gt;=40,"Obesidad clase III"))</f>
        <v>Obesidad clase II</v>
      </c>
      <c r="V95">
        <v>100</v>
      </c>
      <c r="X95" t="s">
        <v>3463</v>
      </c>
      <c r="Y95">
        <v>1.17</v>
      </c>
      <c r="AA95">
        <v>71</v>
      </c>
      <c r="AB95" s="9">
        <f t="shared" si="3"/>
        <v>70.484536954157562</v>
      </c>
      <c r="AD95" t="s">
        <v>73</v>
      </c>
      <c r="AF95" t="s">
        <v>73</v>
      </c>
      <c r="AH95" t="s">
        <v>3463</v>
      </c>
      <c r="AI95" t="s">
        <v>3465</v>
      </c>
      <c r="AJ95" t="s">
        <v>3463</v>
      </c>
      <c r="AK95" t="s">
        <v>3463</v>
      </c>
      <c r="AL95" t="s">
        <v>3465</v>
      </c>
      <c r="AM95" t="s">
        <v>331</v>
      </c>
      <c r="AN95" t="s">
        <v>3624</v>
      </c>
      <c r="AP95" t="s">
        <v>3463</v>
      </c>
      <c r="AQ95" t="s">
        <v>332</v>
      </c>
      <c r="AR95" t="s">
        <v>3495</v>
      </c>
      <c r="AS95" t="s">
        <v>3465</v>
      </c>
      <c r="AV95" t="s">
        <v>112</v>
      </c>
      <c r="AW95" t="s">
        <v>3917</v>
      </c>
      <c r="BF95" t="s">
        <v>3921</v>
      </c>
      <c r="BH95" t="s">
        <v>4020</v>
      </c>
      <c r="BP95" t="s">
        <v>4260</v>
      </c>
      <c r="BQ95" t="s">
        <v>3465</v>
      </c>
      <c r="BR95" t="s">
        <v>3465</v>
      </c>
      <c r="BS95" t="s">
        <v>3463</v>
      </c>
      <c r="BT95" t="s">
        <v>3463</v>
      </c>
      <c r="BU95" t="s">
        <v>3463</v>
      </c>
      <c r="BX95" t="s">
        <v>79</v>
      </c>
      <c r="BY95" t="s">
        <v>87</v>
      </c>
      <c r="BZ95" t="s">
        <v>79</v>
      </c>
      <c r="CA95" s="10">
        <v>45908</v>
      </c>
    </row>
    <row r="96" spans="1:79">
      <c r="A96">
        <v>97</v>
      </c>
      <c r="B96">
        <v>105</v>
      </c>
      <c r="C96">
        <v>67</v>
      </c>
      <c r="D96" t="s">
        <v>3462</v>
      </c>
      <c r="E96" t="s">
        <v>333</v>
      </c>
      <c r="F96" t="s">
        <v>71</v>
      </c>
      <c r="G96" s="12" t="s">
        <v>3463</v>
      </c>
      <c r="I96">
        <v>71</v>
      </c>
      <c r="K96">
        <v>136</v>
      </c>
      <c r="L96">
        <v>83</v>
      </c>
      <c r="M96" t="s">
        <v>82</v>
      </c>
      <c r="P96" t="s">
        <v>83</v>
      </c>
      <c r="Q96" t="s">
        <v>82</v>
      </c>
      <c r="R96">
        <v>72</v>
      </c>
      <c r="S96">
        <v>154</v>
      </c>
      <c r="T96" s="8">
        <f t="shared" si="2"/>
        <v>30.359251138471919</v>
      </c>
      <c r="U96" s="13" t="str" cm="1">
        <f t="array" ref="U96">IF(T96="","",_xlfn.IFS(T96&lt;18.5,"Bajo peso",T96&lt;25,"Peso normal",T96&lt;30,"Sobrepeso",T96&lt;35,"Obesidad clase I",T96&lt;40,"Obesidad clase II",T96&gt;=40,"Obesidad clase III"))</f>
        <v>Obesidad clase I</v>
      </c>
      <c r="V96">
        <v>136</v>
      </c>
      <c r="X96" t="s">
        <v>3463</v>
      </c>
      <c r="Y96">
        <v>1.0900000000000001</v>
      </c>
      <c r="AA96">
        <v>74</v>
      </c>
      <c r="AB96" s="9">
        <f t="shared" si="3"/>
        <v>74.387514789665161</v>
      </c>
      <c r="AD96" t="s">
        <v>73</v>
      </c>
      <c r="AF96" t="s">
        <v>73</v>
      </c>
      <c r="AG96" t="s">
        <v>3465</v>
      </c>
      <c r="AH96" t="s">
        <v>3465</v>
      </c>
      <c r="AI96" t="s">
        <v>3463</v>
      </c>
      <c r="AJ96" t="s">
        <v>3463</v>
      </c>
      <c r="AK96" t="s">
        <v>3463</v>
      </c>
      <c r="AL96" t="s">
        <v>3465</v>
      </c>
      <c r="AM96" t="s">
        <v>334</v>
      </c>
      <c r="AN96" t="s">
        <v>334</v>
      </c>
      <c r="AP96" t="s">
        <v>3464</v>
      </c>
      <c r="AV96" t="s">
        <v>112</v>
      </c>
      <c r="AW96" t="s">
        <v>3917</v>
      </c>
      <c r="BF96" t="s">
        <v>3921</v>
      </c>
      <c r="BH96" t="s">
        <v>4020</v>
      </c>
      <c r="BP96" t="s">
        <v>4260</v>
      </c>
      <c r="BQ96" t="s">
        <v>3463</v>
      </c>
      <c r="BR96" t="s">
        <v>3465</v>
      </c>
      <c r="BS96" t="s">
        <v>3465</v>
      </c>
      <c r="BT96" t="s">
        <v>3465</v>
      </c>
      <c r="BU96" t="s">
        <v>3463</v>
      </c>
      <c r="BV96" t="s">
        <v>3463</v>
      </c>
      <c r="BW96" t="s">
        <v>3463</v>
      </c>
      <c r="BX96" t="s">
        <v>79</v>
      </c>
      <c r="BY96" t="s">
        <v>87</v>
      </c>
      <c r="BZ96" t="s">
        <v>79</v>
      </c>
      <c r="CA96" s="10">
        <v>45908</v>
      </c>
    </row>
    <row r="97" spans="1:79">
      <c r="A97">
        <v>98</v>
      </c>
      <c r="B97">
        <v>106</v>
      </c>
      <c r="C97">
        <v>60</v>
      </c>
      <c r="D97" t="s">
        <v>3462</v>
      </c>
      <c r="F97" t="s">
        <v>150</v>
      </c>
      <c r="G97" s="12" t="s">
        <v>3463</v>
      </c>
      <c r="I97">
        <v>73</v>
      </c>
      <c r="J97">
        <v>77</v>
      </c>
      <c r="K97">
        <v>145</v>
      </c>
      <c r="L97">
        <v>73</v>
      </c>
      <c r="M97" t="s">
        <v>72</v>
      </c>
      <c r="N97">
        <v>121</v>
      </c>
      <c r="O97">
        <v>76</v>
      </c>
      <c r="P97" t="s">
        <v>118</v>
      </c>
      <c r="Q97" t="s">
        <v>118</v>
      </c>
      <c r="R97">
        <v>79</v>
      </c>
      <c r="S97">
        <v>164</v>
      </c>
      <c r="T97" s="8">
        <f t="shared" si="2"/>
        <v>29.37239738251041</v>
      </c>
      <c r="U97" s="13" t="str" cm="1">
        <f t="array" ref="U97">IF(T97="","",_xlfn.IFS(T97&lt;18.5,"Bajo peso",T97&lt;25,"Peso normal",T97&lt;30,"Sobrepeso",T97&lt;35,"Obesidad clase I",T97&lt;40,"Obesidad clase II",T97&gt;=40,"Obesidad clase III"))</f>
        <v>Sobrepeso</v>
      </c>
      <c r="V97">
        <v>133</v>
      </c>
      <c r="X97" t="s">
        <v>3463</v>
      </c>
      <c r="Y97">
        <v>1.55</v>
      </c>
      <c r="AA97">
        <v>51</v>
      </c>
      <c r="AB97" s="9">
        <f t="shared" si="3"/>
        <v>50.923806879247707</v>
      </c>
      <c r="AD97" t="s">
        <v>158</v>
      </c>
      <c r="AF97" t="s">
        <v>158</v>
      </c>
      <c r="AH97" t="s">
        <v>3463</v>
      </c>
      <c r="AI97" t="s">
        <v>3463</v>
      </c>
      <c r="AJ97" t="s">
        <v>3463</v>
      </c>
      <c r="AK97" t="s">
        <v>3463</v>
      </c>
      <c r="AL97" t="s">
        <v>3465</v>
      </c>
      <c r="AM97" t="s">
        <v>335</v>
      </c>
      <c r="AN97" t="s">
        <v>3625</v>
      </c>
      <c r="AP97" t="s">
        <v>3463</v>
      </c>
      <c r="AV97" t="s">
        <v>126</v>
      </c>
      <c r="AW97" t="s">
        <v>126</v>
      </c>
      <c r="BF97" t="s">
        <v>3921</v>
      </c>
      <c r="BG97" t="s">
        <v>336</v>
      </c>
      <c r="BH97" t="s">
        <v>4055</v>
      </c>
      <c r="BK97" t="s">
        <v>337</v>
      </c>
      <c r="BP97" t="s">
        <v>4304</v>
      </c>
      <c r="BQ97" t="s">
        <v>3463</v>
      </c>
      <c r="BR97" t="s">
        <v>3463</v>
      </c>
      <c r="BS97" t="s">
        <v>3463</v>
      </c>
      <c r="BT97" t="s">
        <v>3463</v>
      </c>
      <c r="BU97" t="s">
        <v>3463</v>
      </c>
      <c r="BV97" t="s">
        <v>3463</v>
      </c>
      <c r="BW97" t="s">
        <v>3463</v>
      </c>
      <c r="BX97" t="s">
        <v>79</v>
      </c>
      <c r="BY97" t="s">
        <v>87</v>
      </c>
      <c r="BZ97" t="s">
        <v>79</v>
      </c>
      <c r="CA97" s="10">
        <v>45908</v>
      </c>
    </row>
    <row r="98" spans="1:79">
      <c r="A98">
        <v>99</v>
      </c>
      <c r="B98">
        <v>107</v>
      </c>
      <c r="C98">
        <v>54</v>
      </c>
      <c r="D98" t="s">
        <v>3462</v>
      </c>
      <c r="F98" t="s">
        <v>150</v>
      </c>
      <c r="G98" s="12" t="s">
        <v>3463</v>
      </c>
      <c r="I98">
        <v>70</v>
      </c>
      <c r="J98">
        <v>67</v>
      </c>
      <c r="K98">
        <v>149</v>
      </c>
      <c r="L98">
        <v>80</v>
      </c>
      <c r="M98" t="s">
        <v>72</v>
      </c>
      <c r="N98">
        <v>134</v>
      </c>
      <c r="O98">
        <v>75</v>
      </c>
      <c r="P98" t="s">
        <v>82</v>
      </c>
      <c r="Q98" t="s">
        <v>82</v>
      </c>
      <c r="R98">
        <v>95</v>
      </c>
      <c r="S98">
        <v>157</v>
      </c>
      <c r="T98" s="8">
        <f t="shared" si="2"/>
        <v>38.541117286705344</v>
      </c>
      <c r="U98" s="13" t="str" cm="1">
        <f t="array" ref="U98">IF(T98="","",_xlfn.IFS(T98&lt;18.5,"Bajo peso",T98&lt;25,"Peso normal",T98&lt;30,"Sobrepeso",T98&lt;35,"Obesidad clase I",T98&lt;40,"Obesidad clase II",T98&gt;=40,"Obesidad clase III"))</f>
        <v>Obesidad clase II</v>
      </c>
      <c r="V98">
        <v>136</v>
      </c>
      <c r="X98" t="s">
        <v>3463</v>
      </c>
      <c r="Y98">
        <v>1.43</v>
      </c>
      <c r="AA98">
        <v>58</v>
      </c>
      <c r="AB98" s="9">
        <f t="shared" si="3"/>
        <v>58.226636143378485</v>
      </c>
      <c r="AD98" t="s">
        <v>158</v>
      </c>
      <c r="AF98" t="s">
        <v>158</v>
      </c>
      <c r="AH98" t="s">
        <v>3463</v>
      </c>
      <c r="AI98" t="s">
        <v>3463</v>
      </c>
      <c r="AJ98" t="s">
        <v>3465</v>
      </c>
      <c r="AK98" t="s">
        <v>3463</v>
      </c>
      <c r="AL98" t="s">
        <v>3465</v>
      </c>
      <c r="AM98" t="s">
        <v>338</v>
      </c>
      <c r="AN98" t="s">
        <v>3626</v>
      </c>
      <c r="AP98" t="s">
        <v>3463</v>
      </c>
      <c r="AQ98" t="s">
        <v>339</v>
      </c>
      <c r="AR98" t="s">
        <v>3504</v>
      </c>
      <c r="AV98" t="s">
        <v>74</v>
      </c>
      <c r="AW98" t="s">
        <v>3915</v>
      </c>
      <c r="BC98" t="s">
        <v>128</v>
      </c>
      <c r="BF98" t="s">
        <v>3921</v>
      </c>
      <c r="BG98" t="s">
        <v>340</v>
      </c>
      <c r="BH98" t="s">
        <v>3923</v>
      </c>
      <c r="BN98" t="s">
        <v>341</v>
      </c>
      <c r="BO98" t="s">
        <v>342</v>
      </c>
      <c r="BP98" t="s">
        <v>4305</v>
      </c>
      <c r="BQ98" t="s">
        <v>3463</v>
      </c>
      <c r="BR98" t="s">
        <v>3465</v>
      </c>
      <c r="BS98" t="s">
        <v>3463</v>
      </c>
      <c r="BT98" t="s">
        <v>3463</v>
      </c>
      <c r="BU98" t="s">
        <v>3463</v>
      </c>
      <c r="BV98" t="s">
        <v>3463</v>
      </c>
      <c r="BW98" t="s">
        <v>3463</v>
      </c>
      <c r="BX98" t="s">
        <v>79</v>
      </c>
      <c r="BY98" t="s">
        <v>87</v>
      </c>
      <c r="BZ98" t="s">
        <v>79</v>
      </c>
      <c r="CA98" s="10">
        <v>45908</v>
      </c>
    </row>
    <row r="99" spans="1:79">
      <c r="A99">
        <v>100</v>
      </c>
      <c r="B99">
        <v>108</v>
      </c>
      <c r="C99">
        <v>30</v>
      </c>
      <c r="D99" t="s">
        <v>3462</v>
      </c>
      <c r="F99" t="s">
        <v>71</v>
      </c>
      <c r="G99" s="12" t="s">
        <v>3463</v>
      </c>
      <c r="I99">
        <v>75</v>
      </c>
      <c r="K99">
        <v>148</v>
      </c>
      <c r="L99">
        <v>86</v>
      </c>
      <c r="M99" t="s">
        <v>72</v>
      </c>
      <c r="N99">
        <v>139</v>
      </c>
      <c r="O99">
        <v>83</v>
      </c>
      <c r="P99" t="s">
        <v>82</v>
      </c>
      <c r="Q99" t="s">
        <v>82</v>
      </c>
      <c r="R99">
        <v>62</v>
      </c>
      <c r="S99">
        <v>165</v>
      </c>
      <c r="T99" s="8">
        <f t="shared" si="2"/>
        <v>22.773186409550046</v>
      </c>
      <c r="U99" s="13" t="str" cm="1">
        <f t="array" ref="U99">IF(T99="","",_xlfn.IFS(T99&lt;18.5,"Bajo peso",T99&lt;25,"Peso normal",T99&lt;30,"Sobrepeso",T99&lt;35,"Obesidad clase I",T99&lt;40,"Obesidad clase II",T99&gt;=40,"Obesidad clase III"))</f>
        <v>Peso normal</v>
      </c>
      <c r="V99">
        <v>98</v>
      </c>
      <c r="X99" t="s">
        <v>3463</v>
      </c>
      <c r="Y99">
        <v>0.86</v>
      </c>
      <c r="AA99">
        <v>90</v>
      </c>
      <c r="AB99" s="9">
        <f t="shared" si="3"/>
        <v>119.45953564205618</v>
      </c>
      <c r="AD99" t="s">
        <v>73</v>
      </c>
      <c r="AF99" t="s">
        <v>73</v>
      </c>
      <c r="AH99" t="s">
        <v>3463</v>
      </c>
      <c r="AI99" t="s">
        <v>3463</v>
      </c>
      <c r="AJ99" t="s">
        <v>3463</v>
      </c>
      <c r="AK99" t="s">
        <v>3463</v>
      </c>
      <c r="AL99" t="s">
        <v>3463</v>
      </c>
      <c r="AP99" t="s">
        <v>3463</v>
      </c>
      <c r="AQ99" t="s">
        <v>343</v>
      </c>
      <c r="AR99" t="s">
        <v>3505</v>
      </c>
      <c r="AV99" t="s">
        <v>74</v>
      </c>
      <c r="AW99" t="s">
        <v>3915</v>
      </c>
      <c r="BF99" t="s">
        <v>3921</v>
      </c>
      <c r="BH99" t="s">
        <v>4020</v>
      </c>
      <c r="BP99" t="s">
        <v>4260</v>
      </c>
      <c r="BQ99" t="s">
        <v>3465</v>
      </c>
      <c r="BR99" t="s">
        <v>3465</v>
      </c>
      <c r="BS99" t="s">
        <v>3463</v>
      </c>
      <c r="BT99" t="s">
        <v>3463</v>
      </c>
      <c r="BU99" t="s">
        <v>3463</v>
      </c>
      <c r="BV99" t="s">
        <v>3463</v>
      </c>
      <c r="BW99" t="s">
        <v>3463</v>
      </c>
      <c r="BX99" t="s">
        <v>79</v>
      </c>
      <c r="BY99" t="s">
        <v>87</v>
      </c>
      <c r="BZ99" t="s">
        <v>79</v>
      </c>
      <c r="CA99" s="10">
        <v>45908</v>
      </c>
    </row>
    <row r="100" spans="1:79">
      <c r="A100">
        <v>101</v>
      </c>
      <c r="B100">
        <v>109</v>
      </c>
      <c r="C100">
        <v>57</v>
      </c>
      <c r="D100" t="s">
        <v>3462</v>
      </c>
      <c r="F100" t="s">
        <v>150</v>
      </c>
      <c r="G100" s="12" t="s">
        <v>3463</v>
      </c>
      <c r="I100">
        <v>70</v>
      </c>
      <c r="J100">
        <v>69</v>
      </c>
      <c r="K100">
        <v>141</v>
      </c>
      <c r="L100">
        <v>79</v>
      </c>
      <c r="M100" t="s">
        <v>72</v>
      </c>
      <c r="N100">
        <v>140</v>
      </c>
      <c r="O100">
        <v>76</v>
      </c>
      <c r="P100" t="s">
        <v>72</v>
      </c>
      <c r="Q100" t="s">
        <v>72</v>
      </c>
      <c r="R100">
        <v>109</v>
      </c>
      <c r="S100">
        <v>165</v>
      </c>
      <c r="T100" s="8">
        <f t="shared" si="2"/>
        <v>40.036730945821851</v>
      </c>
      <c r="U100" s="13" t="str" cm="1">
        <f t="array" ref="U100">IF(T100="","",_xlfn.IFS(T100&lt;18.5,"Bajo peso",T100&lt;25,"Peso normal",T100&lt;30,"Sobrepeso",T100&lt;35,"Obesidad clase I",T100&lt;40,"Obesidad clase II",T100&gt;=40,"Obesidad clase III"))</f>
        <v>Obesidad clase III</v>
      </c>
      <c r="V100">
        <v>110</v>
      </c>
      <c r="X100" t="s">
        <v>3463</v>
      </c>
      <c r="Y100">
        <v>1.6</v>
      </c>
      <c r="AA100">
        <v>50</v>
      </c>
      <c r="AB100" s="9">
        <f t="shared" si="3"/>
        <v>49.943381525515946</v>
      </c>
      <c r="AD100" t="s">
        <v>158</v>
      </c>
      <c r="AF100" t="s">
        <v>158</v>
      </c>
      <c r="AG100" t="s">
        <v>3465</v>
      </c>
      <c r="AH100" t="s">
        <v>3465</v>
      </c>
      <c r="AI100" t="s">
        <v>3465</v>
      </c>
      <c r="AJ100" t="s">
        <v>3463</v>
      </c>
      <c r="AK100" t="s">
        <v>3465</v>
      </c>
      <c r="AL100" t="s">
        <v>3465</v>
      </c>
      <c r="AM100" t="s">
        <v>344</v>
      </c>
      <c r="AN100" t="s">
        <v>3627</v>
      </c>
      <c r="AO100" t="s">
        <v>3463</v>
      </c>
      <c r="AP100" t="s">
        <v>3465</v>
      </c>
      <c r="AQ100" t="s">
        <v>345</v>
      </c>
      <c r="AR100" t="s">
        <v>3506</v>
      </c>
      <c r="AS100" t="s">
        <v>3465</v>
      </c>
      <c r="AV100" t="s">
        <v>74</v>
      </c>
      <c r="AW100" t="s">
        <v>3915</v>
      </c>
      <c r="BA100" t="s">
        <v>3920</v>
      </c>
      <c r="BB100" t="s">
        <v>3485</v>
      </c>
      <c r="BF100" t="s">
        <v>3921</v>
      </c>
      <c r="BG100" t="s">
        <v>346</v>
      </c>
      <c r="BH100" t="s">
        <v>4042</v>
      </c>
      <c r="BI100" t="s">
        <v>139</v>
      </c>
      <c r="BK100" t="s">
        <v>347</v>
      </c>
      <c r="BN100" t="s">
        <v>341</v>
      </c>
      <c r="BP100" t="s">
        <v>4306</v>
      </c>
      <c r="BQ100" t="s">
        <v>3463</v>
      </c>
      <c r="BR100" t="s">
        <v>3465</v>
      </c>
      <c r="BS100" t="s">
        <v>3463</v>
      </c>
      <c r="BT100" t="s">
        <v>3463</v>
      </c>
      <c r="BU100" t="s">
        <v>3465</v>
      </c>
      <c r="BV100" t="s">
        <v>3463</v>
      </c>
      <c r="BW100" t="s">
        <v>3463</v>
      </c>
      <c r="BX100" t="s">
        <v>79</v>
      </c>
      <c r="BY100" t="s">
        <v>87</v>
      </c>
      <c r="BZ100" t="s">
        <v>79</v>
      </c>
      <c r="CA100" s="10">
        <v>45908</v>
      </c>
    </row>
    <row r="101" spans="1:79">
      <c r="A101">
        <v>102</v>
      </c>
      <c r="B101">
        <v>110</v>
      </c>
      <c r="C101">
        <v>51</v>
      </c>
      <c r="D101" t="s">
        <v>3462</v>
      </c>
      <c r="F101" t="s">
        <v>71</v>
      </c>
      <c r="G101" s="12" t="s">
        <v>3465</v>
      </c>
      <c r="H101" t="s">
        <v>88</v>
      </c>
      <c r="I101">
        <v>84</v>
      </c>
      <c r="J101">
        <v>92</v>
      </c>
      <c r="K101">
        <v>151</v>
      </c>
      <c r="L101">
        <v>90</v>
      </c>
      <c r="M101" t="s">
        <v>72</v>
      </c>
      <c r="N101">
        <v>168</v>
      </c>
      <c r="O101">
        <v>94</v>
      </c>
      <c r="P101" t="s">
        <v>72</v>
      </c>
      <c r="Q101" t="s">
        <v>72</v>
      </c>
      <c r="R101">
        <v>112</v>
      </c>
      <c r="S101">
        <v>164</v>
      </c>
      <c r="T101" s="8">
        <f t="shared" si="2"/>
        <v>41.641879833432476</v>
      </c>
      <c r="U101" s="13" t="str" cm="1">
        <f t="array" ref="U101">IF(T101="","",_xlfn.IFS(T101&lt;18.5,"Bajo peso",T101&lt;25,"Peso normal",T101&lt;30,"Sobrepeso",T101&lt;35,"Obesidad clase I",T101&lt;40,"Obesidad clase II",T101&gt;=40,"Obesidad clase III"))</f>
        <v>Obesidad clase III</v>
      </c>
      <c r="V101">
        <v>125</v>
      </c>
      <c r="X101" t="s">
        <v>3463</v>
      </c>
      <c r="Y101">
        <v>1.76</v>
      </c>
      <c r="AA101">
        <v>46</v>
      </c>
      <c r="AB101" s="9">
        <f t="shared" si="3"/>
        <v>46.239461449459021</v>
      </c>
      <c r="AD101" t="s">
        <v>158</v>
      </c>
      <c r="AF101" t="s">
        <v>158</v>
      </c>
      <c r="AH101" t="s">
        <v>3463</v>
      </c>
      <c r="AI101" t="s">
        <v>3463</v>
      </c>
      <c r="AJ101" t="s">
        <v>3463</v>
      </c>
      <c r="AK101" t="s">
        <v>3463</v>
      </c>
      <c r="AL101" t="s">
        <v>3463</v>
      </c>
      <c r="AP101" t="s">
        <v>3463</v>
      </c>
      <c r="AQ101" t="s">
        <v>348</v>
      </c>
      <c r="AR101" t="s">
        <v>3507</v>
      </c>
      <c r="AV101" t="s">
        <v>74</v>
      </c>
      <c r="AW101" t="s">
        <v>3915</v>
      </c>
      <c r="BA101" t="s">
        <v>3920</v>
      </c>
      <c r="BC101" t="s">
        <v>128</v>
      </c>
      <c r="BF101" t="s">
        <v>3921</v>
      </c>
      <c r="BG101" t="s">
        <v>349</v>
      </c>
      <c r="BH101" t="s">
        <v>4056</v>
      </c>
      <c r="BK101" t="s">
        <v>350</v>
      </c>
      <c r="BN101" t="s">
        <v>94</v>
      </c>
      <c r="BP101" t="s">
        <v>4307</v>
      </c>
      <c r="BQ101" t="s">
        <v>3463</v>
      </c>
      <c r="BR101" t="s">
        <v>3465</v>
      </c>
      <c r="BS101" t="s">
        <v>3463</v>
      </c>
      <c r="BT101" t="s">
        <v>3463</v>
      </c>
      <c r="BU101" t="s">
        <v>3463</v>
      </c>
      <c r="BV101" t="s">
        <v>3463</v>
      </c>
      <c r="BW101" t="s">
        <v>3463</v>
      </c>
      <c r="BX101" t="s">
        <v>79</v>
      </c>
      <c r="BY101" t="s">
        <v>87</v>
      </c>
      <c r="BZ101" t="s">
        <v>79</v>
      </c>
      <c r="CA101" s="10">
        <v>45908</v>
      </c>
    </row>
    <row r="102" spans="1:79">
      <c r="A102">
        <v>103</v>
      </c>
      <c r="B102">
        <v>111</v>
      </c>
      <c r="C102">
        <v>59</v>
      </c>
      <c r="D102" t="s">
        <v>3462</v>
      </c>
      <c r="E102" t="s">
        <v>351</v>
      </c>
      <c r="F102" t="s">
        <v>71</v>
      </c>
      <c r="G102" s="12" t="s">
        <v>3463</v>
      </c>
      <c r="I102">
        <v>77</v>
      </c>
      <c r="J102">
        <v>76</v>
      </c>
      <c r="K102">
        <v>150</v>
      </c>
      <c r="L102">
        <v>91</v>
      </c>
      <c r="M102" t="s">
        <v>72</v>
      </c>
      <c r="N102">
        <v>138</v>
      </c>
      <c r="O102">
        <v>86</v>
      </c>
      <c r="P102" t="s">
        <v>82</v>
      </c>
      <c r="Q102" t="s">
        <v>82</v>
      </c>
      <c r="R102">
        <v>107</v>
      </c>
      <c r="S102">
        <v>170</v>
      </c>
      <c r="T102" s="8">
        <f t="shared" si="2"/>
        <v>37.024221453287197</v>
      </c>
      <c r="U102" s="13" t="str" cm="1">
        <f t="array" ref="U102">IF(T102="","",_xlfn.IFS(T102&lt;18.5,"Bajo peso",T102&lt;25,"Peso normal",T102&lt;30,"Sobrepeso",T102&lt;35,"Obesidad clase I",T102&lt;40,"Obesidad clase II",T102&gt;=40,"Obesidad clase III"))</f>
        <v>Obesidad clase II</v>
      </c>
      <c r="V102">
        <v>116</v>
      </c>
      <c r="X102" t="s">
        <v>3463</v>
      </c>
      <c r="Y102">
        <v>1.29</v>
      </c>
      <c r="AA102">
        <v>64</v>
      </c>
      <c r="AB102" s="9">
        <f t="shared" si="3"/>
        <v>63.872255939032591</v>
      </c>
      <c r="AD102" t="s">
        <v>73</v>
      </c>
      <c r="AF102" t="s">
        <v>73</v>
      </c>
      <c r="AH102" t="s">
        <v>3463</v>
      </c>
      <c r="AI102" t="s">
        <v>3465</v>
      </c>
      <c r="AJ102" t="s">
        <v>3463</v>
      </c>
      <c r="AK102" t="s">
        <v>3463</v>
      </c>
      <c r="AL102" t="s">
        <v>3465</v>
      </c>
      <c r="AM102" t="s">
        <v>257</v>
      </c>
      <c r="AN102" t="s">
        <v>116</v>
      </c>
      <c r="AP102" t="s">
        <v>3463</v>
      </c>
      <c r="AQ102" t="s">
        <v>120</v>
      </c>
      <c r="AR102" t="s">
        <v>3491</v>
      </c>
      <c r="AS102" t="s">
        <v>3465</v>
      </c>
      <c r="AV102" t="s">
        <v>74</v>
      </c>
      <c r="AW102" t="s">
        <v>3915</v>
      </c>
      <c r="BF102" t="s">
        <v>3921</v>
      </c>
      <c r="BH102" t="s">
        <v>4020</v>
      </c>
      <c r="BP102" t="s">
        <v>4260</v>
      </c>
      <c r="BQ102" t="s">
        <v>3463</v>
      </c>
      <c r="BR102" t="s">
        <v>3463</v>
      </c>
      <c r="BS102" t="s">
        <v>3463</v>
      </c>
      <c r="BT102" t="s">
        <v>3465</v>
      </c>
      <c r="BU102" t="s">
        <v>3463</v>
      </c>
      <c r="BV102" t="s">
        <v>3463</v>
      </c>
      <c r="BW102" t="s">
        <v>3463</v>
      </c>
      <c r="BX102" t="s">
        <v>79</v>
      </c>
      <c r="BY102" t="s">
        <v>87</v>
      </c>
      <c r="BZ102" t="s">
        <v>79</v>
      </c>
      <c r="CA102" s="10">
        <v>45908</v>
      </c>
    </row>
    <row r="103" spans="1:79">
      <c r="A103">
        <v>104</v>
      </c>
      <c r="B103">
        <v>112</v>
      </c>
      <c r="C103">
        <v>61</v>
      </c>
      <c r="D103" t="s">
        <v>3462</v>
      </c>
      <c r="F103" t="s">
        <v>71</v>
      </c>
      <c r="G103" s="12" t="s">
        <v>3463</v>
      </c>
      <c r="H103" s="12"/>
      <c r="I103">
        <v>78</v>
      </c>
      <c r="J103">
        <v>78</v>
      </c>
      <c r="K103">
        <v>159</v>
      </c>
      <c r="L103">
        <v>92</v>
      </c>
      <c r="M103" t="s">
        <v>72</v>
      </c>
      <c r="N103">
        <v>162</v>
      </c>
      <c r="O103">
        <v>96</v>
      </c>
      <c r="P103" t="s">
        <v>72</v>
      </c>
      <c r="Q103" t="s">
        <v>72</v>
      </c>
      <c r="R103">
        <v>93.4</v>
      </c>
      <c r="S103">
        <v>165</v>
      </c>
      <c r="T103" s="8">
        <f t="shared" si="2"/>
        <v>34.306703397612488</v>
      </c>
      <c r="U103" s="13" t="str" cm="1">
        <f t="array" ref="U103">IF(T103="","",_xlfn.IFS(T103&lt;18.5,"Bajo peso",T103&lt;25,"Peso normal",T103&lt;30,"Sobrepeso",T103&lt;35,"Obesidad clase I",T103&lt;40,"Obesidad clase II",T103&gt;=40,"Obesidad clase III"))</f>
        <v>Obesidad clase I</v>
      </c>
      <c r="V103">
        <v>81</v>
      </c>
      <c r="X103" t="s">
        <v>3463</v>
      </c>
      <c r="Y103">
        <v>1.6</v>
      </c>
      <c r="AA103">
        <v>48</v>
      </c>
      <c r="AB103" s="9">
        <f t="shared" si="3"/>
        <v>48.716257067371274</v>
      </c>
      <c r="AD103" t="s">
        <v>158</v>
      </c>
      <c r="AF103" t="s">
        <v>158</v>
      </c>
      <c r="AH103" t="s">
        <v>3463</v>
      </c>
      <c r="AI103" t="s">
        <v>3463</v>
      </c>
      <c r="AJ103" t="s">
        <v>3463</v>
      </c>
      <c r="AK103" t="s">
        <v>3463</v>
      </c>
      <c r="AL103" t="s">
        <v>3463</v>
      </c>
      <c r="AP103" t="s">
        <v>3463</v>
      </c>
      <c r="AQ103" t="s">
        <v>159</v>
      </c>
      <c r="AR103" t="s">
        <v>3491</v>
      </c>
      <c r="AV103" t="s">
        <v>74</v>
      </c>
      <c r="AW103" t="s">
        <v>3915</v>
      </c>
      <c r="BA103" t="s">
        <v>3920</v>
      </c>
      <c r="BF103" t="s">
        <v>3921</v>
      </c>
      <c r="BG103" t="s">
        <v>352</v>
      </c>
      <c r="BH103" t="s">
        <v>4032</v>
      </c>
      <c r="BK103" t="s">
        <v>353</v>
      </c>
      <c r="BN103" t="s">
        <v>94</v>
      </c>
      <c r="BP103" t="s">
        <v>4308</v>
      </c>
      <c r="BQ103" t="s">
        <v>3463</v>
      </c>
      <c r="BR103" t="s">
        <v>3465</v>
      </c>
      <c r="BS103" t="s">
        <v>3463</v>
      </c>
      <c r="BT103" t="s">
        <v>3463</v>
      </c>
      <c r="BU103" t="s">
        <v>3463</v>
      </c>
      <c r="BV103" t="s">
        <v>3463</v>
      </c>
      <c r="BW103" t="s">
        <v>3463</v>
      </c>
      <c r="BX103" t="s">
        <v>79</v>
      </c>
      <c r="BY103" t="s">
        <v>87</v>
      </c>
      <c r="BZ103" t="s">
        <v>79</v>
      </c>
      <c r="CA103" s="10">
        <v>45908</v>
      </c>
    </row>
    <row r="104" spans="1:79">
      <c r="A104">
        <v>105</v>
      </c>
      <c r="B104">
        <v>113</v>
      </c>
      <c r="C104">
        <v>37</v>
      </c>
      <c r="D104" t="s">
        <v>3462</v>
      </c>
      <c r="F104" t="s">
        <v>150</v>
      </c>
      <c r="G104" s="12" t="s">
        <v>3463</v>
      </c>
      <c r="I104">
        <v>79</v>
      </c>
      <c r="J104">
        <v>75</v>
      </c>
      <c r="K104">
        <v>147</v>
      </c>
      <c r="L104">
        <v>79</v>
      </c>
      <c r="M104" t="s">
        <v>72</v>
      </c>
      <c r="N104">
        <v>143</v>
      </c>
      <c r="O104">
        <v>81</v>
      </c>
      <c r="P104" t="s">
        <v>72</v>
      </c>
      <c r="Q104" t="s">
        <v>72</v>
      </c>
      <c r="R104">
        <v>82</v>
      </c>
      <c r="S104">
        <v>170</v>
      </c>
      <c r="T104" s="8">
        <f t="shared" si="2"/>
        <v>28.373702422145328</v>
      </c>
      <c r="U104" s="13" t="str" cm="1">
        <f t="array" ref="U104">IF(T104="","",_xlfn.IFS(T104&lt;18.5,"Bajo peso",T104&lt;25,"Peso normal",T104&lt;30,"Sobrepeso",T104&lt;35,"Obesidad clase I",T104&lt;40,"Obesidad clase II",T104&gt;=40,"Obesidad clase III"))</f>
        <v>Sobrepeso</v>
      </c>
      <c r="V104">
        <v>113</v>
      </c>
      <c r="X104" t="s">
        <v>3463</v>
      </c>
      <c r="Y104">
        <v>1.38</v>
      </c>
      <c r="AA104">
        <v>67</v>
      </c>
      <c r="AB104" s="9">
        <f t="shared" si="3"/>
        <v>67.544061419598009</v>
      </c>
      <c r="AD104" t="s">
        <v>73</v>
      </c>
      <c r="AF104" t="s">
        <v>73</v>
      </c>
      <c r="AH104" t="s">
        <v>3464</v>
      </c>
      <c r="AI104" t="s">
        <v>3463</v>
      </c>
      <c r="AJ104" t="s">
        <v>3463</v>
      </c>
      <c r="AK104" t="s">
        <v>3463</v>
      </c>
      <c r="AL104" t="s">
        <v>3463</v>
      </c>
      <c r="AP104" t="s">
        <v>3463</v>
      </c>
      <c r="AQ104" t="s">
        <v>354</v>
      </c>
      <c r="AR104" t="s">
        <v>3491</v>
      </c>
      <c r="AV104" t="s">
        <v>74</v>
      </c>
      <c r="AW104" t="s">
        <v>3915</v>
      </c>
      <c r="BF104" t="s">
        <v>3921</v>
      </c>
      <c r="BH104" t="s">
        <v>4029</v>
      </c>
      <c r="BL104" t="s">
        <v>355</v>
      </c>
      <c r="BP104" t="s">
        <v>4260</v>
      </c>
      <c r="BQ104" t="s">
        <v>3463</v>
      </c>
      <c r="BR104" t="s">
        <v>3465</v>
      </c>
      <c r="BS104" t="s">
        <v>3465</v>
      </c>
      <c r="BT104" t="s">
        <v>3465</v>
      </c>
      <c r="BU104" t="s">
        <v>3463</v>
      </c>
      <c r="BX104" t="s">
        <v>79</v>
      </c>
      <c r="BY104" t="s">
        <v>87</v>
      </c>
      <c r="BZ104" t="s">
        <v>79</v>
      </c>
      <c r="CA104" s="10">
        <v>45908</v>
      </c>
    </row>
    <row r="105" spans="1:79">
      <c r="A105">
        <v>106</v>
      </c>
      <c r="B105">
        <v>114</v>
      </c>
      <c r="C105">
        <v>55</v>
      </c>
      <c r="D105" t="s">
        <v>3462</v>
      </c>
      <c r="F105" t="s">
        <v>71</v>
      </c>
      <c r="G105" s="12" t="s">
        <v>3463</v>
      </c>
      <c r="I105">
        <v>92</v>
      </c>
      <c r="J105">
        <v>88</v>
      </c>
      <c r="K105">
        <v>148</v>
      </c>
      <c r="L105">
        <v>97</v>
      </c>
      <c r="M105" t="s">
        <v>72</v>
      </c>
      <c r="N105">
        <v>146</v>
      </c>
      <c r="O105">
        <v>94</v>
      </c>
      <c r="P105" t="s">
        <v>72</v>
      </c>
      <c r="Q105" t="s">
        <v>72</v>
      </c>
      <c r="R105">
        <v>93</v>
      </c>
      <c r="S105">
        <v>163</v>
      </c>
      <c r="T105" s="8">
        <f t="shared" si="2"/>
        <v>35.003199217132746</v>
      </c>
      <c r="U105" s="13" t="str" cm="1">
        <f t="array" ref="U105">IF(T105="","",_xlfn.IFS(T105&lt;18.5,"Bajo peso",T105&lt;25,"Peso normal",T105&lt;30,"Sobrepeso",T105&lt;35,"Obesidad clase I",T105&lt;40,"Obesidad clase II",T105&gt;=40,"Obesidad clase III"))</f>
        <v>Obesidad clase II</v>
      </c>
      <c r="V105">
        <v>267</v>
      </c>
      <c r="X105" t="s">
        <v>3465</v>
      </c>
      <c r="Y105">
        <v>1.21</v>
      </c>
      <c r="AA105">
        <v>71</v>
      </c>
      <c r="AB105" s="9">
        <f t="shared" si="3"/>
        <v>70.710106906523649</v>
      </c>
      <c r="AD105" t="s">
        <v>73</v>
      </c>
      <c r="AF105" t="s">
        <v>73</v>
      </c>
      <c r="AG105" t="s">
        <v>3465</v>
      </c>
      <c r="AH105" t="s">
        <v>3465</v>
      </c>
      <c r="AI105" t="s">
        <v>3465</v>
      </c>
      <c r="AJ105" t="s">
        <v>3465</v>
      </c>
      <c r="AK105" t="s">
        <v>3463</v>
      </c>
      <c r="AL105" t="s">
        <v>3465</v>
      </c>
      <c r="AM105" t="s">
        <v>356</v>
      </c>
      <c r="AN105" t="s">
        <v>110</v>
      </c>
      <c r="AP105" t="s">
        <v>3463</v>
      </c>
      <c r="AQ105" t="s">
        <v>357</v>
      </c>
      <c r="AR105" t="s">
        <v>3493</v>
      </c>
      <c r="AS105" t="s">
        <v>3465</v>
      </c>
      <c r="AV105" t="s">
        <v>178</v>
      </c>
      <c r="AW105" t="s">
        <v>3918</v>
      </c>
      <c r="BA105" t="s">
        <v>3920</v>
      </c>
      <c r="BB105" t="s">
        <v>3485</v>
      </c>
      <c r="BD105" t="s">
        <v>105</v>
      </c>
      <c r="BF105" t="s">
        <v>3921</v>
      </c>
      <c r="BG105" t="s">
        <v>358</v>
      </c>
      <c r="BH105" t="s">
        <v>4057</v>
      </c>
      <c r="BL105" t="s">
        <v>359</v>
      </c>
      <c r="BP105" t="s">
        <v>4309</v>
      </c>
      <c r="BQ105" t="s">
        <v>3463</v>
      </c>
      <c r="BR105" t="s">
        <v>3463</v>
      </c>
      <c r="BS105" t="s">
        <v>3463</v>
      </c>
      <c r="BT105" t="s">
        <v>3463</v>
      </c>
      <c r="BU105" t="s">
        <v>3463</v>
      </c>
      <c r="BV105" t="s">
        <v>3463</v>
      </c>
      <c r="BW105" t="s">
        <v>3463</v>
      </c>
      <c r="BX105" t="s">
        <v>79</v>
      </c>
      <c r="BY105" t="s">
        <v>87</v>
      </c>
      <c r="BZ105" t="s">
        <v>79</v>
      </c>
      <c r="CA105" s="10">
        <v>45908</v>
      </c>
    </row>
    <row r="106" spans="1:79">
      <c r="A106">
        <v>107</v>
      </c>
      <c r="B106">
        <v>115</v>
      </c>
      <c r="C106">
        <v>45</v>
      </c>
      <c r="D106" t="s">
        <v>3462</v>
      </c>
      <c r="F106" t="s">
        <v>71</v>
      </c>
      <c r="G106" s="12" t="s">
        <v>3463</v>
      </c>
      <c r="I106">
        <v>89</v>
      </c>
      <c r="K106">
        <v>121</v>
      </c>
      <c r="L106">
        <v>74</v>
      </c>
      <c r="M106" t="s">
        <v>118</v>
      </c>
      <c r="P106" t="s">
        <v>83</v>
      </c>
      <c r="Q106" t="s">
        <v>118</v>
      </c>
      <c r="R106">
        <v>64</v>
      </c>
      <c r="S106">
        <v>160</v>
      </c>
      <c r="T106" s="8">
        <f t="shared" si="2"/>
        <v>25</v>
      </c>
      <c r="U106" s="13" t="str" cm="1">
        <f t="array" ref="U106">IF(T106="","",_xlfn.IFS(T106&lt;18.5,"Bajo peso",T106&lt;25,"Peso normal",T106&lt;30,"Sobrepeso",T106&lt;35,"Obesidad clase I",T106&lt;40,"Obesidad clase II",T106&gt;=40,"Obesidad clase III"))</f>
        <v>Sobrepeso</v>
      </c>
      <c r="V106">
        <v>126</v>
      </c>
      <c r="W106">
        <v>137</v>
      </c>
      <c r="X106" t="s">
        <v>3463</v>
      </c>
      <c r="Y106">
        <v>1.92</v>
      </c>
      <c r="Z106">
        <v>2.08</v>
      </c>
      <c r="AA106">
        <v>43</v>
      </c>
      <c r="AB106" s="9">
        <f t="shared" si="3"/>
        <v>43.238691195468078</v>
      </c>
      <c r="AC106">
        <v>39</v>
      </c>
      <c r="AD106" t="s">
        <v>218</v>
      </c>
      <c r="AE106" t="s">
        <v>218</v>
      </c>
      <c r="AF106" t="s">
        <v>218</v>
      </c>
      <c r="AH106" t="s">
        <v>3463</v>
      </c>
      <c r="AI106" t="s">
        <v>3463</v>
      </c>
      <c r="AJ106" t="s">
        <v>3465</v>
      </c>
      <c r="AK106" t="s">
        <v>3465</v>
      </c>
      <c r="AL106" t="s">
        <v>3463</v>
      </c>
      <c r="AP106" t="s">
        <v>3463</v>
      </c>
      <c r="AQ106" t="s">
        <v>360</v>
      </c>
      <c r="AR106" t="s">
        <v>3493</v>
      </c>
      <c r="AV106" t="s">
        <v>178</v>
      </c>
      <c r="AW106" t="s">
        <v>3918</v>
      </c>
      <c r="BF106" t="s">
        <v>3921</v>
      </c>
      <c r="BG106" t="s">
        <v>361</v>
      </c>
      <c r="BH106" t="s">
        <v>4058</v>
      </c>
      <c r="BK106" t="s">
        <v>362</v>
      </c>
      <c r="BL106" t="s">
        <v>363</v>
      </c>
      <c r="BP106" t="s">
        <v>4310</v>
      </c>
      <c r="BQ106" t="s">
        <v>3465</v>
      </c>
      <c r="BR106" t="s">
        <v>3465</v>
      </c>
      <c r="BS106" t="s">
        <v>3463</v>
      </c>
      <c r="BT106" t="s">
        <v>3463</v>
      </c>
      <c r="BU106" t="s">
        <v>3463</v>
      </c>
      <c r="BV106" t="s">
        <v>3463</v>
      </c>
      <c r="BW106" t="s">
        <v>3463</v>
      </c>
      <c r="BX106" t="s">
        <v>79</v>
      </c>
      <c r="BY106" t="s">
        <v>87</v>
      </c>
      <c r="BZ106" t="s">
        <v>79</v>
      </c>
      <c r="CA106" s="10">
        <v>45908</v>
      </c>
    </row>
    <row r="107" spans="1:79">
      <c r="A107">
        <v>108</v>
      </c>
      <c r="B107">
        <v>116</v>
      </c>
      <c r="C107">
        <v>29</v>
      </c>
      <c r="D107" t="s">
        <v>3462</v>
      </c>
      <c r="F107" t="s">
        <v>71</v>
      </c>
      <c r="G107" s="12" t="s">
        <v>3463</v>
      </c>
      <c r="I107">
        <v>66</v>
      </c>
      <c r="J107">
        <v>64</v>
      </c>
      <c r="K107">
        <v>151</v>
      </c>
      <c r="L107">
        <v>82</v>
      </c>
      <c r="M107" t="s">
        <v>72</v>
      </c>
      <c r="N107">
        <v>153</v>
      </c>
      <c r="O107">
        <v>83</v>
      </c>
      <c r="P107" t="s">
        <v>72</v>
      </c>
      <c r="Q107" t="s">
        <v>72</v>
      </c>
      <c r="R107">
        <v>89</v>
      </c>
      <c r="S107">
        <v>178</v>
      </c>
      <c r="T107" s="8">
        <f t="shared" si="2"/>
        <v>28.089887640449437</v>
      </c>
      <c r="U107" s="13" t="str" cm="1">
        <f t="array" ref="U107">IF(T107="","",_xlfn.IFS(T107&lt;18.5,"Bajo peso",T107&lt;25,"Peso normal",T107&lt;30,"Sobrepeso",T107&lt;35,"Obesidad clase I",T107&lt;40,"Obesidad clase II",T107&gt;=40,"Obesidad clase III"))</f>
        <v>Sobrepeso</v>
      </c>
      <c r="V107">
        <v>90</v>
      </c>
      <c r="X107" t="s">
        <v>3463</v>
      </c>
      <c r="Y107">
        <v>1.35</v>
      </c>
      <c r="AA107">
        <v>73</v>
      </c>
      <c r="AB107" s="9">
        <f t="shared" si="3"/>
        <v>72.886922494187729</v>
      </c>
      <c r="AD107" t="s">
        <v>73</v>
      </c>
      <c r="AF107" t="s">
        <v>73</v>
      </c>
      <c r="AH107" t="s">
        <v>3463</v>
      </c>
      <c r="AI107" t="s">
        <v>3463</v>
      </c>
      <c r="AJ107" t="s">
        <v>3463</v>
      </c>
      <c r="AK107" t="s">
        <v>3463</v>
      </c>
      <c r="AL107" t="s">
        <v>3463</v>
      </c>
      <c r="AO107" t="s">
        <v>3463</v>
      </c>
      <c r="AP107" t="s">
        <v>3465</v>
      </c>
      <c r="AQ107" t="s">
        <v>159</v>
      </c>
      <c r="AR107" t="s">
        <v>3491</v>
      </c>
      <c r="AV107" t="s">
        <v>126</v>
      </c>
      <c r="AW107" t="s">
        <v>126</v>
      </c>
      <c r="BA107" t="s">
        <v>3920</v>
      </c>
      <c r="BF107" t="s">
        <v>3921</v>
      </c>
      <c r="BG107" t="s">
        <v>364</v>
      </c>
      <c r="BH107" t="s">
        <v>4059</v>
      </c>
      <c r="BK107" t="s">
        <v>365</v>
      </c>
      <c r="BL107" t="s">
        <v>366</v>
      </c>
      <c r="BP107" t="s">
        <v>4311</v>
      </c>
      <c r="BQ107" t="s">
        <v>3465</v>
      </c>
      <c r="BR107" t="s">
        <v>3463</v>
      </c>
      <c r="BS107" t="s">
        <v>3465</v>
      </c>
      <c r="BT107" t="s">
        <v>3465</v>
      </c>
      <c r="BU107" t="s">
        <v>3463</v>
      </c>
      <c r="BV107" t="s">
        <v>3463</v>
      </c>
      <c r="BW107" t="s">
        <v>3463</v>
      </c>
      <c r="BX107" t="s">
        <v>79</v>
      </c>
      <c r="BY107" t="s">
        <v>87</v>
      </c>
      <c r="BZ107" t="s">
        <v>79</v>
      </c>
      <c r="CA107" s="10">
        <v>45908</v>
      </c>
    </row>
    <row r="108" spans="1:79">
      <c r="A108">
        <v>109</v>
      </c>
      <c r="B108">
        <v>117</v>
      </c>
      <c r="C108">
        <v>53</v>
      </c>
      <c r="D108" t="s">
        <v>3462</v>
      </c>
      <c r="E108" t="s">
        <v>333</v>
      </c>
      <c r="F108" t="s">
        <v>150</v>
      </c>
      <c r="G108" s="12" t="s">
        <v>3465</v>
      </c>
      <c r="H108" t="s">
        <v>88</v>
      </c>
      <c r="I108">
        <v>94</v>
      </c>
      <c r="J108">
        <v>93</v>
      </c>
      <c r="K108">
        <v>165</v>
      </c>
      <c r="L108">
        <v>99</v>
      </c>
      <c r="M108" t="s">
        <v>72</v>
      </c>
      <c r="N108">
        <v>166</v>
      </c>
      <c r="O108">
        <v>93</v>
      </c>
      <c r="P108" t="s">
        <v>72</v>
      </c>
      <c r="Q108" t="s">
        <v>72</v>
      </c>
      <c r="R108">
        <v>101</v>
      </c>
      <c r="S108">
        <v>175</v>
      </c>
      <c r="T108" s="8">
        <f t="shared" si="2"/>
        <v>32.979591836734691</v>
      </c>
      <c r="U108" s="13" t="str" cm="1">
        <f t="array" ref="U108">IF(T108="","",_xlfn.IFS(T108&lt;18.5,"Bajo peso",T108&lt;25,"Peso normal",T108&lt;30,"Sobrepeso",T108&lt;35,"Obesidad clase I",T108&lt;40,"Obesidad clase II",T108&gt;=40,"Obesidad clase III"))</f>
        <v>Obesidad clase I</v>
      </c>
      <c r="V108">
        <v>100</v>
      </c>
      <c r="X108" t="s">
        <v>3463</v>
      </c>
      <c r="Y108">
        <v>1.23</v>
      </c>
      <c r="AA108">
        <v>70</v>
      </c>
      <c r="AB108" s="9">
        <f t="shared" si="3"/>
        <v>70.200437654932813</v>
      </c>
      <c r="AD108" t="s">
        <v>73</v>
      </c>
      <c r="AF108" t="s">
        <v>73</v>
      </c>
      <c r="AH108" t="s">
        <v>3463</v>
      </c>
      <c r="AI108" t="s">
        <v>3465</v>
      </c>
      <c r="AJ108" t="s">
        <v>3463</v>
      </c>
      <c r="AK108" t="s">
        <v>3463</v>
      </c>
      <c r="AL108" t="s">
        <v>3463</v>
      </c>
      <c r="AP108" t="s">
        <v>3463</v>
      </c>
      <c r="AS108" t="s">
        <v>3465</v>
      </c>
      <c r="AV108" t="s">
        <v>74</v>
      </c>
      <c r="AW108" t="s">
        <v>3915</v>
      </c>
      <c r="BA108" t="s">
        <v>3920</v>
      </c>
      <c r="BF108" t="s">
        <v>3921</v>
      </c>
      <c r="BG108" t="s">
        <v>367</v>
      </c>
      <c r="BH108" t="s">
        <v>4060</v>
      </c>
      <c r="BL108" t="s">
        <v>368</v>
      </c>
      <c r="BP108" t="s">
        <v>4312</v>
      </c>
      <c r="BQ108" t="s">
        <v>3465</v>
      </c>
      <c r="BR108" t="s">
        <v>3465</v>
      </c>
      <c r="BS108" t="s">
        <v>3463</v>
      </c>
      <c r="BT108" t="s">
        <v>3463</v>
      </c>
      <c r="BU108" t="s">
        <v>3463</v>
      </c>
      <c r="BV108" t="s">
        <v>3463</v>
      </c>
      <c r="BW108" t="s">
        <v>3463</v>
      </c>
      <c r="BX108" t="s">
        <v>79</v>
      </c>
      <c r="BY108" t="s">
        <v>87</v>
      </c>
      <c r="BZ108" t="s">
        <v>79</v>
      </c>
      <c r="CA108" s="10">
        <v>45908</v>
      </c>
    </row>
    <row r="109" spans="1:79">
      <c r="A109">
        <v>110</v>
      </c>
      <c r="B109">
        <v>118</v>
      </c>
      <c r="C109">
        <v>28</v>
      </c>
      <c r="D109" t="s">
        <v>3462</v>
      </c>
      <c r="F109" t="s">
        <v>150</v>
      </c>
      <c r="G109" s="12" t="s">
        <v>3465</v>
      </c>
      <c r="H109" t="s">
        <v>88</v>
      </c>
      <c r="I109">
        <v>82</v>
      </c>
      <c r="K109">
        <v>133</v>
      </c>
      <c r="L109">
        <v>88</v>
      </c>
      <c r="M109" t="s">
        <v>82</v>
      </c>
      <c r="P109" t="s">
        <v>83</v>
      </c>
      <c r="Q109" t="s">
        <v>82</v>
      </c>
      <c r="R109">
        <v>97</v>
      </c>
      <c r="S109">
        <v>185</v>
      </c>
      <c r="T109" s="8">
        <f t="shared" si="2"/>
        <v>28.341855368882396</v>
      </c>
      <c r="U109" s="13" t="str" cm="1">
        <f t="array" ref="U109">IF(T109="","",_xlfn.IFS(T109&lt;18.5,"Bajo peso",T109&lt;25,"Peso normal",T109&lt;30,"Sobrepeso",T109&lt;35,"Obesidad clase I",T109&lt;40,"Obesidad clase II",T109&gt;=40,"Obesidad clase III"))</f>
        <v>Sobrepeso</v>
      </c>
      <c r="V109">
        <v>129</v>
      </c>
      <c r="X109" t="s">
        <v>3463</v>
      </c>
      <c r="Y109">
        <v>1.7</v>
      </c>
      <c r="AA109">
        <v>56</v>
      </c>
      <c r="AB109" s="9">
        <f t="shared" si="3"/>
        <v>55.617624739760828</v>
      </c>
      <c r="AD109" t="s">
        <v>158</v>
      </c>
      <c r="AF109" t="s">
        <v>158</v>
      </c>
      <c r="AH109" t="s">
        <v>3463</v>
      </c>
      <c r="AI109" t="s">
        <v>3463</v>
      </c>
      <c r="AJ109" t="s">
        <v>3463</v>
      </c>
      <c r="AK109" t="s">
        <v>3463</v>
      </c>
      <c r="AL109" t="s">
        <v>3463</v>
      </c>
      <c r="AP109" t="s">
        <v>3463</v>
      </c>
      <c r="AV109" t="s">
        <v>74</v>
      </c>
      <c r="AW109" t="s">
        <v>3915</v>
      </c>
      <c r="BF109" t="s">
        <v>3921</v>
      </c>
      <c r="BH109" t="s">
        <v>4061</v>
      </c>
      <c r="BI109" t="s">
        <v>369</v>
      </c>
      <c r="BK109" t="s">
        <v>370</v>
      </c>
      <c r="BL109" t="s">
        <v>371</v>
      </c>
      <c r="BP109" t="s">
        <v>4313</v>
      </c>
      <c r="BQ109" t="s">
        <v>3463</v>
      </c>
      <c r="BR109" t="s">
        <v>3465</v>
      </c>
      <c r="BS109" t="s">
        <v>3465</v>
      </c>
      <c r="BT109" t="s">
        <v>3465</v>
      </c>
      <c r="BU109" t="s">
        <v>3463</v>
      </c>
      <c r="BV109" t="s">
        <v>3463</v>
      </c>
      <c r="BW109" t="s">
        <v>3463</v>
      </c>
      <c r="BX109" t="s">
        <v>79</v>
      </c>
      <c r="BY109" t="s">
        <v>87</v>
      </c>
      <c r="BZ109" t="s">
        <v>79</v>
      </c>
      <c r="CA109" s="10">
        <v>45908</v>
      </c>
    </row>
    <row r="110" spans="1:79">
      <c r="A110">
        <v>111</v>
      </c>
      <c r="B110">
        <v>119</v>
      </c>
      <c r="C110">
        <v>29</v>
      </c>
      <c r="D110" t="s">
        <v>3462</v>
      </c>
      <c r="F110" t="s">
        <v>71</v>
      </c>
      <c r="G110" s="12" t="s">
        <v>3463</v>
      </c>
      <c r="H110" s="12"/>
      <c r="I110">
        <v>80</v>
      </c>
      <c r="K110">
        <v>126</v>
      </c>
      <c r="L110">
        <v>79</v>
      </c>
      <c r="M110" t="s">
        <v>118</v>
      </c>
      <c r="P110" t="s">
        <v>83</v>
      </c>
      <c r="Q110" t="s">
        <v>118</v>
      </c>
      <c r="R110">
        <v>96</v>
      </c>
      <c r="S110">
        <v>174</v>
      </c>
      <c r="T110" s="8">
        <f t="shared" si="2"/>
        <v>31.708283789139916</v>
      </c>
      <c r="U110" s="13" t="str" cm="1">
        <f t="array" ref="U110">IF(T110="","",_xlfn.IFS(T110&lt;18.5,"Bajo peso",T110&lt;25,"Peso normal",T110&lt;30,"Sobrepeso",T110&lt;35,"Obesidad clase I",T110&lt;40,"Obesidad clase II",T110&gt;=40,"Obesidad clase III"))</f>
        <v>Obesidad clase I</v>
      </c>
      <c r="V110">
        <v>114</v>
      </c>
      <c r="X110" t="s">
        <v>3463</v>
      </c>
      <c r="Y110">
        <v>1.06</v>
      </c>
      <c r="AA110">
        <v>90</v>
      </c>
      <c r="AB110" s="9">
        <f t="shared" si="3"/>
        <v>97.427845166688016</v>
      </c>
      <c r="AD110" t="s">
        <v>73</v>
      </c>
      <c r="AF110" t="s">
        <v>73</v>
      </c>
      <c r="AH110" t="s">
        <v>3463</v>
      </c>
      <c r="AI110" t="s">
        <v>3463</v>
      </c>
      <c r="AJ110" t="s">
        <v>3463</v>
      </c>
      <c r="AK110" t="s">
        <v>3463</v>
      </c>
      <c r="AL110" t="s">
        <v>3465</v>
      </c>
      <c r="AM110" t="s">
        <v>372</v>
      </c>
      <c r="AN110" t="s">
        <v>372</v>
      </c>
      <c r="AP110" t="s">
        <v>3463</v>
      </c>
      <c r="AQ110" t="s">
        <v>373</v>
      </c>
      <c r="AR110" t="s">
        <v>3490</v>
      </c>
      <c r="AV110" t="s">
        <v>112</v>
      </c>
      <c r="AW110" t="s">
        <v>3917</v>
      </c>
      <c r="BF110" t="s">
        <v>3921</v>
      </c>
      <c r="BH110" t="s">
        <v>4020</v>
      </c>
      <c r="BP110" t="s">
        <v>4260</v>
      </c>
      <c r="BQ110" t="s">
        <v>3465</v>
      </c>
      <c r="BR110" t="s">
        <v>3463</v>
      </c>
      <c r="BS110" t="s">
        <v>3465</v>
      </c>
      <c r="BT110" t="s">
        <v>3465</v>
      </c>
      <c r="BU110" t="s">
        <v>3463</v>
      </c>
      <c r="BV110" t="s">
        <v>3463</v>
      </c>
      <c r="BW110" t="s">
        <v>3463</v>
      </c>
      <c r="BX110" t="s">
        <v>79</v>
      </c>
      <c r="BY110" t="s">
        <v>87</v>
      </c>
      <c r="BZ110" t="s">
        <v>79</v>
      </c>
      <c r="CA110" s="10">
        <v>45908</v>
      </c>
    </row>
    <row r="111" spans="1:79">
      <c r="A111">
        <v>112</v>
      </c>
      <c r="B111">
        <v>120</v>
      </c>
      <c r="C111">
        <v>50</v>
      </c>
      <c r="D111" t="s">
        <v>3462</v>
      </c>
      <c r="F111" t="s">
        <v>150</v>
      </c>
      <c r="G111" s="12" t="s">
        <v>3463</v>
      </c>
      <c r="H111" s="12"/>
      <c r="I111">
        <v>75</v>
      </c>
      <c r="J111">
        <v>78</v>
      </c>
      <c r="K111">
        <v>140</v>
      </c>
      <c r="L111">
        <v>79</v>
      </c>
      <c r="M111" t="s">
        <v>72</v>
      </c>
      <c r="N111">
        <v>138</v>
      </c>
      <c r="O111">
        <v>75</v>
      </c>
      <c r="P111" t="s">
        <v>82</v>
      </c>
      <c r="Q111" t="s">
        <v>82</v>
      </c>
      <c r="R111">
        <v>69</v>
      </c>
      <c r="S111">
        <v>157</v>
      </c>
      <c r="T111" s="8">
        <f t="shared" si="2"/>
        <v>27.99302202929125</v>
      </c>
      <c r="U111" s="13" t="str" cm="1">
        <f t="array" ref="U111">IF(T111="","",_xlfn.IFS(T111&lt;18.5,"Bajo peso",T111&lt;25,"Peso normal",T111&lt;30,"Sobrepeso",T111&lt;35,"Obesidad clase I",T111&lt;40,"Obesidad clase II",T111&gt;=40,"Obesidad clase III"))</f>
        <v>Sobrepeso</v>
      </c>
      <c r="V111">
        <v>108</v>
      </c>
      <c r="W111">
        <v>98</v>
      </c>
      <c r="X111" t="s">
        <v>3463</v>
      </c>
      <c r="Y111">
        <v>2.0699999999999998</v>
      </c>
      <c r="Z111">
        <v>1.34</v>
      </c>
      <c r="AA111">
        <v>38</v>
      </c>
      <c r="AB111" s="9">
        <f t="shared" si="3"/>
        <v>38.296982967270992</v>
      </c>
      <c r="AC111">
        <v>64</v>
      </c>
      <c r="AD111" t="s">
        <v>218</v>
      </c>
      <c r="AE111" t="s">
        <v>73</v>
      </c>
      <c r="AF111" t="s">
        <v>73</v>
      </c>
      <c r="AH111" t="s">
        <v>3463</v>
      </c>
      <c r="AI111" t="s">
        <v>3463</v>
      </c>
      <c r="AJ111" t="s">
        <v>3463</v>
      </c>
      <c r="AK111" t="s">
        <v>3463</v>
      </c>
      <c r="AL111" t="s">
        <v>3463</v>
      </c>
      <c r="AP111" t="s">
        <v>3463</v>
      </c>
      <c r="AV111" t="s">
        <v>126</v>
      </c>
      <c r="AW111" t="s">
        <v>126</v>
      </c>
      <c r="BF111" t="s">
        <v>3921</v>
      </c>
      <c r="BG111" t="s">
        <v>374</v>
      </c>
      <c r="BH111" t="s">
        <v>4062</v>
      </c>
      <c r="BK111" t="s">
        <v>375</v>
      </c>
      <c r="BL111" t="s">
        <v>376</v>
      </c>
      <c r="BP111" t="s">
        <v>4314</v>
      </c>
      <c r="BQ111" t="s">
        <v>3465</v>
      </c>
      <c r="BR111" t="s">
        <v>3465</v>
      </c>
      <c r="BX111" t="s">
        <v>79</v>
      </c>
      <c r="BY111" t="s">
        <v>87</v>
      </c>
      <c r="BZ111" t="s">
        <v>79</v>
      </c>
      <c r="CA111" s="10">
        <v>45908</v>
      </c>
    </row>
    <row r="112" spans="1:79">
      <c r="A112">
        <v>113</v>
      </c>
      <c r="B112">
        <v>121</v>
      </c>
      <c r="C112">
        <v>33</v>
      </c>
      <c r="D112" t="s">
        <v>3462</v>
      </c>
      <c r="F112" t="s">
        <v>71</v>
      </c>
      <c r="G112" s="12" t="s">
        <v>3463</v>
      </c>
      <c r="I112">
        <v>79</v>
      </c>
      <c r="J112">
        <v>74</v>
      </c>
      <c r="K112">
        <v>149</v>
      </c>
      <c r="L112">
        <v>81</v>
      </c>
      <c r="M112" t="s">
        <v>72</v>
      </c>
      <c r="N112">
        <v>147</v>
      </c>
      <c r="O112">
        <v>84</v>
      </c>
      <c r="P112" t="s">
        <v>72</v>
      </c>
      <c r="Q112" t="s">
        <v>72</v>
      </c>
      <c r="R112">
        <v>87</v>
      </c>
      <c r="S112">
        <v>172</v>
      </c>
      <c r="T112" s="8">
        <f t="shared" si="2"/>
        <v>29.407787993510006</v>
      </c>
      <c r="U112" s="13" t="str" cm="1">
        <f t="array" ref="U112">IF(T112="","",_xlfn.IFS(T112&lt;18.5,"Bajo peso",T112&lt;25,"Peso normal",T112&lt;30,"Sobrepeso",T112&lt;35,"Obesidad clase I",T112&lt;40,"Obesidad clase II",T112&gt;=40,"Obesidad clase III"))</f>
        <v>Sobrepeso</v>
      </c>
      <c r="V112">
        <v>105</v>
      </c>
      <c r="X112" t="s">
        <v>3463</v>
      </c>
      <c r="Y112">
        <v>1.1399999999999999</v>
      </c>
      <c r="AA112">
        <v>87</v>
      </c>
      <c r="AB112" s="9">
        <f t="shared" si="3"/>
        <v>87.088394367848039</v>
      </c>
      <c r="AD112" t="s">
        <v>73</v>
      </c>
      <c r="AF112" t="s">
        <v>73</v>
      </c>
      <c r="AH112" t="s">
        <v>3463</v>
      </c>
      <c r="AI112" t="s">
        <v>3463</v>
      </c>
      <c r="AJ112" t="s">
        <v>3465</v>
      </c>
      <c r="AK112" t="s">
        <v>3463</v>
      </c>
      <c r="AL112" t="s">
        <v>3463</v>
      </c>
      <c r="AP112" t="s">
        <v>3463</v>
      </c>
      <c r="AV112" t="s">
        <v>74</v>
      </c>
      <c r="AW112" t="s">
        <v>3915</v>
      </c>
      <c r="BF112" t="s">
        <v>3921</v>
      </c>
      <c r="BH112" t="s">
        <v>4020</v>
      </c>
      <c r="BP112" t="s">
        <v>4260</v>
      </c>
      <c r="BQ112" t="s">
        <v>3463</v>
      </c>
      <c r="BR112" t="s">
        <v>3465</v>
      </c>
      <c r="BS112" t="s">
        <v>3465</v>
      </c>
      <c r="BT112" t="s">
        <v>3465</v>
      </c>
      <c r="BU112" t="s">
        <v>3463</v>
      </c>
      <c r="BV112" t="s">
        <v>3463</v>
      </c>
      <c r="BW112" t="s">
        <v>3463</v>
      </c>
      <c r="BX112" t="s">
        <v>79</v>
      </c>
      <c r="BY112" t="s">
        <v>87</v>
      </c>
      <c r="BZ112" t="s">
        <v>79</v>
      </c>
      <c r="CA112" s="10">
        <v>45908</v>
      </c>
    </row>
    <row r="113" spans="1:79">
      <c r="A113">
        <v>114</v>
      </c>
      <c r="B113">
        <v>122</v>
      </c>
      <c r="C113">
        <v>24</v>
      </c>
      <c r="D113" t="s">
        <v>3462</v>
      </c>
      <c r="F113" t="s">
        <v>71</v>
      </c>
      <c r="G113" s="12" t="s">
        <v>3465</v>
      </c>
      <c r="H113" t="s">
        <v>88</v>
      </c>
      <c r="I113">
        <v>64</v>
      </c>
      <c r="K113">
        <v>119</v>
      </c>
      <c r="L113">
        <v>49</v>
      </c>
      <c r="M113" t="s">
        <v>80</v>
      </c>
      <c r="P113" t="s">
        <v>83</v>
      </c>
      <c r="Q113" t="s">
        <v>80</v>
      </c>
      <c r="R113">
        <v>64</v>
      </c>
      <c r="S113">
        <v>164</v>
      </c>
      <c r="T113" s="8">
        <f t="shared" si="2"/>
        <v>23.795359904818561</v>
      </c>
      <c r="U113" s="13" t="str" cm="1">
        <f t="array" ref="U113">IF(T113="","",_xlfn.IFS(T113&lt;18.5,"Bajo peso",T113&lt;25,"Peso normal",T113&lt;30,"Sobrepeso",T113&lt;35,"Obesidad clase I",T113&lt;40,"Obesidad clase II",T113&gt;=40,"Obesidad clase III"))</f>
        <v>Peso normal</v>
      </c>
      <c r="V113">
        <v>94</v>
      </c>
      <c r="X113" t="s">
        <v>3463</v>
      </c>
      <c r="Y113">
        <v>0.94</v>
      </c>
      <c r="AA113">
        <v>90</v>
      </c>
      <c r="AB113" s="9">
        <f t="shared" si="3"/>
        <v>116.09185459779553</v>
      </c>
      <c r="AD113" t="s">
        <v>73</v>
      </c>
      <c r="AF113" t="s">
        <v>73</v>
      </c>
      <c r="AH113" t="s">
        <v>3463</v>
      </c>
      <c r="AI113" t="s">
        <v>3463</v>
      </c>
      <c r="AJ113" t="s">
        <v>3465</v>
      </c>
      <c r="AK113" t="s">
        <v>3463</v>
      </c>
      <c r="AL113" t="s">
        <v>3463</v>
      </c>
      <c r="AP113" t="s">
        <v>3463</v>
      </c>
      <c r="AQ113" t="s">
        <v>377</v>
      </c>
      <c r="AR113" t="s">
        <v>3491</v>
      </c>
      <c r="AV113" t="s">
        <v>74</v>
      </c>
      <c r="AW113" t="s">
        <v>3915</v>
      </c>
      <c r="BF113" t="s">
        <v>3921</v>
      </c>
      <c r="BH113" t="s">
        <v>4020</v>
      </c>
      <c r="BP113" t="s">
        <v>4260</v>
      </c>
      <c r="BQ113" t="s">
        <v>3463</v>
      </c>
      <c r="BR113" t="s">
        <v>3463</v>
      </c>
      <c r="BT113" t="s">
        <v>3465</v>
      </c>
      <c r="BU113" t="s">
        <v>3463</v>
      </c>
      <c r="BV113" t="s">
        <v>3463</v>
      </c>
      <c r="BW113" t="s">
        <v>3463</v>
      </c>
      <c r="BX113" t="s">
        <v>79</v>
      </c>
      <c r="BY113" t="s">
        <v>87</v>
      </c>
      <c r="BZ113" t="s">
        <v>79</v>
      </c>
      <c r="CA113" s="10">
        <v>45908</v>
      </c>
    </row>
    <row r="114" spans="1:79">
      <c r="A114">
        <v>115</v>
      </c>
      <c r="B114">
        <v>123</v>
      </c>
      <c r="C114">
        <v>28</v>
      </c>
      <c r="D114" t="s">
        <v>3462</v>
      </c>
      <c r="F114" t="s">
        <v>71</v>
      </c>
      <c r="G114" s="12" t="s">
        <v>3463</v>
      </c>
      <c r="I114">
        <v>64</v>
      </c>
      <c r="K114">
        <v>135</v>
      </c>
      <c r="L114">
        <v>81</v>
      </c>
      <c r="M114" t="s">
        <v>82</v>
      </c>
      <c r="P114" t="s">
        <v>83</v>
      </c>
      <c r="Q114" t="s">
        <v>82</v>
      </c>
      <c r="R114">
        <v>76</v>
      </c>
      <c r="S114">
        <v>156</v>
      </c>
      <c r="T114" s="8">
        <f t="shared" si="2"/>
        <v>31.229454306377384</v>
      </c>
      <c r="U114" s="13" t="str" cm="1">
        <f t="array" ref="U114">IF(T114="","",_xlfn.IFS(T114&lt;18.5,"Bajo peso",T114&lt;25,"Peso normal",T114&lt;30,"Sobrepeso",T114&lt;35,"Obesidad clase I",T114&lt;40,"Obesidad clase II",T114&gt;=40,"Obesidad clase III"))</f>
        <v>Obesidad clase I</v>
      </c>
      <c r="V114">
        <v>98</v>
      </c>
      <c r="X114" t="s">
        <v>3463</v>
      </c>
      <c r="Y114">
        <v>1.02</v>
      </c>
      <c r="AA114">
        <v>90</v>
      </c>
      <c r="AB114" s="9">
        <f t="shared" si="3"/>
        <v>102.6670154219542</v>
      </c>
      <c r="AD114" t="s">
        <v>73</v>
      </c>
      <c r="AF114" t="s">
        <v>73</v>
      </c>
      <c r="AH114" t="s">
        <v>3463</v>
      </c>
      <c r="AI114" t="s">
        <v>3463</v>
      </c>
      <c r="AJ114" t="s">
        <v>3465</v>
      </c>
      <c r="AK114" t="s">
        <v>3463</v>
      </c>
      <c r="AL114" t="s">
        <v>3463</v>
      </c>
      <c r="AP114" t="s">
        <v>3463</v>
      </c>
      <c r="AQ114" t="s">
        <v>159</v>
      </c>
      <c r="AR114" t="s">
        <v>3491</v>
      </c>
      <c r="AV114" t="s">
        <v>74</v>
      </c>
      <c r="AW114" t="s">
        <v>3915</v>
      </c>
      <c r="BF114" t="s">
        <v>3921</v>
      </c>
      <c r="BH114" t="s">
        <v>4020</v>
      </c>
      <c r="BP114" t="s">
        <v>4260</v>
      </c>
      <c r="BQ114" t="s">
        <v>3465</v>
      </c>
      <c r="BR114" t="s">
        <v>3465</v>
      </c>
      <c r="BS114" t="s">
        <v>3463</v>
      </c>
      <c r="BT114" t="s">
        <v>3463</v>
      </c>
      <c r="BU114" t="s">
        <v>3463</v>
      </c>
      <c r="BV114" t="s">
        <v>3463</v>
      </c>
      <c r="BW114" t="s">
        <v>3463</v>
      </c>
      <c r="BX114" t="s">
        <v>79</v>
      </c>
      <c r="BY114" t="s">
        <v>87</v>
      </c>
      <c r="BZ114" t="s">
        <v>79</v>
      </c>
      <c r="CA114" s="10">
        <v>45908</v>
      </c>
    </row>
    <row r="115" spans="1:79">
      <c r="A115">
        <v>116</v>
      </c>
      <c r="B115">
        <v>124</v>
      </c>
      <c r="C115">
        <v>20</v>
      </c>
      <c r="D115" t="s">
        <v>3462</v>
      </c>
      <c r="F115" t="s">
        <v>71</v>
      </c>
      <c r="G115" s="12" t="s">
        <v>3463</v>
      </c>
      <c r="H115" s="12"/>
      <c r="I115">
        <v>94</v>
      </c>
      <c r="K115">
        <v>129</v>
      </c>
      <c r="L115">
        <v>68</v>
      </c>
      <c r="M115" t="s">
        <v>118</v>
      </c>
      <c r="P115" t="s">
        <v>83</v>
      </c>
      <c r="Q115" t="s">
        <v>118</v>
      </c>
      <c r="R115">
        <v>63</v>
      </c>
      <c r="S115">
        <v>171</v>
      </c>
      <c r="T115" s="8">
        <f t="shared" si="2"/>
        <v>21.545090797168356</v>
      </c>
      <c r="U115" s="13" t="str" cm="1">
        <f t="array" ref="U115">IF(T115="","",_xlfn.IFS(T115&lt;18.5,"Bajo peso",T115&lt;25,"Peso normal",T115&lt;30,"Sobrepeso",T115&lt;35,"Obesidad clase I",T115&lt;40,"Obesidad clase II",T115&gt;=40,"Obesidad clase III"))</f>
        <v>Peso normal</v>
      </c>
      <c r="V115">
        <v>118</v>
      </c>
      <c r="X115" t="s">
        <v>3463</v>
      </c>
      <c r="Y115">
        <v>1.7</v>
      </c>
      <c r="AA115">
        <v>76</v>
      </c>
      <c r="AB115" s="9">
        <f t="shared" si="3"/>
        <v>58.454842978398396</v>
      </c>
      <c r="AD115" t="s">
        <v>73</v>
      </c>
      <c r="AF115" t="s">
        <v>73</v>
      </c>
      <c r="AH115" t="s">
        <v>3463</v>
      </c>
      <c r="AI115" t="s">
        <v>3463</v>
      </c>
      <c r="AJ115" t="s">
        <v>3463</v>
      </c>
      <c r="AK115" t="s">
        <v>3463</v>
      </c>
      <c r="AL115" t="s">
        <v>3465</v>
      </c>
      <c r="AM115" t="s">
        <v>378</v>
      </c>
      <c r="AN115" t="s">
        <v>729</v>
      </c>
      <c r="AP115" t="s">
        <v>3463</v>
      </c>
      <c r="AQ115" t="s">
        <v>379</v>
      </c>
      <c r="AR115" t="s">
        <v>3493</v>
      </c>
      <c r="AV115" t="s">
        <v>74</v>
      </c>
      <c r="AW115" t="s">
        <v>3915</v>
      </c>
      <c r="BF115" t="s">
        <v>3921</v>
      </c>
      <c r="BH115" t="s">
        <v>4020</v>
      </c>
      <c r="BP115" t="s">
        <v>4260</v>
      </c>
      <c r="BQ115" t="s">
        <v>3463</v>
      </c>
      <c r="BR115" t="s">
        <v>3465</v>
      </c>
      <c r="BT115" t="s">
        <v>3463</v>
      </c>
      <c r="BU115" t="s">
        <v>3463</v>
      </c>
      <c r="BV115" t="s">
        <v>3463</v>
      </c>
      <c r="BW115" t="s">
        <v>3463</v>
      </c>
      <c r="BX115" t="s">
        <v>79</v>
      </c>
      <c r="BY115" t="s">
        <v>87</v>
      </c>
      <c r="BZ115" t="s">
        <v>79</v>
      </c>
      <c r="CA115" s="10">
        <v>45908</v>
      </c>
    </row>
    <row r="116" spans="1:79">
      <c r="A116">
        <v>117</v>
      </c>
      <c r="B116">
        <v>125</v>
      </c>
      <c r="C116">
        <v>37</v>
      </c>
      <c r="D116" t="s">
        <v>3466</v>
      </c>
      <c r="F116" t="s">
        <v>380</v>
      </c>
      <c r="G116" s="12" t="s">
        <v>3465</v>
      </c>
      <c r="H116" t="s">
        <v>88</v>
      </c>
      <c r="I116">
        <v>100</v>
      </c>
      <c r="J116">
        <v>98</v>
      </c>
      <c r="K116">
        <v>149</v>
      </c>
      <c r="L116">
        <v>93</v>
      </c>
      <c r="M116" t="s">
        <v>72</v>
      </c>
      <c r="N116">
        <v>14387</v>
      </c>
      <c r="P116" t="s">
        <v>83</v>
      </c>
      <c r="Q116" t="s">
        <v>72</v>
      </c>
      <c r="R116">
        <v>72</v>
      </c>
      <c r="S116">
        <v>172</v>
      </c>
      <c r="T116" s="8">
        <f t="shared" si="2"/>
        <v>24.337479718766904</v>
      </c>
      <c r="U116" s="13" t="str" cm="1">
        <f t="array" ref="U116">IF(T116="","",_xlfn.IFS(T116&lt;18.5,"Bajo peso",T116&lt;25,"Peso normal",T116&lt;30,"Sobrepeso",T116&lt;35,"Obesidad clase I",T116&lt;40,"Obesidad clase II",T116&gt;=40,"Obesidad clase III"))</f>
        <v>Peso normal</v>
      </c>
      <c r="V116">
        <v>141</v>
      </c>
      <c r="X116" t="s">
        <v>3463</v>
      </c>
      <c r="Y116">
        <v>1.04</v>
      </c>
      <c r="AA116">
        <v>71</v>
      </c>
      <c r="AB116" s="9">
        <f t="shared" si="3"/>
        <v>70.991968210118955</v>
      </c>
      <c r="AD116" t="s">
        <v>73</v>
      </c>
      <c r="AF116" t="s">
        <v>73</v>
      </c>
      <c r="AG116" t="s">
        <v>3465</v>
      </c>
      <c r="AH116" t="s">
        <v>3465</v>
      </c>
      <c r="AI116" t="s">
        <v>3463</v>
      </c>
      <c r="AJ116" t="s">
        <v>3465</v>
      </c>
      <c r="AK116" t="s">
        <v>3463</v>
      </c>
      <c r="AL116" t="s">
        <v>3463</v>
      </c>
      <c r="AP116" t="s">
        <v>3463</v>
      </c>
      <c r="AQ116" t="s">
        <v>89</v>
      </c>
      <c r="AR116" t="s">
        <v>3488</v>
      </c>
      <c r="AT116" t="s">
        <v>3463</v>
      </c>
      <c r="AV116" t="s">
        <v>74</v>
      </c>
      <c r="AW116" t="s">
        <v>3915</v>
      </c>
      <c r="AX116" t="s">
        <v>3463</v>
      </c>
      <c r="AY116" t="s">
        <v>3465</v>
      </c>
      <c r="AZ116" t="s">
        <v>90</v>
      </c>
      <c r="BB116" t="s">
        <v>3485</v>
      </c>
      <c r="BF116" t="s">
        <v>3921</v>
      </c>
      <c r="BH116" t="s">
        <v>4042</v>
      </c>
      <c r="BI116" t="s">
        <v>76</v>
      </c>
      <c r="BK116" t="s">
        <v>381</v>
      </c>
      <c r="BL116" t="s">
        <v>382</v>
      </c>
      <c r="BP116" t="s">
        <v>4315</v>
      </c>
      <c r="BQ116" t="s">
        <v>3463</v>
      </c>
      <c r="BR116" t="s">
        <v>3465</v>
      </c>
      <c r="BS116" t="s">
        <v>3465</v>
      </c>
      <c r="BT116" t="s">
        <v>3465</v>
      </c>
      <c r="BU116" t="s">
        <v>3463</v>
      </c>
      <c r="BV116" t="s">
        <v>3463</v>
      </c>
      <c r="BW116" t="s">
        <v>3463</v>
      </c>
      <c r="BX116" t="s">
        <v>79</v>
      </c>
      <c r="BY116" t="s">
        <v>87</v>
      </c>
      <c r="BZ116" t="s">
        <v>79</v>
      </c>
      <c r="CA116" s="10">
        <v>45908</v>
      </c>
    </row>
    <row r="117" spans="1:79">
      <c r="A117">
        <v>118</v>
      </c>
      <c r="B117">
        <v>126</v>
      </c>
      <c r="C117">
        <v>27</v>
      </c>
      <c r="D117" t="s">
        <v>3462</v>
      </c>
      <c r="F117" t="s">
        <v>71</v>
      </c>
      <c r="G117" s="12" t="s">
        <v>3463</v>
      </c>
      <c r="I117">
        <v>67</v>
      </c>
      <c r="J117">
        <v>65</v>
      </c>
      <c r="K117">
        <v>143</v>
      </c>
      <c r="L117">
        <v>80</v>
      </c>
      <c r="M117" t="s">
        <v>72</v>
      </c>
      <c r="N117">
        <v>138</v>
      </c>
      <c r="O117">
        <v>79</v>
      </c>
      <c r="P117" t="s">
        <v>82</v>
      </c>
      <c r="Q117" t="s">
        <v>82</v>
      </c>
      <c r="R117">
        <v>83</v>
      </c>
      <c r="S117">
        <v>171</v>
      </c>
      <c r="T117" s="8">
        <f t="shared" si="2"/>
        <v>28.384802161348791</v>
      </c>
      <c r="U117" s="13" t="str" cm="1">
        <f t="array" ref="U117">IF(T117="","",_xlfn.IFS(T117&lt;18.5,"Bajo peso",T117&lt;25,"Peso normal",T117&lt;30,"Sobrepeso",T117&lt;35,"Obesidad clase I",T117&lt;40,"Obesidad clase II",T117&gt;=40,"Obesidad clase III"))</f>
        <v>Sobrepeso</v>
      </c>
      <c r="V117">
        <v>114</v>
      </c>
      <c r="X117" t="s">
        <v>3463</v>
      </c>
      <c r="Y117">
        <v>1.21</v>
      </c>
      <c r="AA117">
        <v>84</v>
      </c>
      <c r="AB117" s="9">
        <f t="shared" si="3"/>
        <v>84.160771188236041</v>
      </c>
      <c r="AD117" t="s">
        <v>73</v>
      </c>
      <c r="AF117" t="s">
        <v>73</v>
      </c>
      <c r="AH117" t="s">
        <v>3463</v>
      </c>
      <c r="AI117" t="s">
        <v>3463</v>
      </c>
      <c r="AJ117" t="s">
        <v>3463</v>
      </c>
      <c r="AK117" t="s">
        <v>3465</v>
      </c>
      <c r="AL117" t="s">
        <v>3463</v>
      </c>
      <c r="AP117" t="s">
        <v>3463</v>
      </c>
      <c r="AV117" t="s">
        <v>126</v>
      </c>
      <c r="AW117" t="s">
        <v>126</v>
      </c>
      <c r="BF117" t="s">
        <v>3921</v>
      </c>
      <c r="BH117" t="s">
        <v>4020</v>
      </c>
      <c r="BP117" t="s">
        <v>4260</v>
      </c>
      <c r="BQ117" t="s">
        <v>3465</v>
      </c>
      <c r="BR117" t="s">
        <v>3465</v>
      </c>
      <c r="BS117" t="s">
        <v>3465</v>
      </c>
      <c r="BT117" t="s">
        <v>3465</v>
      </c>
      <c r="BU117" t="s">
        <v>3463</v>
      </c>
      <c r="BV117" t="s">
        <v>3463</v>
      </c>
      <c r="BW117" t="s">
        <v>3463</v>
      </c>
      <c r="BX117" t="s">
        <v>79</v>
      </c>
      <c r="BY117" t="s">
        <v>87</v>
      </c>
      <c r="BZ117" t="s">
        <v>79</v>
      </c>
      <c r="CA117" s="10">
        <v>45908</v>
      </c>
    </row>
    <row r="118" spans="1:79">
      <c r="A118">
        <v>119</v>
      </c>
      <c r="B118">
        <v>127</v>
      </c>
      <c r="C118">
        <v>30</v>
      </c>
      <c r="D118" t="s">
        <v>3462</v>
      </c>
      <c r="E118" t="s">
        <v>383</v>
      </c>
      <c r="F118" t="s">
        <v>71</v>
      </c>
      <c r="G118" s="12" t="s">
        <v>3463</v>
      </c>
      <c r="H118" s="12"/>
      <c r="I118">
        <v>62</v>
      </c>
      <c r="J118">
        <v>65</v>
      </c>
      <c r="K118">
        <v>140</v>
      </c>
      <c r="L118">
        <v>83</v>
      </c>
      <c r="M118" t="s">
        <v>72</v>
      </c>
      <c r="N118">
        <v>138</v>
      </c>
      <c r="O118">
        <v>75</v>
      </c>
      <c r="P118" t="s">
        <v>82</v>
      </c>
      <c r="Q118" t="s">
        <v>82</v>
      </c>
      <c r="R118">
        <v>195</v>
      </c>
      <c r="S118">
        <v>179</v>
      </c>
      <c r="T118" s="8">
        <f t="shared" si="2"/>
        <v>60.85952373521426</v>
      </c>
      <c r="U118" s="13" t="str" cm="1">
        <f t="array" ref="U118">IF(T118="","",_xlfn.IFS(T118&lt;18.5,"Bajo peso",T118&lt;25,"Peso normal",T118&lt;30,"Sobrepeso",T118&lt;35,"Obesidad clase I",T118&lt;40,"Obesidad clase II",T118&gt;=40,"Obesidad clase III"))</f>
        <v>Obesidad clase III</v>
      </c>
      <c r="V118">
        <v>106</v>
      </c>
      <c r="X118" t="s">
        <v>3463</v>
      </c>
      <c r="Y118">
        <v>1.86</v>
      </c>
      <c r="AA118">
        <v>49</v>
      </c>
      <c r="AB118" s="9">
        <f t="shared" si="3"/>
        <v>49.309840181035973</v>
      </c>
      <c r="AD118" t="s">
        <v>158</v>
      </c>
      <c r="AF118" t="s">
        <v>158</v>
      </c>
      <c r="AH118" t="s">
        <v>3463</v>
      </c>
      <c r="AI118" t="s">
        <v>3463</v>
      </c>
      <c r="AJ118" t="s">
        <v>3463</v>
      </c>
      <c r="AK118" t="s">
        <v>3463</v>
      </c>
      <c r="AL118" t="s">
        <v>3463</v>
      </c>
      <c r="AP118" t="s">
        <v>3463</v>
      </c>
      <c r="AV118" t="s">
        <v>74</v>
      </c>
      <c r="AW118" t="s">
        <v>3915</v>
      </c>
      <c r="BF118" t="s">
        <v>3921</v>
      </c>
      <c r="BG118" t="s">
        <v>384</v>
      </c>
      <c r="BH118" t="s">
        <v>4063</v>
      </c>
      <c r="BK118" t="s">
        <v>385</v>
      </c>
      <c r="BL118" t="s">
        <v>386</v>
      </c>
      <c r="BP118" t="s">
        <v>4316</v>
      </c>
      <c r="BQ118" t="s">
        <v>3465</v>
      </c>
      <c r="BR118" t="s">
        <v>3465</v>
      </c>
      <c r="BS118" t="s">
        <v>3465</v>
      </c>
      <c r="BT118" t="s">
        <v>3465</v>
      </c>
      <c r="BU118" t="s">
        <v>3463</v>
      </c>
      <c r="BV118" t="s">
        <v>3463</v>
      </c>
      <c r="BW118" t="s">
        <v>3463</v>
      </c>
      <c r="BX118" t="s">
        <v>79</v>
      </c>
      <c r="BY118" t="s">
        <v>87</v>
      </c>
      <c r="BZ118" t="s">
        <v>79</v>
      </c>
      <c r="CA118" s="10">
        <v>45908</v>
      </c>
    </row>
    <row r="119" spans="1:79">
      <c r="A119">
        <v>120</v>
      </c>
      <c r="B119">
        <v>128</v>
      </c>
      <c r="C119">
        <v>30</v>
      </c>
      <c r="D119" t="s">
        <v>3462</v>
      </c>
      <c r="F119" t="s">
        <v>71</v>
      </c>
      <c r="G119" s="12" t="s">
        <v>3465</v>
      </c>
      <c r="H119" t="s">
        <v>88</v>
      </c>
      <c r="I119">
        <v>66</v>
      </c>
      <c r="J119">
        <v>58</v>
      </c>
      <c r="K119">
        <v>144</v>
      </c>
      <c r="L119">
        <v>77</v>
      </c>
      <c r="M119" t="s">
        <v>72</v>
      </c>
      <c r="N119">
        <v>127</v>
      </c>
      <c r="O119">
        <v>67</v>
      </c>
      <c r="P119" t="s">
        <v>118</v>
      </c>
      <c r="Q119" t="s">
        <v>118</v>
      </c>
      <c r="R119">
        <v>56</v>
      </c>
      <c r="S119">
        <v>153</v>
      </c>
      <c r="T119" s="8">
        <f t="shared" si="2"/>
        <v>23.92242299970097</v>
      </c>
      <c r="U119" s="13" t="str" cm="1">
        <f t="array" ref="U119">IF(T119="","",_xlfn.IFS(T119&lt;18.5,"Bajo peso",T119&lt;25,"Peso normal",T119&lt;30,"Sobrepeso",T119&lt;35,"Obesidad clase I",T119&lt;40,"Obesidad clase II",T119&gt;=40,"Obesidad clase III"))</f>
        <v>Peso normal</v>
      </c>
      <c r="V119">
        <v>112</v>
      </c>
      <c r="X119" t="s">
        <v>3463</v>
      </c>
      <c r="Y119">
        <v>1.19</v>
      </c>
      <c r="AA119">
        <v>84</v>
      </c>
      <c r="AB119" s="9">
        <f t="shared" si="3"/>
        <v>84.273838254050716</v>
      </c>
      <c r="AD119" t="s">
        <v>73</v>
      </c>
      <c r="AF119" t="s">
        <v>73</v>
      </c>
      <c r="AH119" t="s">
        <v>3463</v>
      </c>
      <c r="AI119" t="s">
        <v>3463</v>
      </c>
      <c r="AJ119" t="s">
        <v>3463</v>
      </c>
      <c r="AK119" t="s">
        <v>3463</v>
      </c>
      <c r="AL119" t="s">
        <v>3463</v>
      </c>
      <c r="AP119" t="s">
        <v>3463</v>
      </c>
      <c r="AQ119" t="s">
        <v>387</v>
      </c>
      <c r="AR119" t="s">
        <v>3493</v>
      </c>
      <c r="AV119" t="s">
        <v>74</v>
      </c>
      <c r="AW119" t="s">
        <v>3915</v>
      </c>
      <c r="BF119" t="s">
        <v>3921</v>
      </c>
      <c r="BH119" t="s">
        <v>4020</v>
      </c>
      <c r="BP119" t="s">
        <v>4260</v>
      </c>
      <c r="BQ119" t="s">
        <v>3463</v>
      </c>
      <c r="BR119" t="s">
        <v>3465</v>
      </c>
      <c r="BS119" t="s">
        <v>3465</v>
      </c>
      <c r="BT119" t="s">
        <v>3465</v>
      </c>
      <c r="BU119" t="s">
        <v>3463</v>
      </c>
      <c r="BV119" t="s">
        <v>3463</v>
      </c>
      <c r="BW119" t="s">
        <v>3463</v>
      </c>
      <c r="BX119" t="s">
        <v>79</v>
      </c>
      <c r="BY119" t="s">
        <v>87</v>
      </c>
      <c r="BZ119" t="s">
        <v>79</v>
      </c>
      <c r="CA119" s="10">
        <v>45908</v>
      </c>
    </row>
    <row r="120" spans="1:79">
      <c r="A120">
        <v>121</v>
      </c>
      <c r="B120">
        <v>129</v>
      </c>
      <c r="C120">
        <v>24</v>
      </c>
      <c r="D120" t="s">
        <v>3462</v>
      </c>
      <c r="F120" t="s">
        <v>71</v>
      </c>
      <c r="G120" s="12" t="s">
        <v>3463</v>
      </c>
      <c r="I120">
        <v>95</v>
      </c>
      <c r="J120">
        <v>90</v>
      </c>
      <c r="K120">
        <v>147</v>
      </c>
      <c r="L120">
        <v>65</v>
      </c>
      <c r="M120" t="s">
        <v>72</v>
      </c>
      <c r="N120">
        <v>143</v>
      </c>
      <c r="O120">
        <v>81</v>
      </c>
      <c r="P120" t="s">
        <v>72</v>
      </c>
      <c r="Q120" t="s">
        <v>72</v>
      </c>
      <c r="R120">
        <v>90</v>
      </c>
      <c r="S120">
        <v>171</v>
      </c>
      <c r="T120" s="8">
        <f t="shared" si="2"/>
        <v>30.778701138811943</v>
      </c>
      <c r="U120" s="13" t="str" cm="1">
        <f t="array" ref="U120">IF(T120="","",_xlfn.IFS(T120&lt;18.5,"Bajo peso",T120&lt;25,"Peso normal",T120&lt;30,"Sobrepeso",T120&lt;35,"Obesidad clase I",T120&lt;40,"Obesidad clase II",T120&gt;=40,"Obesidad clase III"))</f>
        <v>Obesidad clase I</v>
      </c>
      <c r="V120">
        <v>110</v>
      </c>
      <c r="X120" t="s">
        <v>3463</v>
      </c>
      <c r="Y120">
        <v>1.18</v>
      </c>
      <c r="AA120">
        <v>88</v>
      </c>
      <c r="AB120" s="9">
        <f t="shared" si="3"/>
        <v>88.368353821403588</v>
      </c>
      <c r="AD120" t="s">
        <v>73</v>
      </c>
      <c r="AF120" t="s">
        <v>73</v>
      </c>
      <c r="AH120" t="s">
        <v>3463</v>
      </c>
      <c r="AI120" t="s">
        <v>3463</v>
      </c>
      <c r="AJ120" t="s">
        <v>3463</v>
      </c>
      <c r="AK120" t="s">
        <v>3463</v>
      </c>
      <c r="AL120" t="s">
        <v>3463</v>
      </c>
      <c r="AP120" t="s">
        <v>3463</v>
      </c>
      <c r="AV120" t="s">
        <v>74</v>
      </c>
      <c r="AW120" t="s">
        <v>3915</v>
      </c>
      <c r="BF120" t="s">
        <v>3921</v>
      </c>
      <c r="BH120" t="s">
        <v>4021</v>
      </c>
      <c r="BI120" t="s">
        <v>76</v>
      </c>
      <c r="BK120" t="s">
        <v>388</v>
      </c>
      <c r="BL120" t="s">
        <v>389</v>
      </c>
      <c r="BP120" t="s">
        <v>4317</v>
      </c>
      <c r="BQ120" t="s">
        <v>3463</v>
      </c>
      <c r="BR120" t="s">
        <v>3465</v>
      </c>
      <c r="BS120" t="s">
        <v>3463</v>
      </c>
      <c r="BT120" t="s">
        <v>3463</v>
      </c>
      <c r="BU120" t="s">
        <v>3463</v>
      </c>
      <c r="BV120" t="s">
        <v>3463</v>
      </c>
      <c r="BW120" t="s">
        <v>3463</v>
      </c>
      <c r="BX120" t="s">
        <v>79</v>
      </c>
      <c r="BY120" t="s">
        <v>87</v>
      </c>
      <c r="BZ120" t="s">
        <v>79</v>
      </c>
      <c r="CA120" s="10">
        <v>45908</v>
      </c>
    </row>
    <row r="121" spans="1:79">
      <c r="A121">
        <v>122</v>
      </c>
      <c r="B121">
        <v>130</v>
      </c>
      <c r="C121">
        <v>46</v>
      </c>
      <c r="D121" t="s">
        <v>3462</v>
      </c>
      <c r="F121" t="s">
        <v>150</v>
      </c>
      <c r="G121" s="12" t="s">
        <v>3465</v>
      </c>
      <c r="H121" s="12" t="s">
        <v>88</v>
      </c>
      <c r="I121">
        <v>81</v>
      </c>
      <c r="J121">
        <v>80</v>
      </c>
      <c r="K121">
        <v>161</v>
      </c>
      <c r="L121">
        <v>84</v>
      </c>
      <c r="M121" t="s">
        <v>72</v>
      </c>
      <c r="N121">
        <v>143</v>
      </c>
      <c r="O121">
        <v>82</v>
      </c>
      <c r="P121" t="s">
        <v>72</v>
      </c>
      <c r="Q121" t="s">
        <v>72</v>
      </c>
      <c r="R121">
        <v>86</v>
      </c>
      <c r="S121">
        <v>160</v>
      </c>
      <c r="T121" s="8">
        <f t="shared" si="2"/>
        <v>33.59375</v>
      </c>
      <c r="U121" s="13" t="str" cm="1">
        <f t="array" ref="U121">IF(T121="","",_xlfn.IFS(T121&lt;18.5,"Bajo peso",T121&lt;25,"Peso normal",T121&lt;30,"Sobrepeso",T121&lt;35,"Obesidad clase I",T121&lt;40,"Obesidad clase II",T121&gt;=40,"Obesidad clase III"))</f>
        <v>Obesidad clase I</v>
      </c>
      <c r="V121">
        <v>106</v>
      </c>
      <c r="X121" t="s">
        <v>3463</v>
      </c>
      <c r="Y121">
        <v>1.32</v>
      </c>
      <c r="AA121">
        <v>68</v>
      </c>
      <c r="AB121" s="9">
        <f t="shared" si="3"/>
        <v>67.366547273657247</v>
      </c>
      <c r="AD121" t="s">
        <v>73</v>
      </c>
      <c r="AF121" t="s">
        <v>73</v>
      </c>
      <c r="AH121" t="s">
        <v>3463</v>
      </c>
      <c r="AI121" t="s">
        <v>3463</v>
      </c>
      <c r="AJ121" t="s">
        <v>3463</v>
      </c>
      <c r="AK121" t="s">
        <v>3463</v>
      </c>
      <c r="AL121" t="s">
        <v>3463</v>
      </c>
      <c r="AP121" t="s">
        <v>3463</v>
      </c>
      <c r="AQ121" t="s">
        <v>390</v>
      </c>
      <c r="AR121" t="s">
        <v>3491</v>
      </c>
      <c r="AV121" t="s">
        <v>74</v>
      </c>
      <c r="AW121" t="s">
        <v>3915</v>
      </c>
      <c r="BF121" t="s">
        <v>3921</v>
      </c>
      <c r="BG121" t="s">
        <v>391</v>
      </c>
      <c r="BH121" t="s">
        <v>4056</v>
      </c>
      <c r="BK121" t="s">
        <v>392</v>
      </c>
      <c r="BL121" t="s">
        <v>393</v>
      </c>
      <c r="BP121" t="s">
        <v>4318</v>
      </c>
      <c r="BQ121" t="s">
        <v>3463</v>
      </c>
      <c r="BR121" t="s">
        <v>3465</v>
      </c>
      <c r="BT121" t="s">
        <v>3463</v>
      </c>
      <c r="BU121" t="s">
        <v>3463</v>
      </c>
      <c r="BV121" t="s">
        <v>3463</v>
      </c>
      <c r="BW121" t="s">
        <v>3463</v>
      </c>
      <c r="BX121" t="s">
        <v>79</v>
      </c>
      <c r="BY121" t="s">
        <v>87</v>
      </c>
      <c r="BZ121" t="s">
        <v>79</v>
      </c>
      <c r="CA121" s="10">
        <v>45908</v>
      </c>
    </row>
    <row r="122" spans="1:79">
      <c r="A122">
        <v>123</v>
      </c>
      <c r="B122">
        <v>131</v>
      </c>
      <c r="C122">
        <v>19</v>
      </c>
      <c r="D122" t="s">
        <v>3462</v>
      </c>
      <c r="F122" t="s">
        <v>71</v>
      </c>
      <c r="G122" s="12" t="s">
        <v>3463</v>
      </c>
      <c r="I122">
        <v>92</v>
      </c>
      <c r="J122">
        <v>96</v>
      </c>
      <c r="K122">
        <v>145</v>
      </c>
      <c r="L122">
        <v>100</v>
      </c>
      <c r="M122" t="s">
        <v>72</v>
      </c>
      <c r="N122">
        <v>123</v>
      </c>
      <c r="O122">
        <v>79</v>
      </c>
      <c r="P122" t="s">
        <v>118</v>
      </c>
      <c r="Q122" t="s">
        <v>118</v>
      </c>
      <c r="R122">
        <v>75</v>
      </c>
      <c r="S122">
        <v>172</v>
      </c>
      <c r="T122" s="8">
        <f t="shared" si="2"/>
        <v>25.35154137371552</v>
      </c>
      <c r="U122" s="13" t="str" cm="1">
        <f t="array" ref="U122">IF(T122="","",_xlfn.IFS(T122&lt;18.5,"Bajo peso",T122&lt;25,"Peso normal",T122&lt;30,"Sobrepeso",T122&lt;35,"Obesidad clase I",T122&lt;40,"Obesidad clase II",T122&gt;=40,"Obesidad clase III"))</f>
        <v>Sobrepeso</v>
      </c>
      <c r="V122">
        <v>100</v>
      </c>
      <c r="X122" t="s">
        <v>3463</v>
      </c>
      <c r="Y122">
        <v>1.1000000000000001</v>
      </c>
      <c r="AA122">
        <v>90</v>
      </c>
      <c r="AB122" s="9">
        <f t="shared" si="3"/>
        <v>99.171981176982925</v>
      </c>
      <c r="AD122" t="s">
        <v>73</v>
      </c>
      <c r="AF122" t="s">
        <v>73</v>
      </c>
      <c r="AH122" t="s">
        <v>3463</v>
      </c>
      <c r="AI122" t="s">
        <v>3463</v>
      </c>
      <c r="AJ122" t="s">
        <v>3463</v>
      </c>
      <c r="AK122" t="s">
        <v>3463</v>
      </c>
      <c r="AL122" t="s">
        <v>3463</v>
      </c>
      <c r="AP122" t="s">
        <v>3463</v>
      </c>
      <c r="AV122" t="s">
        <v>74</v>
      </c>
      <c r="AW122" t="s">
        <v>3915</v>
      </c>
      <c r="BF122" t="s">
        <v>3921</v>
      </c>
      <c r="BH122" t="s">
        <v>4020</v>
      </c>
      <c r="BP122" t="s">
        <v>4260</v>
      </c>
      <c r="BQ122" t="s">
        <v>3463</v>
      </c>
      <c r="BR122" t="s">
        <v>3463</v>
      </c>
      <c r="BS122" t="s">
        <v>3463</v>
      </c>
      <c r="BT122" t="s">
        <v>3463</v>
      </c>
      <c r="BU122" t="s">
        <v>3463</v>
      </c>
      <c r="BV122" t="s">
        <v>3463</v>
      </c>
      <c r="BW122" t="s">
        <v>3463</v>
      </c>
      <c r="BX122" t="s">
        <v>79</v>
      </c>
      <c r="BY122" t="s">
        <v>87</v>
      </c>
      <c r="BZ122" t="s">
        <v>79</v>
      </c>
      <c r="CA122" s="10">
        <v>45908</v>
      </c>
    </row>
    <row r="123" spans="1:79">
      <c r="A123">
        <v>124</v>
      </c>
      <c r="B123">
        <v>132</v>
      </c>
      <c r="C123">
        <v>20</v>
      </c>
      <c r="D123" t="s">
        <v>3462</v>
      </c>
      <c r="F123" t="s">
        <v>71</v>
      </c>
      <c r="G123" s="12" t="s">
        <v>3463</v>
      </c>
      <c r="H123" s="12"/>
      <c r="I123">
        <v>83</v>
      </c>
      <c r="K123">
        <v>139</v>
      </c>
      <c r="L123">
        <v>64</v>
      </c>
      <c r="M123" t="s">
        <v>82</v>
      </c>
      <c r="P123" t="s">
        <v>83</v>
      </c>
      <c r="Q123" t="s">
        <v>82</v>
      </c>
      <c r="R123">
        <v>89</v>
      </c>
      <c r="S123">
        <v>165</v>
      </c>
      <c r="T123" s="8">
        <f t="shared" si="2"/>
        <v>32.690541781450875</v>
      </c>
      <c r="U123" s="13" t="str" cm="1">
        <f t="array" ref="U123">IF(T123="","",_xlfn.IFS(T123&lt;18.5,"Bajo peso",T123&lt;25,"Peso normal",T123&lt;30,"Sobrepeso",T123&lt;35,"Obesidad clase I",T123&lt;40,"Obesidad clase II",T123&gt;=40,"Obesidad clase III"))</f>
        <v>Obesidad clase I</v>
      </c>
      <c r="V123">
        <v>88</v>
      </c>
      <c r="X123" t="s">
        <v>3463</v>
      </c>
      <c r="Y123">
        <v>1.34</v>
      </c>
      <c r="AA123">
        <v>78</v>
      </c>
      <c r="AB123" s="9">
        <f t="shared" si="3"/>
        <v>77.773822728303344</v>
      </c>
      <c r="AD123" t="s">
        <v>73</v>
      </c>
      <c r="AF123" t="s">
        <v>73</v>
      </c>
      <c r="AH123" t="s">
        <v>3463</v>
      </c>
      <c r="AI123" t="s">
        <v>3463</v>
      </c>
      <c r="AJ123" t="s">
        <v>3463</v>
      </c>
      <c r="AK123" t="s">
        <v>3463</v>
      </c>
      <c r="AL123" t="s">
        <v>3463</v>
      </c>
      <c r="AP123" t="s">
        <v>3463</v>
      </c>
      <c r="AQ123" t="s">
        <v>394</v>
      </c>
      <c r="AR123" t="s">
        <v>3508</v>
      </c>
      <c r="AV123" t="s">
        <v>74</v>
      </c>
      <c r="AW123" t="s">
        <v>3915</v>
      </c>
      <c r="BF123" t="s">
        <v>3921</v>
      </c>
      <c r="BH123" t="s">
        <v>4020</v>
      </c>
      <c r="BP123" t="s">
        <v>4260</v>
      </c>
      <c r="BQ123" t="s">
        <v>3463</v>
      </c>
      <c r="BR123" t="s">
        <v>3465</v>
      </c>
      <c r="BS123" t="s">
        <v>3463</v>
      </c>
      <c r="BT123" t="s">
        <v>3463</v>
      </c>
      <c r="BU123" t="s">
        <v>3463</v>
      </c>
      <c r="BV123" t="s">
        <v>3463</v>
      </c>
      <c r="BW123" t="s">
        <v>3463</v>
      </c>
      <c r="BX123" t="s">
        <v>79</v>
      </c>
      <c r="BY123" t="s">
        <v>87</v>
      </c>
      <c r="BZ123" t="s">
        <v>79</v>
      </c>
      <c r="CA123" s="10">
        <v>45908</v>
      </c>
    </row>
    <row r="124" spans="1:79">
      <c r="A124">
        <v>125</v>
      </c>
      <c r="B124">
        <v>133</v>
      </c>
      <c r="C124">
        <v>24</v>
      </c>
      <c r="D124" t="s">
        <v>3462</v>
      </c>
      <c r="F124" t="s">
        <v>150</v>
      </c>
      <c r="G124" s="12" t="s">
        <v>3465</v>
      </c>
      <c r="H124" t="s">
        <v>88</v>
      </c>
      <c r="I124">
        <v>63</v>
      </c>
      <c r="J124">
        <v>62</v>
      </c>
      <c r="K124">
        <v>161</v>
      </c>
      <c r="L124">
        <v>87</v>
      </c>
      <c r="M124" t="s">
        <v>72</v>
      </c>
      <c r="N124">
        <v>154</v>
      </c>
      <c r="O124">
        <v>82</v>
      </c>
      <c r="P124" t="s">
        <v>72</v>
      </c>
      <c r="Q124" t="s">
        <v>72</v>
      </c>
      <c r="R124">
        <v>100</v>
      </c>
      <c r="S124">
        <v>177</v>
      </c>
      <c r="T124" s="8">
        <f t="shared" si="2"/>
        <v>31.919307989402789</v>
      </c>
      <c r="U124" s="13" t="str" cm="1">
        <f t="array" ref="U124">IF(T124="","",_xlfn.IFS(T124&lt;18.5,"Bajo peso",T124&lt;25,"Peso normal",T124&lt;30,"Sobrepeso",T124&lt;35,"Obesidad clase I",T124&lt;40,"Obesidad clase II",T124&gt;=40,"Obesidad clase III"))</f>
        <v>Obesidad clase I</v>
      </c>
      <c r="V124">
        <v>107</v>
      </c>
      <c r="X124" t="s">
        <v>3463</v>
      </c>
      <c r="Y124">
        <v>1.37</v>
      </c>
      <c r="AA124">
        <v>74</v>
      </c>
      <c r="AB124" s="9">
        <f t="shared" si="3"/>
        <v>73.873809125654262</v>
      </c>
      <c r="AD124" t="s">
        <v>73</v>
      </c>
      <c r="AF124" t="s">
        <v>73</v>
      </c>
      <c r="AH124" t="s">
        <v>3463</v>
      </c>
      <c r="AI124" t="s">
        <v>3463</v>
      </c>
      <c r="AJ124" t="s">
        <v>3463</v>
      </c>
      <c r="AK124" t="s">
        <v>3463</v>
      </c>
      <c r="AL124" t="s">
        <v>3465</v>
      </c>
      <c r="AM124" t="s">
        <v>395</v>
      </c>
      <c r="AN124" t="s">
        <v>3628</v>
      </c>
      <c r="AP124" t="s">
        <v>3463</v>
      </c>
      <c r="AV124" t="s">
        <v>74</v>
      </c>
      <c r="AW124" t="s">
        <v>3915</v>
      </c>
      <c r="BF124" t="s">
        <v>3921</v>
      </c>
      <c r="BG124" t="s">
        <v>396</v>
      </c>
      <c r="BH124" t="s">
        <v>4064</v>
      </c>
      <c r="BI124" t="s">
        <v>76</v>
      </c>
      <c r="BK124" t="s">
        <v>397</v>
      </c>
      <c r="BL124" t="s">
        <v>398</v>
      </c>
      <c r="BP124" t="s">
        <v>4261</v>
      </c>
      <c r="BQ124" t="s">
        <v>3463</v>
      </c>
      <c r="BR124" t="s">
        <v>3465</v>
      </c>
      <c r="BS124" t="s">
        <v>3463</v>
      </c>
      <c r="BT124" t="s">
        <v>3463</v>
      </c>
      <c r="BU124" t="s">
        <v>3463</v>
      </c>
      <c r="BV124" t="s">
        <v>3463</v>
      </c>
      <c r="BW124" t="s">
        <v>3463</v>
      </c>
      <c r="BX124" t="s">
        <v>79</v>
      </c>
      <c r="BY124" t="s">
        <v>87</v>
      </c>
      <c r="BZ124" t="s">
        <v>79</v>
      </c>
      <c r="CA124" s="10">
        <v>45908</v>
      </c>
    </row>
    <row r="125" spans="1:79">
      <c r="A125">
        <v>126</v>
      </c>
      <c r="B125">
        <v>134</v>
      </c>
      <c r="C125">
        <v>22</v>
      </c>
      <c r="D125" t="s">
        <v>3462</v>
      </c>
      <c r="E125" t="s">
        <v>333</v>
      </c>
      <c r="F125" t="s">
        <v>150</v>
      </c>
      <c r="G125" s="12" t="s">
        <v>3465</v>
      </c>
      <c r="H125" t="s">
        <v>88</v>
      </c>
      <c r="I125">
        <v>58</v>
      </c>
      <c r="K125">
        <v>136</v>
      </c>
      <c r="L125">
        <v>66</v>
      </c>
      <c r="M125" t="s">
        <v>82</v>
      </c>
      <c r="P125" t="s">
        <v>83</v>
      </c>
      <c r="Q125" t="s">
        <v>82</v>
      </c>
      <c r="R125">
        <v>90</v>
      </c>
      <c r="S125">
        <v>180</v>
      </c>
      <c r="T125" s="8">
        <f t="shared" si="2"/>
        <v>27.777777777777779</v>
      </c>
      <c r="U125" s="13" t="str" cm="1">
        <f t="array" ref="U125">IF(T125="","",_xlfn.IFS(T125&lt;18.5,"Bajo peso",T125&lt;25,"Peso normal",T125&lt;30,"Sobrepeso",T125&lt;35,"Obesidad clase I",T125&lt;40,"Obesidad clase II",T125&gt;=40,"Obesidad clase III"))</f>
        <v>Sobrepeso</v>
      </c>
      <c r="V125">
        <v>97</v>
      </c>
      <c r="X125" t="s">
        <v>3463</v>
      </c>
      <c r="Y125">
        <v>1.57</v>
      </c>
      <c r="AA125">
        <v>64</v>
      </c>
      <c r="AB125" s="9">
        <f t="shared" si="3"/>
        <v>63.515190621377933</v>
      </c>
      <c r="AD125" t="s">
        <v>73</v>
      </c>
      <c r="AF125" t="s">
        <v>73</v>
      </c>
      <c r="AH125" t="s">
        <v>3463</v>
      </c>
      <c r="AI125" t="s">
        <v>3463</v>
      </c>
      <c r="AJ125" t="s">
        <v>3463</v>
      </c>
      <c r="AK125" t="s">
        <v>3463</v>
      </c>
      <c r="AL125" t="s">
        <v>3463</v>
      </c>
      <c r="AP125" t="s">
        <v>3463</v>
      </c>
      <c r="AQ125" t="s">
        <v>399</v>
      </c>
      <c r="AR125" t="s">
        <v>3505</v>
      </c>
      <c r="AW125" t="s">
        <v>3916</v>
      </c>
      <c r="BF125" t="s">
        <v>3921</v>
      </c>
      <c r="BH125" t="s">
        <v>4020</v>
      </c>
      <c r="BP125" t="s">
        <v>4260</v>
      </c>
      <c r="BQ125" t="s">
        <v>3463</v>
      </c>
      <c r="BR125" t="s">
        <v>3463</v>
      </c>
      <c r="BS125" t="s">
        <v>3463</v>
      </c>
      <c r="BT125" t="s">
        <v>3463</v>
      </c>
      <c r="BU125" t="s">
        <v>3463</v>
      </c>
      <c r="BV125" t="s">
        <v>3463</v>
      </c>
      <c r="BW125" t="s">
        <v>3463</v>
      </c>
      <c r="BX125" t="s">
        <v>79</v>
      </c>
      <c r="BY125" t="s">
        <v>87</v>
      </c>
      <c r="BZ125" t="s">
        <v>79</v>
      </c>
      <c r="CA125" s="10">
        <v>45908</v>
      </c>
    </row>
    <row r="126" spans="1:79">
      <c r="A126">
        <v>127</v>
      </c>
      <c r="B126">
        <v>135</v>
      </c>
      <c r="C126">
        <v>62</v>
      </c>
      <c r="D126" t="s">
        <v>3462</v>
      </c>
      <c r="F126" t="s">
        <v>150</v>
      </c>
      <c r="G126" s="12" t="s">
        <v>3463</v>
      </c>
      <c r="H126" s="12"/>
      <c r="I126">
        <v>77</v>
      </c>
      <c r="J126">
        <v>75</v>
      </c>
      <c r="K126">
        <v>181</v>
      </c>
      <c r="L126">
        <v>84</v>
      </c>
      <c r="M126" t="s">
        <v>96</v>
      </c>
      <c r="N126">
        <v>18</v>
      </c>
      <c r="O126">
        <v>101</v>
      </c>
      <c r="P126" t="s">
        <v>72</v>
      </c>
      <c r="Q126" t="s">
        <v>72</v>
      </c>
      <c r="R126">
        <v>94.1</v>
      </c>
      <c r="S126">
        <v>165.5</v>
      </c>
      <c r="T126" s="8">
        <f t="shared" si="2"/>
        <v>34.355290659997628</v>
      </c>
      <c r="U126" s="13" t="str" cm="1">
        <f t="array" ref="U126">IF(T126="","",_xlfn.IFS(T126&lt;18.5,"Bajo peso",T126&lt;25,"Peso normal",T126&lt;30,"Sobrepeso",T126&lt;35,"Obesidad clase I",T126&lt;40,"Obesidad clase II",T126&gt;=40,"Obesidad clase III"))</f>
        <v>Obesidad clase I</v>
      </c>
      <c r="V126">
        <v>100</v>
      </c>
      <c r="X126" t="s">
        <v>3463</v>
      </c>
      <c r="Y126">
        <v>1.31</v>
      </c>
      <c r="AA126">
        <v>62</v>
      </c>
      <c r="AB126" s="9">
        <f t="shared" si="3"/>
        <v>61.544795125104088</v>
      </c>
      <c r="AD126" t="s">
        <v>73</v>
      </c>
      <c r="AF126" t="s">
        <v>73</v>
      </c>
      <c r="AH126" t="s">
        <v>3463</v>
      </c>
      <c r="AI126" t="s">
        <v>3465</v>
      </c>
      <c r="AJ126" t="s">
        <v>3463</v>
      </c>
      <c r="AK126" t="s">
        <v>3463</v>
      </c>
      <c r="AL126" t="s">
        <v>3463</v>
      </c>
      <c r="AP126" t="s">
        <v>3463</v>
      </c>
      <c r="AS126" t="s">
        <v>3465</v>
      </c>
      <c r="AV126" t="s">
        <v>74</v>
      </c>
      <c r="AW126" t="s">
        <v>3915</v>
      </c>
      <c r="BA126" t="s">
        <v>3920</v>
      </c>
      <c r="BF126" t="s">
        <v>3921</v>
      </c>
      <c r="BG126" t="s">
        <v>400</v>
      </c>
      <c r="BH126" t="s">
        <v>4065</v>
      </c>
      <c r="BL126" t="s">
        <v>401</v>
      </c>
      <c r="BP126" t="s">
        <v>4319</v>
      </c>
      <c r="BQ126" t="s">
        <v>3463</v>
      </c>
      <c r="BR126" t="s">
        <v>3465</v>
      </c>
      <c r="BS126" t="s">
        <v>3463</v>
      </c>
      <c r="BT126" t="s">
        <v>3463</v>
      </c>
      <c r="BU126" t="s">
        <v>3463</v>
      </c>
      <c r="BV126" t="s">
        <v>3463</v>
      </c>
      <c r="BW126" t="s">
        <v>3463</v>
      </c>
      <c r="CA126" s="10">
        <v>45908</v>
      </c>
    </row>
    <row r="127" spans="1:79">
      <c r="A127">
        <v>128</v>
      </c>
      <c r="B127">
        <v>136</v>
      </c>
      <c r="C127">
        <v>43</v>
      </c>
      <c r="D127" t="s">
        <v>3462</v>
      </c>
      <c r="F127" t="s">
        <v>71</v>
      </c>
      <c r="G127" s="12" t="s">
        <v>3463</v>
      </c>
      <c r="H127" s="12"/>
      <c r="I127">
        <v>93</v>
      </c>
      <c r="J127">
        <v>86</v>
      </c>
      <c r="K127">
        <v>142</v>
      </c>
      <c r="L127">
        <v>90</v>
      </c>
      <c r="M127" t="s">
        <v>72</v>
      </c>
      <c r="N127">
        <v>136</v>
      </c>
      <c r="O127">
        <v>92</v>
      </c>
      <c r="P127" t="s">
        <v>72</v>
      </c>
      <c r="Q127" t="s">
        <v>72</v>
      </c>
      <c r="R127">
        <v>89</v>
      </c>
      <c r="S127">
        <v>170</v>
      </c>
      <c r="T127" s="8">
        <f t="shared" si="2"/>
        <v>30.79584775086505</v>
      </c>
      <c r="U127" s="13" t="str" cm="1">
        <f t="array" ref="U127">IF(T127="","",_xlfn.IFS(T127&lt;18.5,"Bajo peso",T127&lt;25,"Peso normal",T127&lt;30,"Sobrepeso",T127&lt;35,"Obesidad clase I",T127&lt;40,"Obesidad clase II",T127&gt;=40,"Obesidad clase III"))</f>
        <v>Obesidad clase I</v>
      </c>
      <c r="V127">
        <v>106</v>
      </c>
      <c r="X127" t="s">
        <v>3463</v>
      </c>
      <c r="Y127">
        <v>1.43</v>
      </c>
      <c r="AA127">
        <v>62</v>
      </c>
      <c r="AB127" s="9">
        <f t="shared" si="3"/>
        <v>62.349472618572477</v>
      </c>
      <c r="AD127" t="s">
        <v>73</v>
      </c>
      <c r="AF127" t="s">
        <v>73</v>
      </c>
      <c r="AH127" t="s">
        <v>3463</v>
      </c>
      <c r="AI127" t="s">
        <v>3463</v>
      </c>
      <c r="AJ127" t="s">
        <v>3463</v>
      </c>
      <c r="AK127" t="s">
        <v>3463</v>
      </c>
      <c r="AL127" t="s">
        <v>3463</v>
      </c>
      <c r="AP127" t="s">
        <v>3463</v>
      </c>
      <c r="AQ127" t="s">
        <v>169</v>
      </c>
      <c r="AR127" t="s">
        <v>3493</v>
      </c>
      <c r="AV127" t="s">
        <v>74</v>
      </c>
      <c r="AW127" t="s">
        <v>3915</v>
      </c>
      <c r="BF127" t="s">
        <v>3921</v>
      </c>
      <c r="BG127" t="s">
        <v>402</v>
      </c>
      <c r="BH127" t="s">
        <v>4066</v>
      </c>
      <c r="BK127" t="s">
        <v>403</v>
      </c>
      <c r="BL127" t="s">
        <v>404</v>
      </c>
      <c r="BP127" t="s">
        <v>4320</v>
      </c>
      <c r="BQ127" t="s">
        <v>3465</v>
      </c>
      <c r="BR127" t="s">
        <v>3465</v>
      </c>
      <c r="BS127" t="s">
        <v>3465</v>
      </c>
      <c r="BT127" t="s">
        <v>3465</v>
      </c>
      <c r="BU127" t="s">
        <v>3463</v>
      </c>
      <c r="BV127" t="s">
        <v>3463</v>
      </c>
      <c r="BW127" t="s">
        <v>3463</v>
      </c>
      <c r="BX127" t="s">
        <v>79</v>
      </c>
      <c r="BY127" t="s">
        <v>87</v>
      </c>
      <c r="BZ127" t="s">
        <v>79</v>
      </c>
      <c r="CA127" s="10">
        <v>45908</v>
      </c>
    </row>
    <row r="128" spans="1:79">
      <c r="A128">
        <v>129</v>
      </c>
      <c r="B128">
        <v>137</v>
      </c>
      <c r="C128">
        <v>53</v>
      </c>
      <c r="D128" t="s">
        <v>3462</v>
      </c>
      <c r="F128" t="s">
        <v>168</v>
      </c>
      <c r="G128" s="12" t="s">
        <v>3463</v>
      </c>
      <c r="I128">
        <v>81</v>
      </c>
      <c r="J128">
        <v>79</v>
      </c>
      <c r="K128">
        <v>161</v>
      </c>
      <c r="L128">
        <v>102</v>
      </c>
      <c r="M128" t="s">
        <v>72</v>
      </c>
      <c r="N128">
        <v>161</v>
      </c>
      <c r="O128">
        <v>100</v>
      </c>
      <c r="P128" t="s">
        <v>72</v>
      </c>
      <c r="Q128" t="s">
        <v>72</v>
      </c>
      <c r="R128">
        <v>76</v>
      </c>
      <c r="S128">
        <v>163</v>
      </c>
      <c r="T128" s="8">
        <f t="shared" si="2"/>
        <v>28.604764951635364</v>
      </c>
      <c r="U128" s="13" t="str" cm="1">
        <f t="array" ref="U128">IF(T128="","",_xlfn.IFS(T128&lt;18.5,"Bajo peso",T128&lt;25,"Peso normal",T128&lt;30,"Sobrepeso",T128&lt;35,"Obesidad clase I",T128&lt;40,"Obesidad clase II",T128&gt;=40,"Obesidad clase III"))</f>
        <v>Sobrepeso</v>
      </c>
      <c r="V128">
        <v>129</v>
      </c>
      <c r="X128" t="s">
        <v>3463</v>
      </c>
      <c r="Y128">
        <v>1.64</v>
      </c>
      <c r="AA128">
        <v>50</v>
      </c>
      <c r="AB128" s="9">
        <f t="shared" si="3"/>
        <v>49.706517358093855</v>
      </c>
      <c r="AD128" t="s">
        <v>158</v>
      </c>
      <c r="AF128" t="s">
        <v>158</v>
      </c>
      <c r="AH128" t="s">
        <v>3463</v>
      </c>
      <c r="AI128" t="s">
        <v>3465</v>
      </c>
      <c r="AJ128" t="s">
        <v>3463</v>
      </c>
      <c r="AK128" t="s">
        <v>3463</v>
      </c>
      <c r="AL128" t="s">
        <v>3465</v>
      </c>
      <c r="AM128" t="s">
        <v>405</v>
      </c>
      <c r="AN128" t="s">
        <v>3629</v>
      </c>
      <c r="AP128" t="s">
        <v>3463</v>
      </c>
      <c r="AQ128" t="s">
        <v>406</v>
      </c>
      <c r="AR128" t="s">
        <v>3491</v>
      </c>
      <c r="AS128" t="s">
        <v>3465</v>
      </c>
      <c r="AV128" t="s">
        <v>74</v>
      </c>
      <c r="AW128" t="s">
        <v>3915</v>
      </c>
      <c r="BA128" t="s">
        <v>3920</v>
      </c>
      <c r="BF128" t="s">
        <v>3921</v>
      </c>
      <c r="BG128" t="s">
        <v>407</v>
      </c>
      <c r="BH128" t="s">
        <v>4067</v>
      </c>
      <c r="BK128" t="s">
        <v>408</v>
      </c>
      <c r="BL128" t="s">
        <v>409</v>
      </c>
      <c r="BP128" t="s">
        <v>4321</v>
      </c>
      <c r="BQ128" t="s">
        <v>3463</v>
      </c>
      <c r="BR128" t="s">
        <v>3465</v>
      </c>
      <c r="BT128" t="s">
        <v>3465</v>
      </c>
      <c r="BU128" t="s">
        <v>3463</v>
      </c>
      <c r="BV128" t="s">
        <v>3463</v>
      </c>
      <c r="BW128" t="s">
        <v>3463</v>
      </c>
      <c r="BX128" t="s">
        <v>79</v>
      </c>
      <c r="BY128" t="s">
        <v>87</v>
      </c>
      <c r="BZ128" t="s">
        <v>79</v>
      </c>
      <c r="CA128" s="10">
        <v>45908</v>
      </c>
    </row>
    <row r="129" spans="1:79">
      <c r="A129">
        <v>130</v>
      </c>
      <c r="B129">
        <v>138</v>
      </c>
      <c r="C129">
        <v>33</v>
      </c>
      <c r="D129" t="s">
        <v>3462</v>
      </c>
      <c r="F129" t="s">
        <v>71</v>
      </c>
      <c r="G129" s="12" t="s">
        <v>3463</v>
      </c>
      <c r="I129">
        <v>84</v>
      </c>
      <c r="K129">
        <v>128</v>
      </c>
      <c r="L129">
        <v>67</v>
      </c>
      <c r="M129" t="s">
        <v>118</v>
      </c>
      <c r="P129" t="s">
        <v>83</v>
      </c>
      <c r="Q129" t="s">
        <v>118</v>
      </c>
      <c r="R129">
        <v>62</v>
      </c>
      <c r="S129">
        <v>176</v>
      </c>
      <c r="T129" s="8">
        <f t="shared" si="2"/>
        <v>20.015495867768593</v>
      </c>
      <c r="U129" s="13" t="str" cm="1">
        <f t="array" ref="U129">IF(T129="","",_xlfn.IFS(T129&lt;18.5,"Bajo peso",T129&lt;25,"Peso normal",T129&lt;30,"Sobrepeso",T129&lt;35,"Obesidad clase I",T129&lt;40,"Obesidad clase II",T129&gt;=40,"Obesidad clase III"))</f>
        <v>Peso normal</v>
      </c>
      <c r="V129">
        <v>96</v>
      </c>
      <c r="X129" t="s">
        <v>3463</v>
      </c>
      <c r="Y129">
        <v>1.2</v>
      </c>
      <c r="AA129">
        <v>82</v>
      </c>
      <c r="AB129" s="9">
        <f t="shared" si="3"/>
        <v>81.889573642280112</v>
      </c>
      <c r="AD129" t="s">
        <v>73</v>
      </c>
      <c r="AF129" t="s">
        <v>73</v>
      </c>
      <c r="AH129" t="s">
        <v>3463</v>
      </c>
      <c r="AI129" t="s">
        <v>3463</v>
      </c>
      <c r="AJ129" t="s">
        <v>3463</v>
      </c>
      <c r="AK129" t="s">
        <v>3463</v>
      </c>
      <c r="AL129" t="s">
        <v>3463</v>
      </c>
      <c r="AP129" t="s">
        <v>3463</v>
      </c>
      <c r="AQ129" t="s">
        <v>169</v>
      </c>
      <c r="AR129" t="s">
        <v>3493</v>
      </c>
      <c r="AV129" t="s">
        <v>74</v>
      </c>
      <c r="AW129" t="s">
        <v>3915</v>
      </c>
      <c r="BF129" t="s">
        <v>3921</v>
      </c>
      <c r="BG129" t="s">
        <v>410</v>
      </c>
      <c r="BH129" t="s">
        <v>4043</v>
      </c>
      <c r="BI129" t="s">
        <v>411</v>
      </c>
      <c r="BK129" t="s">
        <v>412</v>
      </c>
      <c r="BL129" t="s">
        <v>413</v>
      </c>
      <c r="BP129" t="s">
        <v>4322</v>
      </c>
      <c r="BQ129" t="s">
        <v>3463</v>
      </c>
      <c r="BR129" t="s">
        <v>3463</v>
      </c>
      <c r="BS129" t="s">
        <v>3465</v>
      </c>
      <c r="BT129" t="s">
        <v>3465</v>
      </c>
      <c r="BU129" t="s">
        <v>3463</v>
      </c>
      <c r="BV129" t="s">
        <v>3463</v>
      </c>
      <c r="BW129" t="s">
        <v>3463</v>
      </c>
      <c r="BX129" t="s">
        <v>79</v>
      </c>
      <c r="BY129" t="s">
        <v>87</v>
      </c>
      <c r="BZ129" t="s">
        <v>79</v>
      </c>
      <c r="CA129" s="10">
        <v>45908</v>
      </c>
    </row>
    <row r="130" spans="1:79">
      <c r="A130">
        <v>131</v>
      </c>
      <c r="B130">
        <v>139</v>
      </c>
      <c r="C130">
        <v>35</v>
      </c>
      <c r="D130" t="s">
        <v>3462</v>
      </c>
      <c r="F130" t="s">
        <v>3468</v>
      </c>
      <c r="G130" s="12" t="s">
        <v>3463</v>
      </c>
      <c r="I130">
        <v>72</v>
      </c>
      <c r="J130">
        <v>69</v>
      </c>
      <c r="K130">
        <v>142</v>
      </c>
      <c r="L130">
        <v>82</v>
      </c>
      <c r="M130" t="s">
        <v>72</v>
      </c>
      <c r="N130">
        <v>129</v>
      </c>
      <c r="O130">
        <v>82</v>
      </c>
      <c r="P130" t="s">
        <v>82</v>
      </c>
      <c r="Q130" t="s">
        <v>82</v>
      </c>
      <c r="R130">
        <v>89</v>
      </c>
      <c r="S130">
        <v>173</v>
      </c>
      <c r="T130" s="8">
        <f t="shared" ref="T130:T193" si="4">IFERROR(R130/(S130^2)*10000,"")</f>
        <v>29.737044338267236</v>
      </c>
      <c r="U130" s="13" t="str" cm="1">
        <f t="array" ref="U130">IF(T130="","",_xlfn.IFS(T130&lt;18.5,"Bajo peso",T130&lt;25,"Peso normal",T130&lt;30,"Sobrepeso",T130&lt;35,"Obesidad clase I",T130&lt;40,"Obesidad clase II",T130&gt;=40,"Obesidad clase III"))</f>
        <v>Sobrepeso</v>
      </c>
      <c r="V130">
        <v>94</v>
      </c>
      <c r="X130" t="s">
        <v>3463</v>
      </c>
      <c r="Y130">
        <v>1.5</v>
      </c>
      <c r="AA130">
        <v>62</v>
      </c>
      <c r="AB130" s="9">
        <f t="shared" ref="AB130:AB193" si="5">IF(OR(C130="",D130="",Y130=""),"",142*POWER(MIN(Y130/IF(D130="Mujer",0.7,0.9),1),IF(D130="Mujer",-0.241,-0.302))*POWER(MAX(Y130/IF(D130="Mujer",0.7,0.9),1),-1.2)*POWER(0.9938,C130)*IF(D130="Mujer",1.012,1))</f>
        <v>61.877759358967587</v>
      </c>
      <c r="AD130" t="s">
        <v>73</v>
      </c>
      <c r="AF130" t="s">
        <v>73</v>
      </c>
      <c r="AH130" t="s">
        <v>3463</v>
      </c>
      <c r="AI130" t="s">
        <v>3463</v>
      </c>
      <c r="AJ130" t="s">
        <v>3463</v>
      </c>
      <c r="AK130" t="s">
        <v>3463</v>
      </c>
      <c r="AL130" t="s">
        <v>3463</v>
      </c>
      <c r="AP130" t="s">
        <v>3463</v>
      </c>
      <c r="AQ130" t="s">
        <v>414</v>
      </c>
      <c r="AR130" t="s">
        <v>3488</v>
      </c>
      <c r="AV130" t="s">
        <v>74</v>
      </c>
      <c r="AW130" t="s">
        <v>3915</v>
      </c>
      <c r="BC130" t="s">
        <v>128</v>
      </c>
      <c r="BF130" t="s">
        <v>3921</v>
      </c>
      <c r="BH130" t="s">
        <v>4068</v>
      </c>
      <c r="BK130" t="s">
        <v>415</v>
      </c>
      <c r="BL130" t="s">
        <v>416</v>
      </c>
      <c r="BP130" t="s">
        <v>4260</v>
      </c>
      <c r="BQ130" t="s">
        <v>3463</v>
      </c>
      <c r="BR130" t="s">
        <v>3465</v>
      </c>
      <c r="BS130" t="s">
        <v>3465</v>
      </c>
      <c r="BT130" t="s">
        <v>3465</v>
      </c>
      <c r="BU130" t="s">
        <v>3463</v>
      </c>
      <c r="BV130" t="s">
        <v>3463</v>
      </c>
      <c r="BW130" t="s">
        <v>3463</v>
      </c>
      <c r="BX130" t="s">
        <v>79</v>
      </c>
      <c r="BY130" t="s">
        <v>87</v>
      </c>
      <c r="BZ130" t="s">
        <v>79</v>
      </c>
      <c r="CA130" s="10">
        <v>45908</v>
      </c>
    </row>
    <row r="131" spans="1:79">
      <c r="A131">
        <v>132</v>
      </c>
      <c r="B131">
        <v>140</v>
      </c>
      <c r="C131">
        <v>63</v>
      </c>
      <c r="D131" t="s">
        <v>3466</v>
      </c>
      <c r="F131" t="s">
        <v>71</v>
      </c>
      <c r="G131" s="12" t="s">
        <v>3465</v>
      </c>
      <c r="H131" t="s">
        <v>88</v>
      </c>
      <c r="I131">
        <v>78</v>
      </c>
      <c r="K131">
        <v>134</v>
      </c>
      <c r="L131">
        <v>69</v>
      </c>
      <c r="M131" t="s">
        <v>82</v>
      </c>
      <c r="P131" t="s">
        <v>83</v>
      </c>
      <c r="Q131" t="s">
        <v>82</v>
      </c>
      <c r="R131">
        <v>79</v>
      </c>
      <c r="S131">
        <v>155</v>
      </c>
      <c r="T131" s="8">
        <f t="shared" si="4"/>
        <v>32.882414151925076</v>
      </c>
      <c r="U131" s="13" t="str" cm="1">
        <f t="array" ref="U131">IF(T131="","",_xlfn.IFS(T131&lt;18.5,"Bajo peso",T131&lt;25,"Peso normal",T131&lt;30,"Sobrepeso",T131&lt;35,"Obesidad clase I",T131&lt;40,"Obesidad clase II",T131&gt;=40,"Obesidad clase III"))</f>
        <v>Obesidad clase I</v>
      </c>
      <c r="V131">
        <v>143</v>
      </c>
      <c r="W131">
        <v>142</v>
      </c>
      <c r="X131" t="s">
        <v>3463</v>
      </c>
      <c r="Y131">
        <v>1.46</v>
      </c>
      <c r="Z131">
        <v>1.59</v>
      </c>
      <c r="AA131">
        <v>40</v>
      </c>
      <c r="AB131" s="9">
        <f t="shared" si="5"/>
        <v>40.197551451328323</v>
      </c>
      <c r="AC131">
        <v>36</v>
      </c>
      <c r="AD131" t="s">
        <v>218</v>
      </c>
      <c r="AE131" t="s">
        <v>218</v>
      </c>
      <c r="AF131" t="s">
        <v>218</v>
      </c>
      <c r="AH131" t="s">
        <v>3463</v>
      </c>
      <c r="AI131" t="s">
        <v>3463</v>
      </c>
      <c r="AJ131" t="s">
        <v>3463</v>
      </c>
      <c r="AK131" t="s">
        <v>3463</v>
      </c>
      <c r="AL131" t="s">
        <v>3463</v>
      </c>
      <c r="AP131" t="s">
        <v>3463</v>
      </c>
      <c r="AT131" t="s">
        <v>3463</v>
      </c>
      <c r="AV131" t="s">
        <v>74</v>
      </c>
      <c r="AW131" t="s">
        <v>3915</v>
      </c>
      <c r="AX131" t="s">
        <v>3463</v>
      </c>
      <c r="AY131" t="s">
        <v>3463</v>
      </c>
      <c r="AZ131" t="s">
        <v>253</v>
      </c>
      <c r="BF131" t="s">
        <v>3921</v>
      </c>
      <c r="BG131" t="s">
        <v>417</v>
      </c>
      <c r="BH131" t="s">
        <v>4068</v>
      </c>
      <c r="BK131" t="s">
        <v>418</v>
      </c>
      <c r="BL131" t="s">
        <v>419</v>
      </c>
      <c r="BP131" t="s">
        <v>4323</v>
      </c>
      <c r="BQ131" t="s">
        <v>3463</v>
      </c>
      <c r="BR131" t="s">
        <v>3465</v>
      </c>
      <c r="BS131" t="s">
        <v>3463</v>
      </c>
      <c r="BT131" t="s">
        <v>3463</v>
      </c>
      <c r="BU131" t="s">
        <v>3463</v>
      </c>
      <c r="BV131" t="s">
        <v>3463</v>
      </c>
      <c r="BW131" t="s">
        <v>3463</v>
      </c>
      <c r="BX131" t="s">
        <v>79</v>
      </c>
      <c r="BY131" t="s">
        <v>87</v>
      </c>
      <c r="BZ131" t="s">
        <v>79</v>
      </c>
      <c r="CA131" s="10">
        <v>45908</v>
      </c>
    </row>
    <row r="132" spans="1:79">
      <c r="A132">
        <v>133</v>
      </c>
      <c r="B132">
        <v>141</v>
      </c>
      <c r="C132">
        <v>27</v>
      </c>
      <c r="D132" t="s">
        <v>3462</v>
      </c>
      <c r="F132" t="s">
        <v>71</v>
      </c>
      <c r="G132" s="12" t="s">
        <v>3465</v>
      </c>
      <c r="H132" t="s">
        <v>88</v>
      </c>
      <c r="I132">
        <v>83</v>
      </c>
      <c r="K132">
        <v>131</v>
      </c>
      <c r="L132">
        <v>84</v>
      </c>
      <c r="M132" t="s">
        <v>82</v>
      </c>
      <c r="P132" t="s">
        <v>83</v>
      </c>
      <c r="Q132" t="s">
        <v>82</v>
      </c>
      <c r="R132">
        <v>106</v>
      </c>
      <c r="S132">
        <v>175</v>
      </c>
      <c r="T132" s="8">
        <f t="shared" si="4"/>
        <v>34.612244897959187</v>
      </c>
      <c r="U132" s="13" t="str" cm="1">
        <f t="array" ref="U132">IF(T132="","",_xlfn.IFS(T132&lt;18.5,"Bajo peso",T132&lt;25,"Peso normal",T132&lt;30,"Sobrepeso",T132&lt;35,"Obesidad clase I",T132&lt;40,"Obesidad clase II",T132&gt;=40,"Obesidad clase III"))</f>
        <v>Obesidad clase I</v>
      </c>
      <c r="V132">
        <v>106</v>
      </c>
      <c r="X132" t="s">
        <v>3463</v>
      </c>
      <c r="Y132">
        <v>1.18</v>
      </c>
      <c r="AA132">
        <v>87</v>
      </c>
      <c r="AB132" s="9">
        <f t="shared" si="5"/>
        <v>86.734872018235137</v>
      </c>
      <c r="AD132" t="s">
        <v>73</v>
      </c>
      <c r="AF132" t="s">
        <v>73</v>
      </c>
      <c r="AH132" t="s">
        <v>3463</v>
      </c>
      <c r="AI132" t="s">
        <v>3463</v>
      </c>
      <c r="AJ132" t="s">
        <v>3463</v>
      </c>
      <c r="AK132" t="s">
        <v>3463</v>
      </c>
      <c r="AL132" t="s">
        <v>3463</v>
      </c>
      <c r="AP132" t="s">
        <v>3463</v>
      </c>
      <c r="AQ132" t="s">
        <v>379</v>
      </c>
      <c r="AR132" t="s">
        <v>3493</v>
      </c>
      <c r="AV132" t="s">
        <v>74</v>
      </c>
      <c r="AW132" t="s">
        <v>3915</v>
      </c>
      <c r="BC132" t="s">
        <v>128</v>
      </c>
      <c r="BF132" t="s">
        <v>3921</v>
      </c>
      <c r="BH132" t="s">
        <v>4068</v>
      </c>
      <c r="BI132" t="s">
        <v>420</v>
      </c>
      <c r="BK132" t="s">
        <v>421</v>
      </c>
      <c r="BL132" t="s">
        <v>422</v>
      </c>
      <c r="BP132" t="s">
        <v>4324</v>
      </c>
      <c r="BQ132" t="s">
        <v>3463</v>
      </c>
      <c r="BR132" t="s">
        <v>3465</v>
      </c>
      <c r="BS132" t="s">
        <v>3463</v>
      </c>
      <c r="BT132" t="s">
        <v>3463</v>
      </c>
      <c r="BU132" t="s">
        <v>3463</v>
      </c>
      <c r="BV132" t="s">
        <v>3463</v>
      </c>
      <c r="BW132" t="s">
        <v>3463</v>
      </c>
      <c r="BX132" t="s">
        <v>79</v>
      </c>
      <c r="BY132" t="s">
        <v>87</v>
      </c>
      <c r="BZ132" t="s">
        <v>79</v>
      </c>
      <c r="CA132" s="10">
        <v>45908</v>
      </c>
    </row>
    <row r="133" spans="1:79">
      <c r="A133">
        <v>134</v>
      </c>
      <c r="B133">
        <v>142</v>
      </c>
      <c r="C133">
        <v>54</v>
      </c>
      <c r="D133" t="s">
        <v>3462</v>
      </c>
      <c r="F133" t="s">
        <v>168</v>
      </c>
      <c r="G133" s="12" t="s">
        <v>3463</v>
      </c>
      <c r="H133" s="12"/>
      <c r="I133">
        <v>85</v>
      </c>
      <c r="J133">
        <v>81</v>
      </c>
      <c r="K133">
        <v>165</v>
      </c>
      <c r="L133">
        <v>95</v>
      </c>
      <c r="M133" t="s">
        <v>72</v>
      </c>
      <c r="N133">
        <v>153</v>
      </c>
      <c r="O133">
        <v>93</v>
      </c>
      <c r="P133" t="s">
        <v>72</v>
      </c>
      <c r="Q133" t="s">
        <v>72</v>
      </c>
      <c r="R133">
        <v>88</v>
      </c>
      <c r="S133">
        <v>162</v>
      </c>
      <c r="T133" s="8">
        <f t="shared" si="4"/>
        <v>33.531473860691968</v>
      </c>
      <c r="U133" s="13" t="str" cm="1">
        <f t="array" ref="U133">IF(T133="","",_xlfn.IFS(T133&lt;18.5,"Bajo peso",T133&lt;25,"Peso normal",T133&lt;30,"Sobrepeso",T133&lt;35,"Obesidad clase I",T133&lt;40,"Obesidad clase II",T133&gt;=40,"Obesidad clase III"))</f>
        <v>Obesidad clase I</v>
      </c>
      <c r="V133">
        <v>142</v>
      </c>
      <c r="X133" t="s">
        <v>3463</v>
      </c>
      <c r="Y133">
        <v>1.17</v>
      </c>
      <c r="AA133">
        <v>74</v>
      </c>
      <c r="AB133" s="9">
        <f t="shared" si="5"/>
        <v>74.080160009330811</v>
      </c>
      <c r="AD133" t="s">
        <v>73</v>
      </c>
      <c r="AF133" t="s">
        <v>73</v>
      </c>
      <c r="AH133" t="s">
        <v>3463</v>
      </c>
      <c r="AI133" t="s">
        <v>3463</v>
      </c>
      <c r="AJ133" t="s">
        <v>3463</v>
      </c>
      <c r="AK133" t="s">
        <v>3463</v>
      </c>
      <c r="AL133" t="s">
        <v>3465</v>
      </c>
      <c r="AM133" t="s">
        <v>116</v>
      </c>
      <c r="AN133" t="s">
        <v>116</v>
      </c>
      <c r="AP133" t="s">
        <v>3463</v>
      </c>
      <c r="AQ133" t="s">
        <v>423</v>
      </c>
      <c r="AR133" t="s">
        <v>3495</v>
      </c>
      <c r="AV133" t="s">
        <v>74</v>
      </c>
      <c r="AW133" t="s">
        <v>3915</v>
      </c>
      <c r="BA133" t="s">
        <v>3920</v>
      </c>
      <c r="BC133" t="s">
        <v>128</v>
      </c>
      <c r="BE133" t="s">
        <v>325</v>
      </c>
      <c r="BF133" t="s">
        <v>3929</v>
      </c>
      <c r="BG133" t="s">
        <v>424</v>
      </c>
      <c r="BH133" t="s">
        <v>4069</v>
      </c>
      <c r="BI133" t="s">
        <v>425</v>
      </c>
      <c r="BL133" t="s">
        <v>426</v>
      </c>
      <c r="BP133" t="s">
        <v>4282</v>
      </c>
      <c r="BQ133" t="s">
        <v>3465</v>
      </c>
      <c r="BR133" t="s">
        <v>3465</v>
      </c>
      <c r="BS133" t="s">
        <v>3463</v>
      </c>
      <c r="BT133" t="s">
        <v>3465</v>
      </c>
      <c r="BU133" t="s">
        <v>3463</v>
      </c>
      <c r="BV133" t="s">
        <v>3463</v>
      </c>
      <c r="BW133" t="s">
        <v>3463</v>
      </c>
      <c r="BX133" t="s">
        <v>79</v>
      </c>
      <c r="BY133" t="s">
        <v>87</v>
      </c>
      <c r="BZ133" t="s">
        <v>79</v>
      </c>
      <c r="CA133" s="10">
        <v>45908</v>
      </c>
    </row>
    <row r="134" spans="1:79">
      <c r="A134">
        <v>135</v>
      </c>
      <c r="B134">
        <v>143</v>
      </c>
      <c r="C134">
        <v>51</v>
      </c>
      <c r="D134" t="s">
        <v>3462</v>
      </c>
      <c r="F134" t="s">
        <v>71</v>
      </c>
      <c r="G134" s="12" t="s">
        <v>3463</v>
      </c>
      <c r="H134" s="12"/>
      <c r="I134">
        <v>76</v>
      </c>
      <c r="J134">
        <v>73</v>
      </c>
      <c r="K134">
        <v>143</v>
      </c>
      <c r="L134">
        <v>88</v>
      </c>
      <c r="M134" t="s">
        <v>72</v>
      </c>
      <c r="N134">
        <v>142</v>
      </c>
      <c r="O134">
        <v>84</v>
      </c>
      <c r="P134" t="s">
        <v>72</v>
      </c>
      <c r="Q134" t="s">
        <v>72</v>
      </c>
      <c r="R134">
        <v>88</v>
      </c>
      <c r="S134">
        <v>168</v>
      </c>
      <c r="T134" s="8">
        <f t="shared" si="4"/>
        <v>31.179138321995467</v>
      </c>
      <c r="U134" s="13" t="str" cm="1">
        <f t="array" ref="U134">IF(T134="","",_xlfn.IFS(T134&lt;18.5,"Bajo peso",T134&lt;25,"Peso normal",T134&lt;30,"Sobrepeso",T134&lt;35,"Obesidad clase I",T134&lt;40,"Obesidad clase II",T134&gt;=40,"Obesidad clase III"))</f>
        <v>Obesidad clase I</v>
      </c>
      <c r="V134">
        <v>118</v>
      </c>
      <c r="X134" t="s">
        <v>3463</v>
      </c>
      <c r="Y134">
        <v>1.61</v>
      </c>
      <c r="AA134">
        <v>52</v>
      </c>
      <c r="AB134" s="9">
        <f t="shared" si="5"/>
        <v>51.456105996894429</v>
      </c>
      <c r="AD134" t="s">
        <v>158</v>
      </c>
      <c r="AF134" t="s">
        <v>158</v>
      </c>
      <c r="AH134" t="s">
        <v>3463</v>
      </c>
      <c r="AI134" t="s">
        <v>3463</v>
      </c>
      <c r="AJ134" t="s">
        <v>3463</v>
      </c>
      <c r="AK134" t="s">
        <v>3463</v>
      </c>
      <c r="AL134" t="s">
        <v>3463</v>
      </c>
      <c r="AP134" t="s">
        <v>3463</v>
      </c>
      <c r="AV134" t="s">
        <v>126</v>
      </c>
      <c r="AW134" t="s">
        <v>126</v>
      </c>
      <c r="BF134" t="s">
        <v>3921</v>
      </c>
      <c r="BH134" t="s">
        <v>4022</v>
      </c>
      <c r="BK134" t="s">
        <v>427</v>
      </c>
      <c r="BL134" t="s">
        <v>428</v>
      </c>
      <c r="BP134" t="s">
        <v>4325</v>
      </c>
      <c r="BQ134" t="s">
        <v>3463</v>
      </c>
      <c r="BR134" t="s">
        <v>3465</v>
      </c>
      <c r="BT134" t="s">
        <v>3465</v>
      </c>
      <c r="BU134" t="s">
        <v>3463</v>
      </c>
      <c r="BV134" t="s">
        <v>3463</v>
      </c>
      <c r="BW134" t="s">
        <v>3463</v>
      </c>
      <c r="BX134" t="s">
        <v>79</v>
      </c>
      <c r="BY134" t="s">
        <v>87</v>
      </c>
      <c r="BZ134" t="s">
        <v>79</v>
      </c>
      <c r="CA134" s="10">
        <v>45908</v>
      </c>
    </row>
    <row r="135" spans="1:79">
      <c r="A135">
        <v>136</v>
      </c>
      <c r="B135">
        <v>144</v>
      </c>
      <c r="C135">
        <v>42</v>
      </c>
      <c r="D135" t="s">
        <v>3462</v>
      </c>
      <c r="F135" t="s">
        <v>168</v>
      </c>
      <c r="G135" s="12" t="s">
        <v>3463</v>
      </c>
      <c r="I135">
        <v>102</v>
      </c>
      <c r="J135">
        <v>99</v>
      </c>
      <c r="K135">
        <v>154</v>
      </c>
      <c r="L135">
        <v>95</v>
      </c>
      <c r="M135" t="s">
        <v>72</v>
      </c>
      <c r="N135">
        <v>142</v>
      </c>
      <c r="O135">
        <v>90</v>
      </c>
      <c r="P135" t="s">
        <v>72</v>
      </c>
      <c r="Q135" t="s">
        <v>72</v>
      </c>
      <c r="R135">
        <v>80</v>
      </c>
      <c r="S135">
        <v>162</v>
      </c>
      <c r="T135" s="8">
        <f t="shared" si="4"/>
        <v>30.483158055174517</v>
      </c>
      <c r="U135" s="13" t="str" cm="1">
        <f t="array" ref="U135">IF(T135="","",_xlfn.IFS(T135&lt;18.5,"Bajo peso",T135&lt;25,"Peso normal",T135&lt;30,"Sobrepeso",T135&lt;35,"Obesidad clase I",T135&lt;40,"Obesidad clase II",T135&gt;=40,"Obesidad clase III"))</f>
        <v>Obesidad clase I</v>
      </c>
      <c r="V135">
        <v>92</v>
      </c>
      <c r="X135" t="s">
        <v>3463</v>
      </c>
      <c r="Y135">
        <v>1.86</v>
      </c>
      <c r="AA135">
        <v>46</v>
      </c>
      <c r="AB135" s="9">
        <f t="shared" si="5"/>
        <v>45.763739398492078</v>
      </c>
      <c r="AD135" t="s">
        <v>158</v>
      </c>
      <c r="AF135" t="s">
        <v>158</v>
      </c>
      <c r="AH135" t="s">
        <v>3463</v>
      </c>
      <c r="AI135" t="s">
        <v>3465</v>
      </c>
      <c r="AJ135" t="s">
        <v>3465</v>
      </c>
      <c r="AK135" t="s">
        <v>3463</v>
      </c>
      <c r="AL135" t="s">
        <v>3463</v>
      </c>
      <c r="AP135" t="s">
        <v>3463</v>
      </c>
      <c r="AQ135" t="s">
        <v>159</v>
      </c>
      <c r="AR135" t="s">
        <v>3491</v>
      </c>
      <c r="AS135" t="s">
        <v>3465</v>
      </c>
      <c r="AV135" t="s">
        <v>74</v>
      </c>
      <c r="AW135" t="s">
        <v>3915</v>
      </c>
      <c r="BA135" t="s">
        <v>3920</v>
      </c>
      <c r="BF135" t="s">
        <v>3921</v>
      </c>
      <c r="BG135" t="s">
        <v>429</v>
      </c>
      <c r="BH135" t="s">
        <v>4070</v>
      </c>
      <c r="BK135" t="s">
        <v>430</v>
      </c>
      <c r="BL135" t="s">
        <v>431</v>
      </c>
      <c r="BP135" t="s">
        <v>4326</v>
      </c>
      <c r="BQ135" t="s">
        <v>3463</v>
      </c>
      <c r="BR135" t="s">
        <v>3465</v>
      </c>
      <c r="BS135" t="s">
        <v>3465</v>
      </c>
      <c r="BT135" t="s">
        <v>3465</v>
      </c>
      <c r="BU135" t="s">
        <v>3463</v>
      </c>
      <c r="BV135" t="s">
        <v>3463</v>
      </c>
      <c r="BW135" t="s">
        <v>3463</v>
      </c>
      <c r="BX135" t="s">
        <v>79</v>
      </c>
      <c r="BY135" t="s">
        <v>87</v>
      </c>
      <c r="BZ135" t="s">
        <v>79</v>
      </c>
      <c r="CA135" s="10">
        <v>45908</v>
      </c>
    </row>
    <row r="136" spans="1:79">
      <c r="A136">
        <v>137</v>
      </c>
      <c r="B136">
        <v>145</v>
      </c>
      <c r="C136">
        <v>51</v>
      </c>
      <c r="D136" t="s">
        <v>3466</v>
      </c>
      <c r="F136" t="s">
        <v>71</v>
      </c>
      <c r="G136" s="12" t="s">
        <v>3465</v>
      </c>
      <c r="H136" t="s">
        <v>88</v>
      </c>
      <c r="I136">
        <v>67</v>
      </c>
      <c r="K136">
        <v>129</v>
      </c>
      <c r="L136">
        <v>71</v>
      </c>
      <c r="M136" t="s">
        <v>118</v>
      </c>
      <c r="P136" t="s">
        <v>83</v>
      </c>
      <c r="Q136" t="s">
        <v>118</v>
      </c>
      <c r="R136">
        <v>60</v>
      </c>
      <c r="S136">
        <v>150</v>
      </c>
      <c r="T136" s="8">
        <f t="shared" si="4"/>
        <v>26.666666666666664</v>
      </c>
      <c r="U136" s="13" t="str" cm="1">
        <f t="array" ref="U136">IF(T136="","",_xlfn.IFS(T136&lt;18.5,"Bajo peso",T136&lt;25,"Peso normal",T136&lt;30,"Sobrepeso",T136&lt;35,"Obesidad clase I",T136&lt;40,"Obesidad clase II",T136&gt;=40,"Obesidad clase III"))</f>
        <v>Sobrepeso</v>
      </c>
      <c r="V136">
        <v>99</v>
      </c>
      <c r="X136" t="s">
        <v>3463</v>
      </c>
      <c r="Y136">
        <v>0.97</v>
      </c>
      <c r="AA136">
        <v>70</v>
      </c>
      <c r="AB136" s="9">
        <f t="shared" si="5"/>
        <v>70.747164233300822</v>
      </c>
      <c r="AD136" t="s">
        <v>73</v>
      </c>
      <c r="AF136" t="s">
        <v>73</v>
      </c>
      <c r="AH136" t="s">
        <v>3463</v>
      </c>
      <c r="AI136" t="s">
        <v>3463</v>
      </c>
      <c r="AJ136" t="s">
        <v>3463</v>
      </c>
      <c r="AK136" t="s">
        <v>3463</v>
      </c>
      <c r="AL136" t="s">
        <v>3463</v>
      </c>
      <c r="AP136" t="s">
        <v>3463</v>
      </c>
      <c r="AT136" t="s">
        <v>3465</v>
      </c>
      <c r="AU136" t="s">
        <v>80</v>
      </c>
      <c r="AV136" t="s">
        <v>74</v>
      </c>
      <c r="AW136" t="s">
        <v>3915</v>
      </c>
      <c r="AX136" t="s">
        <v>3463</v>
      </c>
      <c r="AY136" t="s">
        <v>3463</v>
      </c>
      <c r="BF136" t="s">
        <v>3921</v>
      </c>
      <c r="BG136" t="s">
        <v>432</v>
      </c>
      <c r="BH136" t="s">
        <v>4043</v>
      </c>
      <c r="BL136" t="s">
        <v>433</v>
      </c>
      <c r="BP136" t="s">
        <v>4320</v>
      </c>
      <c r="BQ136" t="s">
        <v>3463</v>
      </c>
      <c r="BR136" t="s">
        <v>3463</v>
      </c>
      <c r="BS136" t="s">
        <v>3463</v>
      </c>
      <c r="BT136" t="s">
        <v>3463</v>
      </c>
      <c r="BU136" t="s">
        <v>3463</v>
      </c>
      <c r="BV136" t="s">
        <v>3463</v>
      </c>
      <c r="BW136" t="s">
        <v>3463</v>
      </c>
      <c r="BX136" t="s">
        <v>79</v>
      </c>
      <c r="BY136" t="s">
        <v>87</v>
      </c>
      <c r="BZ136" t="s">
        <v>79</v>
      </c>
      <c r="CA136" s="10">
        <v>45908</v>
      </c>
    </row>
    <row r="137" spans="1:79">
      <c r="A137">
        <v>138</v>
      </c>
      <c r="B137">
        <v>146</v>
      </c>
      <c r="C137">
        <v>41</v>
      </c>
      <c r="D137" t="s">
        <v>3466</v>
      </c>
      <c r="F137" t="s">
        <v>168</v>
      </c>
      <c r="G137" s="12" t="s">
        <v>3463</v>
      </c>
      <c r="I137">
        <v>70</v>
      </c>
      <c r="J137">
        <v>65</v>
      </c>
      <c r="K137">
        <v>147</v>
      </c>
      <c r="L137">
        <v>90</v>
      </c>
      <c r="M137" t="s">
        <v>72</v>
      </c>
      <c r="N137">
        <v>135</v>
      </c>
      <c r="O137">
        <v>88</v>
      </c>
      <c r="P137" t="s">
        <v>82</v>
      </c>
      <c r="Q137" t="s">
        <v>82</v>
      </c>
      <c r="R137">
        <v>85</v>
      </c>
      <c r="S137">
        <v>168</v>
      </c>
      <c r="T137" s="8">
        <f t="shared" si="4"/>
        <v>30.116213151927436</v>
      </c>
      <c r="U137" s="13" t="str" cm="1">
        <f t="array" ref="U137">IF(T137="","",_xlfn.IFS(T137&lt;18.5,"Bajo peso",T137&lt;25,"Peso normal",T137&lt;30,"Sobrepeso",T137&lt;35,"Obesidad clase I",T137&lt;40,"Obesidad clase II",T137&gt;=40,"Obesidad clase III"))</f>
        <v>Obesidad clase I</v>
      </c>
      <c r="V137">
        <v>115</v>
      </c>
      <c r="X137" t="s">
        <v>3463</v>
      </c>
      <c r="Y137">
        <v>1.45</v>
      </c>
      <c r="AA137">
        <v>47</v>
      </c>
      <c r="AB137" s="9">
        <f t="shared" si="5"/>
        <v>46.473308435732285</v>
      </c>
      <c r="AD137" t="s">
        <v>158</v>
      </c>
      <c r="AF137" t="s">
        <v>158</v>
      </c>
      <c r="AH137" t="s">
        <v>3463</v>
      </c>
      <c r="AI137" t="s">
        <v>3463</v>
      </c>
      <c r="AJ137" t="s">
        <v>3463</v>
      </c>
      <c r="AK137" t="s">
        <v>3463</v>
      </c>
      <c r="AL137" t="s">
        <v>3463</v>
      </c>
      <c r="AP137" t="s">
        <v>3463</v>
      </c>
      <c r="AQ137" t="s">
        <v>169</v>
      </c>
      <c r="AR137" t="s">
        <v>3493</v>
      </c>
      <c r="AT137" t="s">
        <v>3463</v>
      </c>
      <c r="AV137" t="s">
        <v>74</v>
      </c>
      <c r="AW137" t="s">
        <v>3915</v>
      </c>
      <c r="AX137" t="s">
        <v>3465</v>
      </c>
      <c r="AY137" t="s">
        <v>3465</v>
      </c>
      <c r="AZ137" t="s">
        <v>90</v>
      </c>
      <c r="BF137" t="s">
        <v>3921</v>
      </c>
      <c r="BG137" t="s">
        <v>370</v>
      </c>
      <c r="BH137" t="s">
        <v>4071</v>
      </c>
      <c r="BK137" t="s">
        <v>434</v>
      </c>
      <c r="BL137" t="s">
        <v>435</v>
      </c>
      <c r="BP137" t="s">
        <v>4325</v>
      </c>
      <c r="BQ137" t="s">
        <v>3463</v>
      </c>
      <c r="BR137" t="s">
        <v>3465</v>
      </c>
      <c r="BS137" t="s">
        <v>3465</v>
      </c>
      <c r="BT137" t="s">
        <v>3465</v>
      </c>
      <c r="BU137" t="s">
        <v>3463</v>
      </c>
      <c r="BV137" t="s">
        <v>3463</v>
      </c>
      <c r="BW137" t="s">
        <v>3463</v>
      </c>
      <c r="BX137" t="s">
        <v>79</v>
      </c>
      <c r="BY137" t="s">
        <v>87</v>
      </c>
      <c r="BZ137" t="s">
        <v>79</v>
      </c>
      <c r="CA137" s="10">
        <v>45908</v>
      </c>
    </row>
    <row r="138" spans="1:79">
      <c r="A138">
        <v>139</v>
      </c>
      <c r="B138">
        <v>147</v>
      </c>
      <c r="C138">
        <v>30</v>
      </c>
      <c r="D138" t="s">
        <v>3462</v>
      </c>
      <c r="F138" t="s">
        <v>150</v>
      </c>
      <c r="G138" s="12" t="s">
        <v>3463</v>
      </c>
      <c r="H138" s="12"/>
      <c r="I138">
        <v>72</v>
      </c>
      <c r="K138">
        <v>138</v>
      </c>
      <c r="L138">
        <v>76</v>
      </c>
      <c r="M138" t="s">
        <v>82</v>
      </c>
      <c r="P138" t="s">
        <v>83</v>
      </c>
      <c r="Q138" t="s">
        <v>82</v>
      </c>
      <c r="R138">
        <v>104</v>
      </c>
      <c r="S138">
        <v>183</v>
      </c>
      <c r="T138" s="8">
        <f t="shared" si="4"/>
        <v>31.054973274806656</v>
      </c>
      <c r="U138" s="13" t="str" cm="1">
        <f t="array" ref="U138">IF(T138="","",_xlfn.IFS(T138&lt;18.5,"Bajo peso",T138&lt;25,"Peso normal",T138&lt;30,"Sobrepeso",T138&lt;35,"Obesidad clase I",T138&lt;40,"Obesidad clase II",T138&gt;=40,"Obesidad clase III"))</f>
        <v>Obesidad clase I</v>
      </c>
      <c r="V138">
        <v>98</v>
      </c>
      <c r="X138" t="s">
        <v>3463</v>
      </c>
      <c r="Y138">
        <v>1.95</v>
      </c>
      <c r="AA138">
        <v>47</v>
      </c>
      <c r="AB138" s="9">
        <f t="shared" si="5"/>
        <v>46.591596735375354</v>
      </c>
      <c r="AD138" t="s">
        <v>158</v>
      </c>
      <c r="AF138" t="s">
        <v>158</v>
      </c>
      <c r="AH138" t="s">
        <v>3463</v>
      </c>
      <c r="AI138" t="s">
        <v>3463</v>
      </c>
      <c r="AJ138" t="s">
        <v>3463</v>
      </c>
      <c r="AK138" t="s">
        <v>3463</v>
      </c>
      <c r="AL138" t="s">
        <v>3465</v>
      </c>
      <c r="AM138" t="s">
        <v>436</v>
      </c>
      <c r="AN138" t="s">
        <v>3630</v>
      </c>
      <c r="AP138" t="s">
        <v>3463</v>
      </c>
      <c r="AQ138" t="s">
        <v>437</v>
      </c>
      <c r="AR138" t="s">
        <v>3488</v>
      </c>
      <c r="AV138" t="s">
        <v>74</v>
      </c>
      <c r="AW138" t="s">
        <v>3915</v>
      </c>
      <c r="BF138" t="s">
        <v>3921</v>
      </c>
      <c r="BH138" t="s">
        <v>4072</v>
      </c>
      <c r="BK138" t="s">
        <v>438</v>
      </c>
      <c r="BL138" t="s">
        <v>439</v>
      </c>
      <c r="BP138" t="s">
        <v>4325</v>
      </c>
      <c r="BQ138" t="s">
        <v>3463</v>
      </c>
      <c r="BR138" t="s">
        <v>3465</v>
      </c>
      <c r="BS138" t="s">
        <v>3465</v>
      </c>
      <c r="BT138" t="s">
        <v>3465</v>
      </c>
      <c r="BU138" t="s">
        <v>3463</v>
      </c>
      <c r="BV138" t="s">
        <v>3463</v>
      </c>
      <c r="BW138" t="s">
        <v>3463</v>
      </c>
      <c r="BX138" t="s">
        <v>79</v>
      </c>
      <c r="BY138" t="s">
        <v>87</v>
      </c>
      <c r="BZ138" t="s">
        <v>79</v>
      </c>
      <c r="CA138" s="10">
        <v>45908</v>
      </c>
    </row>
    <row r="139" spans="1:79">
      <c r="A139">
        <v>140</v>
      </c>
      <c r="B139">
        <v>148</v>
      </c>
      <c r="C139">
        <v>37</v>
      </c>
      <c r="D139" t="s">
        <v>3466</v>
      </c>
      <c r="F139" t="s">
        <v>150</v>
      </c>
      <c r="G139" s="12" t="s">
        <v>3463</v>
      </c>
      <c r="I139">
        <v>105</v>
      </c>
      <c r="J139">
        <v>88</v>
      </c>
      <c r="K139">
        <v>158</v>
      </c>
      <c r="L139">
        <v>67</v>
      </c>
      <c r="M139" t="s">
        <v>72</v>
      </c>
      <c r="N139">
        <v>134</v>
      </c>
      <c r="O139">
        <v>65</v>
      </c>
      <c r="P139" t="s">
        <v>82</v>
      </c>
      <c r="Q139" t="s">
        <v>82</v>
      </c>
      <c r="R139">
        <v>67.099999999999994</v>
      </c>
      <c r="S139">
        <v>151.5</v>
      </c>
      <c r="T139" s="8">
        <f t="shared" si="4"/>
        <v>29.234606628979726</v>
      </c>
      <c r="U139" s="13" t="str" cm="1">
        <f t="array" ref="U139">IF(T139="","",_xlfn.IFS(T139&lt;18.5,"Bajo peso",T139&lt;25,"Peso normal",T139&lt;30,"Sobrepeso",T139&lt;35,"Obesidad clase I",T139&lt;40,"Obesidad clase II",T139&gt;=40,"Obesidad clase III"))</f>
        <v>Sobrepeso</v>
      </c>
      <c r="V139">
        <v>102</v>
      </c>
      <c r="X139" t="s">
        <v>3463</v>
      </c>
      <c r="Y139">
        <v>1.18</v>
      </c>
      <c r="AA139">
        <v>61</v>
      </c>
      <c r="AB139" s="9">
        <f t="shared" si="5"/>
        <v>61.008565750356873</v>
      </c>
      <c r="AD139" t="s">
        <v>73</v>
      </c>
      <c r="AF139" t="s">
        <v>73</v>
      </c>
      <c r="AH139" t="s">
        <v>3463</v>
      </c>
      <c r="AI139" t="s">
        <v>3463</v>
      </c>
      <c r="AJ139" t="s">
        <v>3463</v>
      </c>
      <c r="AK139" t="s">
        <v>3465</v>
      </c>
      <c r="AL139" t="s">
        <v>3465</v>
      </c>
      <c r="AM139" t="s">
        <v>440</v>
      </c>
      <c r="AN139" t="s">
        <v>3631</v>
      </c>
      <c r="AP139" t="s">
        <v>3463</v>
      </c>
      <c r="AQ139" t="s">
        <v>89</v>
      </c>
      <c r="AR139" t="s">
        <v>3488</v>
      </c>
      <c r="AT139" t="s">
        <v>3463</v>
      </c>
      <c r="AV139" t="s">
        <v>178</v>
      </c>
      <c r="AW139" t="s">
        <v>3918</v>
      </c>
      <c r="AX139" t="s">
        <v>3463</v>
      </c>
      <c r="AY139" t="s">
        <v>3463</v>
      </c>
      <c r="AZ139" t="s">
        <v>126</v>
      </c>
      <c r="BF139" t="s">
        <v>3921</v>
      </c>
      <c r="BH139" t="s">
        <v>4020</v>
      </c>
      <c r="BP139" t="s">
        <v>4260</v>
      </c>
      <c r="BQ139" t="s">
        <v>3463</v>
      </c>
      <c r="BR139" t="s">
        <v>3465</v>
      </c>
      <c r="BS139" t="s">
        <v>3465</v>
      </c>
      <c r="BT139" t="s">
        <v>3465</v>
      </c>
      <c r="BU139" t="s">
        <v>3463</v>
      </c>
      <c r="BV139" t="s">
        <v>3463</v>
      </c>
      <c r="BW139" t="s">
        <v>3463</v>
      </c>
      <c r="BX139" t="s">
        <v>79</v>
      </c>
      <c r="BY139" t="s">
        <v>87</v>
      </c>
      <c r="BZ139" t="s">
        <v>79</v>
      </c>
      <c r="CA139" s="10">
        <v>45908</v>
      </c>
    </row>
    <row r="140" spans="1:79">
      <c r="A140">
        <v>141</v>
      </c>
      <c r="B140">
        <v>149</v>
      </c>
      <c r="C140">
        <v>32</v>
      </c>
      <c r="D140" t="s">
        <v>3462</v>
      </c>
      <c r="F140" t="s">
        <v>71</v>
      </c>
      <c r="G140" s="12" t="s">
        <v>3463</v>
      </c>
      <c r="I140">
        <v>72</v>
      </c>
      <c r="K140">
        <v>135</v>
      </c>
      <c r="L140">
        <v>84</v>
      </c>
      <c r="M140" t="s">
        <v>82</v>
      </c>
      <c r="P140" t="s">
        <v>83</v>
      </c>
      <c r="Q140" t="s">
        <v>82</v>
      </c>
      <c r="R140">
        <v>73.7</v>
      </c>
      <c r="S140">
        <v>162.5925</v>
      </c>
      <c r="T140" s="8">
        <f t="shared" si="4"/>
        <v>27.878311752677124</v>
      </c>
      <c r="U140" s="13" t="str" cm="1">
        <f t="array" ref="U140">IF(T140="","",_xlfn.IFS(T140&lt;18.5,"Bajo peso",T140&lt;25,"Peso normal",T140&lt;30,"Sobrepeso",T140&lt;35,"Obesidad clase I",T140&lt;40,"Obesidad clase II",T140&gt;=40,"Obesidad clase III"))</f>
        <v>Sobrepeso</v>
      </c>
      <c r="V140">
        <v>94</v>
      </c>
      <c r="X140" t="s">
        <v>3463</v>
      </c>
      <c r="Y140">
        <v>1.21</v>
      </c>
      <c r="AA140">
        <v>81</v>
      </c>
      <c r="AB140" s="9">
        <f t="shared" si="5"/>
        <v>81.5839387241856</v>
      </c>
      <c r="AD140" t="s">
        <v>73</v>
      </c>
      <c r="AF140" t="s">
        <v>73</v>
      </c>
      <c r="AH140" t="s">
        <v>3463</v>
      </c>
      <c r="AI140" t="s">
        <v>3463</v>
      </c>
      <c r="AJ140" t="s">
        <v>3463</v>
      </c>
      <c r="AK140" t="s">
        <v>3463</v>
      </c>
      <c r="AL140" t="s">
        <v>3463</v>
      </c>
      <c r="AP140" t="s">
        <v>3463</v>
      </c>
      <c r="AQ140" t="s">
        <v>441</v>
      </c>
      <c r="AR140" t="s">
        <v>3494</v>
      </c>
      <c r="AV140" t="s">
        <v>126</v>
      </c>
      <c r="AW140" t="s">
        <v>126</v>
      </c>
      <c r="BF140" t="s">
        <v>3921</v>
      </c>
      <c r="BH140" t="s">
        <v>4020</v>
      </c>
      <c r="BP140" t="s">
        <v>4260</v>
      </c>
      <c r="BQ140" t="s">
        <v>3463</v>
      </c>
      <c r="BR140" t="s">
        <v>3465</v>
      </c>
      <c r="BS140" t="s">
        <v>3465</v>
      </c>
      <c r="BT140" t="s">
        <v>3465</v>
      </c>
      <c r="BU140" t="s">
        <v>3463</v>
      </c>
      <c r="BV140" t="s">
        <v>3463</v>
      </c>
      <c r="BW140" t="s">
        <v>3463</v>
      </c>
      <c r="BX140" t="s">
        <v>79</v>
      </c>
      <c r="BY140" t="s">
        <v>87</v>
      </c>
      <c r="BZ140" t="s">
        <v>79</v>
      </c>
      <c r="CA140" s="10">
        <v>45908</v>
      </c>
    </row>
    <row r="141" spans="1:79">
      <c r="A141">
        <v>142</v>
      </c>
      <c r="B141">
        <v>150</v>
      </c>
      <c r="C141">
        <v>31</v>
      </c>
      <c r="D141" t="s">
        <v>3462</v>
      </c>
      <c r="F141" t="s">
        <v>71</v>
      </c>
      <c r="G141" s="12" t="s">
        <v>3463</v>
      </c>
      <c r="I141">
        <v>76</v>
      </c>
      <c r="J141">
        <v>80</v>
      </c>
      <c r="K141">
        <v>148</v>
      </c>
      <c r="L141">
        <v>83</v>
      </c>
      <c r="M141" t="s">
        <v>72</v>
      </c>
      <c r="N141">
        <v>141</v>
      </c>
      <c r="O141">
        <v>81</v>
      </c>
      <c r="P141" t="s">
        <v>72</v>
      </c>
      <c r="Q141" t="s">
        <v>72</v>
      </c>
      <c r="R141">
        <v>89.4</v>
      </c>
      <c r="S141">
        <v>166.5</v>
      </c>
      <c r="T141" s="8">
        <f t="shared" si="4"/>
        <v>32.248464680897115</v>
      </c>
      <c r="U141" s="13" t="str" cm="1">
        <f t="array" ref="U141">IF(T141="","",_xlfn.IFS(T141&lt;18.5,"Bajo peso",T141&lt;25,"Peso normal",T141&lt;30,"Sobrepeso",T141&lt;35,"Obesidad clase I",T141&lt;40,"Obesidad clase II",T141&gt;=40,"Obesidad clase III"))</f>
        <v>Obesidad clase I</v>
      </c>
      <c r="V141">
        <v>115</v>
      </c>
      <c r="X141" t="s">
        <v>3463</v>
      </c>
      <c r="Y141">
        <v>1.33</v>
      </c>
      <c r="AA141">
        <v>73</v>
      </c>
      <c r="AB141" s="9">
        <f t="shared" si="5"/>
        <v>73.286866183837972</v>
      </c>
      <c r="AD141" t="s">
        <v>73</v>
      </c>
      <c r="AF141" t="s">
        <v>73</v>
      </c>
      <c r="AH141" t="s">
        <v>3463</v>
      </c>
      <c r="AI141" t="s">
        <v>3463</v>
      </c>
      <c r="AJ141" t="s">
        <v>3463</v>
      </c>
      <c r="AK141" t="s">
        <v>3463</v>
      </c>
      <c r="AL141" t="s">
        <v>3463</v>
      </c>
      <c r="AP141" t="s">
        <v>3463</v>
      </c>
      <c r="AQ141" t="s">
        <v>442</v>
      </c>
      <c r="AR141" t="s">
        <v>3491</v>
      </c>
      <c r="AV141" t="s">
        <v>74</v>
      </c>
      <c r="AW141" t="s">
        <v>3915</v>
      </c>
      <c r="BF141" t="s">
        <v>3921</v>
      </c>
      <c r="BG141" t="s">
        <v>443</v>
      </c>
      <c r="BH141" t="s">
        <v>4026</v>
      </c>
      <c r="BL141" t="s">
        <v>444</v>
      </c>
      <c r="BP141" t="s">
        <v>4260</v>
      </c>
      <c r="BQ141" t="s">
        <v>3465</v>
      </c>
      <c r="BR141" t="s">
        <v>3465</v>
      </c>
      <c r="BS141" t="s">
        <v>3465</v>
      </c>
      <c r="BT141" t="s">
        <v>3465</v>
      </c>
      <c r="BU141" t="s">
        <v>3463</v>
      </c>
      <c r="BV141" t="s">
        <v>3463</v>
      </c>
      <c r="BW141" t="s">
        <v>3463</v>
      </c>
      <c r="BX141" t="s">
        <v>79</v>
      </c>
      <c r="BY141" t="s">
        <v>87</v>
      </c>
      <c r="BZ141" t="s">
        <v>79</v>
      </c>
      <c r="CA141" s="10">
        <v>45908</v>
      </c>
    </row>
    <row r="142" spans="1:79">
      <c r="A142">
        <v>143</v>
      </c>
      <c r="B142">
        <v>1</v>
      </c>
      <c r="C142">
        <v>56</v>
      </c>
      <c r="D142" t="s">
        <v>3466</v>
      </c>
      <c r="E142" t="s">
        <v>502</v>
      </c>
      <c r="F142" t="s">
        <v>503</v>
      </c>
      <c r="G142" s="12" t="s">
        <v>3463</v>
      </c>
      <c r="I142">
        <v>71</v>
      </c>
      <c r="J142">
        <v>68</v>
      </c>
      <c r="K142">
        <v>202</v>
      </c>
      <c r="L142">
        <v>90</v>
      </c>
      <c r="M142" t="s">
        <v>96</v>
      </c>
      <c r="N142">
        <v>168</v>
      </c>
      <c r="O142">
        <v>91</v>
      </c>
      <c r="P142" t="s">
        <v>72</v>
      </c>
      <c r="Q142" t="s">
        <v>72</v>
      </c>
      <c r="R142">
        <v>66.900000000000006</v>
      </c>
      <c r="S142">
        <v>154.5</v>
      </c>
      <c r="T142" s="8">
        <f t="shared" si="4"/>
        <v>28.026518364910299</v>
      </c>
      <c r="U142" s="13" t="str" cm="1">
        <f t="array" ref="U142">IF(T142="","",_xlfn.IFS(T142&lt;18.5,"Bajo peso",T142&lt;25,"Peso normal",T142&lt;30,"Sobrepeso",T142&lt;35,"Obesidad clase I",T142&lt;40,"Obesidad clase II",T142&gt;=40,"Obesidad clase III"))</f>
        <v>Sobrepeso</v>
      </c>
      <c r="V142">
        <v>101</v>
      </c>
      <c r="X142" t="s">
        <v>3463</v>
      </c>
      <c r="Y142">
        <v>0.59</v>
      </c>
      <c r="AA142">
        <v>90</v>
      </c>
      <c r="AB142" s="9">
        <f t="shared" si="5"/>
        <v>105.7074812206741</v>
      </c>
      <c r="AD142" t="s">
        <v>73</v>
      </c>
      <c r="AF142" t="s">
        <v>73</v>
      </c>
      <c r="AH142" t="s">
        <v>3463</v>
      </c>
      <c r="AI142" t="s">
        <v>3465</v>
      </c>
      <c r="AJ142" t="s">
        <v>3463</v>
      </c>
      <c r="AK142" t="s">
        <v>3465</v>
      </c>
      <c r="AL142" t="s">
        <v>3463</v>
      </c>
      <c r="AP142" t="s">
        <v>3463</v>
      </c>
      <c r="AQ142" t="s">
        <v>148</v>
      </c>
      <c r="AR142" t="s">
        <v>3491</v>
      </c>
      <c r="AS142" t="s">
        <v>3465</v>
      </c>
      <c r="AT142" t="s">
        <v>3465</v>
      </c>
      <c r="AU142" t="s">
        <v>80</v>
      </c>
      <c r="AV142" t="s">
        <v>178</v>
      </c>
      <c r="AW142" t="s">
        <v>3918</v>
      </c>
      <c r="AX142" t="s">
        <v>3463</v>
      </c>
      <c r="AY142" t="s">
        <v>3465</v>
      </c>
      <c r="AZ142" t="s">
        <v>104</v>
      </c>
      <c r="BA142" t="s">
        <v>3920</v>
      </c>
      <c r="BF142" t="s">
        <v>3921</v>
      </c>
      <c r="BG142" t="s">
        <v>504</v>
      </c>
      <c r="BH142" t="s">
        <v>4042</v>
      </c>
      <c r="BK142" t="s">
        <v>505</v>
      </c>
      <c r="BL142" t="s">
        <v>506</v>
      </c>
      <c r="BP142" t="s">
        <v>4327</v>
      </c>
      <c r="BQ142" t="s">
        <v>3463</v>
      </c>
      <c r="BR142" t="s">
        <v>3465</v>
      </c>
      <c r="BS142" t="s">
        <v>3465</v>
      </c>
      <c r="BT142" t="s">
        <v>3465</v>
      </c>
      <c r="BU142" t="s">
        <v>3463</v>
      </c>
      <c r="BV142" t="s">
        <v>3463</v>
      </c>
      <c r="BW142" t="s">
        <v>3463</v>
      </c>
      <c r="BX142" t="s">
        <v>79</v>
      </c>
      <c r="BY142" t="s">
        <v>79</v>
      </c>
      <c r="BZ142" t="s">
        <v>79</v>
      </c>
      <c r="CA142" s="10">
        <v>45909</v>
      </c>
    </row>
    <row r="143" spans="1:79">
      <c r="A143">
        <v>144</v>
      </c>
      <c r="B143">
        <v>2</v>
      </c>
      <c r="C143">
        <v>56</v>
      </c>
      <c r="D143" t="s">
        <v>3462</v>
      </c>
      <c r="E143" t="s">
        <v>507</v>
      </c>
      <c r="F143" t="s">
        <v>503</v>
      </c>
      <c r="G143" s="12" t="s">
        <v>3465</v>
      </c>
      <c r="H143" t="s">
        <v>88</v>
      </c>
      <c r="I143">
        <v>55</v>
      </c>
      <c r="J143">
        <v>68</v>
      </c>
      <c r="K143">
        <v>149</v>
      </c>
      <c r="L143">
        <v>91</v>
      </c>
      <c r="M143" t="s">
        <v>72</v>
      </c>
      <c r="N143">
        <v>142</v>
      </c>
      <c r="O143">
        <v>100</v>
      </c>
      <c r="P143" t="s">
        <v>72</v>
      </c>
      <c r="Q143" t="s">
        <v>72</v>
      </c>
      <c r="R143">
        <v>105.8</v>
      </c>
      <c r="S143">
        <v>171.5</v>
      </c>
      <c r="T143" s="8">
        <f t="shared" si="4"/>
        <v>35.971406471793216</v>
      </c>
      <c r="U143" s="13" t="str" cm="1">
        <f t="array" ref="U143">IF(T143="","",_xlfn.IFS(T143&lt;18.5,"Bajo peso",T143&lt;25,"Peso normal",T143&lt;30,"Sobrepeso",T143&lt;35,"Obesidad clase I",T143&lt;40,"Obesidad clase II",T143&gt;=40,"Obesidad clase III"))</f>
        <v>Obesidad clase II</v>
      </c>
      <c r="V143">
        <v>136</v>
      </c>
      <c r="X143" t="s">
        <v>3463</v>
      </c>
      <c r="Y143">
        <v>1.1000000000000001</v>
      </c>
      <c r="AA143">
        <v>89</v>
      </c>
      <c r="AB143" s="9">
        <f t="shared" si="5"/>
        <v>78.786481963989175</v>
      </c>
      <c r="AD143" t="s">
        <v>73</v>
      </c>
      <c r="AF143" t="s">
        <v>73</v>
      </c>
      <c r="AH143" t="s">
        <v>3463</v>
      </c>
      <c r="AI143" t="s">
        <v>3463</v>
      </c>
      <c r="AJ143" t="s">
        <v>3463</v>
      </c>
      <c r="AK143" t="s">
        <v>3463</v>
      </c>
      <c r="AL143" t="s">
        <v>3463</v>
      </c>
      <c r="AP143" t="s">
        <v>3463</v>
      </c>
      <c r="AV143" t="s">
        <v>126</v>
      </c>
      <c r="AW143" t="s">
        <v>126</v>
      </c>
      <c r="BF143" t="s">
        <v>3921</v>
      </c>
      <c r="BG143" t="s">
        <v>508</v>
      </c>
      <c r="BH143" t="s">
        <v>4073</v>
      </c>
      <c r="BL143" t="s">
        <v>509</v>
      </c>
      <c r="BP143" t="s">
        <v>4328</v>
      </c>
      <c r="BQ143" t="s">
        <v>3465</v>
      </c>
      <c r="BR143" t="s">
        <v>3463</v>
      </c>
      <c r="BS143" t="s">
        <v>3463</v>
      </c>
      <c r="BT143" t="s">
        <v>3465</v>
      </c>
      <c r="BU143" t="s">
        <v>3463</v>
      </c>
      <c r="BV143" t="s">
        <v>3463</v>
      </c>
      <c r="BW143" t="s">
        <v>3463</v>
      </c>
      <c r="BX143" t="s">
        <v>79</v>
      </c>
      <c r="BY143" t="s">
        <v>87</v>
      </c>
      <c r="BZ143" t="s">
        <v>79</v>
      </c>
      <c r="CA143" s="10">
        <v>45909</v>
      </c>
    </row>
    <row r="144" spans="1:79">
      <c r="A144">
        <v>145</v>
      </c>
      <c r="B144">
        <v>3</v>
      </c>
      <c r="C144">
        <v>53</v>
      </c>
      <c r="D144" t="s">
        <v>3466</v>
      </c>
      <c r="E144" t="s">
        <v>510</v>
      </c>
      <c r="F144" t="s">
        <v>503</v>
      </c>
      <c r="G144" s="12" t="s">
        <v>3463</v>
      </c>
      <c r="H144" s="12"/>
      <c r="I144">
        <v>63</v>
      </c>
      <c r="J144">
        <v>60</v>
      </c>
      <c r="K144">
        <v>142</v>
      </c>
      <c r="L144">
        <v>83</v>
      </c>
      <c r="M144" t="s">
        <v>72</v>
      </c>
      <c r="N144">
        <v>123</v>
      </c>
      <c r="O144">
        <v>80</v>
      </c>
      <c r="P144" t="s">
        <v>82</v>
      </c>
      <c r="Q144" t="s">
        <v>82</v>
      </c>
      <c r="R144">
        <v>66.900000000000006</v>
      </c>
      <c r="S144">
        <v>161</v>
      </c>
      <c r="T144" s="8">
        <f t="shared" si="4"/>
        <v>25.809189460283172</v>
      </c>
      <c r="U144" s="13" t="str" cm="1">
        <f t="array" ref="U144">IF(T144="","",_xlfn.IFS(T144&lt;18.5,"Bajo peso",T144&lt;25,"Peso normal",T144&lt;30,"Sobrepeso",T144&lt;35,"Obesidad clase I",T144&lt;40,"Obesidad clase II",T144&gt;=40,"Obesidad clase III"))</f>
        <v>Sobrepeso</v>
      </c>
      <c r="V144">
        <v>101</v>
      </c>
      <c r="X144" t="s">
        <v>3463</v>
      </c>
      <c r="Y144">
        <v>0.55000000000000004</v>
      </c>
      <c r="AA144">
        <v>90</v>
      </c>
      <c r="AB144" s="9">
        <f t="shared" si="5"/>
        <v>109.53594870145922</v>
      </c>
      <c r="AD144" t="s">
        <v>73</v>
      </c>
      <c r="AF144" t="s">
        <v>73</v>
      </c>
      <c r="AH144" t="s">
        <v>3463</v>
      </c>
      <c r="AI144" t="s">
        <v>3463</v>
      </c>
      <c r="AJ144" t="s">
        <v>3463</v>
      </c>
      <c r="AK144" t="s">
        <v>3463</v>
      </c>
      <c r="AL144" t="s">
        <v>3463</v>
      </c>
      <c r="AP144" t="s">
        <v>3463</v>
      </c>
      <c r="AQ144" t="s">
        <v>143</v>
      </c>
      <c r="AR144" t="s">
        <v>3493</v>
      </c>
      <c r="AT144" t="s">
        <v>3465</v>
      </c>
      <c r="AU144" t="s">
        <v>125</v>
      </c>
      <c r="AV144" t="s">
        <v>178</v>
      </c>
      <c r="AW144" t="s">
        <v>3918</v>
      </c>
      <c r="AX144" t="s">
        <v>3465</v>
      </c>
      <c r="AY144" t="s">
        <v>3465</v>
      </c>
      <c r="AZ144" t="s">
        <v>90</v>
      </c>
      <c r="BF144" t="s">
        <v>3921</v>
      </c>
      <c r="BH144" t="s">
        <v>4020</v>
      </c>
      <c r="BP144" t="s">
        <v>4260</v>
      </c>
      <c r="BQ144" t="s">
        <v>3463</v>
      </c>
      <c r="BR144" t="s">
        <v>3465</v>
      </c>
      <c r="BS144" t="s">
        <v>3465</v>
      </c>
      <c r="BT144" t="s">
        <v>3465</v>
      </c>
      <c r="BU144" t="s">
        <v>3463</v>
      </c>
      <c r="BV144" t="s">
        <v>3463</v>
      </c>
      <c r="BW144" t="s">
        <v>3463</v>
      </c>
      <c r="BX144" t="s">
        <v>79</v>
      </c>
      <c r="BY144" t="s">
        <v>87</v>
      </c>
      <c r="BZ144" t="s">
        <v>79</v>
      </c>
      <c r="CA144" s="10">
        <v>45909</v>
      </c>
    </row>
    <row r="145" spans="1:79">
      <c r="A145">
        <v>146</v>
      </c>
      <c r="B145">
        <v>4</v>
      </c>
      <c r="C145">
        <v>79</v>
      </c>
      <c r="D145" t="s">
        <v>3466</v>
      </c>
      <c r="E145" t="s">
        <v>507</v>
      </c>
      <c r="F145" t="s">
        <v>503</v>
      </c>
      <c r="G145" s="12" t="s">
        <v>3463</v>
      </c>
      <c r="I145">
        <v>63</v>
      </c>
      <c r="J145">
        <v>59</v>
      </c>
      <c r="K145">
        <v>167</v>
      </c>
      <c r="L145">
        <v>78</v>
      </c>
      <c r="M145" t="s">
        <v>72</v>
      </c>
      <c r="N145">
        <v>160</v>
      </c>
      <c r="O145">
        <v>81</v>
      </c>
      <c r="P145" t="s">
        <v>72</v>
      </c>
      <c r="Q145" t="s">
        <v>72</v>
      </c>
      <c r="R145">
        <v>78.7</v>
      </c>
      <c r="S145">
        <v>159</v>
      </c>
      <c r="T145" s="8">
        <f t="shared" si="4"/>
        <v>31.130097701831417</v>
      </c>
      <c r="U145" s="13" t="str" cm="1">
        <f t="array" ref="U145">IF(T145="","",_xlfn.IFS(T145&lt;18.5,"Bajo peso",T145&lt;25,"Peso normal",T145&lt;30,"Sobrepeso",T145&lt;35,"Obesidad clase I",T145&lt;40,"Obesidad clase II",T145&gt;=40,"Obesidad clase III"))</f>
        <v>Obesidad clase I</v>
      </c>
      <c r="V145">
        <v>102</v>
      </c>
      <c r="X145" t="s">
        <v>3463</v>
      </c>
      <c r="Y145">
        <v>0.71</v>
      </c>
      <c r="AA145">
        <v>86</v>
      </c>
      <c r="AB145" s="9">
        <f t="shared" si="5"/>
        <v>86.436443027256772</v>
      </c>
      <c r="AD145" t="s">
        <v>73</v>
      </c>
      <c r="AF145" t="s">
        <v>73</v>
      </c>
      <c r="AH145" t="s">
        <v>3463</v>
      </c>
      <c r="AI145" t="s">
        <v>3465</v>
      </c>
      <c r="AJ145" t="s">
        <v>3463</v>
      </c>
      <c r="AK145" t="s">
        <v>3463</v>
      </c>
      <c r="AL145" t="s">
        <v>3465</v>
      </c>
      <c r="AM145" t="s">
        <v>511</v>
      </c>
      <c r="AN145" t="s">
        <v>3640</v>
      </c>
      <c r="AP145" t="s">
        <v>3463</v>
      </c>
      <c r="AQ145" t="s">
        <v>512</v>
      </c>
      <c r="AR145" t="s">
        <v>3491</v>
      </c>
      <c r="AS145" t="s">
        <v>3465</v>
      </c>
      <c r="AT145" t="s">
        <v>3463</v>
      </c>
      <c r="AV145" t="s">
        <v>178</v>
      </c>
      <c r="AW145" t="s">
        <v>3918</v>
      </c>
      <c r="AX145" t="s">
        <v>3463</v>
      </c>
      <c r="AY145" t="s">
        <v>3463</v>
      </c>
      <c r="AZ145" t="s">
        <v>513</v>
      </c>
      <c r="BA145" t="s">
        <v>3920</v>
      </c>
      <c r="BF145" t="s">
        <v>3921</v>
      </c>
      <c r="BG145" t="s">
        <v>514</v>
      </c>
      <c r="BH145" t="s">
        <v>4051</v>
      </c>
      <c r="BL145" t="s">
        <v>515</v>
      </c>
      <c r="BP145" t="s">
        <v>4329</v>
      </c>
      <c r="BQ145" t="s">
        <v>3463</v>
      </c>
      <c r="BR145" t="s">
        <v>3463</v>
      </c>
      <c r="BS145" t="s">
        <v>3463</v>
      </c>
      <c r="BT145" t="s">
        <v>3463</v>
      </c>
      <c r="BU145" t="s">
        <v>3463</v>
      </c>
      <c r="BV145" t="s">
        <v>3463</v>
      </c>
      <c r="BW145" t="s">
        <v>3463</v>
      </c>
      <c r="BX145" t="s">
        <v>79</v>
      </c>
      <c r="BY145" t="s">
        <v>87</v>
      </c>
      <c r="BZ145" t="s">
        <v>79</v>
      </c>
      <c r="CA145" s="10">
        <v>45909</v>
      </c>
    </row>
    <row r="146" spans="1:79">
      <c r="A146">
        <v>148</v>
      </c>
      <c r="B146">
        <v>6</v>
      </c>
      <c r="C146">
        <v>50</v>
      </c>
      <c r="D146" t="s">
        <v>3466</v>
      </c>
      <c r="F146" t="s">
        <v>503</v>
      </c>
      <c r="G146" s="12" t="s">
        <v>3463</v>
      </c>
      <c r="H146" s="12"/>
      <c r="I146">
        <v>54</v>
      </c>
      <c r="J146">
        <v>57</v>
      </c>
      <c r="K146">
        <v>195</v>
      </c>
      <c r="L146">
        <v>106</v>
      </c>
      <c r="M146" t="s">
        <v>96</v>
      </c>
      <c r="N146">
        <v>200</v>
      </c>
      <c r="O146">
        <v>100</v>
      </c>
      <c r="P146" t="s">
        <v>96</v>
      </c>
      <c r="Q146" t="s">
        <v>96</v>
      </c>
      <c r="R146">
        <v>95.1</v>
      </c>
      <c r="S146">
        <v>159</v>
      </c>
      <c r="T146" s="8">
        <f t="shared" si="4"/>
        <v>37.617182864601872</v>
      </c>
      <c r="U146" s="13" t="str" cm="1">
        <f t="array" ref="U146">IF(T146="","",_xlfn.IFS(T146&lt;18.5,"Bajo peso",T146&lt;25,"Peso normal",T146&lt;30,"Sobrepeso",T146&lt;35,"Obesidad clase I",T146&lt;40,"Obesidad clase II",T146&gt;=40,"Obesidad clase III"))</f>
        <v>Obesidad clase II</v>
      </c>
      <c r="V146">
        <v>94</v>
      </c>
      <c r="X146" t="s">
        <v>3463</v>
      </c>
      <c r="Y146">
        <v>0.68</v>
      </c>
      <c r="AA146">
        <v>90</v>
      </c>
      <c r="AB146" s="9">
        <f t="shared" si="5"/>
        <v>106.03578528392171</v>
      </c>
      <c r="AD146" t="s">
        <v>73</v>
      </c>
      <c r="AF146" t="s">
        <v>73</v>
      </c>
      <c r="AH146" t="s">
        <v>3463</v>
      </c>
      <c r="AI146" t="s">
        <v>3463</v>
      </c>
      <c r="AJ146" t="s">
        <v>3463</v>
      </c>
      <c r="AK146" t="s">
        <v>3463</v>
      </c>
      <c r="AL146" t="s">
        <v>3463</v>
      </c>
      <c r="AP146" t="s">
        <v>3463</v>
      </c>
      <c r="AQ146" t="s">
        <v>143</v>
      </c>
      <c r="AR146" t="s">
        <v>3493</v>
      </c>
      <c r="AT146" t="s">
        <v>3463</v>
      </c>
      <c r="AV146" t="s">
        <v>74</v>
      </c>
      <c r="AW146" t="s">
        <v>3915</v>
      </c>
      <c r="AX146" t="s">
        <v>3463</v>
      </c>
      <c r="AY146" t="s">
        <v>3463</v>
      </c>
      <c r="BF146" t="s">
        <v>3921</v>
      </c>
      <c r="BG146" t="s">
        <v>516</v>
      </c>
      <c r="BH146" t="s">
        <v>4017</v>
      </c>
      <c r="BI146" t="s">
        <v>76</v>
      </c>
      <c r="BL146" t="s">
        <v>517</v>
      </c>
      <c r="BP146" t="s">
        <v>4282</v>
      </c>
      <c r="BQ146" t="s">
        <v>3463</v>
      </c>
      <c r="BR146" t="s">
        <v>3465</v>
      </c>
      <c r="BS146" t="s">
        <v>3465</v>
      </c>
      <c r="BT146" t="s">
        <v>3465</v>
      </c>
      <c r="BU146" t="s">
        <v>3463</v>
      </c>
      <c r="BV146" t="s">
        <v>3463</v>
      </c>
      <c r="BW146" t="s">
        <v>3463</v>
      </c>
      <c r="BX146" t="s">
        <v>518</v>
      </c>
      <c r="BY146" t="s">
        <v>87</v>
      </c>
      <c r="BZ146" t="s">
        <v>79</v>
      </c>
      <c r="CA146" s="10">
        <v>45909</v>
      </c>
    </row>
    <row r="147" spans="1:79">
      <c r="A147">
        <v>149</v>
      </c>
      <c r="B147">
        <v>7</v>
      </c>
      <c r="C147">
        <v>67</v>
      </c>
      <c r="D147" t="s">
        <v>3462</v>
      </c>
      <c r="E147" t="s">
        <v>502</v>
      </c>
      <c r="F147" t="s">
        <v>503</v>
      </c>
      <c r="G147" s="12" t="s">
        <v>3465</v>
      </c>
      <c r="H147" s="12" t="s">
        <v>456</v>
      </c>
      <c r="I147">
        <v>66</v>
      </c>
      <c r="J147">
        <v>59</v>
      </c>
      <c r="K147">
        <v>193</v>
      </c>
      <c r="L147">
        <v>97</v>
      </c>
      <c r="M147" t="s">
        <v>96</v>
      </c>
      <c r="N147">
        <v>189</v>
      </c>
      <c r="O147">
        <v>95</v>
      </c>
      <c r="P147" t="s">
        <v>96</v>
      </c>
      <c r="Q147" t="s">
        <v>96</v>
      </c>
      <c r="R147">
        <v>83</v>
      </c>
      <c r="S147">
        <v>160</v>
      </c>
      <c r="T147" s="8">
        <f t="shared" si="4"/>
        <v>32.421875</v>
      </c>
      <c r="U147" s="13" t="str" cm="1">
        <f t="array" ref="U147">IF(T147="","",_xlfn.IFS(T147&lt;18.5,"Bajo peso",T147&lt;25,"Peso normal",T147&lt;30,"Sobrepeso",T147&lt;35,"Obesidad clase I",T147&lt;40,"Obesidad clase II",T147&gt;=40,"Obesidad clase III"))</f>
        <v>Obesidad clase I</v>
      </c>
      <c r="V147">
        <v>85</v>
      </c>
      <c r="X147" t="s">
        <v>3463</v>
      </c>
      <c r="Y147">
        <v>0.48</v>
      </c>
      <c r="AA147">
        <v>90</v>
      </c>
      <c r="AB147" s="9">
        <f t="shared" si="5"/>
        <v>113.17935640376106</v>
      </c>
      <c r="AD147" t="s">
        <v>73</v>
      </c>
      <c r="AF147" t="s">
        <v>73</v>
      </c>
      <c r="AH147" t="s">
        <v>3463</v>
      </c>
      <c r="AI147" t="s">
        <v>3465</v>
      </c>
      <c r="AJ147" t="s">
        <v>3463</v>
      </c>
      <c r="AK147" t="s">
        <v>3463</v>
      </c>
      <c r="AL147" t="s">
        <v>3465</v>
      </c>
      <c r="AM147" t="s">
        <v>519</v>
      </c>
      <c r="AN147" t="s">
        <v>3641</v>
      </c>
      <c r="AP147" t="s">
        <v>3463</v>
      </c>
      <c r="AQ147" t="s">
        <v>520</v>
      </c>
      <c r="AR147" t="s">
        <v>3491</v>
      </c>
      <c r="AS147" t="s">
        <v>3465</v>
      </c>
      <c r="AV147" t="s">
        <v>74</v>
      </c>
      <c r="AW147" t="s">
        <v>3915</v>
      </c>
      <c r="BA147" t="s">
        <v>3920</v>
      </c>
      <c r="BF147" t="s">
        <v>3921</v>
      </c>
      <c r="BG147" t="s">
        <v>521</v>
      </c>
      <c r="BH147" t="s">
        <v>4074</v>
      </c>
      <c r="BI147" t="s">
        <v>411</v>
      </c>
      <c r="BL147" t="s">
        <v>522</v>
      </c>
      <c r="BP147" t="s">
        <v>4330</v>
      </c>
      <c r="BQ147" t="s">
        <v>3465</v>
      </c>
      <c r="BR147" t="s">
        <v>3465</v>
      </c>
      <c r="BS147" t="s">
        <v>3463</v>
      </c>
      <c r="BT147" t="s">
        <v>3465</v>
      </c>
      <c r="BU147" t="s">
        <v>3463</v>
      </c>
      <c r="BV147" t="s">
        <v>3463</v>
      </c>
      <c r="BW147" t="s">
        <v>3463</v>
      </c>
      <c r="BX147" t="s">
        <v>79</v>
      </c>
      <c r="BY147" t="s">
        <v>87</v>
      </c>
      <c r="BZ147" t="s">
        <v>79</v>
      </c>
      <c r="CA147" s="10">
        <v>45909</v>
      </c>
    </row>
    <row r="148" spans="1:79">
      <c r="A148">
        <v>150</v>
      </c>
      <c r="B148">
        <v>8</v>
      </c>
      <c r="C148">
        <v>38</v>
      </c>
      <c r="D148" t="s">
        <v>3462</v>
      </c>
      <c r="E148" t="s">
        <v>502</v>
      </c>
      <c r="F148" t="s">
        <v>503</v>
      </c>
      <c r="G148" s="12" t="s">
        <v>3465</v>
      </c>
      <c r="H148" t="s">
        <v>88</v>
      </c>
      <c r="I148">
        <v>76</v>
      </c>
      <c r="J148">
        <v>73</v>
      </c>
      <c r="K148">
        <v>156</v>
      </c>
      <c r="L148">
        <v>98</v>
      </c>
      <c r="M148" t="s">
        <v>72</v>
      </c>
      <c r="N148">
        <v>160</v>
      </c>
      <c r="O148">
        <v>93</v>
      </c>
      <c r="P148" t="s">
        <v>72</v>
      </c>
      <c r="Q148" t="s">
        <v>72</v>
      </c>
      <c r="R148">
        <v>107</v>
      </c>
      <c r="S148">
        <v>167</v>
      </c>
      <c r="T148" s="8">
        <f t="shared" si="4"/>
        <v>38.366381010434225</v>
      </c>
      <c r="U148" s="13" t="str" cm="1">
        <f t="array" ref="U148">IF(T148="","",_xlfn.IFS(T148&lt;18.5,"Bajo peso",T148&lt;25,"Peso normal",T148&lt;30,"Sobrepeso",T148&lt;35,"Obesidad clase I",T148&lt;40,"Obesidad clase II",T148&gt;=40,"Obesidad clase III"))</f>
        <v>Obesidad clase II</v>
      </c>
      <c r="V148">
        <v>116</v>
      </c>
      <c r="X148" t="s">
        <v>3463</v>
      </c>
      <c r="Y148">
        <v>0.75</v>
      </c>
      <c r="AA148">
        <v>90</v>
      </c>
      <c r="AB148" s="9">
        <f t="shared" si="5"/>
        <v>118.45756258919913</v>
      </c>
      <c r="AD148" t="s">
        <v>73</v>
      </c>
      <c r="AF148" t="s">
        <v>73</v>
      </c>
      <c r="AH148" t="s">
        <v>3463</v>
      </c>
      <c r="AI148" t="s">
        <v>3463</v>
      </c>
      <c r="AJ148" t="s">
        <v>3463</v>
      </c>
      <c r="AK148" t="s">
        <v>3463</v>
      </c>
      <c r="AL148" t="s">
        <v>3465</v>
      </c>
      <c r="AM148" t="s">
        <v>523</v>
      </c>
      <c r="AN148" t="s">
        <v>3642</v>
      </c>
      <c r="AO148" t="s">
        <v>3465</v>
      </c>
      <c r="AP148" t="s">
        <v>3465</v>
      </c>
      <c r="AQ148" t="s">
        <v>524</v>
      </c>
      <c r="AR148" t="s">
        <v>3515</v>
      </c>
      <c r="AV148" t="s">
        <v>74</v>
      </c>
      <c r="AW148" t="s">
        <v>3915</v>
      </c>
      <c r="BF148" t="s">
        <v>3921</v>
      </c>
      <c r="BG148" t="s">
        <v>525</v>
      </c>
      <c r="BH148" t="s">
        <v>4017</v>
      </c>
      <c r="BL148" t="s">
        <v>526</v>
      </c>
      <c r="BP148" t="s">
        <v>4260</v>
      </c>
      <c r="BQ148" t="s">
        <v>3465</v>
      </c>
      <c r="BR148" t="s">
        <v>3465</v>
      </c>
      <c r="BS148" t="s">
        <v>3465</v>
      </c>
      <c r="BT148" t="s">
        <v>3465</v>
      </c>
      <c r="BU148" t="s">
        <v>3463</v>
      </c>
      <c r="BV148" t="s">
        <v>3463</v>
      </c>
      <c r="BW148" t="s">
        <v>3463</v>
      </c>
      <c r="BX148" t="s">
        <v>79</v>
      </c>
      <c r="BY148" t="s">
        <v>87</v>
      </c>
      <c r="BZ148" t="s">
        <v>79</v>
      </c>
      <c r="CA148" s="10">
        <v>45909</v>
      </c>
    </row>
    <row r="149" spans="1:79">
      <c r="A149">
        <v>151</v>
      </c>
      <c r="B149">
        <v>9</v>
      </c>
      <c r="C149">
        <v>75</v>
      </c>
      <c r="D149" t="s">
        <v>3462</v>
      </c>
      <c r="E149" t="s">
        <v>527</v>
      </c>
      <c r="F149" t="s">
        <v>503</v>
      </c>
      <c r="G149" s="12" t="s">
        <v>3463</v>
      </c>
      <c r="H149" s="12"/>
      <c r="I149">
        <v>55</v>
      </c>
      <c r="J149">
        <v>54</v>
      </c>
      <c r="K149">
        <v>171</v>
      </c>
      <c r="L149">
        <v>71</v>
      </c>
      <c r="M149" t="s">
        <v>72</v>
      </c>
      <c r="N149">
        <v>170</v>
      </c>
      <c r="O149">
        <v>82</v>
      </c>
      <c r="P149" t="s">
        <v>72</v>
      </c>
      <c r="Q149" t="s">
        <v>72</v>
      </c>
      <c r="R149">
        <v>76</v>
      </c>
      <c r="S149">
        <v>167</v>
      </c>
      <c r="T149" s="8">
        <f t="shared" si="4"/>
        <v>27.250887446663558</v>
      </c>
      <c r="U149" s="13" t="str" cm="1">
        <f t="array" ref="U149">IF(T149="","",_xlfn.IFS(T149&lt;18.5,"Bajo peso",T149&lt;25,"Peso normal",T149&lt;30,"Sobrepeso",T149&lt;35,"Obesidad clase I",T149&lt;40,"Obesidad clase II",T149&gt;=40,"Obesidad clase III"))</f>
        <v>Sobrepeso</v>
      </c>
      <c r="V149">
        <v>126</v>
      </c>
      <c r="X149" t="s">
        <v>3463</v>
      </c>
      <c r="Y149">
        <v>0.85</v>
      </c>
      <c r="AA149">
        <v>90</v>
      </c>
      <c r="AB149" s="9">
        <f t="shared" si="5"/>
        <v>90.616961861209703</v>
      </c>
      <c r="AD149" t="s">
        <v>73</v>
      </c>
      <c r="AF149" t="s">
        <v>73</v>
      </c>
      <c r="AH149" t="s">
        <v>3463</v>
      </c>
      <c r="AI149" t="s">
        <v>3465</v>
      </c>
      <c r="AJ149" t="s">
        <v>3463</v>
      </c>
      <c r="AK149" t="s">
        <v>3463</v>
      </c>
      <c r="AL149" t="s">
        <v>3465</v>
      </c>
      <c r="AM149" t="s">
        <v>528</v>
      </c>
      <c r="AN149" t="s">
        <v>3617</v>
      </c>
      <c r="AP149" t="s">
        <v>3463</v>
      </c>
      <c r="AQ149" t="s">
        <v>120</v>
      </c>
      <c r="AR149" t="s">
        <v>3491</v>
      </c>
      <c r="AS149" t="s">
        <v>3465</v>
      </c>
      <c r="AV149" t="s">
        <v>126</v>
      </c>
      <c r="AW149" t="s">
        <v>126</v>
      </c>
      <c r="BA149" t="s">
        <v>3920</v>
      </c>
      <c r="BF149" t="s">
        <v>3921</v>
      </c>
      <c r="BG149" t="s">
        <v>529</v>
      </c>
      <c r="BH149" t="s">
        <v>4017</v>
      </c>
      <c r="BL149" t="s">
        <v>530</v>
      </c>
      <c r="BP149" t="s">
        <v>4331</v>
      </c>
      <c r="BQ149" t="s">
        <v>3463</v>
      </c>
      <c r="BR149" t="s">
        <v>3465</v>
      </c>
      <c r="BS149" t="s">
        <v>3463</v>
      </c>
      <c r="BT149" t="s">
        <v>3463</v>
      </c>
      <c r="BU149" t="s">
        <v>3465</v>
      </c>
      <c r="BV149" t="s">
        <v>3465</v>
      </c>
      <c r="BW149" t="s">
        <v>3465</v>
      </c>
      <c r="BX149" t="s">
        <v>79</v>
      </c>
      <c r="BY149" t="s">
        <v>87</v>
      </c>
      <c r="BZ149" t="s">
        <v>79</v>
      </c>
      <c r="CA149" s="10">
        <v>45909</v>
      </c>
    </row>
    <row r="150" spans="1:79">
      <c r="A150">
        <v>152</v>
      </c>
      <c r="B150">
        <v>10</v>
      </c>
      <c r="C150">
        <v>41</v>
      </c>
      <c r="D150" t="s">
        <v>3462</v>
      </c>
      <c r="E150" t="s">
        <v>531</v>
      </c>
      <c r="F150" t="s">
        <v>503</v>
      </c>
      <c r="G150" s="12" t="s">
        <v>3463</v>
      </c>
      <c r="I150">
        <v>69</v>
      </c>
      <c r="J150">
        <v>68</v>
      </c>
      <c r="K150">
        <v>194</v>
      </c>
      <c r="L150">
        <v>103</v>
      </c>
      <c r="M150" t="s">
        <v>96</v>
      </c>
      <c r="N150">
        <v>160</v>
      </c>
      <c r="O150">
        <v>98</v>
      </c>
      <c r="P150" t="s">
        <v>72</v>
      </c>
      <c r="Q150" t="s">
        <v>72</v>
      </c>
      <c r="R150">
        <v>106.5</v>
      </c>
      <c r="S150">
        <v>174</v>
      </c>
      <c r="T150" s="8">
        <f t="shared" si="4"/>
        <v>35.17637732857709</v>
      </c>
      <c r="U150" s="13" t="str" cm="1">
        <f t="array" ref="U150">IF(T150="","",_xlfn.IFS(T150&lt;18.5,"Bajo peso",T150&lt;25,"Peso normal",T150&lt;30,"Sobrepeso",T150&lt;35,"Obesidad clase I",T150&lt;40,"Obesidad clase II",T150&gt;=40,"Obesidad clase III"))</f>
        <v>Obesidad clase II</v>
      </c>
      <c r="V150">
        <v>89</v>
      </c>
      <c r="X150" t="s">
        <v>3463</v>
      </c>
      <c r="Y150">
        <v>0.51</v>
      </c>
      <c r="AA150">
        <v>90</v>
      </c>
      <c r="AB150" s="9">
        <f t="shared" si="5"/>
        <v>130.62974463025066</v>
      </c>
      <c r="AD150" t="s">
        <v>73</v>
      </c>
      <c r="AF150" t="s">
        <v>73</v>
      </c>
      <c r="AH150" t="s">
        <v>3463</v>
      </c>
      <c r="AI150" t="s">
        <v>3465</v>
      </c>
      <c r="AJ150" t="s">
        <v>3463</v>
      </c>
      <c r="AK150" t="s">
        <v>3463</v>
      </c>
      <c r="AL150" t="s">
        <v>3463</v>
      </c>
      <c r="AP150" t="s">
        <v>3463</v>
      </c>
      <c r="AQ150" t="s">
        <v>532</v>
      </c>
      <c r="AR150" t="s">
        <v>3491</v>
      </c>
      <c r="AS150" t="s">
        <v>3465</v>
      </c>
      <c r="AV150" t="s">
        <v>74</v>
      </c>
      <c r="AW150" t="s">
        <v>3915</v>
      </c>
      <c r="BA150" t="s">
        <v>3920</v>
      </c>
      <c r="BF150" t="s">
        <v>3921</v>
      </c>
      <c r="BG150" t="s">
        <v>533</v>
      </c>
      <c r="BH150" t="s">
        <v>4028</v>
      </c>
      <c r="BI150" t="s">
        <v>411</v>
      </c>
      <c r="BL150" t="s">
        <v>534</v>
      </c>
      <c r="BP150" t="s">
        <v>4332</v>
      </c>
      <c r="BQ150" t="s">
        <v>3463</v>
      </c>
      <c r="BR150" t="s">
        <v>3465</v>
      </c>
      <c r="BS150" t="s">
        <v>3463</v>
      </c>
      <c r="BT150" t="s">
        <v>3463</v>
      </c>
      <c r="BU150" t="s">
        <v>3463</v>
      </c>
      <c r="BV150" t="s">
        <v>3463</v>
      </c>
      <c r="BW150" t="s">
        <v>3463</v>
      </c>
      <c r="BX150" t="s">
        <v>79</v>
      </c>
      <c r="BY150" t="s">
        <v>87</v>
      </c>
      <c r="BZ150" t="s">
        <v>79</v>
      </c>
      <c r="CA150" s="10">
        <v>45909</v>
      </c>
    </row>
    <row r="151" spans="1:79">
      <c r="A151">
        <v>153</v>
      </c>
      <c r="B151">
        <v>11</v>
      </c>
      <c r="C151">
        <v>48</v>
      </c>
      <c r="D151" t="s">
        <v>3466</v>
      </c>
      <c r="E151" t="s">
        <v>535</v>
      </c>
      <c r="F151" t="s">
        <v>503</v>
      </c>
      <c r="G151" s="12" t="s">
        <v>3463</v>
      </c>
      <c r="H151" s="12"/>
      <c r="I151">
        <v>68</v>
      </c>
      <c r="J151">
        <v>55</v>
      </c>
      <c r="K151">
        <v>175</v>
      </c>
      <c r="L151">
        <v>92</v>
      </c>
      <c r="M151" t="s">
        <v>72</v>
      </c>
      <c r="N151">
        <v>162</v>
      </c>
      <c r="O151">
        <v>87</v>
      </c>
      <c r="P151" t="s">
        <v>72</v>
      </c>
      <c r="Q151" t="s">
        <v>72</v>
      </c>
      <c r="R151">
        <v>86.1</v>
      </c>
      <c r="S151">
        <v>149.5</v>
      </c>
      <c r="T151" s="8">
        <f t="shared" si="4"/>
        <v>38.523059026185386</v>
      </c>
      <c r="U151" s="13" t="str" cm="1">
        <f t="array" ref="U151">IF(T151="","",_xlfn.IFS(T151&lt;18.5,"Bajo peso",T151&lt;25,"Peso normal",T151&lt;30,"Sobrepeso",T151&lt;35,"Obesidad clase I",T151&lt;40,"Obesidad clase II",T151&gt;=40,"Obesidad clase III"))</f>
        <v>Obesidad clase II</v>
      </c>
      <c r="V151">
        <v>93</v>
      </c>
      <c r="X151" t="s">
        <v>3463</v>
      </c>
      <c r="Y151">
        <v>0.53</v>
      </c>
      <c r="AA151">
        <v>90</v>
      </c>
      <c r="AB151" s="9">
        <f t="shared" si="5"/>
        <v>114.008868538535</v>
      </c>
      <c r="AD151" t="s">
        <v>73</v>
      </c>
      <c r="AF151" t="s">
        <v>73</v>
      </c>
      <c r="AH151" t="s">
        <v>3463</v>
      </c>
      <c r="AI151" t="s">
        <v>3465</v>
      </c>
      <c r="AJ151" t="s">
        <v>3465</v>
      </c>
      <c r="AK151" t="s">
        <v>3463</v>
      </c>
      <c r="AL151" t="s">
        <v>3463</v>
      </c>
      <c r="AP151" t="s">
        <v>3463</v>
      </c>
      <c r="AQ151" t="s">
        <v>536</v>
      </c>
      <c r="AR151" t="s">
        <v>3505</v>
      </c>
      <c r="AS151" t="s">
        <v>3465</v>
      </c>
      <c r="AT151" t="s">
        <v>3465</v>
      </c>
      <c r="AU151" t="s">
        <v>80</v>
      </c>
      <c r="AW151" t="s">
        <v>3916</v>
      </c>
      <c r="AX151" t="s">
        <v>3463</v>
      </c>
      <c r="AY151" t="s">
        <v>3465</v>
      </c>
      <c r="AZ151" t="s">
        <v>104</v>
      </c>
      <c r="BA151" t="s">
        <v>3920</v>
      </c>
      <c r="BF151" t="s">
        <v>3921</v>
      </c>
      <c r="BG151" t="s">
        <v>537</v>
      </c>
      <c r="BH151" t="s">
        <v>4042</v>
      </c>
      <c r="BI151" t="s">
        <v>411</v>
      </c>
      <c r="BL151" t="s">
        <v>538</v>
      </c>
      <c r="BP151" t="s">
        <v>4333</v>
      </c>
      <c r="BQ151" t="s">
        <v>3463</v>
      </c>
      <c r="BR151" t="s">
        <v>3463</v>
      </c>
      <c r="BS151" t="s">
        <v>3465</v>
      </c>
      <c r="BT151" t="s">
        <v>3465</v>
      </c>
      <c r="BU151" t="s">
        <v>3463</v>
      </c>
      <c r="BV151" t="s">
        <v>3463</v>
      </c>
      <c r="BW151" t="s">
        <v>3463</v>
      </c>
      <c r="BX151" t="s">
        <v>79</v>
      </c>
      <c r="BY151" t="s">
        <v>87</v>
      </c>
      <c r="BZ151" t="s">
        <v>79</v>
      </c>
      <c r="CA151" s="10">
        <v>45909</v>
      </c>
    </row>
    <row r="152" spans="1:79">
      <c r="A152">
        <v>154</v>
      </c>
      <c r="B152">
        <v>12</v>
      </c>
      <c r="C152">
        <v>32</v>
      </c>
      <c r="D152" t="s">
        <v>3462</v>
      </c>
      <c r="E152" t="s">
        <v>539</v>
      </c>
      <c r="F152" t="s">
        <v>503</v>
      </c>
      <c r="G152" s="12" t="s">
        <v>3463</v>
      </c>
      <c r="H152" s="12"/>
      <c r="I152">
        <v>65</v>
      </c>
      <c r="J152">
        <v>64</v>
      </c>
      <c r="K152">
        <v>148</v>
      </c>
      <c r="L152">
        <v>89</v>
      </c>
      <c r="M152" t="s">
        <v>72</v>
      </c>
      <c r="N152">
        <v>150</v>
      </c>
      <c r="O152">
        <v>89</v>
      </c>
      <c r="P152" t="s">
        <v>72</v>
      </c>
      <c r="Q152" t="s">
        <v>72</v>
      </c>
      <c r="R152">
        <v>82.8</v>
      </c>
      <c r="S152">
        <v>165</v>
      </c>
      <c r="T152" s="8">
        <f t="shared" si="4"/>
        <v>30.413223140495866</v>
      </c>
      <c r="U152" s="13" t="str" cm="1">
        <f t="array" ref="U152">IF(T152="","",_xlfn.IFS(T152&lt;18.5,"Bajo peso",T152&lt;25,"Peso normal",T152&lt;30,"Sobrepeso",T152&lt;35,"Obesidad clase I",T152&lt;40,"Obesidad clase II",T152&gt;=40,"Obesidad clase III"))</f>
        <v>Obesidad clase I</v>
      </c>
      <c r="V152">
        <v>320</v>
      </c>
      <c r="X152" t="s">
        <v>3465</v>
      </c>
      <c r="Y152">
        <v>0.54</v>
      </c>
      <c r="AA152">
        <v>90</v>
      </c>
      <c r="AB152" s="9">
        <f t="shared" si="5"/>
        <v>135.78582142884312</v>
      </c>
      <c r="AD152" t="s">
        <v>73</v>
      </c>
      <c r="AF152" t="s">
        <v>73</v>
      </c>
      <c r="AG152" t="s">
        <v>3465</v>
      </c>
      <c r="AH152" t="s">
        <v>3465</v>
      </c>
      <c r="AI152" t="s">
        <v>3463</v>
      </c>
      <c r="AJ152" t="s">
        <v>3463</v>
      </c>
      <c r="AK152" t="s">
        <v>3463</v>
      </c>
      <c r="AL152" t="s">
        <v>3465</v>
      </c>
      <c r="AM152" t="s">
        <v>472</v>
      </c>
      <c r="AN152" t="s">
        <v>3617</v>
      </c>
      <c r="AP152" t="s">
        <v>3463</v>
      </c>
      <c r="AQ152" t="s">
        <v>451</v>
      </c>
      <c r="AR152" t="s">
        <v>3490</v>
      </c>
      <c r="AV152" t="s">
        <v>74</v>
      </c>
      <c r="AW152" t="s">
        <v>3915</v>
      </c>
      <c r="BF152" t="s">
        <v>3921</v>
      </c>
      <c r="BH152" t="s">
        <v>4020</v>
      </c>
      <c r="BP152" t="s">
        <v>4260</v>
      </c>
      <c r="BQ152" t="s">
        <v>3465</v>
      </c>
      <c r="BR152" t="s">
        <v>3465</v>
      </c>
      <c r="BS152" t="s">
        <v>3465</v>
      </c>
      <c r="BT152" t="s">
        <v>3465</v>
      </c>
      <c r="BU152" t="s">
        <v>3463</v>
      </c>
      <c r="BV152" t="s">
        <v>3463</v>
      </c>
      <c r="BW152" t="s">
        <v>3463</v>
      </c>
      <c r="BX152" t="s">
        <v>79</v>
      </c>
      <c r="BY152" t="s">
        <v>487</v>
      </c>
      <c r="BZ152" t="s">
        <v>79</v>
      </c>
      <c r="CA152" s="10">
        <v>45909</v>
      </c>
    </row>
    <row r="153" spans="1:79">
      <c r="A153">
        <v>155</v>
      </c>
      <c r="B153">
        <v>13</v>
      </c>
      <c r="C153">
        <v>40</v>
      </c>
      <c r="D153" t="s">
        <v>3462</v>
      </c>
      <c r="E153" t="s">
        <v>507</v>
      </c>
      <c r="F153" t="s">
        <v>503</v>
      </c>
      <c r="G153" s="12" t="s">
        <v>3463</v>
      </c>
      <c r="I153">
        <v>77</v>
      </c>
      <c r="K153">
        <v>138</v>
      </c>
      <c r="L153">
        <v>89</v>
      </c>
      <c r="M153" t="s">
        <v>82</v>
      </c>
      <c r="P153" t="s">
        <v>83</v>
      </c>
      <c r="Q153" t="s">
        <v>82</v>
      </c>
      <c r="R153">
        <v>79</v>
      </c>
      <c r="S153">
        <v>183.5</v>
      </c>
      <c r="T153" s="8">
        <f t="shared" si="4"/>
        <v>23.461455649681859</v>
      </c>
      <c r="U153" s="13" t="str" cm="1">
        <f t="array" ref="U153">IF(T153="","",_xlfn.IFS(T153&lt;18.5,"Bajo peso",T153&lt;25,"Peso normal",T153&lt;30,"Sobrepeso",T153&lt;35,"Obesidad clase I",T153&lt;40,"Obesidad clase II",T153&gt;=40,"Obesidad clase III"))</f>
        <v>Peso normal</v>
      </c>
      <c r="V153">
        <v>125</v>
      </c>
      <c r="X153" t="s">
        <v>3463</v>
      </c>
      <c r="Y153">
        <v>0.39</v>
      </c>
      <c r="AA153">
        <v>90</v>
      </c>
      <c r="AB153" s="9">
        <f t="shared" si="5"/>
        <v>142.53705034759233</v>
      </c>
      <c r="AD153" t="s">
        <v>73</v>
      </c>
      <c r="AF153" t="s">
        <v>73</v>
      </c>
      <c r="AH153" t="s">
        <v>3463</v>
      </c>
      <c r="AI153" t="s">
        <v>3465</v>
      </c>
      <c r="AJ153" t="s">
        <v>3463</v>
      </c>
      <c r="AK153" t="s">
        <v>3463</v>
      </c>
      <c r="AL153" t="s">
        <v>3465</v>
      </c>
      <c r="AM153" t="s">
        <v>540</v>
      </c>
      <c r="AN153" t="s">
        <v>3643</v>
      </c>
      <c r="AP153" t="s">
        <v>3463</v>
      </c>
      <c r="AQ153" t="s">
        <v>541</v>
      </c>
      <c r="AR153" t="s">
        <v>3491</v>
      </c>
      <c r="AS153" t="s">
        <v>3463</v>
      </c>
      <c r="AV153" t="s">
        <v>74</v>
      </c>
      <c r="AW153" t="s">
        <v>3915</v>
      </c>
      <c r="BF153" t="s">
        <v>3921</v>
      </c>
      <c r="BH153" t="s">
        <v>4020</v>
      </c>
      <c r="BP153" t="s">
        <v>4260</v>
      </c>
      <c r="BQ153" t="s">
        <v>3465</v>
      </c>
      <c r="BR153" t="s">
        <v>3465</v>
      </c>
      <c r="BS153" t="s">
        <v>3465</v>
      </c>
      <c r="BT153" t="s">
        <v>3465</v>
      </c>
      <c r="BU153" t="s">
        <v>3463</v>
      </c>
      <c r="BV153" t="s">
        <v>3463</v>
      </c>
      <c r="BW153" t="s">
        <v>3463</v>
      </c>
      <c r="BX153" t="s">
        <v>79</v>
      </c>
      <c r="BY153" t="s">
        <v>87</v>
      </c>
      <c r="BZ153" t="s">
        <v>95</v>
      </c>
      <c r="CA153" s="10">
        <v>45909</v>
      </c>
    </row>
    <row r="154" spans="1:79">
      <c r="A154">
        <v>156</v>
      </c>
      <c r="B154">
        <v>14</v>
      </c>
      <c r="C154">
        <v>51</v>
      </c>
      <c r="D154" t="s">
        <v>3466</v>
      </c>
      <c r="E154" t="s">
        <v>542</v>
      </c>
      <c r="F154" t="s">
        <v>503</v>
      </c>
      <c r="G154" s="12" t="s">
        <v>3463</v>
      </c>
      <c r="H154" s="12"/>
      <c r="I154">
        <v>72</v>
      </c>
      <c r="J154">
        <v>63</v>
      </c>
      <c r="K154">
        <v>137</v>
      </c>
      <c r="L154">
        <v>85</v>
      </c>
      <c r="M154" t="s">
        <v>82</v>
      </c>
      <c r="N154">
        <v>122</v>
      </c>
      <c r="O154">
        <v>76</v>
      </c>
      <c r="P154" t="s">
        <v>118</v>
      </c>
      <c r="Q154" t="s">
        <v>118</v>
      </c>
      <c r="R154">
        <v>61.3</v>
      </c>
      <c r="S154">
        <v>153</v>
      </c>
      <c r="T154" s="8">
        <f t="shared" si="4"/>
        <v>26.186509462172666</v>
      </c>
      <c r="U154" s="13" t="str" cm="1">
        <f t="array" ref="U154">IF(T154="","",_xlfn.IFS(T154&lt;18.5,"Bajo peso",T154&lt;25,"Peso normal",T154&lt;30,"Sobrepeso",T154&lt;35,"Obesidad clase I",T154&lt;40,"Obesidad clase II",T154&gt;=40,"Obesidad clase III"))</f>
        <v>Sobrepeso</v>
      </c>
      <c r="V154">
        <v>88</v>
      </c>
      <c r="X154" t="s">
        <v>3463</v>
      </c>
      <c r="Y154">
        <v>0.55000000000000004</v>
      </c>
      <c r="AA154">
        <v>90</v>
      </c>
      <c r="AB154" s="9">
        <f t="shared" si="5"/>
        <v>110.90693138823075</v>
      </c>
      <c r="AD154" t="s">
        <v>73</v>
      </c>
      <c r="AF154" t="s">
        <v>73</v>
      </c>
      <c r="AH154" t="s">
        <v>3463</v>
      </c>
      <c r="AI154" t="s">
        <v>3463</v>
      </c>
      <c r="AJ154" t="s">
        <v>3463</v>
      </c>
      <c r="AK154" t="s">
        <v>3463</v>
      </c>
      <c r="AL154" t="s">
        <v>3465</v>
      </c>
      <c r="AM154" t="s">
        <v>543</v>
      </c>
      <c r="AN154" t="s">
        <v>3644</v>
      </c>
      <c r="AP154" t="s">
        <v>3463</v>
      </c>
      <c r="AQ154" t="s">
        <v>120</v>
      </c>
      <c r="AR154" t="s">
        <v>3491</v>
      </c>
      <c r="AT154" t="s">
        <v>3465</v>
      </c>
      <c r="AU154" t="s">
        <v>80</v>
      </c>
      <c r="AV154" t="s">
        <v>178</v>
      </c>
      <c r="AW154" t="s">
        <v>3918</v>
      </c>
      <c r="AX154" t="s">
        <v>3463</v>
      </c>
      <c r="AY154" t="s">
        <v>3463</v>
      </c>
      <c r="BF154" t="s">
        <v>3921</v>
      </c>
      <c r="BH154" t="s">
        <v>4020</v>
      </c>
      <c r="BP154" t="s">
        <v>4260</v>
      </c>
      <c r="BQ154" t="s">
        <v>3463</v>
      </c>
      <c r="BR154" t="s">
        <v>3463</v>
      </c>
      <c r="BS154" t="s">
        <v>3465</v>
      </c>
      <c r="BT154" t="s">
        <v>3465</v>
      </c>
      <c r="BU154" t="s">
        <v>3463</v>
      </c>
      <c r="BV154" t="s">
        <v>3463</v>
      </c>
      <c r="BW154" t="s">
        <v>3463</v>
      </c>
      <c r="BX154" t="s">
        <v>79</v>
      </c>
      <c r="BY154" t="s">
        <v>87</v>
      </c>
      <c r="BZ154" t="s">
        <v>79</v>
      </c>
      <c r="CA154" s="10">
        <v>45909</v>
      </c>
    </row>
    <row r="155" spans="1:79">
      <c r="A155">
        <v>157</v>
      </c>
      <c r="B155">
        <v>15</v>
      </c>
      <c r="C155">
        <v>50</v>
      </c>
      <c r="D155" t="s">
        <v>3466</v>
      </c>
      <c r="E155" t="s">
        <v>507</v>
      </c>
      <c r="F155" t="s">
        <v>503</v>
      </c>
      <c r="G155" s="12" t="s">
        <v>3465</v>
      </c>
      <c r="H155" s="12" t="s">
        <v>88</v>
      </c>
      <c r="I155">
        <v>68</v>
      </c>
      <c r="J155">
        <v>69</v>
      </c>
      <c r="K155">
        <v>154</v>
      </c>
      <c r="L155">
        <v>53</v>
      </c>
      <c r="M155" t="s">
        <v>72</v>
      </c>
      <c r="N155">
        <v>137</v>
      </c>
      <c r="O155">
        <v>80</v>
      </c>
      <c r="P155" t="s">
        <v>82</v>
      </c>
      <c r="Q155" t="s">
        <v>82</v>
      </c>
      <c r="R155">
        <v>74.099999999999994</v>
      </c>
      <c r="S155">
        <v>160</v>
      </c>
      <c r="T155" s="8">
        <f t="shared" si="4"/>
        <v>28.9453125</v>
      </c>
      <c r="U155" s="13" t="str" cm="1">
        <f t="array" ref="U155">IF(T155="","",_xlfn.IFS(T155&lt;18.5,"Bajo peso",T155&lt;25,"Peso normal",T155&lt;30,"Sobrepeso",T155&lt;35,"Obesidad clase I",T155&lt;40,"Obesidad clase II",T155&gt;=40,"Obesidad clase III"))</f>
        <v>Sobrepeso</v>
      </c>
      <c r="V155">
        <v>93</v>
      </c>
      <c r="X155" t="s">
        <v>3463</v>
      </c>
      <c r="Y155">
        <v>5.8</v>
      </c>
      <c r="AA155">
        <v>90</v>
      </c>
      <c r="AB155" s="9">
        <f t="shared" si="5"/>
        <v>8.3257340319148128</v>
      </c>
      <c r="AD155" t="s">
        <v>73</v>
      </c>
      <c r="AF155" t="s">
        <v>73</v>
      </c>
      <c r="AH155" t="s">
        <v>3463</v>
      </c>
      <c r="AI155" t="s">
        <v>3465</v>
      </c>
      <c r="AJ155" t="s">
        <v>3463</v>
      </c>
      <c r="AK155" t="s">
        <v>3463</v>
      </c>
      <c r="AL155" t="s">
        <v>3465</v>
      </c>
      <c r="AM155" t="s">
        <v>544</v>
      </c>
      <c r="AN155" t="s">
        <v>3645</v>
      </c>
      <c r="AP155" t="s">
        <v>3463</v>
      </c>
      <c r="AQ155" t="s">
        <v>545</v>
      </c>
      <c r="AR155" t="s">
        <v>3505</v>
      </c>
      <c r="AS155" t="s">
        <v>3465</v>
      </c>
      <c r="AT155" t="s">
        <v>3465</v>
      </c>
      <c r="AU155" t="s">
        <v>125</v>
      </c>
      <c r="AV155" t="s">
        <v>112</v>
      </c>
      <c r="AW155" t="s">
        <v>3917</v>
      </c>
      <c r="AX155" t="s">
        <v>3463</v>
      </c>
      <c r="AY155" t="s">
        <v>3465</v>
      </c>
      <c r="AZ155" t="s">
        <v>247</v>
      </c>
      <c r="BF155" t="s">
        <v>3921</v>
      </c>
      <c r="BH155" t="s">
        <v>4020</v>
      </c>
      <c r="BP155" t="s">
        <v>4260</v>
      </c>
      <c r="BQ155" t="s">
        <v>3465</v>
      </c>
      <c r="BR155" t="s">
        <v>3465</v>
      </c>
      <c r="BS155" t="s">
        <v>3463</v>
      </c>
      <c r="BT155" t="s">
        <v>3465</v>
      </c>
      <c r="BU155" t="s">
        <v>3463</v>
      </c>
      <c r="BV155" t="s">
        <v>3463</v>
      </c>
      <c r="BW155" t="s">
        <v>3463</v>
      </c>
      <c r="BX155" t="s">
        <v>79</v>
      </c>
      <c r="BY155" t="s">
        <v>87</v>
      </c>
      <c r="BZ155" t="s">
        <v>79</v>
      </c>
      <c r="CA155" s="10">
        <v>45909</v>
      </c>
    </row>
    <row r="156" spans="1:79">
      <c r="A156">
        <v>158</v>
      </c>
      <c r="B156">
        <v>16</v>
      </c>
      <c r="C156">
        <v>60</v>
      </c>
      <c r="D156" t="s">
        <v>3462</v>
      </c>
      <c r="F156" t="s">
        <v>503</v>
      </c>
      <c r="G156" s="12" t="s">
        <v>3465</v>
      </c>
      <c r="H156" s="12" t="s">
        <v>88</v>
      </c>
      <c r="I156">
        <v>57</v>
      </c>
      <c r="J156">
        <v>55</v>
      </c>
      <c r="K156">
        <v>171</v>
      </c>
      <c r="L156">
        <v>103</v>
      </c>
      <c r="M156" t="s">
        <v>72</v>
      </c>
      <c r="N156">
        <v>167</v>
      </c>
      <c r="O156">
        <v>103</v>
      </c>
      <c r="P156" t="s">
        <v>72</v>
      </c>
      <c r="Q156" t="s">
        <v>72</v>
      </c>
      <c r="R156">
        <v>89.2</v>
      </c>
      <c r="S156">
        <v>176</v>
      </c>
      <c r="T156" s="8">
        <f t="shared" si="4"/>
        <v>28.796487603305788</v>
      </c>
      <c r="U156" s="13" t="str" cm="1">
        <f t="array" ref="U156">IF(T156="","",_xlfn.IFS(T156&lt;18.5,"Bajo peso",T156&lt;25,"Peso normal",T156&lt;30,"Sobrepeso",T156&lt;35,"Obesidad clase I",T156&lt;40,"Obesidad clase II",T156&gt;=40,"Obesidad clase III"))</f>
        <v>Sobrepeso</v>
      </c>
      <c r="V156">
        <v>119</v>
      </c>
      <c r="X156" t="s">
        <v>3463</v>
      </c>
      <c r="Y156">
        <v>0.53</v>
      </c>
      <c r="AA156">
        <v>90</v>
      </c>
      <c r="AB156" s="9">
        <f t="shared" si="5"/>
        <v>114.73021678279184</v>
      </c>
      <c r="AD156" t="s">
        <v>73</v>
      </c>
      <c r="AF156" t="s">
        <v>73</v>
      </c>
      <c r="AH156" t="s">
        <v>3463</v>
      </c>
      <c r="AI156" t="s">
        <v>3463</v>
      </c>
      <c r="AJ156" t="s">
        <v>3463</v>
      </c>
      <c r="AK156" t="s">
        <v>3463</v>
      </c>
      <c r="AL156" t="s">
        <v>3465</v>
      </c>
      <c r="AM156" t="s">
        <v>546</v>
      </c>
      <c r="AN156" t="s">
        <v>3620</v>
      </c>
      <c r="AP156" t="s">
        <v>3463</v>
      </c>
      <c r="AQ156" t="s">
        <v>547</v>
      </c>
      <c r="AR156" t="s">
        <v>3488</v>
      </c>
      <c r="AV156" t="s">
        <v>74</v>
      </c>
      <c r="AW156" t="s">
        <v>3915</v>
      </c>
      <c r="BF156" t="s">
        <v>3921</v>
      </c>
      <c r="BG156" t="s">
        <v>548</v>
      </c>
      <c r="BH156" t="s">
        <v>4017</v>
      </c>
      <c r="BI156" t="s">
        <v>76</v>
      </c>
      <c r="BL156" t="s">
        <v>549</v>
      </c>
      <c r="BP156" t="s">
        <v>4261</v>
      </c>
      <c r="BQ156" t="s">
        <v>3463</v>
      </c>
      <c r="BR156" t="s">
        <v>3465</v>
      </c>
      <c r="BS156" t="s">
        <v>3463</v>
      </c>
      <c r="BT156" t="s">
        <v>3463</v>
      </c>
      <c r="BU156" t="s">
        <v>3463</v>
      </c>
      <c r="BV156" t="s">
        <v>3463</v>
      </c>
      <c r="BW156" t="s">
        <v>3463</v>
      </c>
      <c r="BX156" t="s">
        <v>79</v>
      </c>
      <c r="BY156" t="s">
        <v>87</v>
      </c>
      <c r="BZ156" t="s">
        <v>79</v>
      </c>
      <c r="CA156" s="10">
        <v>45909</v>
      </c>
    </row>
    <row r="157" spans="1:79">
      <c r="A157">
        <v>159</v>
      </c>
      <c r="B157">
        <v>17</v>
      </c>
      <c r="C157">
        <v>57</v>
      </c>
      <c r="D157" t="s">
        <v>3466</v>
      </c>
      <c r="E157" t="s">
        <v>502</v>
      </c>
      <c r="F157" t="s">
        <v>503</v>
      </c>
      <c r="G157" s="12" t="s">
        <v>3465</v>
      </c>
      <c r="H157" s="12" t="s">
        <v>88</v>
      </c>
      <c r="I157">
        <v>79</v>
      </c>
      <c r="J157">
        <v>78</v>
      </c>
      <c r="K157">
        <v>146</v>
      </c>
      <c r="L157">
        <v>93</v>
      </c>
      <c r="M157" t="s">
        <v>72</v>
      </c>
      <c r="N157">
        <v>143</v>
      </c>
      <c r="O157">
        <v>90</v>
      </c>
      <c r="P157" t="s">
        <v>72</v>
      </c>
      <c r="Q157" t="s">
        <v>72</v>
      </c>
      <c r="R157">
        <v>99.6</v>
      </c>
      <c r="S157">
        <v>163.5</v>
      </c>
      <c r="T157" s="8">
        <f t="shared" si="4"/>
        <v>37.258367701933054</v>
      </c>
      <c r="U157" s="13" t="str" cm="1">
        <f t="array" ref="U157">IF(T157="","",_xlfn.IFS(T157&lt;18.5,"Bajo peso",T157&lt;25,"Peso normal",T157&lt;30,"Sobrepeso",T157&lt;35,"Obesidad clase I",T157&lt;40,"Obesidad clase II",T157&gt;=40,"Obesidad clase III"))</f>
        <v>Obesidad clase II</v>
      </c>
      <c r="V157">
        <v>111</v>
      </c>
      <c r="X157" t="s">
        <v>3463</v>
      </c>
      <c r="Y157">
        <v>0.56000000000000005</v>
      </c>
      <c r="AA157">
        <v>90</v>
      </c>
      <c r="AB157" s="9">
        <f t="shared" si="5"/>
        <v>106.38165375652973</v>
      </c>
      <c r="AD157" t="s">
        <v>73</v>
      </c>
      <c r="AF157" t="s">
        <v>73</v>
      </c>
      <c r="AG157" t="s">
        <v>3465</v>
      </c>
      <c r="AH157" t="s">
        <v>3465</v>
      </c>
      <c r="AI157" t="s">
        <v>3465</v>
      </c>
      <c r="AJ157" t="s">
        <v>3463</v>
      </c>
      <c r="AK157" t="s">
        <v>3463</v>
      </c>
      <c r="AL157" t="s">
        <v>3465</v>
      </c>
      <c r="AM157" t="s">
        <v>550</v>
      </c>
      <c r="AN157" t="s">
        <v>3646</v>
      </c>
      <c r="AP157" t="s">
        <v>3463</v>
      </c>
      <c r="AQ157" t="s">
        <v>551</v>
      </c>
      <c r="AR157" t="s">
        <v>3516</v>
      </c>
      <c r="AS157" t="s">
        <v>3465</v>
      </c>
      <c r="AT157" t="s">
        <v>3465</v>
      </c>
      <c r="AU157" t="s">
        <v>80</v>
      </c>
      <c r="AV157" t="s">
        <v>178</v>
      </c>
      <c r="AW157" t="s">
        <v>3918</v>
      </c>
      <c r="AX157" t="s">
        <v>3465</v>
      </c>
      <c r="AY157" t="s">
        <v>3465</v>
      </c>
      <c r="AZ157" t="s">
        <v>90</v>
      </c>
      <c r="BA157" t="s">
        <v>3920</v>
      </c>
      <c r="BE157" t="s">
        <v>552</v>
      </c>
      <c r="BF157" t="s">
        <v>3930</v>
      </c>
      <c r="BG157" t="s">
        <v>553</v>
      </c>
      <c r="BH157" t="s">
        <v>4075</v>
      </c>
      <c r="BI157" t="s">
        <v>411</v>
      </c>
      <c r="BL157" t="s">
        <v>554</v>
      </c>
      <c r="BP157" t="s">
        <v>4334</v>
      </c>
      <c r="BQ157" t="s">
        <v>3463</v>
      </c>
      <c r="BR157" t="s">
        <v>3465</v>
      </c>
      <c r="BS157" t="s">
        <v>3465</v>
      </c>
      <c r="BT157" t="s">
        <v>3465</v>
      </c>
      <c r="BU157" t="s">
        <v>3463</v>
      </c>
      <c r="BV157" t="s">
        <v>3463</v>
      </c>
      <c r="BW157" t="s">
        <v>3463</v>
      </c>
      <c r="BX157" t="s">
        <v>79</v>
      </c>
      <c r="BY157" t="s">
        <v>87</v>
      </c>
      <c r="BZ157" t="s">
        <v>79</v>
      </c>
      <c r="CA157" s="10">
        <v>45909</v>
      </c>
    </row>
    <row r="158" spans="1:79">
      <c r="A158">
        <v>160</v>
      </c>
      <c r="B158">
        <v>18</v>
      </c>
      <c r="C158">
        <v>37</v>
      </c>
      <c r="D158" t="s">
        <v>3466</v>
      </c>
      <c r="E158" t="s">
        <v>507</v>
      </c>
      <c r="F158" t="s">
        <v>503</v>
      </c>
      <c r="G158" s="12" t="s">
        <v>3463</v>
      </c>
      <c r="H158" s="12"/>
      <c r="I158">
        <v>86</v>
      </c>
      <c r="K158">
        <v>127</v>
      </c>
      <c r="L158">
        <v>70</v>
      </c>
      <c r="M158" t="s">
        <v>118</v>
      </c>
      <c r="P158" t="s">
        <v>83</v>
      </c>
      <c r="Q158" t="s">
        <v>118</v>
      </c>
      <c r="R158">
        <v>69.7</v>
      </c>
      <c r="S158">
        <v>163.5</v>
      </c>
      <c r="T158" s="8">
        <f t="shared" si="4"/>
        <v>26.073375791412996</v>
      </c>
      <c r="U158" s="13" t="str" cm="1">
        <f t="array" ref="U158">IF(T158="","",_xlfn.IFS(T158&lt;18.5,"Bajo peso",T158&lt;25,"Peso normal",T158&lt;30,"Sobrepeso",T158&lt;35,"Obesidad clase I",T158&lt;40,"Obesidad clase II",T158&gt;=40,"Obesidad clase III"))</f>
        <v>Sobrepeso</v>
      </c>
      <c r="V158">
        <v>83</v>
      </c>
      <c r="X158" t="s">
        <v>3463</v>
      </c>
      <c r="Y158">
        <v>0.5</v>
      </c>
      <c r="AA158">
        <v>90</v>
      </c>
      <c r="AB158" s="9">
        <f t="shared" si="5"/>
        <v>123.80792148832326</v>
      </c>
      <c r="AD158" t="s">
        <v>73</v>
      </c>
      <c r="AF158" t="s">
        <v>73</v>
      </c>
      <c r="AH158" t="s">
        <v>3463</v>
      </c>
      <c r="AI158" t="s">
        <v>3463</v>
      </c>
      <c r="AJ158" t="s">
        <v>3465</v>
      </c>
      <c r="AK158" t="s">
        <v>3465</v>
      </c>
      <c r="AL158" t="s">
        <v>3465</v>
      </c>
      <c r="AM158" t="s">
        <v>555</v>
      </c>
      <c r="AN158" t="s">
        <v>3647</v>
      </c>
      <c r="AP158" t="s">
        <v>3463</v>
      </c>
      <c r="AQ158" t="s">
        <v>556</v>
      </c>
      <c r="AR158" t="s">
        <v>3505</v>
      </c>
      <c r="AT158" t="s">
        <v>3463</v>
      </c>
      <c r="AV158" t="s">
        <v>126</v>
      </c>
      <c r="AW158" t="s">
        <v>126</v>
      </c>
      <c r="AX158" t="s">
        <v>3463</v>
      </c>
      <c r="AY158" t="s">
        <v>3465</v>
      </c>
      <c r="AZ158" t="s">
        <v>90</v>
      </c>
      <c r="BF158" t="s">
        <v>3921</v>
      </c>
      <c r="BH158" t="s">
        <v>4020</v>
      </c>
      <c r="BP158" t="s">
        <v>4260</v>
      </c>
      <c r="BQ158" t="s">
        <v>3463</v>
      </c>
      <c r="BR158" t="s">
        <v>3463</v>
      </c>
      <c r="BS158" t="s">
        <v>3465</v>
      </c>
      <c r="BT158" t="s">
        <v>3465</v>
      </c>
      <c r="BU158" t="s">
        <v>3463</v>
      </c>
      <c r="BV158" t="s">
        <v>3463</v>
      </c>
      <c r="BW158" t="s">
        <v>3463</v>
      </c>
      <c r="BX158" t="s">
        <v>518</v>
      </c>
      <c r="BY158" t="s">
        <v>87</v>
      </c>
      <c r="BZ158" t="s">
        <v>79</v>
      </c>
      <c r="CA158" s="10">
        <v>45909</v>
      </c>
    </row>
    <row r="159" spans="1:79">
      <c r="A159">
        <v>161</v>
      </c>
      <c r="B159">
        <v>19</v>
      </c>
      <c r="C159">
        <v>62</v>
      </c>
      <c r="D159" t="s">
        <v>3462</v>
      </c>
      <c r="E159" t="s">
        <v>557</v>
      </c>
      <c r="F159" t="s">
        <v>503</v>
      </c>
      <c r="G159" s="12" t="s">
        <v>3463</v>
      </c>
      <c r="I159">
        <v>72</v>
      </c>
      <c r="J159">
        <v>66</v>
      </c>
      <c r="K159">
        <v>148</v>
      </c>
      <c r="L159">
        <v>88</v>
      </c>
      <c r="M159" t="s">
        <v>72</v>
      </c>
      <c r="N159">
        <v>170</v>
      </c>
      <c r="O159">
        <v>88</v>
      </c>
      <c r="P159" t="s">
        <v>72</v>
      </c>
      <c r="Q159" t="s">
        <v>72</v>
      </c>
      <c r="R159">
        <v>93.8</v>
      </c>
      <c r="S159">
        <v>168</v>
      </c>
      <c r="T159" s="8">
        <f t="shared" si="4"/>
        <v>33.234126984126981</v>
      </c>
      <c r="U159" s="13" t="str" cm="1">
        <f t="array" ref="U159">IF(T159="","",_xlfn.IFS(T159&lt;18.5,"Bajo peso",T159&lt;25,"Peso normal",T159&lt;30,"Sobrepeso",T159&lt;35,"Obesidad clase I",T159&lt;40,"Obesidad clase II",T159&gt;=40,"Obesidad clase III"))</f>
        <v>Obesidad clase I</v>
      </c>
      <c r="V159">
        <v>117</v>
      </c>
      <c r="X159" t="s">
        <v>3463</v>
      </c>
      <c r="Y159">
        <v>0.65</v>
      </c>
      <c r="AA159">
        <v>90</v>
      </c>
      <c r="AB159" s="9">
        <f t="shared" si="5"/>
        <v>106.53867172944065</v>
      </c>
      <c r="AD159" t="s">
        <v>73</v>
      </c>
      <c r="AF159" t="s">
        <v>73</v>
      </c>
      <c r="AH159" t="s">
        <v>3463</v>
      </c>
      <c r="AI159" t="s">
        <v>3463</v>
      </c>
      <c r="AJ159" t="s">
        <v>3463</v>
      </c>
      <c r="AK159" t="s">
        <v>3463</v>
      </c>
      <c r="AL159" t="s">
        <v>3465</v>
      </c>
      <c r="AM159" t="s">
        <v>558</v>
      </c>
      <c r="AN159" t="s">
        <v>3648</v>
      </c>
      <c r="AP159" t="s">
        <v>3463</v>
      </c>
      <c r="AQ159" t="s">
        <v>559</v>
      </c>
      <c r="AR159" t="s">
        <v>3516</v>
      </c>
      <c r="AV159" t="s">
        <v>74</v>
      </c>
      <c r="AW159" t="s">
        <v>3915</v>
      </c>
      <c r="BF159" t="s">
        <v>3921</v>
      </c>
      <c r="BH159" t="s">
        <v>4020</v>
      </c>
      <c r="BP159" t="s">
        <v>4260</v>
      </c>
      <c r="BQ159" t="s">
        <v>3463</v>
      </c>
      <c r="BR159" t="s">
        <v>3465</v>
      </c>
      <c r="BS159" t="s">
        <v>3463</v>
      </c>
      <c r="BT159" t="s">
        <v>3463</v>
      </c>
      <c r="BU159" t="s">
        <v>3463</v>
      </c>
      <c r="BV159" t="s">
        <v>3463</v>
      </c>
      <c r="BW159" t="s">
        <v>3463</v>
      </c>
      <c r="BX159" t="s">
        <v>79</v>
      </c>
      <c r="BY159" t="s">
        <v>87</v>
      </c>
      <c r="BZ159" t="s">
        <v>79</v>
      </c>
      <c r="CA159" s="10">
        <v>45909</v>
      </c>
    </row>
    <row r="160" spans="1:79">
      <c r="A160">
        <v>162</v>
      </c>
      <c r="B160">
        <v>20</v>
      </c>
      <c r="C160">
        <v>53</v>
      </c>
      <c r="D160" t="s">
        <v>3466</v>
      </c>
      <c r="E160" t="s">
        <v>507</v>
      </c>
      <c r="F160" t="s">
        <v>503</v>
      </c>
      <c r="G160" s="12" t="s">
        <v>3465</v>
      </c>
      <c r="H160" s="12" t="s">
        <v>88</v>
      </c>
      <c r="I160">
        <v>70</v>
      </c>
      <c r="J160">
        <v>66</v>
      </c>
      <c r="K160">
        <v>157</v>
      </c>
      <c r="L160">
        <v>95</v>
      </c>
      <c r="M160" t="s">
        <v>72</v>
      </c>
      <c r="N160">
        <v>170</v>
      </c>
      <c r="O160">
        <v>96</v>
      </c>
      <c r="P160" t="s">
        <v>72</v>
      </c>
      <c r="Q160" t="s">
        <v>72</v>
      </c>
      <c r="R160">
        <v>60.4</v>
      </c>
      <c r="S160">
        <v>152</v>
      </c>
      <c r="T160" s="8">
        <f t="shared" si="4"/>
        <v>26.142659279778393</v>
      </c>
      <c r="U160" s="13" t="str" cm="1">
        <f t="array" ref="U160">IF(T160="","",_xlfn.IFS(T160&lt;18.5,"Bajo peso",T160&lt;25,"Peso normal",T160&lt;30,"Sobrepeso",T160&lt;35,"Obesidad clase I",T160&lt;40,"Obesidad clase II",T160&gt;=40,"Obesidad clase III"))</f>
        <v>Sobrepeso</v>
      </c>
      <c r="V160">
        <v>100</v>
      </c>
      <c r="X160" t="s">
        <v>3463</v>
      </c>
      <c r="Y160">
        <v>0.39</v>
      </c>
      <c r="AA160">
        <v>90</v>
      </c>
      <c r="AB160" s="9">
        <f t="shared" si="5"/>
        <v>118.99741080642154</v>
      </c>
      <c r="AD160" t="s">
        <v>73</v>
      </c>
      <c r="AF160" t="s">
        <v>73</v>
      </c>
      <c r="AH160" t="s">
        <v>3463</v>
      </c>
      <c r="AI160" t="s">
        <v>3465</v>
      </c>
      <c r="AJ160" t="s">
        <v>3463</v>
      </c>
      <c r="AK160" t="s">
        <v>3463</v>
      </c>
      <c r="AL160" t="s">
        <v>3463</v>
      </c>
      <c r="AP160" t="s">
        <v>3463</v>
      </c>
      <c r="AQ160" t="s">
        <v>536</v>
      </c>
      <c r="AR160" t="s">
        <v>3505</v>
      </c>
      <c r="AS160" t="s">
        <v>3463</v>
      </c>
      <c r="AT160" t="s">
        <v>3463</v>
      </c>
      <c r="AV160" t="s">
        <v>126</v>
      </c>
      <c r="AW160" t="s">
        <v>126</v>
      </c>
      <c r="AX160" t="s">
        <v>3463</v>
      </c>
      <c r="AY160" t="s">
        <v>3465</v>
      </c>
      <c r="AZ160" t="s">
        <v>560</v>
      </c>
      <c r="BF160" t="s">
        <v>3921</v>
      </c>
      <c r="BH160" t="s">
        <v>4020</v>
      </c>
      <c r="BP160" t="s">
        <v>4260</v>
      </c>
      <c r="BQ160" t="s">
        <v>3463</v>
      </c>
      <c r="BR160" t="s">
        <v>3463</v>
      </c>
      <c r="BS160" t="s">
        <v>3463</v>
      </c>
      <c r="BT160" t="s">
        <v>3463</v>
      </c>
      <c r="BU160" t="s">
        <v>3463</v>
      </c>
      <c r="BV160" t="s">
        <v>3463</v>
      </c>
      <c r="BW160" t="s">
        <v>3463</v>
      </c>
      <c r="BX160" t="s">
        <v>79</v>
      </c>
      <c r="BY160" t="s">
        <v>87</v>
      </c>
      <c r="BZ160" t="s">
        <v>79</v>
      </c>
      <c r="CA160" s="10">
        <v>45909</v>
      </c>
    </row>
    <row r="161" spans="1:79">
      <c r="A161">
        <v>163</v>
      </c>
      <c r="B161">
        <v>21</v>
      </c>
      <c r="C161">
        <v>64</v>
      </c>
      <c r="D161" t="s">
        <v>3466</v>
      </c>
      <c r="E161" t="s">
        <v>502</v>
      </c>
      <c r="F161" t="s">
        <v>503</v>
      </c>
      <c r="G161" s="12" t="s">
        <v>3463</v>
      </c>
      <c r="H161" s="12"/>
      <c r="I161">
        <v>65</v>
      </c>
      <c r="J161">
        <v>65</v>
      </c>
      <c r="K161">
        <v>201</v>
      </c>
      <c r="L161">
        <v>91</v>
      </c>
      <c r="M161" t="s">
        <v>96</v>
      </c>
      <c r="N161">
        <v>197</v>
      </c>
      <c r="O161">
        <v>91</v>
      </c>
      <c r="P161" t="s">
        <v>96</v>
      </c>
      <c r="Q161" t="s">
        <v>96</v>
      </c>
      <c r="R161">
        <v>87.9</v>
      </c>
      <c r="S161">
        <v>152</v>
      </c>
      <c r="T161" s="8">
        <f t="shared" si="4"/>
        <v>38.04536011080333</v>
      </c>
      <c r="U161" s="13" t="str" cm="1">
        <f t="array" ref="U161">IF(T161="","",_xlfn.IFS(T161&lt;18.5,"Bajo peso",T161&lt;25,"Peso normal",T161&lt;30,"Sobrepeso",T161&lt;35,"Obesidad clase I",T161&lt;40,"Obesidad clase II",T161&gt;=40,"Obesidad clase III"))</f>
        <v>Obesidad clase II</v>
      </c>
      <c r="V161">
        <v>95</v>
      </c>
      <c r="X161" t="s">
        <v>3463</v>
      </c>
      <c r="Y161">
        <v>0.57999999999999996</v>
      </c>
      <c r="AA161">
        <v>90</v>
      </c>
      <c r="AB161" s="9">
        <f t="shared" si="5"/>
        <v>100.99197196308047</v>
      </c>
      <c r="AD161" t="s">
        <v>73</v>
      </c>
      <c r="AF161" t="s">
        <v>73</v>
      </c>
      <c r="AH161" t="s">
        <v>3463</v>
      </c>
      <c r="AI161" t="s">
        <v>3465</v>
      </c>
      <c r="AJ161" t="s">
        <v>3463</v>
      </c>
      <c r="AK161" t="s">
        <v>3463</v>
      </c>
      <c r="AL161" t="s">
        <v>3465</v>
      </c>
      <c r="AM161" t="s">
        <v>472</v>
      </c>
      <c r="AN161" t="s">
        <v>3617</v>
      </c>
      <c r="AP161" t="s">
        <v>3463</v>
      </c>
      <c r="AS161" t="s">
        <v>3463</v>
      </c>
      <c r="AT161" t="s">
        <v>3465</v>
      </c>
      <c r="AU161" t="s">
        <v>80</v>
      </c>
      <c r="AV161" t="s">
        <v>178</v>
      </c>
      <c r="AW161" t="s">
        <v>3918</v>
      </c>
      <c r="AX161" t="s">
        <v>3463</v>
      </c>
      <c r="AY161" t="s">
        <v>3463</v>
      </c>
      <c r="BA161" t="s">
        <v>3920</v>
      </c>
      <c r="BF161" t="s">
        <v>3921</v>
      </c>
      <c r="BG161" t="s">
        <v>561</v>
      </c>
      <c r="BH161" t="s">
        <v>4076</v>
      </c>
      <c r="BI161" t="s">
        <v>411</v>
      </c>
      <c r="BL161" t="s">
        <v>562</v>
      </c>
      <c r="BP161" t="s">
        <v>4335</v>
      </c>
      <c r="BQ161" t="s">
        <v>3463</v>
      </c>
      <c r="BR161" t="s">
        <v>3465</v>
      </c>
      <c r="BS161" t="s">
        <v>3463</v>
      </c>
      <c r="BT161" t="s">
        <v>3463</v>
      </c>
      <c r="BU161" t="s">
        <v>3463</v>
      </c>
      <c r="BV161" t="s">
        <v>3463</v>
      </c>
      <c r="BW161" t="s">
        <v>3463</v>
      </c>
      <c r="BX161" t="s">
        <v>121</v>
      </c>
      <c r="BY161" t="s">
        <v>87</v>
      </c>
      <c r="BZ161" t="s">
        <v>563</v>
      </c>
      <c r="CA161" s="10">
        <v>45909</v>
      </c>
    </row>
    <row r="162" spans="1:79">
      <c r="A162">
        <v>164</v>
      </c>
      <c r="B162">
        <v>22</v>
      </c>
      <c r="C162">
        <v>42</v>
      </c>
      <c r="D162" t="s">
        <v>3466</v>
      </c>
      <c r="E162" t="s">
        <v>507</v>
      </c>
      <c r="F162" t="s">
        <v>503</v>
      </c>
      <c r="G162" s="12" t="s">
        <v>3465</v>
      </c>
      <c r="H162" s="12" t="s">
        <v>88</v>
      </c>
      <c r="I162">
        <v>68</v>
      </c>
      <c r="J162">
        <v>69</v>
      </c>
      <c r="K162">
        <v>160</v>
      </c>
      <c r="L162">
        <v>89</v>
      </c>
      <c r="M162" t="s">
        <v>72</v>
      </c>
      <c r="N162">
        <v>153</v>
      </c>
      <c r="O162">
        <v>84</v>
      </c>
      <c r="P162" t="s">
        <v>72</v>
      </c>
      <c r="Q162" t="s">
        <v>72</v>
      </c>
      <c r="R162">
        <v>97.5</v>
      </c>
      <c r="S162">
        <v>156</v>
      </c>
      <c r="T162" s="8">
        <f t="shared" si="4"/>
        <v>40.064102564102562</v>
      </c>
      <c r="U162" s="13" t="str" cm="1">
        <f t="array" ref="U162">IF(T162="","",_xlfn.IFS(T162&lt;18.5,"Bajo peso",T162&lt;25,"Peso normal",T162&lt;30,"Sobrepeso",T162&lt;35,"Obesidad clase I",T162&lt;40,"Obesidad clase II",T162&gt;=40,"Obesidad clase III"))</f>
        <v>Obesidad clase III</v>
      </c>
      <c r="V162">
        <v>85</v>
      </c>
      <c r="X162" t="s">
        <v>3463</v>
      </c>
      <c r="Y162">
        <v>0.5</v>
      </c>
      <c r="AA162">
        <v>90</v>
      </c>
      <c r="AB162" s="9">
        <f t="shared" si="5"/>
        <v>120.01717353184171</v>
      </c>
      <c r="AD162" t="s">
        <v>73</v>
      </c>
      <c r="AF162" t="s">
        <v>73</v>
      </c>
      <c r="AG162" t="s">
        <v>3463</v>
      </c>
      <c r="AH162" t="s">
        <v>3465</v>
      </c>
      <c r="AI162" t="s">
        <v>3465</v>
      </c>
      <c r="AJ162" t="s">
        <v>3463</v>
      </c>
      <c r="AK162" t="s">
        <v>3463</v>
      </c>
      <c r="AL162" t="s">
        <v>3463</v>
      </c>
      <c r="AO162" t="s">
        <v>3463</v>
      </c>
      <c r="AP162" t="s">
        <v>3465</v>
      </c>
      <c r="AQ162" t="s">
        <v>564</v>
      </c>
      <c r="AR162" t="s">
        <v>3491</v>
      </c>
      <c r="AS162" t="s">
        <v>3463</v>
      </c>
      <c r="AT162" t="s">
        <v>3465</v>
      </c>
      <c r="AU162" t="s">
        <v>80</v>
      </c>
      <c r="AV162" t="s">
        <v>126</v>
      </c>
      <c r="AW162" t="s">
        <v>126</v>
      </c>
      <c r="AX162" t="s">
        <v>3463</v>
      </c>
      <c r="AY162" t="s">
        <v>3465</v>
      </c>
      <c r="AZ162" t="s">
        <v>104</v>
      </c>
      <c r="BF162" t="s">
        <v>3921</v>
      </c>
      <c r="BG162" t="s">
        <v>565</v>
      </c>
      <c r="BH162" t="s">
        <v>4017</v>
      </c>
      <c r="BI162" t="s">
        <v>76</v>
      </c>
      <c r="BP162" t="s">
        <v>4261</v>
      </c>
      <c r="BQ162" t="s">
        <v>3463</v>
      </c>
      <c r="BR162" t="s">
        <v>3463</v>
      </c>
      <c r="BS162" t="s">
        <v>3463</v>
      </c>
      <c r="BT162" t="s">
        <v>3465</v>
      </c>
      <c r="BU162" t="s">
        <v>3463</v>
      </c>
      <c r="BV162" t="s">
        <v>3463</v>
      </c>
      <c r="BW162" t="s">
        <v>3463</v>
      </c>
      <c r="BX162" t="s">
        <v>79</v>
      </c>
      <c r="BY162" t="s">
        <v>87</v>
      </c>
      <c r="BZ162" t="s">
        <v>79</v>
      </c>
      <c r="CA162" s="10">
        <v>45909</v>
      </c>
    </row>
    <row r="163" spans="1:79">
      <c r="A163">
        <v>165</v>
      </c>
      <c r="B163">
        <v>23</v>
      </c>
      <c r="C163">
        <v>43</v>
      </c>
      <c r="D163" t="s">
        <v>3466</v>
      </c>
      <c r="E163" t="s">
        <v>502</v>
      </c>
      <c r="F163" t="s">
        <v>503</v>
      </c>
      <c r="G163" s="12" t="s">
        <v>3465</v>
      </c>
      <c r="H163" s="12" t="s">
        <v>88</v>
      </c>
      <c r="I163">
        <v>84</v>
      </c>
      <c r="J163">
        <v>85</v>
      </c>
      <c r="K163">
        <v>156</v>
      </c>
      <c r="L163">
        <v>99</v>
      </c>
      <c r="M163" t="s">
        <v>72</v>
      </c>
      <c r="N163">
        <v>140</v>
      </c>
      <c r="O163">
        <v>89</v>
      </c>
      <c r="P163" t="s">
        <v>72</v>
      </c>
      <c r="Q163" t="s">
        <v>72</v>
      </c>
      <c r="R163">
        <v>104.1</v>
      </c>
      <c r="S163">
        <v>164</v>
      </c>
      <c r="T163" s="8">
        <f t="shared" si="4"/>
        <v>38.704640095181439</v>
      </c>
      <c r="U163" s="13" t="str" cm="1">
        <f t="array" ref="U163">IF(T163="","",_xlfn.IFS(T163&lt;18.5,"Bajo peso",T163&lt;25,"Peso normal",T163&lt;30,"Sobrepeso",T163&lt;35,"Obesidad clase I",T163&lt;40,"Obesidad clase II",T163&gt;=40,"Obesidad clase III"))</f>
        <v>Obesidad clase II</v>
      </c>
      <c r="V163">
        <v>130</v>
      </c>
      <c r="X163" t="s">
        <v>3463</v>
      </c>
      <c r="Y163">
        <v>0.49</v>
      </c>
      <c r="AA163">
        <v>90</v>
      </c>
      <c r="AB163" s="9">
        <f t="shared" si="5"/>
        <v>119.85520604673945</v>
      </c>
      <c r="AD163" t="s">
        <v>73</v>
      </c>
      <c r="AF163" t="s">
        <v>73</v>
      </c>
      <c r="AH163" t="s">
        <v>3463</v>
      </c>
      <c r="AI163" t="s">
        <v>3463</v>
      </c>
      <c r="AJ163" t="s">
        <v>3463</v>
      </c>
      <c r="AK163" t="s">
        <v>3463</v>
      </c>
      <c r="AL163" t="s">
        <v>3463</v>
      </c>
      <c r="AP163" t="s">
        <v>3463</v>
      </c>
      <c r="AQ163" t="s">
        <v>120</v>
      </c>
      <c r="AR163" t="s">
        <v>3491</v>
      </c>
      <c r="AT163" t="s">
        <v>3465</v>
      </c>
      <c r="AU163" t="s">
        <v>80</v>
      </c>
      <c r="AV163" t="s">
        <v>126</v>
      </c>
      <c r="AW163" t="s">
        <v>126</v>
      </c>
      <c r="AX163" t="s">
        <v>3463</v>
      </c>
      <c r="AY163" t="s">
        <v>3463</v>
      </c>
      <c r="BF163" t="s">
        <v>3921</v>
      </c>
      <c r="BG163" t="s">
        <v>566</v>
      </c>
      <c r="BH163" t="s">
        <v>4077</v>
      </c>
      <c r="BI163" t="s">
        <v>411</v>
      </c>
      <c r="BL163" t="s">
        <v>567</v>
      </c>
      <c r="BP163" t="s">
        <v>4336</v>
      </c>
      <c r="BQ163" t="s">
        <v>3465</v>
      </c>
      <c r="BR163" t="s">
        <v>3465</v>
      </c>
      <c r="BS163" t="s">
        <v>3465</v>
      </c>
      <c r="BT163" t="s">
        <v>3465</v>
      </c>
      <c r="BU163" t="s">
        <v>3463</v>
      </c>
      <c r="BV163" t="s">
        <v>3463</v>
      </c>
      <c r="BW163" t="s">
        <v>3463</v>
      </c>
      <c r="BX163" t="s">
        <v>79</v>
      </c>
      <c r="BY163" t="s">
        <v>87</v>
      </c>
      <c r="BZ163" t="s">
        <v>95</v>
      </c>
      <c r="CA163" s="10">
        <v>45909</v>
      </c>
    </row>
    <row r="164" spans="1:79">
      <c r="A164">
        <v>166</v>
      </c>
      <c r="B164">
        <v>24</v>
      </c>
      <c r="C164">
        <v>47</v>
      </c>
      <c r="D164" t="s">
        <v>3466</v>
      </c>
      <c r="E164" t="s">
        <v>507</v>
      </c>
      <c r="F164" t="s">
        <v>503</v>
      </c>
      <c r="G164" s="12" t="s">
        <v>3463</v>
      </c>
      <c r="H164" s="12"/>
      <c r="I164">
        <v>85</v>
      </c>
      <c r="J164">
        <v>81</v>
      </c>
      <c r="K164">
        <v>141</v>
      </c>
      <c r="L164">
        <v>75</v>
      </c>
      <c r="M164" t="s">
        <v>72</v>
      </c>
      <c r="N164">
        <v>142</v>
      </c>
      <c r="O164">
        <v>78</v>
      </c>
      <c r="P164" t="s">
        <v>72</v>
      </c>
      <c r="Q164" t="s">
        <v>72</v>
      </c>
      <c r="R164">
        <v>75.5</v>
      </c>
      <c r="S164">
        <v>156</v>
      </c>
      <c r="T164" s="8">
        <f t="shared" si="4"/>
        <v>31.023997370151218</v>
      </c>
      <c r="U164" s="13" t="str" cm="1">
        <f t="array" ref="U164">IF(T164="","",_xlfn.IFS(T164&lt;18.5,"Bajo peso",T164&lt;25,"Peso normal",T164&lt;30,"Sobrepeso",T164&lt;35,"Obesidad clase I",T164&lt;40,"Obesidad clase II",T164&gt;=40,"Obesidad clase III"))</f>
        <v>Obesidad clase I</v>
      </c>
      <c r="V164">
        <v>101</v>
      </c>
      <c r="X164" t="s">
        <v>3463</v>
      </c>
      <c r="Y164">
        <v>0.42</v>
      </c>
      <c r="AA164">
        <v>90</v>
      </c>
      <c r="AB164" s="9">
        <f t="shared" si="5"/>
        <v>121.33526662206708</v>
      </c>
      <c r="AD164" t="s">
        <v>73</v>
      </c>
      <c r="AF164" t="s">
        <v>73</v>
      </c>
      <c r="AH164" t="s">
        <v>3463</v>
      </c>
      <c r="AI164" t="s">
        <v>3463</v>
      </c>
      <c r="AJ164" t="s">
        <v>3463</v>
      </c>
      <c r="AK164" t="s">
        <v>3463</v>
      </c>
      <c r="AL164" t="s">
        <v>3465</v>
      </c>
      <c r="AM164" t="s">
        <v>568</v>
      </c>
      <c r="AN164" t="s">
        <v>3649</v>
      </c>
      <c r="AP164" t="s">
        <v>3463</v>
      </c>
      <c r="AT164" t="s">
        <v>3463</v>
      </c>
      <c r="AV164" t="s">
        <v>74</v>
      </c>
      <c r="AW164" t="s">
        <v>3915</v>
      </c>
      <c r="AX164" t="s">
        <v>3463</v>
      </c>
      <c r="AY164" t="s">
        <v>3465</v>
      </c>
      <c r="AZ164" t="s">
        <v>247</v>
      </c>
      <c r="BF164" t="s">
        <v>3921</v>
      </c>
      <c r="BG164" t="s">
        <v>569</v>
      </c>
      <c r="BH164" t="s">
        <v>4076</v>
      </c>
      <c r="BI164" t="s">
        <v>411</v>
      </c>
      <c r="BL164" t="s">
        <v>570</v>
      </c>
      <c r="BP164" t="s">
        <v>4336</v>
      </c>
      <c r="BQ164" t="s">
        <v>3463</v>
      </c>
      <c r="BR164" t="s">
        <v>3463</v>
      </c>
      <c r="BS164" t="s">
        <v>3463</v>
      </c>
      <c r="BT164" t="s">
        <v>3463</v>
      </c>
      <c r="BU164" t="s">
        <v>3463</v>
      </c>
      <c r="BV164" t="s">
        <v>3463</v>
      </c>
      <c r="BW164" t="s">
        <v>3463</v>
      </c>
      <c r="BX164" t="s">
        <v>79</v>
      </c>
      <c r="BY164" t="s">
        <v>87</v>
      </c>
      <c r="BZ164" t="s">
        <v>95</v>
      </c>
      <c r="CA164" s="10">
        <v>45909</v>
      </c>
    </row>
    <row r="165" spans="1:79">
      <c r="A165">
        <v>167</v>
      </c>
      <c r="B165">
        <v>25</v>
      </c>
      <c r="C165">
        <v>54</v>
      </c>
      <c r="D165" t="s">
        <v>3466</v>
      </c>
      <c r="E165" t="s">
        <v>575</v>
      </c>
      <c r="F165" t="s">
        <v>503</v>
      </c>
      <c r="G165" s="12" t="s">
        <v>3463</v>
      </c>
      <c r="H165" s="12"/>
      <c r="I165">
        <v>76</v>
      </c>
      <c r="J165">
        <v>77</v>
      </c>
      <c r="K165">
        <v>152</v>
      </c>
      <c r="L165">
        <v>92</v>
      </c>
      <c r="M165" t="s">
        <v>72</v>
      </c>
      <c r="N165">
        <v>136</v>
      </c>
      <c r="O165">
        <v>89</v>
      </c>
      <c r="P165" t="s">
        <v>82</v>
      </c>
      <c r="Q165" t="s">
        <v>82</v>
      </c>
      <c r="R165">
        <v>85.9</v>
      </c>
      <c r="S165">
        <v>156</v>
      </c>
      <c r="T165" s="8">
        <f t="shared" si="4"/>
        <v>35.297501643655494</v>
      </c>
      <c r="U165" s="13" t="str" cm="1">
        <f t="array" ref="U165">IF(T165="","",_xlfn.IFS(T165&lt;18.5,"Bajo peso",T165&lt;25,"Peso normal",T165&lt;30,"Sobrepeso",T165&lt;35,"Obesidad clase I",T165&lt;40,"Obesidad clase II",T165&gt;=40,"Obesidad clase III"))</f>
        <v>Obesidad clase II</v>
      </c>
      <c r="V165">
        <v>93</v>
      </c>
      <c r="X165" t="s">
        <v>3463</v>
      </c>
      <c r="Y165">
        <v>0.56000000000000005</v>
      </c>
      <c r="AA165">
        <v>90</v>
      </c>
      <c r="AB165" s="9">
        <f t="shared" si="5"/>
        <v>108.38514429682503</v>
      </c>
      <c r="AD165" t="s">
        <v>73</v>
      </c>
      <c r="AF165" t="s">
        <v>73</v>
      </c>
      <c r="AH165" t="s">
        <v>3463</v>
      </c>
      <c r="AI165" t="s">
        <v>3465</v>
      </c>
      <c r="AJ165" t="s">
        <v>3463</v>
      </c>
      <c r="AK165" t="s">
        <v>3463</v>
      </c>
      <c r="AL165" t="s">
        <v>3465</v>
      </c>
      <c r="AM165" t="s">
        <v>576</v>
      </c>
      <c r="AN165" t="s">
        <v>576</v>
      </c>
      <c r="AP165" t="s">
        <v>3463</v>
      </c>
      <c r="AS165" t="s">
        <v>3465</v>
      </c>
      <c r="AT165" t="s">
        <v>3465</v>
      </c>
      <c r="AU165" t="s">
        <v>80</v>
      </c>
      <c r="AV165" t="s">
        <v>112</v>
      </c>
      <c r="AW165" t="s">
        <v>3917</v>
      </c>
      <c r="AX165" t="s">
        <v>3465</v>
      </c>
      <c r="AY165" t="s">
        <v>3465</v>
      </c>
      <c r="AZ165" t="s">
        <v>90</v>
      </c>
      <c r="BA165" t="s">
        <v>3920</v>
      </c>
      <c r="BE165" t="s">
        <v>577</v>
      </c>
      <c r="BF165" t="s">
        <v>3701</v>
      </c>
      <c r="BG165" t="s">
        <v>578</v>
      </c>
      <c r="BH165" t="s">
        <v>4078</v>
      </c>
      <c r="BI165" t="s">
        <v>411</v>
      </c>
      <c r="BL165" t="s">
        <v>579</v>
      </c>
      <c r="BP165" t="s">
        <v>4337</v>
      </c>
      <c r="BQ165" t="s">
        <v>3463</v>
      </c>
      <c r="BR165" t="s">
        <v>3463</v>
      </c>
      <c r="BS165" t="s">
        <v>3463</v>
      </c>
      <c r="BT165" t="s">
        <v>3465</v>
      </c>
      <c r="BU165" t="s">
        <v>3463</v>
      </c>
      <c r="BV165" t="s">
        <v>3463</v>
      </c>
      <c r="BW165" t="s">
        <v>3463</v>
      </c>
      <c r="BX165" t="s">
        <v>79</v>
      </c>
      <c r="BY165" t="s">
        <v>87</v>
      </c>
      <c r="BZ165" t="s">
        <v>79</v>
      </c>
      <c r="CA165" s="10">
        <v>45909</v>
      </c>
    </row>
    <row r="166" spans="1:79">
      <c r="A166">
        <v>168</v>
      </c>
      <c r="B166">
        <v>26</v>
      </c>
      <c r="C166">
        <v>54</v>
      </c>
      <c r="D166" t="s">
        <v>3462</v>
      </c>
      <c r="E166" t="s">
        <v>539</v>
      </c>
      <c r="F166" t="s">
        <v>503</v>
      </c>
      <c r="G166" s="12" t="s">
        <v>3463</v>
      </c>
      <c r="H166" s="12"/>
      <c r="I166">
        <v>67</v>
      </c>
      <c r="K166">
        <v>139</v>
      </c>
      <c r="L166">
        <v>92</v>
      </c>
      <c r="M166" t="s">
        <v>72</v>
      </c>
      <c r="P166" t="s">
        <v>83</v>
      </c>
      <c r="Q166" t="s">
        <v>72</v>
      </c>
      <c r="R166">
        <v>92.7</v>
      </c>
      <c r="S166">
        <v>171</v>
      </c>
      <c r="T166" s="8">
        <f t="shared" si="4"/>
        <v>31.702062172976301</v>
      </c>
      <c r="U166" s="13" t="str" cm="1">
        <f t="array" ref="U166">IF(T166="","",_xlfn.IFS(T166&lt;18.5,"Bajo peso",T166&lt;25,"Peso normal",T166&lt;30,"Sobrepeso",T166&lt;35,"Obesidad clase I",T166&lt;40,"Obesidad clase II",T166&gt;=40,"Obesidad clase III"))</f>
        <v>Obesidad clase I</v>
      </c>
      <c r="V166">
        <v>107</v>
      </c>
      <c r="X166" t="s">
        <v>3463</v>
      </c>
      <c r="Y166">
        <v>0.62</v>
      </c>
      <c r="AA166">
        <v>90</v>
      </c>
      <c r="AB166" s="9">
        <f t="shared" si="5"/>
        <v>113.58288148807164</v>
      </c>
      <c r="AD166" t="s">
        <v>73</v>
      </c>
      <c r="AF166" t="s">
        <v>73</v>
      </c>
      <c r="AH166" t="s">
        <v>3463</v>
      </c>
      <c r="AI166" t="s">
        <v>3463</v>
      </c>
      <c r="AJ166" t="s">
        <v>3463</v>
      </c>
      <c r="AK166" t="s">
        <v>3463</v>
      </c>
      <c r="AL166" t="s">
        <v>3465</v>
      </c>
      <c r="AM166" t="s">
        <v>571</v>
      </c>
      <c r="AN166" t="s">
        <v>3650</v>
      </c>
      <c r="AO166" t="s">
        <v>3463</v>
      </c>
      <c r="AP166" t="s">
        <v>3465</v>
      </c>
      <c r="AQ166" t="s">
        <v>572</v>
      </c>
      <c r="AR166" t="s">
        <v>3517</v>
      </c>
      <c r="AV166" t="s">
        <v>178</v>
      </c>
      <c r="AW166" t="s">
        <v>3918</v>
      </c>
      <c r="BA166" t="s">
        <v>3920</v>
      </c>
      <c r="BF166" t="s">
        <v>3921</v>
      </c>
      <c r="BG166" t="s">
        <v>573</v>
      </c>
      <c r="BH166" t="s">
        <v>4068</v>
      </c>
      <c r="BL166" t="s">
        <v>574</v>
      </c>
      <c r="BP166" t="s">
        <v>4260</v>
      </c>
      <c r="BQ166" t="s">
        <v>3463</v>
      </c>
      <c r="BR166" t="s">
        <v>3465</v>
      </c>
      <c r="BS166" t="s">
        <v>3465</v>
      </c>
      <c r="BT166" t="s">
        <v>3465</v>
      </c>
      <c r="BU166" t="s">
        <v>3463</v>
      </c>
      <c r="BV166" t="s">
        <v>3463</v>
      </c>
      <c r="BW166" t="s">
        <v>3463</v>
      </c>
      <c r="BX166" t="s">
        <v>79</v>
      </c>
      <c r="BY166" t="s">
        <v>87</v>
      </c>
      <c r="BZ166" t="s">
        <v>79</v>
      </c>
      <c r="CA166" s="10">
        <v>45909</v>
      </c>
    </row>
    <row r="167" spans="1:79">
      <c r="A167">
        <v>169</v>
      </c>
      <c r="B167">
        <v>27</v>
      </c>
      <c r="C167">
        <v>50</v>
      </c>
      <c r="D167" t="s">
        <v>3466</v>
      </c>
      <c r="E167" t="s">
        <v>507</v>
      </c>
      <c r="F167" t="s">
        <v>503</v>
      </c>
      <c r="G167" s="12" t="s">
        <v>3463</v>
      </c>
      <c r="H167" s="12"/>
      <c r="I167">
        <v>67</v>
      </c>
      <c r="K167">
        <v>129</v>
      </c>
      <c r="L167">
        <v>79</v>
      </c>
      <c r="M167" t="s">
        <v>118</v>
      </c>
      <c r="P167" t="s">
        <v>83</v>
      </c>
      <c r="Q167" t="s">
        <v>118</v>
      </c>
      <c r="R167">
        <v>83.2</v>
      </c>
      <c r="S167">
        <v>158</v>
      </c>
      <c r="T167" s="8">
        <f t="shared" si="4"/>
        <v>33.327992308924856</v>
      </c>
      <c r="U167" s="13" t="str" cm="1">
        <f t="array" ref="U167">IF(T167="","",_xlfn.IFS(T167&lt;18.5,"Bajo peso",T167&lt;25,"Peso normal",T167&lt;30,"Sobrepeso",T167&lt;35,"Obesidad clase I",T167&lt;40,"Obesidad clase II",T167&gt;=40,"Obesidad clase III"))</f>
        <v>Obesidad clase I</v>
      </c>
      <c r="V167">
        <v>95</v>
      </c>
      <c r="X167" t="s">
        <v>3463</v>
      </c>
      <c r="Y167">
        <v>0.5</v>
      </c>
      <c r="AA167">
        <v>90</v>
      </c>
      <c r="AB167" s="9">
        <f t="shared" si="5"/>
        <v>114.19190916803004</v>
      </c>
      <c r="AD167" t="s">
        <v>73</v>
      </c>
      <c r="AF167" t="s">
        <v>73</v>
      </c>
      <c r="AG167" t="s">
        <v>3463</v>
      </c>
      <c r="AH167" t="s">
        <v>3465</v>
      </c>
      <c r="AI167" t="s">
        <v>3463</v>
      </c>
      <c r="AJ167" t="s">
        <v>3463</v>
      </c>
      <c r="AK167" t="s">
        <v>3463</v>
      </c>
      <c r="AL167" t="s">
        <v>3465</v>
      </c>
      <c r="AM167" t="s">
        <v>580</v>
      </c>
      <c r="AN167" t="s">
        <v>3651</v>
      </c>
      <c r="AP167" t="s">
        <v>3463</v>
      </c>
      <c r="AQ167" t="s">
        <v>406</v>
      </c>
      <c r="AR167" t="s">
        <v>3491</v>
      </c>
      <c r="AT167" t="s">
        <v>3463</v>
      </c>
      <c r="AV167" t="s">
        <v>126</v>
      </c>
      <c r="AW167" t="s">
        <v>126</v>
      </c>
      <c r="AX167" t="s">
        <v>3463</v>
      </c>
      <c r="AY167" t="s">
        <v>3463</v>
      </c>
      <c r="AZ167" t="s">
        <v>104</v>
      </c>
      <c r="BF167" t="s">
        <v>3921</v>
      </c>
      <c r="BH167" t="s">
        <v>4020</v>
      </c>
      <c r="BP167" t="s">
        <v>4260</v>
      </c>
      <c r="BQ167" t="s">
        <v>3463</v>
      </c>
      <c r="BR167" t="s">
        <v>3463</v>
      </c>
      <c r="BS167" t="s">
        <v>3463</v>
      </c>
      <c r="BT167" t="s">
        <v>3465</v>
      </c>
      <c r="BU167" t="s">
        <v>3463</v>
      </c>
      <c r="BV167" t="s">
        <v>3463</v>
      </c>
      <c r="BW167" t="s">
        <v>3463</v>
      </c>
      <c r="BX167" t="s">
        <v>79</v>
      </c>
      <c r="BY167" t="s">
        <v>87</v>
      </c>
      <c r="BZ167" t="s">
        <v>79</v>
      </c>
      <c r="CA167" s="10">
        <v>45909</v>
      </c>
    </row>
    <row r="168" spans="1:79">
      <c r="A168">
        <v>170</v>
      </c>
      <c r="B168">
        <v>28</v>
      </c>
      <c r="C168">
        <v>70</v>
      </c>
      <c r="D168" t="s">
        <v>3466</v>
      </c>
      <c r="E168" t="s">
        <v>502</v>
      </c>
      <c r="F168" t="s">
        <v>503</v>
      </c>
      <c r="G168" s="12" t="s">
        <v>3463</v>
      </c>
      <c r="I168">
        <v>92</v>
      </c>
      <c r="J168">
        <v>92</v>
      </c>
      <c r="K168">
        <v>142</v>
      </c>
      <c r="L168">
        <v>87</v>
      </c>
      <c r="M168" t="s">
        <v>72</v>
      </c>
      <c r="N168">
        <v>135</v>
      </c>
      <c r="O168">
        <v>85</v>
      </c>
      <c r="P168" t="s">
        <v>82</v>
      </c>
      <c r="Q168" t="s">
        <v>82</v>
      </c>
      <c r="R168">
        <v>64.5</v>
      </c>
      <c r="S168">
        <v>156.5</v>
      </c>
      <c r="T168" s="8">
        <f t="shared" si="4"/>
        <v>26.334861027467873</v>
      </c>
      <c r="U168" s="13" t="str" cm="1">
        <f t="array" ref="U168">IF(T168="","",_xlfn.IFS(T168&lt;18.5,"Bajo peso",T168&lt;25,"Peso normal",T168&lt;30,"Sobrepeso",T168&lt;35,"Obesidad clase I",T168&lt;40,"Obesidad clase II",T168&gt;=40,"Obesidad clase III"))</f>
        <v>Sobrepeso</v>
      </c>
      <c r="V168">
        <v>105</v>
      </c>
      <c r="X168" t="s">
        <v>3463</v>
      </c>
      <c r="Y168">
        <v>0.54</v>
      </c>
      <c r="AA168">
        <v>90</v>
      </c>
      <c r="AB168" s="9">
        <f t="shared" si="5"/>
        <v>98.982873439077721</v>
      </c>
      <c r="AD168" t="s">
        <v>73</v>
      </c>
      <c r="AF168" t="s">
        <v>73</v>
      </c>
      <c r="AH168" t="s">
        <v>3463</v>
      </c>
      <c r="AI168" t="s">
        <v>3465</v>
      </c>
      <c r="AJ168" t="s">
        <v>3464</v>
      </c>
      <c r="AK168" t="s">
        <v>3463</v>
      </c>
      <c r="AL168" t="s">
        <v>3465</v>
      </c>
      <c r="AM168" t="s">
        <v>581</v>
      </c>
      <c r="AN168" t="s">
        <v>3652</v>
      </c>
      <c r="AP168" t="s">
        <v>3463</v>
      </c>
      <c r="AQ168" t="s">
        <v>582</v>
      </c>
      <c r="AR168" t="s">
        <v>3518</v>
      </c>
      <c r="AS168" t="s">
        <v>3465</v>
      </c>
      <c r="AT168" t="s">
        <v>3465</v>
      </c>
      <c r="AU168" t="s">
        <v>80</v>
      </c>
      <c r="AV168" t="s">
        <v>112</v>
      </c>
      <c r="AW168" t="s">
        <v>3917</v>
      </c>
      <c r="AX168" t="s">
        <v>3463</v>
      </c>
      <c r="BE168" t="s">
        <v>583</v>
      </c>
      <c r="BF168" t="s">
        <v>3931</v>
      </c>
      <c r="BG168" t="s">
        <v>584</v>
      </c>
      <c r="BH168" t="s">
        <v>4079</v>
      </c>
      <c r="BL168" t="s">
        <v>585</v>
      </c>
      <c r="BP168" t="s">
        <v>4329</v>
      </c>
      <c r="BQ168" t="s">
        <v>3463</v>
      </c>
      <c r="BR168" t="s">
        <v>3463</v>
      </c>
      <c r="BS168" t="s">
        <v>3465</v>
      </c>
      <c r="BT168" t="s">
        <v>3465</v>
      </c>
      <c r="BU168" t="s">
        <v>3463</v>
      </c>
      <c r="BV168" t="s">
        <v>3463</v>
      </c>
      <c r="BW168" t="s">
        <v>3463</v>
      </c>
      <c r="BX168" t="s">
        <v>518</v>
      </c>
      <c r="BY168" t="s">
        <v>87</v>
      </c>
      <c r="BZ168" t="s">
        <v>79</v>
      </c>
      <c r="CA168" s="10">
        <v>45909</v>
      </c>
    </row>
    <row r="169" spans="1:79">
      <c r="A169">
        <v>171</v>
      </c>
      <c r="B169">
        <v>29</v>
      </c>
      <c r="C169">
        <v>41</v>
      </c>
      <c r="D169" t="s">
        <v>3466</v>
      </c>
      <c r="E169" t="s">
        <v>575</v>
      </c>
      <c r="F169" t="s">
        <v>503</v>
      </c>
      <c r="G169" s="12" t="s">
        <v>3463</v>
      </c>
      <c r="H169" s="12"/>
      <c r="I169">
        <v>67</v>
      </c>
      <c r="K169">
        <v>128</v>
      </c>
      <c r="L169">
        <v>81</v>
      </c>
      <c r="M169" t="s">
        <v>82</v>
      </c>
      <c r="P169" t="s">
        <v>83</v>
      </c>
      <c r="Q169" t="s">
        <v>82</v>
      </c>
      <c r="R169">
        <v>52.6</v>
      </c>
      <c r="S169">
        <v>155</v>
      </c>
      <c r="T169" s="8">
        <f t="shared" si="4"/>
        <v>21.893860561914675</v>
      </c>
      <c r="U169" s="13" t="str" cm="1">
        <f t="array" ref="U169">IF(T169="","",_xlfn.IFS(T169&lt;18.5,"Bajo peso",T169&lt;25,"Peso normal",T169&lt;30,"Sobrepeso",T169&lt;35,"Obesidad clase I",T169&lt;40,"Obesidad clase II",T169&gt;=40,"Obesidad clase III"))</f>
        <v>Peso normal</v>
      </c>
      <c r="V169">
        <v>92</v>
      </c>
      <c r="X169" t="s">
        <v>3463</v>
      </c>
      <c r="Y169">
        <v>0.56000000000000005</v>
      </c>
      <c r="AA169">
        <v>90</v>
      </c>
      <c r="AB169" s="9">
        <f t="shared" si="5"/>
        <v>117.51217344003179</v>
      </c>
      <c r="AD169" t="s">
        <v>73</v>
      </c>
      <c r="AF169" t="s">
        <v>73</v>
      </c>
      <c r="AH169" t="s">
        <v>3463</v>
      </c>
      <c r="AI169" t="s">
        <v>3463</v>
      </c>
      <c r="AJ169" t="s">
        <v>3463</v>
      </c>
      <c r="AK169" t="s">
        <v>3463</v>
      </c>
      <c r="AL169" t="s">
        <v>3463</v>
      </c>
      <c r="AP169" t="s">
        <v>3463</v>
      </c>
      <c r="AT169" t="s">
        <v>3463</v>
      </c>
      <c r="AV169" t="s">
        <v>74</v>
      </c>
      <c r="AW169" t="s">
        <v>3915</v>
      </c>
      <c r="AX169" t="s">
        <v>3465</v>
      </c>
      <c r="AY169" t="s">
        <v>3463</v>
      </c>
      <c r="AZ169" t="s">
        <v>137</v>
      </c>
      <c r="BF169" t="s">
        <v>3921</v>
      </c>
      <c r="BG169" t="s">
        <v>586</v>
      </c>
      <c r="BH169" t="s">
        <v>4043</v>
      </c>
      <c r="BL169" t="s">
        <v>586</v>
      </c>
      <c r="BP169" t="s">
        <v>4338</v>
      </c>
      <c r="BQ169" t="s">
        <v>3463</v>
      </c>
      <c r="BR169" t="s">
        <v>3463</v>
      </c>
      <c r="BS169" t="s">
        <v>3463</v>
      </c>
      <c r="BT169" t="s">
        <v>3463</v>
      </c>
      <c r="BU169" t="s">
        <v>3463</v>
      </c>
      <c r="BV169" t="s">
        <v>3463</v>
      </c>
      <c r="BW169" t="s">
        <v>3463</v>
      </c>
      <c r="BX169" t="s">
        <v>79</v>
      </c>
      <c r="BY169" t="s">
        <v>87</v>
      </c>
      <c r="BZ169" t="s">
        <v>79</v>
      </c>
      <c r="CA169" s="10">
        <v>45909</v>
      </c>
    </row>
    <row r="170" spans="1:79">
      <c r="A170">
        <v>172</v>
      </c>
      <c r="B170">
        <v>30</v>
      </c>
      <c r="C170">
        <v>60</v>
      </c>
      <c r="D170" t="s">
        <v>3466</v>
      </c>
      <c r="E170" t="s">
        <v>575</v>
      </c>
      <c r="F170" t="s">
        <v>503</v>
      </c>
      <c r="G170" s="12" t="s">
        <v>3465</v>
      </c>
      <c r="H170" t="s">
        <v>88</v>
      </c>
      <c r="I170">
        <v>66</v>
      </c>
      <c r="K170">
        <v>135</v>
      </c>
      <c r="L170">
        <v>83</v>
      </c>
      <c r="M170" t="s">
        <v>82</v>
      </c>
      <c r="P170" t="s">
        <v>83</v>
      </c>
      <c r="Q170" t="s">
        <v>82</v>
      </c>
      <c r="R170">
        <v>62.2</v>
      </c>
      <c r="S170">
        <v>154</v>
      </c>
      <c r="T170" s="8">
        <f t="shared" si="4"/>
        <v>26.227019733513242</v>
      </c>
      <c r="U170" s="13" t="str" cm="1">
        <f t="array" ref="U170">IF(T170="","",_xlfn.IFS(T170&lt;18.5,"Bajo peso",T170&lt;25,"Peso normal",T170&lt;30,"Sobrepeso",T170&lt;35,"Obesidad clase I",T170&lt;40,"Obesidad clase II",T170&gt;=40,"Obesidad clase III"))</f>
        <v>Sobrepeso</v>
      </c>
      <c r="V170">
        <v>92</v>
      </c>
      <c r="X170" t="s">
        <v>3463</v>
      </c>
      <c r="Y170">
        <v>0.44</v>
      </c>
      <c r="AA170">
        <v>90</v>
      </c>
      <c r="AB170" s="9">
        <f t="shared" si="5"/>
        <v>110.66363565250489</v>
      </c>
      <c r="AD170" t="s">
        <v>73</v>
      </c>
      <c r="AF170" t="s">
        <v>73</v>
      </c>
      <c r="AH170" t="s">
        <v>3463</v>
      </c>
      <c r="AI170" t="s">
        <v>3463</v>
      </c>
      <c r="AJ170" t="s">
        <v>3463</v>
      </c>
      <c r="AK170" t="s">
        <v>3463</v>
      </c>
      <c r="AL170" t="s">
        <v>3463</v>
      </c>
      <c r="AP170" t="s">
        <v>3463</v>
      </c>
      <c r="AQ170" t="s">
        <v>589</v>
      </c>
      <c r="AR170" t="s">
        <v>3519</v>
      </c>
      <c r="AT170" t="s">
        <v>3465</v>
      </c>
      <c r="AU170" t="s">
        <v>80</v>
      </c>
      <c r="AV170" t="s">
        <v>126</v>
      </c>
      <c r="AW170" t="s">
        <v>126</v>
      </c>
      <c r="AX170" t="s">
        <v>3463</v>
      </c>
      <c r="AY170" t="s">
        <v>3465</v>
      </c>
      <c r="AZ170" t="s">
        <v>90</v>
      </c>
      <c r="BF170" t="s">
        <v>3921</v>
      </c>
      <c r="BG170" t="s">
        <v>590</v>
      </c>
      <c r="BH170" t="s">
        <v>4043</v>
      </c>
      <c r="BL170" t="s">
        <v>590</v>
      </c>
      <c r="BP170" t="s">
        <v>4260</v>
      </c>
      <c r="BQ170" t="s">
        <v>3463</v>
      </c>
      <c r="BR170" t="s">
        <v>3463</v>
      </c>
      <c r="BS170" t="s">
        <v>3463</v>
      </c>
      <c r="BT170" t="s">
        <v>3463</v>
      </c>
      <c r="BU170" t="s">
        <v>3463</v>
      </c>
      <c r="BV170" t="s">
        <v>3463</v>
      </c>
      <c r="BW170" t="s">
        <v>3463</v>
      </c>
      <c r="BX170" t="s">
        <v>79</v>
      </c>
      <c r="BY170" t="s">
        <v>87</v>
      </c>
      <c r="BZ170" t="s">
        <v>79</v>
      </c>
      <c r="CA170" s="10">
        <v>45909</v>
      </c>
    </row>
    <row r="171" spans="1:79">
      <c r="A171">
        <v>173</v>
      </c>
      <c r="B171">
        <v>31</v>
      </c>
      <c r="C171">
        <v>76</v>
      </c>
      <c r="D171" t="s">
        <v>3466</v>
      </c>
      <c r="E171" t="s">
        <v>502</v>
      </c>
      <c r="F171" t="s">
        <v>503</v>
      </c>
      <c r="G171" s="12" t="s">
        <v>3463</v>
      </c>
      <c r="H171" s="12"/>
      <c r="I171">
        <v>69</v>
      </c>
      <c r="J171">
        <v>67</v>
      </c>
      <c r="K171">
        <v>204</v>
      </c>
      <c r="L171">
        <v>93</v>
      </c>
      <c r="M171" t="s">
        <v>96</v>
      </c>
      <c r="N171">
        <v>195</v>
      </c>
      <c r="O171">
        <v>90</v>
      </c>
      <c r="P171" t="s">
        <v>96</v>
      </c>
      <c r="Q171" t="s">
        <v>96</v>
      </c>
      <c r="R171">
        <v>65.400000000000006</v>
      </c>
      <c r="S171">
        <v>150</v>
      </c>
      <c r="T171" s="8">
        <f t="shared" si="4"/>
        <v>29.066666666666666</v>
      </c>
      <c r="U171" s="13" t="str" cm="1">
        <f t="array" ref="U171">IF(T171="","",_xlfn.IFS(T171&lt;18.5,"Bajo peso",T171&lt;25,"Peso normal",T171&lt;30,"Sobrepeso",T171&lt;35,"Obesidad clase I",T171&lt;40,"Obesidad clase II",T171&gt;=40,"Obesidad clase III"))</f>
        <v>Sobrepeso</v>
      </c>
      <c r="V171">
        <v>114</v>
      </c>
      <c r="X171" t="s">
        <v>3463</v>
      </c>
      <c r="Y171">
        <v>0.67</v>
      </c>
      <c r="AA171">
        <v>90</v>
      </c>
      <c r="AB171" s="9">
        <f t="shared" si="5"/>
        <v>90.526739818306979</v>
      </c>
      <c r="AD171" t="s">
        <v>73</v>
      </c>
      <c r="AF171" t="s">
        <v>73</v>
      </c>
      <c r="AH171" t="s">
        <v>3463</v>
      </c>
      <c r="AI171" t="s">
        <v>3465</v>
      </c>
      <c r="AJ171" t="s">
        <v>3463</v>
      </c>
      <c r="AK171" t="s">
        <v>3463</v>
      </c>
      <c r="AL171" t="s">
        <v>3465</v>
      </c>
      <c r="AM171" t="s">
        <v>472</v>
      </c>
      <c r="AN171" t="s">
        <v>3617</v>
      </c>
      <c r="AP171" t="s">
        <v>3463</v>
      </c>
      <c r="AS171" t="s">
        <v>3465</v>
      </c>
      <c r="AT171" t="s">
        <v>3463</v>
      </c>
      <c r="AV171" t="s">
        <v>74</v>
      </c>
      <c r="AW171" t="s">
        <v>3915</v>
      </c>
      <c r="AX171" t="s">
        <v>3463</v>
      </c>
      <c r="BA171" t="s">
        <v>3920</v>
      </c>
      <c r="BF171" t="s">
        <v>3921</v>
      </c>
      <c r="BG171" t="s">
        <v>587</v>
      </c>
      <c r="BH171" t="s">
        <v>4021</v>
      </c>
      <c r="BL171" t="s">
        <v>588</v>
      </c>
      <c r="BP171" t="s">
        <v>4339</v>
      </c>
      <c r="BQ171" t="s">
        <v>3463</v>
      </c>
      <c r="BR171" t="s">
        <v>3463</v>
      </c>
      <c r="BS171" t="s">
        <v>3463</v>
      </c>
      <c r="BT171" t="s">
        <v>3463</v>
      </c>
      <c r="BU171" t="s">
        <v>3463</v>
      </c>
      <c r="BV171" t="s">
        <v>3463</v>
      </c>
      <c r="BW171" t="s">
        <v>3463</v>
      </c>
      <c r="BX171" t="s">
        <v>121</v>
      </c>
      <c r="BY171" t="s">
        <v>87</v>
      </c>
      <c r="BZ171" t="s">
        <v>79</v>
      </c>
      <c r="CA171" s="10">
        <v>45909</v>
      </c>
    </row>
    <row r="172" spans="1:79">
      <c r="A172">
        <v>174</v>
      </c>
      <c r="B172">
        <v>32</v>
      </c>
      <c r="C172">
        <v>65</v>
      </c>
      <c r="D172" t="s">
        <v>3462</v>
      </c>
      <c r="E172" t="s">
        <v>507</v>
      </c>
      <c r="F172" t="s">
        <v>295</v>
      </c>
      <c r="G172" s="12" t="s">
        <v>3465</v>
      </c>
      <c r="H172" s="12" t="s">
        <v>88</v>
      </c>
      <c r="I172">
        <v>102</v>
      </c>
      <c r="J172">
        <v>93</v>
      </c>
      <c r="K172">
        <v>150</v>
      </c>
      <c r="L172">
        <v>98</v>
      </c>
      <c r="M172" t="s">
        <v>72</v>
      </c>
      <c r="N172">
        <v>151</v>
      </c>
      <c r="O172">
        <v>87</v>
      </c>
      <c r="P172" t="s">
        <v>72</v>
      </c>
      <c r="Q172" t="s">
        <v>72</v>
      </c>
      <c r="R172">
        <v>87.2</v>
      </c>
      <c r="S172">
        <v>173.5</v>
      </c>
      <c r="T172" s="8">
        <f t="shared" si="4"/>
        <v>28.967934290626118</v>
      </c>
      <c r="U172" s="13" t="str" cm="1">
        <f t="array" ref="U172">IF(T172="","",_xlfn.IFS(T172&lt;18.5,"Bajo peso",T172&lt;25,"Peso normal",T172&lt;30,"Sobrepeso",T172&lt;35,"Obesidad clase I",T172&lt;40,"Obesidad clase II",T172&gt;=40,"Obesidad clase III"))</f>
        <v>Sobrepeso</v>
      </c>
      <c r="V172">
        <v>101</v>
      </c>
      <c r="X172" t="s">
        <v>3463</v>
      </c>
      <c r="Y172">
        <v>0.71</v>
      </c>
      <c r="AA172">
        <v>90</v>
      </c>
      <c r="AB172" s="9">
        <f t="shared" si="5"/>
        <v>101.81788407976775</v>
      </c>
      <c r="AD172" t="s">
        <v>73</v>
      </c>
      <c r="AF172" t="s">
        <v>73</v>
      </c>
      <c r="AG172" t="s">
        <v>3465</v>
      </c>
      <c r="AH172" t="s">
        <v>3465</v>
      </c>
      <c r="AI172" t="s">
        <v>3463</v>
      </c>
      <c r="AJ172" t="s">
        <v>3463</v>
      </c>
      <c r="AK172" t="s">
        <v>3463</v>
      </c>
      <c r="AL172" t="s">
        <v>3463</v>
      </c>
      <c r="AP172" t="s">
        <v>3463</v>
      </c>
      <c r="AV172" t="s">
        <v>126</v>
      </c>
      <c r="AW172" t="s">
        <v>126</v>
      </c>
      <c r="BB172" t="s">
        <v>3485</v>
      </c>
      <c r="BF172" t="s">
        <v>3921</v>
      </c>
      <c r="BG172" t="s">
        <v>591</v>
      </c>
      <c r="BH172" t="s">
        <v>4029</v>
      </c>
      <c r="BL172" t="s">
        <v>592</v>
      </c>
      <c r="BP172" t="s">
        <v>4340</v>
      </c>
      <c r="BQ172" t="s">
        <v>3463</v>
      </c>
      <c r="BR172" t="s">
        <v>3465</v>
      </c>
      <c r="BS172" t="s">
        <v>3463</v>
      </c>
      <c r="BT172" t="s">
        <v>3463</v>
      </c>
      <c r="BU172" t="s">
        <v>3463</v>
      </c>
      <c r="BV172" t="s">
        <v>3463</v>
      </c>
      <c r="BW172" t="s">
        <v>3463</v>
      </c>
      <c r="BX172" t="s">
        <v>79</v>
      </c>
      <c r="BY172" t="s">
        <v>121</v>
      </c>
      <c r="BZ172" t="s">
        <v>79</v>
      </c>
      <c r="CA172" s="10">
        <v>45909</v>
      </c>
    </row>
    <row r="173" spans="1:79">
      <c r="A173">
        <v>175</v>
      </c>
      <c r="B173">
        <v>33</v>
      </c>
      <c r="C173">
        <v>47</v>
      </c>
      <c r="D173" t="s">
        <v>3462</v>
      </c>
      <c r="E173" t="s">
        <v>593</v>
      </c>
      <c r="F173" t="s">
        <v>503</v>
      </c>
      <c r="G173" s="12" t="s">
        <v>3463</v>
      </c>
      <c r="I173">
        <v>61</v>
      </c>
      <c r="J173">
        <v>55</v>
      </c>
      <c r="K173">
        <v>178</v>
      </c>
      <c r="L173">
        <v>100</v>
      </c>
      <c r="M173" t="s">
        <v>72</v>
      </c>
      <c r="N173">
        <v>155</v>
      </c>
      <c r="O173">
        <v>97</v>
      </c>
      <c r="P173" t="s">
        <v>72</v>
      </c>
      <c r="Q173" t="s">
        <v>72</v>
      </c>
      <c r="R173">
        <v>83.3</v>
      </c>
      <c r="S173">
        <v>165</v>
      </c>
      <c r="T173" s="8">
        <f t="shared" si="4"/>
        <v>30.596877869605144</v>
      </c>
      <c r="U173" s="13" t="str" cm="1">
        <f t="array" ref="U173">IF(T173="","",_xlfn.IFS(T173&lt;18.5,"Bajo peso",T173&lt;25,"Peso normal",T173&lt;30,"Sobrepeso",T173&lt;35,"Obesidad clase I",T173&lt;40,"Obesidad clase II",T173&gt;=40,"Obesidad clase III"))</f>
        <v>Obesidad clase I</v>
      </c>
      <c r="V173">
        <v>97</v>
      </c>
      <c r="X173" t="s">
        <v>3463</v>
      </c>
      <c r="Y173">
        <v>0.57999999999999996</v>
      </c>
      <c r="AA173">
        <v>90</v>
      </c>
      <c r="AB173" s="9">
        <f t="shared" si="5"/>
        <v>121.05060697258914</v>
      </c>
      <c r="AD173" t="s">
        <v>73</v>
      </c>
      <c r="AF173" t="s">
        <v>73</v>
      </c>
      <c r="AG173" t="s">
        <v>3465</v>
      </c>
      <c r="AH173" t="s">
        <v>3465</v>
      </c>
      <c r="AI173" t="s">
        <v>3465</v>
      </c>
      <c r="AJ173" t="s">
        <v>3463</v>
      </c>
      <c r="AK173" t="s">
        <v>3463</v>
      </c>
      <c r="AL173" t="s">
        <v>3465</v>
      </c>
      <c r="AM173" t="s">
        <v>594</v>
      </c>
      <c r="AN173" t="s">
        <v>3653</v>
      </c>
      <c r="AP173" t="s">
        <v>3463</v>
      </c>
      <c r="AQ173" t="s">
        <v>595</v>
      </c>
      <c r="AR173" t="s">
        <v>3516</v>
      </c>
      <c r="AS173" t="s">
        <v>3465</v>
      </c>
      <c r="AV173" t="s">
        <v>74</v>
      </c>
      <c r="AW173" t="s">
        <v>3915</v>
      </c>
      <c r="BA173" t="s">
        <v>3920</v>
      </c>
      <c r="BB173" t="s">
        <v>3485</v>
      </c>
      <c r="BF173" t="s">
        <v>3921</v>
      </c>
      <c r="BH173" t="s">
        <v>4029</v>
      </c>
      <c r="BL173" t="s">
        <v>596</v>
      </c>
      <c r="BP173" t="s">
        <v>4329</v>
      </c>
      <c r="BQ173" t="s">
        <v>3463</v>
      </c>
      <c r="BR173" t="s">
        <v>3465</v>
      </c>
      <c r="BS173" t="s">
        <v>3465</v>
      </c>
      <c r="BT173" t="s">
        <v>3465</v>
      </c>
      <c r="BU173" t="s">
        <v>3463</v>
      </c>
      <c r="BV173" t="s">
        <v>3463</v>
      </c>
      <c r="BW173" t="s">
        <v>3463</v>
      </c>
      <c r="BX173" t="s">
        <v>79</v>
      </c>
      <c r="BY173" t="s">
        <v>87</v>
      </c>
      <c r="BZ173" t="s">
        <v>79</v>
      </c>
      <c r="CA173" s="10">
        <v>45909</v>
      </c>
    </row>
    <row r="174" spans="1:79">
      <c r="A174">
        <v>176</v>
      </c>
      <c r="B174">
        <v>34</v>
      </c>
      <c r="C174">
        <v>73</v>
      </c>
      <c r="D174" t="s">
        <v>3466</v>
      </c>
      <c r="E174" t="s">
        <v>507</v>
      </c>
      <c r="F174" t="s">
        <v>503</v>
      </c>
      <c r="G174" s="12" t="s">
        <v>3465</v>
      </c>
      <c r="H174" s="12" t="s">
        <v>88</v>
      </c>
      <c r="I174">
        <v>75</v>
      </c>
      <c r="J174">
        <v>76</v>
      </c>
      <c r="K174">
        <v>174</v>
      </c>
      <c r="L174">
        <v>85</v>
      </c>
      <c r="M174" t="s">
        <v>72</v>
      </c>
      <c r="N174">
        <v>162</v>
      </c>
      <c r="O174">
        <v>84</v>
      </c>
      <c r="P174" t="s">
        <v>72</v>
      </c>
      <c r="Q174" t="s">
        <v>72</v>
      </c>
      <c r="R174">
        <v>48.85</v>
      </c>
      <c r="S174">
        <v>149</v>
      </c>
      <c r="T174" s="8">
        <f t="shared" si="4"/>
        <v>22.00351335525427</v>
      </c>
      <c r="U174" s="13" t="str" cm="1">
        <f t="array" ref="U174">IF(T174="","",_xlfn.IFS(T174&lt;18.5,"Bajo peso",T174&lt;25,"Peso normal",T174&lt;30,"Sobrepeso",T174&lt;35,"Obesidad clase I",T174&lt;40,"Obesidad clase II",T174&gt;=40,"Obesidad clase III"))</f>
        <v>Peso normal</v>
      </c>
      <c r="V174">
        <v>97</v>
      </c>
      <c r="X174" t="s">
        <v>3463</v>
      </c>
      <c r="Y174">
        <v>0.46</v>
      </c>
      <c r="AA174">
        <v>90</v>
      </c>
      <c r="AB174" s="9">
        <f t="shared" si="5"/>
        <v>100.98091300468502</v>
      </c>
      <c r="AD174" t="s">
        <v>73</v>
      </c>
      <c r="AF174" t="s">
        <v>73</v>
      </c>
      <c r="AH174" t="s">
        <v>3463</v>
      </c>
      <c r="AI174" t="s">
        <v>3465</v>
      </c>
      <c r="AJ174" t="s">
        <v>3463</v>
      </c>
      <c r="AK174" t="s">
        <v>3465</v>
      </c>
      <c r="AL174" t="s">
        <v>3463</v>
      </c>
      <c r="AP174" t="s">
        <v>3463</v>
      </c>
      <c r="AQ174" t="s">
        <v>597</v>
      </c>
      <c r="AR174" t="s">
        <v>3505</v>
      </c>
      <c r="AS174" t="s">
        <v>3465</v>
      </c>
      <c r="AT174" t="s">
        <v>3463</v>
      </c>
      <c r="AV174" t="s">
        <v>112</v>
      </c>
      <c r="AW174" t="s">
        <v>3917</v>
      </c>
      <c r="AX174" t="s">
        <v>3463</v>
      </c>
      <c r="AY174" t="s">
        <v>3463</v>
      </c>
      <c r="AZ174" t="s">
        <v>598</v>
      </c>
      <c r="BF174" t="s">
        <v>3921</v>
      </c>
      <c r="BG174" t="s">
        <v>599</v>
      </c>
      <c r="BH174" t="s">
        <v>4080</v>
      </c>
      <c r="BL174" t="s">
        <v>600</v>
      </c>
      <c r="BP174" t="s">
        <v>4341</v>
      </c>
      <c r="BQ174" t="s">
        <v>3463</v>
      </c>
      <c r="BR174" t="s">
        <v>3465</v>
      </c>
      <c r="BS174" t="s">
        <v>3463</v>
      </c>
      <c r="BT174" t="s">
        <v>3463</v>
      </c>
      <c r="BU174" t="s">
        <v>3463</v>
      </c>
      <c r="BV174" t="s">
        <v>3463</v>
      </c>
      <c r="BW174" t="s">
        <v>3463</v>
      </c>
      <c r="BX174" t="s">
        <v>79</v>
      </c>
      <c r="BY174" t="s">
        <v>87</v>
      </c>
      <c r="BZ174" t="s">
        <v>79</v>
      </c>
      <c r="CA174" s="10">
        <v>45909</v>
      </c>
    </row>
    <row r="175" spans="1:79">
      <c r="A175">
        <v>177</v>
      </c>
      <c r="B175">
        <v>35</v>
      </c>
      <c r="C175">
        <v>38</v>
      </c>
      <c r="D175" t="s">
        <v>3462</v>
      </c>
      <c r="E175" t="s">
        <v>502</v>
      </c>
      <c r="F175" t="s">
        <v>503</v>
      </c>
      <c r="G175" s="12" t="s">
        <v>3465</v>
      </c>
      <c r="H175" t="s">
        <v>88</v>
      </c>
      <c r="I175">
        <v>50</v>
      </c>
      <c r="K175">
        <v>132</v>
      </c>
      <c r="L175">
        <v>85</v>
      </c>
      <c r="M175" t="s">
        <v>82</v>
      </c>
      <c r="N175">
        <v>874</v>
      </c>
      <c r="P175" t="s">
        <v>83</v>
      </c>
      <c r="Q175" t="s">
        <v>82</v>
      </c>
      <c r="R175">
        <v>87.4</v>
      </c>
      <c r="S175">
        <v>167</v>
      </c>
      <c r="T175" s="8">
        <f t="shared" si="4"/>
        <v>31.338520563663096</v>
      </c>
      <c r="U175" s="13" t="str" cm="1">
        <f t="array" ref="U175">IF(T175="","",_xlfn.IFS(T175&lt;18.5,"Bajo peso",T175&lt;25,"Peso normal",T175&lt;30,"Sobrepeso",T175&lt;35,"Obesidad clase I",T175&lt;40,"Obesidad clase II",T175&gt;=40,"Obesidad clase III"))</f>
        <v>Obesidad clase I</v>
      </c>
      <c r="V175">
        <v>86</v>
      </c>
      <c r="X175" t="s">
        <v>3463</v>
      </c>
      <c r="Y175">
        <v>0.56000000000000005</v>
      </c>
      <c r="AA175">
        <v>90</v>
      </c>
      <c r="AB175" s="9">
        <f t="shared" si="5"/>
        <v>129.38338512892915</v>
      </c>
      <c r="AD175" t="s">
        <v>73</v>
      </c>
      <c r="AF175" t="s">
        <v>73</v>
      </c>
      <c r="AH175" t="s">
        <v>3463</v>
      </c>
      <c r="AI175" t="s">
        <v>3463</v>
      </c>
      <c r="AJ175" t="s">
        <v>3465</v>
      </c>
      <c r="AK175" t="s">
        <v>3463</v>
      </c>
      <c r="AL175" t="s">
        <v>3463</v>
      </c>
      <c r="AP175" t="s">
        <v>3464</v>
      </c>
      <c r="AQ175" t="s">
        <v>547</v>
      </c>
      <c r="AR175" t="s">
        <v>3488</v>
      </c>
      <c r="AV175" t="s">
        <v>74</v>
      </c>
      <c r="AW175" t="s">
        <v>3915</v>
      </c>
      <c r="BF175" t="s">
        <v>3921</v>
      </c>
      <c r="BG175" t="s">
        <v>601</v>
      </c>
      <c r="BH175" t="s">
        <v>4068</v>
      </c>
      <c r="BL175" t="s">
        <v>602</v>
      </c>
      <c r="BP175" t="s">
        <v>4342</v>
      </c>
      <c r="BQ175" t="s">
        <v>3463</v>
      </c>
      <c r="BR175" t="s">
        <v>3465</v>
      </c>
      <c r="BS175" t="s">
        <v>3465</v>
      </c>
      <c r="BT175" t="s">
        <v>3465</v>
      </c>
      <c r="BU175" t="s">
        <v>3463</v>
      </c>
      <c r="BV175" t="s">
        <v>3463</v>
      </c>
      <c r="BW175" t="s">
        <v>3463</v>
      </c>
      <c r="BX175" t="s">
        <v>79</v>
      </c>
      <c r="BY175" t="s">
        <v>87</v>
      </c>
      <c r="BZ175" t="s">
        <v>79</v>
      </c>
      <c r="CA175" s="10">
        <v>45909</v>
      </c>
    </row>
    <row r="176" spans="1:79">
      <c r="A176">
        <v>178</v>
      </c>
      <c r="B176">
        <v>36</v>
      </c>
      <c r="C176">
        <v>35</v>
      </c>
      <c r="D176" t="s">
        <v>3466</v>
      </c>
      <c r="E176" t="s">
        <v>507</v>
      </c>
      <c r="F176" t="s">
        <v>503</v>
      </c>
      <c r="G176" s="12" t="s">
        <v>3465</v>
      </c>
      <c r="H176" t="s">
        <v>88</v>
      </c>
      <c r="I176">
        <v>74</v>
      </c>
      <c r="K176">
        <v>123</v>
      </c>
      <c r="L176">
        <v>69</v>
      </c>
      <c r="M176" t="s">
        <v>118</v>
      </c>
      <c r="P176" t="s">
        <v>83</v>
      </c>
      <c r="Q176" t="s">
        <v>118</v>
      </c>
      <c r="R176">
        <v>65.400000000000006</v>
      </c>
      <c r="S176">
        <v>156.5</v>
      </c>
      <c r="T176" s="8">
        <f t="shared" si="4"/>
        <v>26.702324204595332</v>
      </c>
      <c r="U176" s="13" t="str" cm="1">
        <f t="array" ref="U176">IF(T176="","",_xlfn.IFS(T176&lt;18.5,"Bajo peso",T176&lt;25,"Peso normal",T176&lt;30,"Sobrepeso",T176&lt;35,"Obesidad clase I",T176&lt;40,"Obesidad clase II",T176&gt;=40,"Obesidad clase III"))</f>
        <v>Sobrepeso</v>
      </c>
      <c r="V176">
        <v>89</v>
      </c>
      <c r="X176" t="s">
        <v>3463</v>
      </c>
      <c r="Y176">
        <v>0.52</v>
      </c>
      <c r="AA176">
        <v>90</v>
      </c>
      <c r="AB176" s="9">
        <f t="shared" si="5"/>
        <v>124.17821507415402</v>
      </c>
      <c r="AD176" t="s">
        <v>73</v>
      </c>
      <c r="AF176" t="s">
        <v>73</v>
      </c>
      <c r="AH176" t="s">
        <v>3463</v>
      </c>
      <c r="AI176" t="s">
        <v>3463</v>
      </c>
      <c r="AJ176" t="s">
        <v>3463</v>
      </c>
      <c r="AK176" t="s">
        <v>3465</v>
      </c>
      <c r="AL176" t="s">
        <v>3465</v>
      </c>
      <c r="AM176" t="s">
        <v>603</v>
      </c>
      <c r="AN176" t="s">
        <v>3654</v>
      </c>
      <c r="AP176" t="s">
        <v>3463</v>
      </c>
      <c r="AQ176" t="s">
        <v>604</v>
      </c>
      <c r="AR176" t="s">
        <v>3512</v>
      </c>
      <c r="AT176" t="s">
        <v>3465</v>
      </c>
      <c r="AU176" t="s">
        <v>125</v>
      </c>
      <c r="AV176" t="s">
        <v>74</v>
      </c>
      <c r="AW176" t="s">
        <v>3915</v>
      </c>
      <c r="AX176" t="s">
        <v>3465</v>
      </c>
      <c r="AY176" t="s">
        <v>3465</v>
      </c>
      <c r="AZ176" t="s">
        <v>90</v>
      </c>
      <c r="BE176" t="s">
        <v>605</v>
      </c>
      <c r="BF176" t="s">
        <v>3637</v>
      </c>
      <c r="BG176" t="s">
        <v>606</v>
      </c>
      <c r="BH176" t="s">
        <v>4081</v>
      </c>
      <c r="BL176" t="s">
        <v>607</v>
      </c>
      <c r="BP176" t="s">
        <v>4343</v>
      </c>
      <c r="BQ176" t="s">
        <v>3463</v>
      </c>
      <c r="BR176" t="s">
        <v>3465</v>
      </c>
      <c r="BS176" t="s">
        <v>3463</v>
      </c>
      <c r="BT176" t="s">
        <v>3463</v>
      </c>
      <c r="BU176" t="s">
        <v>3463</v>
      </c>
      <c r="BV176" t="s">
        <v>3463</v>
      </c>
      <c r="BW176" t="s">
        <v>3463</v>
      </c>
      <c r="BX176" t="s">
        <v>79</v>
      </c>
      <c r="BY176" t="s">
        <v>87</v>
      </c>
      <c r="BZ176" t="s">
        <v>79</v>
      </c>
      <c r="CA176" s="10">
        <v>45909</v>
      </c>
    </row>
    <row r="177" spans="1:79">
      <c r="A177">
        <v>179</v>
      </c>
      <c r="B177">
        <v>37</v>
      </c>
      <c r="C177">
        <v>47</v>
      </c>
      <c r="D177" t="s">
        <v>3462</v>
      </c>
      <c r="E177" t="s">
        <v>502</v>
      </c>
      <c r="F177" t="s">
        <v>503</v>
      </c>
      <c r="G177" s="12" t="s">
        <v>3463</v>
      </c>
      <c r="I177">
        <v>65</v>
      </c>
      <c r="J177">
        <v>57</v>
      </c>
      <c r="K177">
        <v>147</v>
      </c>
      <c r="L177">
        <v>94</v>
      </c>
      <c r="M177" t="s">
        <v>72</v>
      </c>
      <c r="N177">
        <v>144</v>
      </c>
      <c r="O177">
        <v>88</v>
      </c>
      <c r="P177" t="s">
        <v>72</v>
      </c>
      <c r="Q177" t="s">
        <v>72</v>
      </c>
      <c r="R177">
        <v>76.7</v>
      </c>
      <c r="S177">
        <v>176</v>
      </c>
      <c r="T177" s="8">
        <f t="shared" si="4"/>
        <v>24.761105371900829</v>
      </c>
      <c r="U177" s="13" t="str" cm="1">
        <f t="array" ref="U177">IF(T177="","",_xlfn.IFS(T177&lt;18.5,"Bajo peso",T177&lt;25,"Peso normal",T177&lt;30,"Sobrepeso",T177&lt;35,"Obesidad clase I",T177&lt;40,"Obesidad clase II",T177&gt;=40,"Obesidad clase III"))</f>
        <v>Peso normal</v>
      </c>
      <c r="V177">
        <v>111</v>
      </c>
      <c r="X177" t="s">
        <v>3463</v>
      </c>
      <c r="Y177">
        <v>0.79</v>
      </c>
      <c r="AA177">
        <v>90</v>
      </c>
      <c r="AB177" s="9">
        <f t="shared" si="5"/>
        <v>110.26529505274219</v>
      </c>
      <c r="AD177" t="s">
        <v>73</v>
      </c>
      <c r="AF177" t="s">
        <v>73</v>
      </c>
      <c r="AH177" t="s">
        <v>3463</v>
      </c>
      <c r="AI177" t="s">
        <v>3463</v>
      </c>
      <c r="AJ177" t="s">
        <v>3465</v>
      </c>
      <c r="AK177" t="s">
        <v>3463</v>
      </c>
      <c r="AL177" t="s">
        <v>3465</v>
      </c>
      <c r="AM177" t="s">
        <v>608</v>
      </c>
      <c r="AN177" t="s">
        <v>3655</v>
      </c>
      <c r="AO177" t="s">
        <v>3465</v>
      </c>
      <c r="AP177" t="s">
        <v>3465</v>
      </c>
      <c r="AQ177" t="s">
        <v>609</v>
      </c>
      <c r="AR177" t="s">
        <v>3520</v>
      </c>
      <c r="AV177" t="s">
        <v>126</v>
      </c>
      <c r="AW177" t="s">
        <v>126</v>
      </c>
      <c r="BF177" t="s">
        <v>3921</v>
      </c>
      <c r="BG177" t="s">
        <v>610</v>
      </c>
      <c r="BH177" t="s">
        <v>4082</v>
      </c>
      <c r="BI177" t="s">
        <v>411</v>
      </c>
      <c r="BL177" t="s">
        <v>611</v>
      </c>
      <c r="BP177" t="s">
        <v>4336</v>
      </c>
      <c r="BQ177" t="s">
        <v>3465</v>
      </c>
      <c r="BR177" t="s">
        <v>3465</v>
      </c>
      <c r="BS177" t="s">
        <v>3465</v>
      </c>
      <c r="BT177" t="s">
        <v>3465</v>
      </c>
      <c r="BU177" t="s">
        <v>3465</v>
      </c>
      <c r="BV177" t="s">
        <v>3465</v>
      </c>
      <c r="BW177" t="s">
        <v>3465</v>
      </c>
      <c r="BX177" t="s">
        <v>518</v>
      </c>
      <c r="BY177" t="s">
        <v>87</v>
      </c>
      <c r="BZ177" t="s">
        <v>95</v>
      </c>
      <c r="CA177" s="10">
        <v>45909</v>
      </c>
    </row>
    <row r="178" spans="1:79">
      <c r="A178">
        <v>180</v>
      </c>
      <c r="B178">
        <v>38</v>
      </c>
      <c r="C178">
        <v>40</v>
      </c>
      <c r="D178" t="s">
        <v>3466</v>
      </c>
      <c r="E178" t="s">
        <v>612</v>
      </c>
      <c r="F178" t="s">
        <v>613</v>
      </c>
      <c r="G178" s="12" t="s">
        <v>3465</v>
      </c>
      <c r="H178" s="12" t="s">
        <v>88</v>
      </c>
      <c r="I178">
        <v>65</v>
      </c>
      <c r="K178">
        <v>137</v>
      </c>
      <c r="L178">
        <v>83</v>
      </c>
      <c r="M178" t="s">
        <v>82</v>
      </c>
      <c r="P178" t="s">
        <v>83</v>
      </c>
      <c r="Q178" t="s">
        <v>82</v>
      </c>
      <c r="R178">
        <v>58.9</v>
      </c>
      <c r="S178">
        <v>160.5</v>
      </c>
      <c r="T178" s="8">
        <f t="shared" si="4"/>
        <v>22.864684931240962</v>
      </c>
      <c r="U178" s="13" t="str" cm="1">
        <f t="array" ref="U178">IF(T178="","",_xlfn.IFS(T178&lt;18.5,"Bajo peso",T178&lt;25,"Peso normal",T178&lt;30,"Sobrepeso",T178&lt;35,"Obesidad clase I",T178&lt;40,"Obesidad clase II",T178&gt;=40,"Obesidad clase III"))</f>
        <v>Peso normal</v>
      </c>
      <c r="V178">
        <v>81</v>
      </c>
      <c r="X178" t="s">
        <v>3463</v>
      </c>
      <c r="Y178">
        <v>0.53</v>
      </c>
      <c r="AA178">
        <v>90</v>
      </c>
      <c r="AB178" s="9">
        <f t="shared" si="5"/>
        <v>119.82479546273387</v>
      </c>
      <c r="AD178" t="s">
        <v>73</v>
      </c>
      <c r="AF178" t="s">
        <v>73</v>
      </c>
      <c r="AH178" t="s">
        <v>3463</v>
      </c>
      <c r="AI178" t="s">
        <v>3463</v>
      </c>
      <c r="AJ178" t="s">
        <v>3465</v>
      </c>
      <c r="AK178" t="s">
        <v>3463</v>
      </c>
      <c r="AL178" t="s">
        <v>3465</v>
      </c>
      <c r="AM178" t="s">
        <v>614</v>
      </c>
      <c r="AN178" t="s">
        <v>3656</v>
      </c>
      <c r="AP178" t="s">
        <v>3463</v>
      </c>
      <c r="AQ178" t="s">
        <v>615</v>
      </c>
      <c r="AR178" t="s">
        <v>3521</v>
      </c>
      <c r="AT178" t="s">
        <v>3463</v>
      </c>
      <c r="AV178" t="s">
        <v>126</v>
      </c>
      <c r="AW178" t="s">
        <v>126</v>
      </c>
      <c r="AX178" t="s">
        <v>3465</v>
      </c>
      <c r="AY178" t="s">
        <v>3463</v>
      </c>
      <c r="BF178" t="s">
        <v>3921</v>
      </c>
      <c r="BG178" t="s">
        <v>616</v>
      </c>
      <c r="BH178" t="s">
        <v>4083</v>
      </c>
      <c r="BI178" t="s">
        <v>411</v>
      </c>
      <c r="BL178" t="s">
        <v>617</v>
      </c>
      <c r="BP178" t="s">
        <v>4344</v>
      </c>
      <c r="BQ178" t="s">
        <v>3463</v>
      </c>
      <c r="BR178" t="s">
        <v>3463</v>
      </c>
      <c r="BS178" t="s">
        <v>3463</v>
      </c>
      <c r="BT178" t="s">
        <v>3463</v>
      </c>
      <c r="BU178" t="s">
        <v>3463</v>
      </c>
      <c r="BV178" t="s">
        <v>3463</v>
      </c>
      <c r="BW178" t="s">
        <v>3463</v>
      </c>
      <c r="BX178" t="s">
        <v>79</v>
      </c>
      <c r="BY178" t="s">
        <v>87</v>
      </c>
      <c r="BZ178" t="s">
        <v>79</v>
      </c>
      <c r="CA178" s="10">
        <v>45909</v>
      </c>
    </row>
    <row r="179" spans="1:79">
      <c r="A179">
        <v>182</v>
      </c>
      <c r="B179">
        <v>40</v>
      </c>
      <c r="C179">
        <v>44</v>
      </c>
      <c r="D179" t="s">
        <v>3466</v>
      </c>
      <c r="E179" t="s">
        <v>510</v>
      </c>
      <c r="F179" t="s">
        <v>503</v>
      </c>
      <c r="G179" s="12" t="s">
        <v>3465</v>
      </c>
      <c r="H179" t="s">
        <v>88</v>
      </c>
      <c r="I179">
        <v>69</v>
      </c>
      <c r="K179">
        <v>126</v>
      </c>
      <c r="L179">
        <v>66</v>
      </c>
      <c r="M179" t="s">
        <v>118</v>
      </c>
      <c r="P179" t="s">
        <v>83</v>
      </c>
      <c r="Q179" t="s">
        <v>118</v>
      </c>
      <c r="R179">
        <v>70.8</v>
      </c>
      <c r="S179">
        <v>159.5</v>
      </c>
      <c r="T179" s="8">
        <f t="shared" si="4"/>
        <v>27.829915193443462</v>
      </c>
      <c r="U179" s="13" t="str" cm="1">
        <f t="array" ref="U179">IF(T179="","",_xlfn.IFS(T179&lt;18.5,"Bajo peso",T179&lt;25,"Peso normal",T179&lt;30,"Sobrepeso",T179&lt;35,"Obesidad clase I",T179&lt;40,"Obesidad clase II",T179&gt;=40,"Obesidad clase III"))</f>
        <v>Sobrepeso</v>
      </c>
      <c r="V179">
        <v>91</v>
      </c>
      <c r="X179" t="s">
        <v>3463</v>
      </c>
      <c r="Y179">
        <v>0.66</v>
      </c>
      <c r="AA179">
        <v>90</v>
      </c>
      <c r="AB179" s="9">
        <f t="shared" si="5"/>
        <v>110.86209008191352</v>
      </c>
      <c r="AD179" t="s">
        <v>73</v>
      </c>
      <c r="AF179" t="s">
        <v>73</v>
      </c>
      <c r="AH179" t="s">
        <v>3463</v>
      </c>
      <c r="AI179" t="s">
        <v>3463</v>
      </c>
      <c r="AJ179" t="s">
        <v>3463</v>
      </c>
      <c r="AK179" t="s">
        <v>3463</v>
      </c>
      <c r="AL179" t="s">
        <v>3465</v>
      </c>
      <c r="AP179" t="s">
        <v>3463</v>
      </c>
      <c r="AQ179" t="s">
        <v>143</v>
      </c>
      <c r="AR179" t="s">
        <v>3493</v>
      </c>
      <c r="AV179" t="s">
        <v>74</v>
      </c>
      <c r="AW179" t="s">
        <v>3915</v>
      </c>
      <c r="AX179" t="s">
        <v>3463</v>
      </c>
      <c r="AY179" t="s">
        <v>3465</v>
      </c>
      <c r="AZ179" t="s">
        <v>90</v>
      </c>
      <c r="BF179" t="s">
        <v>3921</v>
      </c>
      <c r="BG179" t="s">
        <v>618</v>
      </c>
      <c r="BH179" t="s">
        <v>4076</v>
      </c>
      <c r="BI179" t="s">
        <v>411</v>
      </c>
      <c r="BL179" t="s">
        <v>619</v>
      </c>
      <c r="BP179" t="s">
        <v>4336</v>
      </c>
      <c r="BQ179" t="s">
        <v>3463</v>
      </c>
      <c r="BR179" t="s">
        <v>3463</v>
      </c>
      <c r="BS179" t="s">
        <v>3463</v>
      </c>
      <c r="BT179" t="s">
        <v>3465</v>
      </c>
      <c r="BU179" t="s">
        <v>3463</v>
      </c>
      <c r="BV179" t="s">
        <v>3463</v>
      </c>
      <c r="BW179" t="s">
        <v>3463</v>
      </c>
      <c r="BX179" t="s">
        <v>79</v>
      </c>
      <c r="BY179" t="s">
        <v>87</v>
      </c>
      <c r="BZ179" t="s">
        <v>95</v>
      </c>
      <c r="CA179" s="10">
        <v>45909</v>
      </c>
    </row>
    <row r="180" spans="1:79">
      <c r="A180">
        <v>183</v>
      </c>
      <c r="B180">
        <v>41</v>
      </c>
      <c r="C180">
        <v>29</v>
      </c>
      <c r="D180" t="s">
        <v>3466</v>
      </c>
      <c r="E180" t="s">
        <v>507</v>
      </c>
      <c r="F180" t="s">
        <v>503</v>
      </c>
      <c r="G180" s="12" t="s">
        <v>3463</v>
      </c>
      <c r="H180" s="12"/>
      <c r="I180">
        <v>69</v>
      </c>
      <c r="K180">
        <v>124</v>
      </c>
      <c r="L180">
        <v>67</v>
      </c>
      <c r="M180" t="s">
        <v>118</v>
      </c>
      <c r="P180" t="s">
        <v>83</v>
      </c>
      <c r="Q180" t="s">
        <v>118</v>
      </c>
      <c r="R180">
        <v>49.5</v>
      </c>
      <c r="S180">
        <v>153</v>
      </c>
      <c r="T180" s="8">
        <f t="shared" si="4"/>
        <v>21.145713187235678</v>
      </c>
      <c r="U180" s="13" t="str" cm="1">
        <f t="array" ref="U180">IF(T180="","",_xlfn.IFS(T180&lt;18.5,"Bajo peso",T180&lt;25,"Peso normal",T180&lt;30,"Sobrepeso",T180&lt;35,"Obesidad clase I",T180&lt;40,"Obesidad clase II",T180&gt;=40,"Obesidad clase III"))</f>
        <v>Peso normal</v>
      </c>
      <c r="V180">
        <v>109</v>
      </c>
      <c r="X180" t="s">
        <v>3463</v>
      </c>
      <c r="Y180">
        <v>0.66</v>
      </c>
      <c r="AA180">
        <v>90</v>
      </c>
      <c r="AB180" s="9">
        <f t="shared" si="5"/>
        <v>121.70212908405986</v>
      </c>
      <c r="AD180" t="s">
        <v>73</v>
      </c>
      <c r="AF180" t="s">
        <v>73</v>
      </c>
      <c r="AH180" t="s">
        <v>3463</v>
      </c>
      <c r="AI180" t="s">
        <v>3463</v>
      </c>
      <c r="AJ180" t="s">
        <v>3465</v>
      </c>
      <c r="AK180" t="s">
        <v>3463</v>
      </c>
      <c r="AL180" t="s">
        <v>3463</v>
      </c>
      <c r="AP180" t="s">
        <v>3463</v>
      </c>
      <c r="AQ180" t="s">
        <v>624</v>
      </c>
      <c r="AR180" t="s">
        <v>3522</v>
      </c>
      <c r="AT180" t="s">
        <v>3463</v>
      </c>
      <c r="AV180" t="s">
        <v>126</v>
      </c>
      <c r="AW180" t="s">
        <v>126</v>
      </c>
      <c r="AX180" t="s">
        <v>3463</v>
      </c>
      <c r="AY180" t="s">
        <v>3463</v>
      </c>
      <c r="AZ180" t="s">
        <v>137</v>
      </c>
      <c r="BF180" t="s">
        <v>3921</v>
      </c>
      <c r="BH180" t="s">
        <v>4020</v>
      </c>
      <c r="BP180" t="s">
        <v>4260</v>
      </c>
      <c r="BQ180" t="s">
        <v>3463</v>
      </c>
      <c r="BR180" t="s">
        <v>3465</v>
      </c>
      <c r="BS180" t="s">
        <v>3465</v>
      </c>
      <c r="BT180" t="s">
        <v>3465</v>
      </c>
      <c r="BU180" t="s">
        <v>3463</v>
      </c>
      <c r="BV180" t="s">
        <v>3463</v>
      </c>
      <c r="BW180" t="s">
        <v>3463</v>
      </c>
      <c r="BX180" t="s">
        <v>79</v>
      </c>
      <c r="BY180" t="s">
        <v>87</v>
      </c>
      <c r="BZ180" t="s">
        <v>79</v>
      </c>
      <c r="CA180" s="10">
        <v>45909</v>
      </c>
    </row>
    <row r="181" spans="1:79">
      <c r="A181">
        <v>184</v>
      </c>
      <c r="B181">
        <v>42</v>
      </c>
      <c r="C181">
        <v>55</v>
      </c>
      <c r="D181" t="s">
        <v>3466</v>
      </c>
      <c r="E181" t="s">
        <v>620</v>
      </c>
      <c r="F181" t="s">
        <v>503</v>
      </c>
      <c r="G181" s="12" t="s">
        <v>3465</v>
      </c>
      <c r="H181" t="s">
        <v>88</v>
      </c>
      <c r="I181">
        <v>78</v>
      </c>
      <c r="J181">
        <v>78</v>
      </c>
      <c r="K181">
        <v>185</v>
      </c>
      <c r="L181">
        <v>102</v>
      </c>
      <c r="M181" t="s">
        <v>96</v>
      </c>
      <c r="N181">
        <v>160</v>
      </c>
      <c r="O181">
        <v>99</v>
      </c>
      <c r="P181" t="s">
        <v>72</v>
      </c>
      <c r="Q181" t="s">
        <v>72</v>
      </c>
      <c r="R181">
        <v>77.900000000000006</v>
      </c>
      <c r="S181">
        <v>158</v>
      </c>
      <c r="T181" s="8">
        <f t="shared" si="4"/>
        <v>31.204935106553439</v>
      </c>
      <c r="U181" s="13" t="str" cm="1">
        <f t="array" ref="U181">IF(T181="","",_xlfn.IFS(T181&lt;18.5,"Bajo peso",T181&lt;25,"Peso normal",T181&lt;30,"Sobrepeso",T181&lt;35,"Obesidad clase I",T181&lt;40,"Obesidad clase II",T181&gt;=40,"Obesidad clase III"))</f>
        <v>Obesidad clase I</v>
      </c>
      <c r="V181">
        <v>97</v>
      </c>
      <c r="X181" t="s">
        <v>3463</v>
      </c>
      <c r="Y181">
        <v>0.59</v>
      </c>
      <c r="AA181">
        <v>90</v>
      </c>
      <c r="AB181" s="9">
        <f t="shared" si="5"/>
        <v>106.36695635004438</v>
      </c>
      <c r="AD181" t="s">
        <v>73</v>
      </c>
      <c r="AF181" t="s">
        <v>73</v>
      </c>
      <c r="AH181" t="s">
        <v>3463</v>
      </c>
      <c r="AI181" t="s">
        <v>3463</v>
      </c>
      <c r="AJ181" t="s">
        <v>3464</v>
      </c>
      <c r="AK181" t="s">
        <v>3463</v>
      </c>
      <c r="AL181" t="s">
        <v>3463</v>
      </c>
      <c r="AO181" t="s">
        <v>3463</v>
      </c>
      <c r="AP181" t="s">
        <v>3465</v>
      </c>
      <c r="AT181" t="s">
        <v>3465</v>
      </c>
      <c r="AU181" t="s">
        <v>80</v>
      </c>
      <c r="AV181" t="s">
        <v>74</v>
      </c>
      <c r="AW181" t="s">
        <v>3915</v>
      </c>
      <c r="AX181" t="s">
        <v>3463</v>
      </c>
      <c r="AY181" t="s">
        <v>3463</v>
      </c>
      <c r="BF181" t="s">
        <v>3921</v>
      </c>
      <c r="BG181" t="s">
        <v>622</v>
      </c>
      <c r="BH181" t="s">
        <v>4021</v>
      </c>
      <c r="BI181" t="s">
        <v>76</v>
      </c>
      <c r="BL181" t="s">
        <v>623</v>
      </c>
      <c r="BP181" t="s">
        <v>4261</v>
      </c>
      <c r="BQ181" t="s">
        <v>3465</v>
      </c>
      <c r="BR181" t="s">
        <v>3463</v>
      </c>
      <c r="BS181" t="s">
        <v>3463</v>
      </c>
      <c r="BT181" t="s">
        <v>3463</v>
      </c>
      <c r="BU181" t="s">
        <v>3463</v>
      </c>
      <c r="BV181" t="s">
        <v>3463</v>
      </c>
      <c r="BW181" t="s">
        <v>3463</v>
      </c>
      <c r="BX181" t="s">
        <v>79</v>
      </c>
      <c r="BY181" t="s">
        <v>87</v>
      </c>
      <c r="BZ181" t="s">
        <v>79</v>
      </c>
      <c r="CA181" s="10">
        <v>45909</v>
      </c>
    </row>
    <row r="182" spans="1:79">
      <c r="A182">
        <v>185</v>
      </c>
      <c r="B182">
        <v>43</v>
      </c>
      <c r="C182">
        <v>57</v>
      </c>
      <c r="D182" t="s">
        <v>3462</v>
      </c>
      <c r="E182" t="s">
        <v>575</v>
      </c>
      <c r="F182" t="s">
        <v>503</v>
      </c>
      <c r="G182" s="12" t="s">
        <v>3465</v>
      </c>
      <c r="H182" s="12" t="s">
        <v>88</v>
      </c>
      <c r="I182">
        <v>83</v>
      </c>
      <c r="J182">
        <v>80</v>
      </c>
      <c r="K182">
        <v>165</v>
      </c>
      <c r="L182">
        <v>96</v>
      </c>
      <c r="M182" t="s">
        <v>72</v>
      </c>
      <c r="N182">
        <v>158</v>
      </c>
      <c r="O182">
        <v>91</v>
      </c>
      <c r="P182" t="s">
        <v>72</v>
      </c>
      <c r="Q182" t="s">
        <v>72</v>
      </c>
      <c r="R182">
        <v>96</v>
      </c>
      <c r="S182">
        <v>175</v>
      </c>
      <c r="T182" s="8">
        <f t="shared" si="4"/>
        <v>31.346938775510207</v>
      </c>
      <c r="U182" s="13" t="str" cm="1">
        <f t="array" ref="U182">IF(T182="","",_xlfn.IFS(T182&lt;18.5,"Bajo peso",T182&lt;25,"Peso normal",T182&lt;30,"Sobrepeso",T182&lt;35,"Obesidad clase I",T182&lt;40,"Obesidad clase II",T182&gt;=40,"Obesidad clase III"))</f>
        <v>Obesidad clase I</v>
      </c>
      <c r="V182">
        <v>72</v>
      </c>
      <c r="X182" t="s">
        <v>3463</v>
      </c>
      <c r="Y182">
        <v>0.62</v>
      </c>
      <c r="AA182">
        <v>90</v>
      </c>
      <c r="AB182" s="9">
        <f t="shared" si="5"/>
        <v>111.48331120030574</v>
      </c>
      <c r="AD182" t="s">
        <v>73</v>
      </c>
      <c r="AF182" t="s">
        <v>73</v>
      </c>
      <c r="AG182" t="s">
        <v>3465</v>
      </c>
      <c r="AH182" t="s">
        <v>3465</v>
      </c>
      <c r="AI182" t="s">
        <v>3465</v>
      </c>
      <c r="AJ182" t="s">
        <v>3465</v>
      </c>
      <c r="AK182" t="s">
        <v>3463</v>
      </c>
      <c r="AL182" t="s">
        <v>3465</v>
      </c>
      <c r="AM182" t="s">
        <v>625</v>
      </c>
      <c r="AN182" t="s">
        <v>3657</v>
      </c>
      <c r="AO182" t="s">
        <v>3463</v>
      </c>
      <c r="AP182" t="s">
        <v>3465</v>
      </c>
      <c r="AQ182" t="s">
        <v>626</v>
      </c>
      <c r="AR182" t="s">
        <v>3491</v>
      </c>
      <c r="AS182" t="s">
        <v>3465</v>
      </c>
      <c r="AV182" t="s">
        <v>74</v>
      </c>
      <c r="AW182" t="s">
        <v>3915</v>
      </c>
      <c r="BA182" t="s">
        <v>3920</v>
      </c>
      <c r="BB182" t="s">
        <v>3485</v>
      </c>
      <c r="BE182" t="s">
        <v>627</v>
      </c>
      <c r="BF182" t="s">
        <v>3932</v>
      </c>
      <c r="BG182" t="s">
        <v>628</v>
      </c>
      <c r="BH182" t="s">
        <v>4084</v>
      </c>
      <c r="BI182" t="s">
        <v>629</v>
      </c>
      <c r="BL182" t="s">
        <v>630</v>
      </c>
      <c r="BP182" t="s">
        <v>4345</v>
      </c>
      <c r="BQ182" t="s">
        <v>3465</v>
      </c>
      <c r="BR182" t="s">
        <v>3465</v>
      </c>
      <c r="BS182" t="s">
        <v>3463</v>
      </c>
      <c r="BT182" t="s">
        <v>3465</v>
      </c>
      <c r="BU182" t="s">
        <v>3463</v>
      </c>
      <c r="BV182" t="s">
        <v>3463</v>
      </c>
      <c r="BW182" t="s">
        <v>3463</v>
      </c>
      <c r="BX182" t="s">
        <v>79</v>
      </c>
      <c r="BY182" t="s">
        <v>487</v>
      </c>
      <c r="BZ182" t="s">
        <v>109</v>
      </c>
      <c r="CA182" s="10">
        <v>45909</v>
      </c>
    </row>
    <row r="183" spans="1:79">
      <c r="A183">
        <v>186</v>
      </c>
      <c r="B183">
        <v>44</v>
      </c>
      <c r="C183">
        <v>54</v>
      </c>
      <c r="D183" t="s">
        <v>3466</v>
      </c>
      <c r="E183" t="s">
        <v>502</v>
      </c>
      <c r="F183" t="s">
        <v>503</v>
      </c>
      <c r="G183" s="12" t="s">
        <v>3465</v>
      </c>
      <c r="H183" s="12" t="s">
        <v>88</v>
      </c>
      <c r="I183">
        <v>88</v>
      </c>
      <c r="J183">
        <v>80</v>
      </c>
      <c r="K183">
        <v>143</v>
      </c>
      <c r="L183">
        <v>87</v>
      </c>
      <c r="M183" t="s">
        <v>72</v>
      </c>
      <c r="N183">
        <v>141</v>
      </c>
      <c r="O183">
        <v>87</v>
      </c>
      <c r="P183" t="s">
        <v>72</v>
      </c>
      <c r="Q183" t="s">
        <v>72</v>
      </c>
      <c r="R183">
        <v>64.900000000000006</v>
      </c>
      <c r="S183">
        <v>154</v>
      </c>
      <c r="T183" s="8">
        <f t="shared" si="4"/>
        <v>27.365491651205939</v>
      </c>
      <c r="U183" s="13" t="str" cm="1">
        <f t="array" ref="U183">IF(T183="","",_xlfn.IFS(T183&lt;18.5,"Bajo peso",T183&lt;25,"Peso normal",T183&lt;30,"Sobrepeso",T183&lt;35,"Obesidad clase I",T183&lt;40,"Obesidad clase II",T183&gt;=40,"Obesidad clase III"))</f>
        <v>Sobrepeso</v>
      </c>
      <c r="V183">
        <v>85</v>
      </c>
      <c r="X183" t="s">
        <v>3463</v>
      </c>
      <c r="Y183">
        <v>0.71</v>
      </c>
      <c r="AA183">
        <v>90</v>
      </c>
      <c r="AB183" s="9">
        <f t="shared" si="5"/>
        <v>100.97690996778182</v>
      </c>
      <c r="AD183" t="s">
        <v>73</v>
      </c>
      <c r="AF183" t="s">
        <v>73</v>
      </c>
      <c r="AH183" t="s">
        <v>3463</v>
      </c>
      <c r="AI183" t="s">
        <v>3463</v>
      </c>
      <c r="AJ183" t="s">
        <v>3465</v>
      </c>
      <c r="AK183" t="s">
        <v>3463</v>
      </c>
      <c r="AL183" t="s">
        <v>3465</v>
      </c>
      <c r="AM183" t="s">
        <v>631</v>
      </c>
      <c r="AN183" t="s">
        <v>3658</v>
      </c>
      <c r="AO183" t="s">
        <v>3463</v>
      </c>
      <c r="AP183" t="s">
        <v>3465</v>
      </c>
      <c r="AQ183" t="s">
        <v>632</v>
      </c>
      <c r="AR183" t="s">
        <v>3523</v>
      </c>
      <c r="AT183" t="s">
        <v>3465</v>
      </c>
      <c r="AU183" t="s">
        <v>80</v>
      </c>
      <c r="AV183" t="s">
        <v>126</v>
      </c>
      <c r="AW183" t="s">
        <v>126</v>
      </c>
      <c r="AX183" t="s">
        <v>3465</v>
      </c>
      <c r="AY183" t="s">
        <v>3463</v>
      </c>
      <c r="BF183" t="s">
        <v>3921</v>
      </c>
      <c r="BH183" t="s">
        <v>4020</v>
      </c>
      <c r="BP183" t="s">
        <v>4260</v>
      </c>
      <c r="BQ183" t="s">
        <v>3463</v>
      </c>
      <c r="BR183" t="s">
        <v>3465</v>
      </c>
      <c r="BS183" t="s">
        <v>3463</v>
      </c>
      <c r="BT183" t="s">
        <v>3465</v>
      </c>
      <c r="BU183" t="s">
        <v>3463</v>
      </c>
      <c r="BV183" t="s">
        <v>3463</v>
      </c>
      <c r="BW183" t="s">
        <v>3463</v>
      </c>
      <c r="BX183" t="s">
        <v>79</v>
      </c>
      <c r="BY183" t="s">
        <v>87</v>
      </c>
      <c r="BZ183" t="s">
        <v>79</v>
      </c>
      <c r="CA183" s="10">
        <v>45909</v>
      </c>
    </row>
    <row r="184" spans="1:79">
      <c r="A184">
        <v>187</v>
      </c>
      <c r="B184">
        <v>45</v>
      </c>
      <c r="C184">
        <v>45</v>
      </c>
      <c r="D184" t="s">
        <v>3466</v>
      </c>
      <c r="E184" t="s">
        <v>507</v>
      </c>
      <c r="F184" t="s">
        <v>503</v>
      </c>
      <c r="G184" s="12" t="s">
        <v>3465</v>
      </c>
      <c r="H184" t="s">
        <v>88</v>
      </c>
      <c r="K184">
        <v>151</v>
      </c>
      <c r="L184">
        <v>92</v>
      </c>
      <c r="M184" t="s">
        <v>72</v>
      </c>
      <c r="N184">
        <v>136</v>
      </c>
      <c r="O184">
        <v>90</v>
      </c>
      <c r="P184" t="s">
        <v>72</v>
      </c>
      <c r="Q184" t="s">
        <v>72</v>
      </c>
      <c r="R184">
        <v>71</v>
      </c>
      <c r="S184">
        <v>160</v>
      </c>
      <c r="T184" s="8">
        <f t="shared" si="4"/>
        <v>27.734375</v>
      </c>
      <c r="U184" s="13" t="str" cm="1">
        <f t="array" ref="U184">IF(T184="","",_xlfn.IFS(T184&lt;18.5,"Bajo peso",T184&lt;25,"Peso normal",T184&lt;30,"Sobrepeso",T184&lt;35,"Obesidad clase I",T184&lt;40,"Obesidad clase II",T184&gt;=40,"Obesidad clase III"))</f>
        <v>Sobrepeso</v>
      </c>
      <c r="V184">
        <v>94</v>
      </c>
      <c r="X184" t="s">
        <v>3463</v>
      </c>
      <c r="Y184">
        <v>0.53</v>
      </c>
      <c r="AA184">
        <v>90</v>
      </c>
      <c r="AB184" s="9">
        <f t="shared" si="5"/>
        <v>116.15600276291443</v>
      </c>
      <c r="AD184" t="s">
        <v>73</v>
      </c>
      <c r="AF184" t="s">
        <v>73</v>
      </c>
      <c r="AH184" t="s">
        <v>3463</v>
      </c>
      <c r="AI184" t="s">
        <v>3463</v>
      </c>
      <c r="AJ184" t="s">
        <v>3463</v>
      </c>
      <c r="AK184" t="s">
        <v>3463</v>
      </c>
      <c r="AL184" t="s">
        <v>3463</v>
      </c>
      <c r="AP184" t="s">
        <v>3463</v>
      </c>
      <c r="AQ184" t="s">
        <v>636</v>
      </c>
      <c r="AR184" t="s">
        <v>3491</v>
      </c>
      <c r="AT184" t="s">
        <v>3465</v>
      </c>
      <c r="AU184" t="s">
        <v>80</v>
      </c>
      <c r="AV184" t="s">
        <v>74</v>
      </c>
      <c r="AW184" t="s">
        <v>3915</v>
      </c>
      <c r="AX184" t="s">
        <v>3463</v>
      </c>
      <c r="AY184" t="s">
        <v>3465</v>
      </c>
      <c r="AZ184" t="s">
        <v>247</v>
      </c>
      <c r="BF184" t="s">
        <v>3921</v>
      </c>
      <c r="BH184" t="s">
        <v>4020</v>
      </c>
      <c r="BP184" t="s">
        <v>4260</v>
      </c>
      <c r="BQ184" t="s">
        <v>3463</v>
      </c>
      <c r="BR184" t="s">
        <v>3463</v>
      </c>
      <c r="BS184" t="s">
        <v>3463</v>
      </c>
      <c r="BT184" t="s">
        <v>3463</v>
      </c>
      <c r="BU184" t="s">
        <v>3463</v>
      </c>
      <c r="BV184" t="s">
        <v>3463</v>
      </c>
      <c r="BW184" t="s">
        <v>3463</v>
      </c>
      <c r="BX184" t="s">
        <v>79</v>
      </c>
      <c r="BY184" t="s">
        <v>87</v>
      </c>
      <c r="BZ184" t="s">
        <v>79</v>
      </c>
      <c r="CA184" s="10">
        <v>45909</v>
      </c>
    </row>
    <row r="185" spans="1:79">
      <c r="A185">
        <v>188</v>
      </c>
      <c r="B185">
        <v>46</v>
      </c>
      <c r="C185">
        <v>51</v>
      </c>
      <c r="D185" t="s">
        <v>3466</v>
      </c>
      <c r="E185" t="s">
        <v>633</v>
      </c>
      <c r="F185" t="s">
        <v>503</v>
      </c>
      <c r="G185" s="12" t="s">
        <v>3465</v>
      </c>
      <c r="H185" t="s">
        <v>88</v>
      </c>
      <c r="I185">
        <v>73</v>
      </c>
      <c r="J185">
        <v>68</v>
      </c>
      <c r="K185">
        <v>158</v>
      </c>
      <c r="L185">
        <v>86</v>
      </c>
      <c r="M185" t="s">
        <v>72</v>
      </c>
      <c r="N185">
        <v>161</v>
      </c>
      <c r="O185">
        <v>86</v>
      </c>
      <c r="P185" t="s">
        <v>72</v>
      </c>
      <c r="Q185" t="s">
        <v>72</v>
      </c>
      <c r="R185">
        <v>67.2</v>
      </c>
      <c r="S185">
        <v>158</v>
      </c>
      <c r="T185" s="8">
        <f t="shared" si="4"/>
        <v>26.918763018746997</v>
      </c>
      <c r="U185" s="13" t="str" cm="1">
        <f t="array" ref="U185">IF(T185="","",_xlfn.IFS(T185&lt;18.5,"Bajo peso",T185&lt;25,"Peso normal",T185&lt;30,"Sobrepeso",T185&lt;35,"Obesidad clase I",T185&lt;40,"Obesidad clase II",T185&gt;=40,"Obesidad clase III"))</f>
        <v>Sobrepeso</v>
      </c>
      <c r="V185">
        <v>100</v>
      </c>
      <c r="X185" t="s">
        <v>3463</v>
      </c>
      <c r="Y185">
        <v>0.55000000000000004</v>
      </c>
      <c r="AA185">
        <v>90</v>
      </c>
      <c r="AB185" s="9">
        <f t="shared" si="5"/>
        <v>110.90693138823075</v>
      </c>
      <c r="AD185" t="s">
        <v>73</v>
      </c>
      <c r="AF185" t="s">
        <v>73</v>
      </c>
      <c r="AH185" t="s">
        <v>3463</v>
      </c>
      <c r="AI185" t="s">
        <v>3463</v>
      </c>
      <c r="AJ185" t="s">
        <v>3463</v>
      </c>
      <c r="AK185" t="s">
        <v>3465</v>
      </c>
      <c r="AL185" t="s">
        <v>3463</v>
      </c>
      <c r="AP185" t="s">
        <v>3463</v>
      </c>
      <c r="AQ185" t="s">
        <v>451</v>
      </c>
      <c r="AR185" t="s">
        <v>3490</v>
      </c>
      <c r="AT185" t="s">
        <v>3465</v>
      </c>
      <c r="AU185" t="s">
        <v>80</v>
      </c>
      <c r="AV185" t="s">
        <v>74</v>
      </c>
      <c r="AW185" t="s">
        <v>3915</v>
      </c>
      <c r="AX185" t="s">
        <v>3463</v>
      </c>
      <c r="AY185" t="s">
        <v>3465</v>
      </c>
      <c r="AZ185" t="s">
        <v>90</v>
      </c>
      <c r="BF185" t="s">
        <v>3921</v>
      </c>
      <c r="BG185" t="s">
        <v>634</v>
      </c>
      <c r="BH185" t="s">
        <v>4021</v>
      </c>
      <c r="BI185" t="s">
        <v>76</v>
      </c>
      <c r="BL185" t="s">
        <v>635</v>
      </c>
      <c r="BP185" t="s">
        <v>4261</v>
      </c>
      <c r="BQ185" t="s">
        <v>3463</v>
      </c>
      <c r="BR185" t="s">
        <v>3463</v>
      </c>
      <c r="BS185" t="s">
        <v>3463</v>
      </c>
      <c r="BT185" t="s">
        <v>3463</v>
      </c>
      <c r="BU185" t="s">
        <v>3463</v>
      </c>
      <c r="BV185" t="s">
        <v>3463</v>
      </c>
      <c r="BW185" t="s">
        <v>3463</v>
      </c>
      <c r="BX185" t="s">
        <v>79</v>
      </c>
      <c r="BY185" t="s">
        <v>87</v>
      </c>
      <c r="BZ185" t="s">
        <v>79</v>
      </c>
      <c r="CA185" s="10">
        <v>45909</v>
      </c>
    </row>
    <row r="186" spans="1:79">
      <c r="A186">
        <v>189</v>
      </c>
      <c r="B186">
        <v>47</v>
      </c>
      <c r="C186">
        <v>59</v>
      </c>
      <c r="D186" t="s">
        <v>3466</v>
      </c>
      <c r="E186" t="s">
        <v>637</v>
      </c>
      <c r="F186" t="s">
        <v>503</v>
      </c>
      <c r="G186" s="12" t="s">
        <v>3463</v>
      </c>
      <c r="I186">
        <v>84</v>
      </c>
      <c r="J186">
        <v>84</v>
      </c>
      <c r="K186">
        <v>173</v>
      </c>
      <c r="L186">
        <v>95</v>
      </c>
      <c r="M186" t="s">
        <v>72</v>
      </c>
      <c r="N186">
        <v>178</v>
      </c>
      <c r="O186">
        <v>99</v>
      </c>
      <c r="P186" t="s">
        <v>72</v>
      </c>
      <c r="Q186" t="s">
        <v>72</v>
      </c>
      <c r="R186">
        <v>95</v>
      </c>
      <c r="S186">
        <v>153</v>
      </c>
      <c r="T186" s="8">
        <f t="shared" si="4"/>
        <v>40.582681874492714</v>
      </c>
      <c r="U186" s="13" t="str" cm="1">
        <f t="array" ref="U186">IF(T186="","",_xlfn.IFS(T186&lt;18.5,"Bajo peso",T186&lt;25,"Peso normal",T186&lt;30,"Sobrepeso",T186&lt;35,"Obesidad clase I",T186&lt;40,"Obesidad clase II",T186&gt;=40,"Obesidad clase III"))</f>
        <v>Obesidad clase III</v>
      </c>
      <c r="V186">
        <v>106</v>
      </c>
      <c r="X186" t="s">
        <v>3463</v>
      </c>
      <c r="Y186">
        <v>0.6</v>
      </c>
      <c r="AA186">
        <v>90</v>
      </c>
      <c r="AB186" s="9">
        <f t="shared" si="5"/>
        <v>103.33408193156004</v>
      </c>
      <c r="AD186" t="s">
        <v>73</v>
      </c>
      <c r="AF186" t="s">
        <v>73</v>
      </c>
      <c r="AH186" t="s">
        <v>3463</v>
      </c>
      <c r="AI186" t="s">
        <v>3465</v>
      </c>
      <c r="AJ186" t="s">
        <v>3465</v>
      </c>
      <c r="AK186" t="s">
        <v>3465</v>
      </c>
      <c r="AL186" t="s">
        <v>3463</v>
      </c>
      <c r="AP186" t="s">
        <v>3463</v>
      </c>
      <c r="AS186" t="s">
        <v>3465</v>
      </c>
      <c r="AT186" t="s">
        <v>3465</v>
      </c>
      <c r="AU186" t="s">
        <v>80</v>
      </c>
      <c r="AV186" t="s">
        <v>112</v>
      </c>
      <c r="AW186" t="s">
        <v>3917</v>
      </c>
      <c r="AX186" t="s">
        <v>3463</v>
      </c>
      <c r="AY186" t="s">
        <v>3465</v>
      </c>
      <c r="BA186" t="s">
        <v>3920</v>
      </c>
      <c r="BF186" t="s">
        <v>3921</v>
      </c>
      <c r="BG186" t="s">
        <v>638</v>
      </c>
      <c r="BH186" t="s">
        <v>4029</v>
      </c>
      <c r="BI186" t="s">
        <v>411</v>
      </c>
      <c r="BL186" t="s">
        <v>639</v>
      </c>
      <c r="BP186" t="s">
        <v>4330</v>
      </c>
      <c r="BQ186" t="s">
        <v>3463</v>
      </c>
      <c r="BR186" t="s">
        <v>3463</v>
      </c>
      <c r="BS186" t="s">
        <v>3463</v>
      </c>
      <c r="BT186" t="s">
        <v>3463</v>
      </c>
      <c r="BU186" t="s">
        <v>3463</v>
      </c>
      <c r="BV186" t="s">
        <v>3463</v>
      </c>
      <c r="BW186" t="s">
        <v>3463</v>
      </c>
      <c r="BX186" t="s">
        <v>79</v>
      </c>
      <c r="BY186" t="s">
        <v>87</v>
      </c>
      <c r="BZ186" t="s">
        <v>79</v>
      </c>
      <c r="CA186" s="10">
        <v>45909</v>
      </c>
    </row>
    <row r="187" spans="1:79">
      <c r="A187">
        <v>190</v>
      </c>
      <c r="B187">
        <v>48</v>
      </c>
      <c r="C187">
        <v>58</v>
      </c>
      <c r="D187" t="s">
        <v>3466</v>
      </c>
      <c r="E187" t="s">
        <v>502</v>
      </c>
      <c r="F187" t="s">
        <v>503</v>
      </c>
      <c r="G187" s="12" t="s">
        <v>3465</v>
      </c>
      <c r="H187" t="s">
        <v>88</v>
      </c>
      <c r="I187">
        <v>77</v>
      </c>
      <c r="J187">
        <v>78</v>
      </c>
      <c r="K187">
        <v>143</v>
      </c>
      <c r="L187">
        <v>98</v>
      </c>
      <c r="M187" t="s">
        <v>72</v>
      </c>
      <c r="N187">
        <v>155</v>
      </c>
      <c r="O187">
        <v>89</v>
      </c>
      <c r="P187" t="s">
        <v>72</v>
      </c>
      <c r="Q187" t="s">
        <v>72</v>
      </c>
      <c r="R187">
        <v>97</v>
      </c>
      <c r="S187">
        <v>158</v>
      </c>
      <c r="T187" s="8">
        <f t="shared" si="4"/>
        <v>38.855952571703256</v>
      </c>
      <c r="U187" s="13" t="str" cm="1">
        <f t="array" ref="U187">IF(T187="","",_xlfn.IFS(T187&lt;18.5,"Bajo peso",T187&lt;25,"Peso normal",T187&lt;30,"Sobrepeso",T187&lt;35,"Obesidad clase I",T187&lt;40,"Obesidad clase II",T187&gt;=40,"Obesidad clase III"))</f>
        <v>Obesidad clase II</v>
      </c>
      <c r="V187">
        <v>127</v>
      </c>
      <c r="X187" t="s">
        <v>3463</v>
      </c>
      <c r="Y187">
        <v>0.45</v>
      </c>
      <c r="AA187">
        <v>90</v>
      </c>
      <c r="AB187" s="9">
        <f t="shared" si="5"/>
        <v>111.44352190367262</v>
      </c>
      <c r="AD187" t="s">
        <v>73</v>
      </c>
      <c r="AF187" t="s">
        <v>73</v>
      </c>
      <c r="AH187" t="s">
        <v>3463</v>
      </c>
      <c r="AI187" t="s">
        <v>3463</v>
      </c>
      <c r="AJ187" t="s">
        <v>3464</v>
      </c>
      <c r="AK187" t="s">
        <v>3463</v>
      </c>
      <c r="AL187" t="s">
        <v>3465</v>
      </c>
      <c r="AM187" t="s">
        <v>640</v>
      </c>
      <c r="AN187" t="s">
        <v>3659</v>
      </c>
      <c r="AO187" t="s">
        <v>3465</v>
      </c>
      <c r="AP187" t="s">
        <v>3465</v>
      </c>
      <c r="AQ187" t="s">
        <v>641</v>
      </c>
      <c r="AR187" t="s">
        <v>3524</v>
      </c>
      <c r="AT187" t="s">
        <v>3465</v>
      </c>
      <c r="AU187" t="s">
        <v>80</v>
      </c>
      <c r="AV187" t="s">
        <v>178</v>
      </c>
      <c r="AW187" t="s">
        <v>3918</v>
      </c>
      <c r="AX187" t="s">
        <v>3463</v>
      </c>
      <c r="AY187" t="s">
        <v>3465</v>
      </c>
      <c r="AZ187" t="s">
        <v>247</v>
      </c>
      <c r="BF187" t="s">
        <v>3921</v>
      </c>
      <c r="BH187" t="s">
        <v>4021</v>
      </c>
      <c r="BI187" t="s">
        <v>76</v>
      </c>
      <c r="BL187" t="s">
        <v>642</v>
      </c>
      <c r="BP187" t="s">
        <v>4261</v>
      </c>
      <c r="BQ187" t="s">
        <v>3463</v>
      </c>
      <c r="BR187" t="s">
        <v>3463</v>
      </c>
      <c r="BS187" t="s">
        <v>3465</v>
      </c>
      <c r="BT187" t="s">
        <v>3465</v>
      </c>
      <c r="BU187" t="s">
        <v>3463</v>
      </c>
      <c r="BV187" t="s">
        <v>3463</v>
      </c>
      <c r="BW187" t="s">
        <v>3463</v>
      </c>
      <c r="BX187" t="s">
        <v>79</v>
      </c>
      <c r="BY187" t="s">
        <v>87</v>
      </c>
      <c r="BZ187" t="s">
        <v>79</v>
      </c>
      <c r="CA187" s="10">
        <v>45909</v>
      </c>
    </row>
    <row r="188" spans="1:79">
      <c r="A188">
        <v>191</v>
      </c>
      <c r="B188">
        <v>49</v>
      </c>
      <c r="C188">
        <v>31</v>
      </c>
      <c r="D188" t="s">
        <v>3466</v>
      </c>
      <c r="E188" t="s">
        <v>507</v>
      </c>
      <c r="F188" t="s">
        <v>503</v>
      </c>
      <c r="G188" s="12" t="s">
        <v>3465</v>
      </c>
      <c r="H188" s="12" t="s">
        <v>88</v>
      </c>
      <c r="I188">
        <v>74</v>
      </c>
      <c r="K188">
        <v>123</v>
      </c>
      <c r="L188">
        <v>68</v>
      </c>
      <c r="M188" t="s">
        <v>118</v>
      </c>
      <c r="P188" t="s">
        <v>83</v>
      </c>
      <c r="Q188" t="s">
        <v>118</v>
      </c>
      <c r="R188">
        <v>71.3</v>
      </c>
      <c r="S188">
        <v>160.5</v>
      </c>
      <c r="T188" s="8">
        <f t="shared" si="4"/>
        <v>27.678302811502217</v>
      </c>
      <c r="U188" s="13" t="str" cm="1">
        <f t="array" ref="U188">IF(T188="","",_xlfn.IFS(T188&lt;18.5,"Bajo peso",T188&lt;25,"Peso normal",T188&lt;30,"Sobrepeso",T188&lt;35,"Obesidad clase I",T188&lt;40,"Obesidad clase II",T188&gt;=40,"Obesidad clase III"))</f>
        <v>Sobrepeso</v>
      </c>
      <c r="V188">
        <v>83</v>
      </c>
      <c r="X188" t="s">
        <v>3463</v>
      </c>
      <c r="Y188">
        <v>0.57999999999999996</v>
      </c>
      <c r="AA188">
        <v>90</v>
      </c>
      <c r="AB188" s="9">
        <f t="shared" si="5"/>
        <v>123.99954819718626</v>
      </c>
      <c r="AD188" t="s">
        <v>73</v>
      </c>
      <c r="AF188" t="s">
        <v>73</v>
      </c>
      <c r="AH188" t="s">
        <v>3463</v>
      </c>
      <c r="AI188" t="s">
        <v>3463</v>
      </c>
      <c r="AJ188" t="s">
        <v>3463</v>
      </c>
      <c r="AK188" t="s">
        <v>3463</v>
      </c>
      <c r="AL188" t="s">
        <v>3463</v>
      </c>
      <c r="AP188" t="s">
        <v>3463</v>
      </c>
      <c r="AT188" t="s">
        <v>3463</v>
      </c>
      <c r="AV188" t="s">
        <v>74</v>
      </c>
      <c r="AW188" t="s">
        <v>3915</v>
      </c>
      <c r="AX188" t="s">
        <v>3465</v>
      </c>
      <c r="AY188" t="s">
        <v>3463</v>
      </c>
      <c r="AZ188" t="s">
        <v>137</v>
      </c>
      <c r="BF188" t="s">
        <v>3921</v>
      </c>
      <c r="BH188" t="s">
        <v>4020</v>
      </c>
      <c r="BP188" t="s">
        <v>4260</v>
      </c>
      <c r="BQ188" t="s">
        <v>3463</v>
      </c>
      <c r="BR188" t="s">
        <v>3463</v>
      </c>
      <c r="BS188" t="s">
        <v>3465</v>
      </c>
      <c r="BT188" t="s">
        <v>3465</v>
      </c>
      <c r="BU188" t="s">
        <v>3463</v>
      </c>
      <c r="BV188" t="s">
        <v>3463</v>
      </c>
      <c r="BW188" t="s">
        <v>3463</v>
      </c>
      <c r="BX188" t="s">
        <v>79</v>
      </c>
      <c r="BY188" t="s">
        <v>87</v>
      </c>
      <c r="BZ188" t="s">
        <v>79</v>
      </c>
      <c r="CA188" s="10">
        <v>45909</v>
      </c>
    </row>
    <row r="189" spans="1:79">
      <c r="A189">
        <v>192</v>
      </c>
      <c r="B189">
        <v>50</v>
      </c>
      <c r="C189">
        <v>32</v>
      </c>
      <c r="D189" t="s">
        <v>3466</v>
      </c>
      <c r="E189" t="s">
        <v>527</v>
      </c>
      <c r="F189" t="s">
        <v>503</v>
      </c>
      <c r="G189" s="12" t="s">
        <v>3465</v>
      </c>
      <c r="H189" t="s">
        <v>88</v>
      </c>
      <c r="I189">
        <v>63</v>
      </c>
      <c r="K189">
        <v>128</v>
      </c>
      <c r="L189">
        <v>80</v>
      </c>
      <c r="M189" t="s">
        <v>82</v>
      </c>
      <c r="P189" t="s">
        <v>83</v>
      </c>
      <c r="Q189" t="s">
        <v>82</v>
      </c>
      <c r="R189">
        <v>64</v>
      </c>
      <c r="S189">
        <v>157</v>
      </c>
      <c r="T189" s="8">
        <f t="shared" si="4"/>
        <v>25.96454217209623</v>
      </c>
      <c r="U189" s="13" t="str" cm="1">
        <f t="array" ref="U189">IF(T189="","",_xlfn.IFS(T189&lt;18.5,"Bajo peso",T189&lt;25,"Peso normal",T189&lt;30,"Sobrepeso",T189&lt;35,"Obesidad clase I",T189&lt;40,"Obesidad clase II",T189&gt;=40,"Obesidad clase III"))</f>
        <v>Sobrepeso</v>
      </c>
      <c r="V189">
        <v>81</v>
      </c>
      <c r="X189" t="s">
        <v>3463</v>
      </c>
      <c r="Y189">
        <v>0.71</v>
      </c>
      <c r="AA189">
        <v>90</v>
      </c>
      <c r="AB189" s="9">
        <f t="shared" si="5"/>
        <v>115.78285213417637</v>
      </c>
      <c r="AD189" t="s">
        <v>73</v>
      </c>
      <c r="AF189" t="s">
        <v>73</v>
      </c>
      <c r="AH189" t="s">
        <v>3463</v>
      </c>
      <c r="AI189" t="s">
        <v>3463</v>
      </c>
      <c r="AJ189" t="s">
        <v>3463</v>
      </c>
      <c r="AK189" t="s">
        <v>3463</v>
      </c>
      <c r="AL189" t="s">
        <v>3463</v>
      </c>
      <c r="AP189" t="s">
        <v>3463</v>
      </c>
      <c r="AT189" t="s">
        <v>3463</v>
      </c>
      <c r="AV189" t="s">
        <v>74</v>
      </c>
      <c r="AW189" t="s">
        <v>3915</v>
      </c>
      <c r="AX189" t="s">
        <v>3463</v>
      </c>
      <c r="AY189" t="s">
        <v>3463</v>
      </c>
      <c r="BF189" t="s">
        <v>3921</v>
      </c>
      <c r="BH189" t="s">
        <v>4020</v>
      </c>
      <c r="BP189" t="s">
        <v>4260</v>
      </c>
      <c r="BQ189" t="s">
        <v>3463</v>
      </c>
      <c r="BR189" t="s">
        <v>3465</v>
      </c>
      <c r="BS189" t="s">
        <v>3463</v>
      </c>
      <c r="BT189" t="s">
        <v>3465</v>
      </c>
      <c r="BU189" t="s">
        <v>3463</v>
      </c>
      <c r="BV189" t="s">
        <v>3463</v>
      </c>
      <c r="BW189" t="s">
        <v>3463</v>
      </c>
      <c r="BX189" t="s">
        <v>79</v>
      </c>
      <c r="BY189" t="s">
        <v>87</v>
      </c>
      <c r="BZ189" t="s">
        <v>79</v>
      </c>
      <c r="CA189" s="10">
        <v>45909</v>
      </c>
    </row>
    <row r="190" spans="1:79">
      <c r="A190">
        <v>193</v>
      </c>
      <c r="B190">
        <v>51</v>
      </c>
      <c r="C190">
        <v>35</v>
      </c>
      <c r="D190" t="s">
        <v>3466</v>
      </c>
      <c r="E190" t="s">
        <v>575</v>
      </c>
      <c r="F190" t="s">
        <v>503</v>
      </c>
      <c r="G190" s="12" t="s">
        <v>3465</v>
      </c>
      <c r="H190" s="12" t="s">
        <v>88</v>
      </c>
      <c r="I190">
        <v>75</v>
      </c>
      <c r="J190">
        <v>72</v>
      </c>
      <c r="K190">
        <v>157</v>
      </c>
      <c r="L190">
        <v>81</v>
      </c>
      <c r="M190" t="s">
        <v>72</v>
      </c>
      <c r="N190">
        <v>132</v>
      </c>
      <c r="O190">
        <v>81</v>
      </c>
      <c r="P190" t="s">
        <v>82</v>
      </c>
      <c r="Q190" t="s">
        <v>82</v>
      </c>
      <c r="R190">
        <v>68.5</v>
      </c>
      <c r="S190">
        <v>162</v>
      </c>
      <c r="T190" s="8">
        <f t="shared" si="4"/>
        <v>26.101204084743177</v>
      </c>
      <c r="U190" s="13" t="str" cm="1">
        <f t="array" ref="U190">IF(T190="","",_xlfn.IFS(T190&lt;18.5,"Bajo peso",T190&lt;25,"Peso normal",T190&lt;30,"Sobrepeso",T190&lt;35,"Obesidad clase I",T190&lt;40,"Obesidad clase II",T190&gt;=40,"Obesidad clase III"))</f>
        <v>Sobrepeso</v>
      </c>
      <c r="V190">
        <v>83</v>
      </c>
      <c r="X190" t="s">
        <v>3463</v>
      </c>
      <c r="Y190">
        <v>0.56000000000000005</v>
      </c>
      <c r="AA190">
        <v>90</v>
      </c>
      <c r="AB190" s="9">
        <f t="shared" si="5"/>
        <v>121.9800773326437</v>
      </c>
      <c r="AD190" t="s">
        <v>73</v>
      </c>
      <c r="AF190" t="s">
        <v>73</v>
      </c>
      <c r="AH190" t="s">
        <v>3463</v>
      </c>
      <c r="AI190" t="s">
        <v>3465</v>
      </c>
      <c r="AJ190" t="s">
        <v>3463</v>
      </c>
      <c r="AK190" t="s">
        <v>3463</v>
      </c>
      <c r="AL190" t="s">
        <v>3465</v>
      </c>
      <c r="AM190" t="s">
        <v>643</v>
      </c>
      <c r="AN190" t="s">
        <v>3660</v>
      </c>
      <c r="AP190" t="s">
        <v>3463</v>
      </c>
      <c r="AQ190" t="s">
        <v>644</v>
      </c>
      <c r="AR190" t="s">
        <v>3512</v>
      </c>
      <c r="AS190" t="s">
        <v>3463</v>
      </c>
      <c r="AT190" t="s">
        <v>3463</v>
      </c>
      <c r="AV190" t="s">
        <v>74</v>
      </c>
      <c r="AW190" t="s">
        <v>3915</v>
      </c>
      <c r="AX190" t="s">
        <v>3463</v>
      </c>
      <c r="AY190" t="s">
        <v>3465</v>
      </c>
      <c r="AZ190" t="s">
        <v>247</v>
      </c>
      <c r="BF190" t="s">
        <v>3921</v>
      </c>
      <c r="BG190" t="s">
        <v>645</v>
      </c>
      <c r="BH190" t="s">
        <v>4085</v>
      </c>
      <c r="BL190" t="s">
        <v>602</v>
      </c>
      <c r="BP190" t="s">
        <v>4342</v>
      </c>
      <c r="BQ190" t="s">
        <v>3463</v>
      </c>
      <c r="BR190" t="s">
        <v>3463</v>
      </c>
      <c r="BS190" t="s">
        <v>3463</v>
      </c>
      <c r="BT190" t="s">
        <v>3463</v>
      </c>
      <c r="BU190" t="s">
        <v>3463</v>
      </c>
      <c r="BV190" t="s">
        <v>3463</v>
      </c>
      <c r="BW190" t="s">
        <v>3463</v>
      </c>
      <c r="BX190" t="s">
        <v>79</v>
      </c>
      <c r="BY190" t="s">
        <v>87</v>
      </c>
      <c r="BZ190" t="s">
        <v>79</v>
      </c>
      <c r="CA190" s="10">
        <v>45909</v>
      </c>
    </row>
    <row r="191" spans="1:79">
      <c r="A191">
        <v>194</v>
      </c>
      <c r="B191">
        <v>52</v>
      </c>
      <c r="C191">
        <v>32</v>
      </c>
      <c r="D191" t="s">
        <v>3462</v>
      </c>
      <c r="E191" t="s">
        <v>646</v>
      </c>
      <c r="F191" t="s">
        <v>503</v>
      </c>
      <c r="G191" s="12" t="s">
        <v>3465</v>
      </c>
      <c r="H191" s="12" t="s">
        <v>88</v>
      </c>
      <c r="I191">
        <v>66</v>
      </c>
      <c r="K191">
        <v>136</v>
      </c>
      <c r="L191">
        <v>90</v>
      </c>
      <c r="M191" t="s">
        <v>72</v>
      </c>
      <c r="P191" t="s">
        <v>83</v>
      </c>
      <c r="Q191" t="s">
        <v>72</v>
      </c>
      <c r="R191">
        <v>744</v>
      </c>
      <c r="S191">
        <v>176</v>
      </c>
      <c r="T191" s="8">
        <f t="shared" si="4"/>
        <v>240.18595041322314</v>
      </c>
      <c r="U191" s="13" t="str" cm="1">
        <f t="array" ref="U191">IF(T191="","",_xlfn.IFS(T191&lt;18.5,"Bajo peso",T191&lt;25,"Peso normal",T191&lt;30,"Sobrepeso",T191&lt;35,"Obesidad clase I",T191&lt;40,"Obesidad clase II",T191&gt;=40,"Obesidad clase III"))</f>
        <v>Obesidad clase III</v>
      </c>
      <c r="V191">
        <v>84</v>
      </c>
      <c r="X191" t="s">
        <v>3463</v>
      </c>
      <c r="Y191">
        <v>0.62</v>
      </c>
      <c r="AA191">
        <v>90</v>
      </c>
      <c r="AB191" s="9">
        <f t="shared" si="5"/>
        <v>130.23719953901423</v>
      </c>
      <c r="AD191" t="s">
        <v>73</v>
      </c>
      <c r="AF191" t="s">
        <v>73</v>
      </c>
      <c r="AH191" t="s">
        <v>3463</v>
      </c>
      <c r="AI191" t="s">
        <v>3463</v>
      </c>
      <c r="AJ191" t="s">
        <v>3463</v>
      </c>
      <c r="AK191" t="s">
        <v>3463</v>
      </c>
      <c r="AL191" t="s">
        <v>3463</v>
      </c>
      <c r="AP191" t="s">
        <v>3463</v>
      </c>
      <c r="AV191" t="s">
        <v>74</v>
      </c>
      <c r="AW191" t="s">
        <v>3915</v>
      </c>
      <c r="BF191" t="s">
        <v>3921</v>
      </c>
      <c r="BG191" t="s">
        <v>647</v>
      </c>
      <c r="BH191" t="s">
        <v>4086</v>
      </c>
      <c r="BL191" t="s">
        <v>602</v>
      </c>
      <c r="BP191" t="s">
        <v>4342</v>
      </c>
      <c r="BQ191" t="s">
        <v>3463</v>
      </c>
      <c r="BR191" t="s">
        <v>3463</v>
      </c>
      <c r="BS191" t="s">
        <v>3463</v>
      </c>
      <c r="BT191" t="s">
        <v>3463</v>
      </c>
      <c r="BU191" t="s">
        <v>3463</v>
      </c>
      <c r="BV191" t="s">
        <v>3463</v>
      </c>
      <c r="BW191" t="s">
        <v>3463</v>
      </c>
      <c r="BX191" t="s">
        <v>79</v>
      </c>
      <c r="BY191" t="s">
        <v>87</v>
      </c>
      <c r="BZ191" t="s">
        <v>79</v>
      </c>
      <c r="CA191" s="10">
        <v>45909</v>
      </c>
    </row>
    <row r="192" spans="1:79">
      <c r="A192">
        <v>195</v>
      </c>
      <c r="B192">
        <v>53</v>
      </c>
      <c r="C192">
        <v>59</v>
      </c>
      <c r="D192" t="s">
        <v>3466</v>
      </c>
      <c r="E192" t="s">
        <v>648</v>
      </c>
      <c r="F192" t="s">
        <v>503</v>
      </c>
      <c r="G192" s="12" t="s">
        <v>3465</v>
      </c>
      <c r="H192" s="12" t="s">
        <v>88</v>
      </c>
      <c r="I192">
        <v>75</v>
      </c>
      <c r="J192">
        <v>69</v>
      </c>
      <c r="K192">
        <v>146</v>
      </c>
      <c r="L192">
        <v>95</v>
      </c>
      <c r="M192" t="s">
        <v>72</v>
      </c>
      <c r="N192">
        <v>144</v>
      </c>
      <c r="O192">
        <v>88</v>
      </c>
      <c r="P192" t="s">
        <v>72</v>
      </c>
      <c r="Q192" t="s">
        <v>72</v>
      </c>
      <c r="R192">
        <v>62.4</v>
      </c>
      <c r="S192">
        <v>145.5</v>
      </c>
      <c r="T192" s="8">
        <f t="shared" si="4"/>
        <v>29.475325043398165</v>
      </c>
      <c r="U192" s="13" t="str" cm="1">
        <f t="array" ref="U192">IF(T192="","",_xlfn.IFS(T192&lt;18.5,"Bajo peso",T192&lt;25,"Peso normal",T192&lt;30,"Sobrepeso",T192&lt;35,"Obesidad clase I",T192&lt;40,"Obesidad clase II",T192&gt;=40,"Obesidad clase III"))</f>
        <v>Sobrepeso</v>
      </c>
      <c r="V192">
        <v>96</v>
      </c>
      <c r="X192" t="s">
        <v>3463</v>
      </c>
      <c r="Y192">
        <v>0.86</v>
      </c>
      <c r="AA192">
        <v>77</v>
      </c>
      <c r="AB192" s="9">
        <f t="shared" si="5"/>
        <v>77.773011444415744</v>
      </c>
      <c r="AD192" t="s">
        <v>73</v>
      </c>
      <c r="AF192" t="s">
        <v>73</v>
      </c>
      <c r="AH192" t="s">
        <v>3463</v>
      </c>
      <c r="AI192" t="s">
        <v>3463</v>
      </c>
      <c r="AJ192" t="s">
        <v>3465</v>
      </c>
      <c r="AK192" t="s">
        <v>3463</v>
      </c>
      <c r="AL192" t="s">
        <v>3465</v>
      </c>
      <c r="AM192" t="s">
        <v>649</v>
      </c>
      <c r="AN192" t="s">
        <v>649</v>
      </c>
      <c r="AT192" t="s">
        <v>3465</v>
      </c>
      <c r="AU192" t="s">
        <v>80</v>
      </c>
      <c r="AV192" t="s">
        <v>74</v>
      </c>
      <c r="AW192" t="s">
        <v>3915</v>
      </c>
      <c r="AX192" t="s">
        <v>3463</v>
      </c>
      <c r="AY192" t="s">
        <v>3465</v>
      </c>
      <c r="AZ192" t="s">
        <v>90</v>
      </c>
      <c r="BF192" t="s">
        <v>3921</v>
      </c>
      <c r="BG192" t="s">
        <v>148</v>
      </c>
      <c r="BH192" t="s">
        <v>4021</v>
      </c>
      <c r="BI192" t="s">
        <v>76</v>
      </c>
      <c r="BL192" t="s">
        <v>650</v>
      </c>
      <c r="BP192" t="s">
        <v>4261</v>
      </c>
      <c r="BQ192" t="s">
        <v>3463</v>
      </c>
      <c r="BR192" t="s">
        <v>3463</v>
      </c>
      <c r="BS192" t="s">
        <v>3463</v>
      </c>
      <c r="BT192" t="s">
        <v>3465</v>
      </c>
      <c r="BU192" t="s">
        <v>3463</v>
      </c>
      <c r="BV192" t="s">
        <v>3463</v>
      </c>
      <c r="BW192" t="s">
        <v>3463</v>
      </c>
      <c r="BX192" t="s">
        <v>79</v>
      </c>
      <c r="BY192" t="s">
        <v>87</v>
      </c>
      <c r="BZ192" t="s">
        <v>79</v>
      </c>
      <c r="CA192" s="10">
        <v>45909</v>
      </c>
    </row>
    <row r="193" spans="1:79">
      <c r="A193">
        <v>196</v>
      </c>
      <c r="B193">
        <v>54</v>
      </c>
      <c r="C193">
        <v>29</v>
      </c>
      <c r="D193" t="s">
        <v>3466</v>
      </c>
      <c r="E193" t="s">
        <v>575</v>
      </c>
      <c r="F193" t="s">
        <v>503</v>
      </c>
      <c r="G193" s="12" t="s">
        <v>3465</v>
      </c>
      <c r="H193" s="12" t="s">
        <v>88</v>
      </c>
      <c r="I193">
        <v>73</v>
      </c>
      <c r="J193">
        <v>75</v>
      </c>
      <c r="K193">
        <v>150</v>
      </c>
      <c r="L193">
        <v>77</v>
      </c>
      <c r="M193" t="s">
        <v>72</v>
      </c>
      <c r="N193">
        <v>139</v>
      </c>
      <c r="O193">
        <v>70</v>
      </c>
      <c r="P193" t="s">
        <v>82</v>
      </c>
      <c r="Q193" t="s">
        <v>82</v>
      </c>
      <c r="R193">
        <v>71.7</v>
      </c>
      <c r="S193">
        <v>148</v>
      </c>
      <c r="T193" s="8">
        <f t="shared" si="4"/>
        <v>32.733747260774287</v>
      </c>
      <c r="U193" s="13" t="str" cm="1">
        <f t="array" ref="U193">IF(T193="","",_xlfn.IFS(T193&lt;18.5,"Bajo peso",T193&lt;25,"Peso normal",T193&lt;30,"Sobrepeso",T193&lt;35,"Obesidad clase I",T193&lt;40,"Obesidad clase II",T193&gt;=40,"Obesidad clase III"))</f>
        <v>Obesidad clase I</v>
      </c>
      <c r="V193">
        <v>88</v>
      </c>
      <c r="X193" t="s">
        <v>3463</v>
      </c>
      <c r="Y193">
        <v>0.67</v>
      </c>
      <c r="AA193">
        <v>90</v>
      </c>
      <c r="AB193" s="9">
        <f t="shared" si="5"/>
        <v>121.26186320817121</v>
      </c>
      <c r="AD193" t="s">
        <v>73</v>
      </c>
      <c r="AF193" t="s">
        <v>73</v>
      </c>
      <c r="AH193" t="s">
        <v>3463</v>
      </c>
      <c r="AI193" t="s">
        <v>3463</v>
      </c>
      <c r="AJ193" t="s">
        <v>3463</v>
      </c>
      <c r="AK193" t="s">
        <v>3463</v>
      </c>
      <c r="AL193" t="s">
        <v>3463</v>
      </c>
      <c r="AP193" t="s">
        <v>3463</v>
      </c>
      <c r="AQ193" t="s">
        <v>520</v>
      </c>
      <c r="AR193" t="s">
        <v>3491</v>
      </c>
      <c r="AT193" t="s">
        <v>3463</v>
      </c>
      <c r="AV193" t="s">
        <v>74</v>
      </c>
      <c r="AW193" t="s">
        <v>3915</v>
      </c>
      <c r="AX193" t="s">
        <v>3465</v>
      </c>
      <c r="AY193" t="s">
        <v>3465</v>
      </c>
      <c r="AZ193" t="s">
        <v>137</v>
      </c>
      <c r="BF193" t="s">
        <v>3921</v>
      </c>
      <c r="BG193" t="s">
        <v>651</v>
      </c>
      <c r="BH193" t="s">
        <v>4087</v>
      </c>
      <c r="BL193" t="s">
        <v>652</v>
      </c>
      <c r="BP193" t="s">
        <v>4346</v>
      </c>
      <c r="BQ193" t="s">
        <v>3463</v>
      </c>
      <c r="BR193" t="s">
        <v>3465</v>
      </c>
      <c r="BS193" t="s">
        <v>3463</v>
      </c>
      <c r="BT193" t="s">
        <v>3463</v>
      </c>
      <c r="BU193" t="s">
        <v>3463</v>
      </c>
      <c r="BV193" t="s">
        <v>3463</v>
      </c>
      <c r="BW193" t="s">
        <v>3463</v>
      </c>
      <c r="BX193" t="s">
        <v>518</v>
      </c>
      <c r="BY193" t="s">
        <v>87</v>
      </c>
      <c r="BZ193" t="s">
        <v>79</v>
      </c>
      <c r="CA193" s="10">
        <v>45909</v>
      </c>
    </row>
    <row r="194" spans="1:79">
      <c r="A194">
        <v>197</v>
      </c>
      <c r="B194">
        <v>55</v>
      </c>
      <c r="C194">
        <v>37</v>
      </c>
      <c r="D194" t="s">
        <v>3466</v>
      </c>
      <c r="E194" t="s">
        <v>646</v>
      </c>
      <c r="F194" t="s">
        <v>503</v>
      </c>
      <c r="G194" s="12" t="s">
        <v>3465</v>
      </c>
      <c r="H194" s="12" t="s">
        <v>88</v>
      </c>
      <c r="I194">
        <v>71</v>
      </c>
      <c r="J194">
        <v>72</v>
      </c>
      <c r="K194">
        <v>149</v>
      </c>
      <c r="L194">
        <v>90</v>
      </c>
      <c r="M194" t="s">
        <v>72</v>
      </c>
      <c r="N194">
        <v>143</v>
      </c>
      <c r="O194">
        <v>90</v>
      </c>
      <c r="P194" t="s">
        <v>72</v>
      </c>
      <c r="Q194" t="s">
        <v>72</v>
      </c>
      <c r="R194">
        <v>74</v>
      </c>
      <c r="S194">
        <v>156</v>
      </c>
      <c r="T194" s="8">
        <f t="shared" ref="T194:T257" si="6">IFERROR(R194/(S194^2)*10000,"")</f>
        <v>30.407626561472718</v>
      </c>
      <c r="U194" s="13" t="str" cm="1">
        <f t="array" ref="U194">IF(T194="","",_xlfn.IFS(T194&lt;18.5,"Bajo peso",T194&lt;25,"Peso normal",T194&lt;30,"Sobrepeso",T194&lt;35,"Obesidad clase I",T194&lt;40,"Obesidad clase II",T194&gt;=40,"Obesidad clase III"))</f>
        <v>Obesidad clase I</v>
      </c>
      <c r="V194">
        <v>97</v>
      </c>
      <c r="X194" t="s">
        <v>3463</v>
      </c>
      <c r="Y194">
        <v>0.61</v>
      </c>
      <c r="AA194">
        <v>90</v>
      </c>
      <c r="AB194" s="9">
        <f t="shared" ref="AB194:AB257" si="7">IF(OR(C194="",D194="",Y194=""),"",142*POWER(MIN(Y194/IF(D194="Mujer",0.7,0.9),1),IF(D194="Mujer",-0.241,-0.302))*POWER(MAX(Y194/IF(D194="Mujer",0.7,0.9),1),-1.2)*POWER(0.9938,C194)*IF(D194="Mujer",1.012,1))</f>
        <v>118.01459313087689</v>
      </c>
      <c r="AD194" t="s">
        <v>73</v>
      </c>
      <c r="AF194" t="s">
        <v>73</v>
      </c>
      <c r="AH194" t="s">
        <v>3463</v>
      </c>
      <c r="AI194" t="s">
        <v>3463</v>
      </c>
      <c r="AJ194" t="s">
        <v>3465</v>
      </c>
      <c r="AK194" t="s">
        <v>3465</v>
      </c>
      <c r="AL194" t="s">
        <v>3463</v>
      </c>
      <c r="AP194" t="s">
        <v>3463</v>
      </c>
      <c r="AV194" t="s">
        <v>112</v>
      </c>
      <c r="AW194" t="s">
        <v>3917</v>
      </c>
      <c r="AX194" t="s">
        <v>3465</v>
      </c>
      <c r="AY194" t="s">
        <v>3465</v>
      </c>
      <c r="BF194" t="s">
        <v>3921</v>
      </c>
      <c r="BH194" t="s">
        <v>4021</v>
      </c>
      <c r="BL194" t="s">
        <v>653</v>
      </c>
      <c r="BP194" t="s">
        <v>4260</v>
      </c>
      <c r="BQ194" t="s">
        <v>3463</v>
      </c>
      <c r="BR194" t="s">
        <v>3465</v>
      </c>
      <c r="BS194" t="s">
        <v>3463</v>
      </c>
      <c r="BT194" t="s">
        <v>3463</v>
      </c>
      <c r="BU194" t="s">
        <v>3463</v>
      </c>
      <c r="BV194" t="s">
        <v>3463</v>
      </c>
      <c r="BW194" t="s">
        <v>3463</v>
      </c>
      <c r="BX194" t="s">
        <v>654</v>
      </c>
      <c r="BY194" t="s">
        <v>87</v>
      </c>
      <c r="BZ194" t="s">
        <v>79</v>
      </c>
      <c r="CA194" s="10">
        <v>45909</v>
      </c>
    </row>
    <row r="195" spans="1:79">
      <c r="A195">
        <v>198</v>
      </c>
      <c r="B195">
        <v>56</v>
      </c>
      <c r="C195">
        <v>43</v>
      </c>
      <c r="D195" t="s">
        <v>3466</v>
      </c>
      <c r="E195" t="s">
        <v>621</v>
      </c>
      <c r="F195" t="s">
        <v>503</v>
      </c>
      <c r="G195" s="12" t="s">
        <v>3465</v>
      </c>
      <c r="H195" t="s">
        <v>88</v>
      </c>
      <c r="I195">
        <v>84</v>
      </c>
      <c r="J195">
        <v>84</v>
      </c>
      <c r="K195">
        <v>149</v>
      </c>
      <c r="L195">
        <v>96</v>
      </c>
      <c r="M195" t="s">
        <v>72</v>
      </c>
      <c r="N195">
        <v>138</v>
      </c>
      <c r="O195">
        <v>96</v>
      </c>
      <c r="P195" t="s">
        <v>72</v>
      </c>
      <c r="Q195" t="s">
        <v>72</v>
      </c>
      <c r="R195">
        <v>106.6</v>
      </c>
      <c r="S195">
        <v>157</v>
      </c>
      <c r="T195" s="8">
        <f t="shared" si="6"/>
        <v>43.247190555397779</v>
      </c>
      <c r="U195" s="13" t="str" cm="1">
        <f t="array" ref="U195">IF(T195="","",_xlfn.IFS(T195&lt;18.5,"Bajo peso",T195&lt;25,"Peso normal",T195&lt;30,"Sobrepeso",T195&lt;35,"Obesidad clase I",T195&lt;40,"Obesidad clase II",T195&gt;=40,"Obesidad clase III"))</f>
        <v>Obesidad clase III</v>
      </c>
      <c r="V195">
        <v>95</v>
      </c>
      <c r="X195" t="s">
        <v>3463</v>
      </c>
      <c r="Y195">
        <v>0.69</v>
      </c>
      <c r="AA195">
        <v>90</v>
      </c>
      <c r="AB195" s="9">
        <f t="shared" si="7"/>
        <v>110.36504057027973</v>
      </c>
      <c r="AD195" t="s">
        <v>73</v>
      </c>
      <c r="AF195" t="s">
        <v>73</v>
      </c>
      <c r="AH195" t="s">
        <v>3463</v>
      </c>
      <c r="AI195" t="s">
        <v>3463</v>
      </c>
      <c r="AJ195" t="s">
        <v>3463</v>
      </c>
      <c r="AK195" t="s">
        <v>3463</v>
      </c>
      <c r="AL195" t="s">
        <v>3463</v>
      </c>
      <c r="AP195" t="s">
        <v>3463</v>
      </c>
      <c r="AT195" t="s">
        <v>3463</v>
      </c>
      <c r="AV195" t="s">
        <v>74</v>
      </c>
      <c r="AW195" t="s">
        <v>3915</v>
      </c>
      <c r="AX195" t="s">
        <v>3463</v>
      </c>
      <c r="AY195" t="s">
        <v>3465</v>
      </c>
      <c r="BF195" t="s">
        <v>3921</v>
      </c>
      <c r="BH195" t="s">
        <v>4020</v>
      </c>
      <c r="BP195" t="s">
        <v>4260</v>
      </c>
      <c r="BQ195" t="s">
        <v>3465</v>
      </c>
      <c r="BR195" t="s">
        <v>3463</v>
      </c>
      <c r="BS195" t="s">
        <v>3463</v>
      </c>
      <c r="BT195" t="s">
        <v>3463</v>
      </c>
      <c r="BU195" t="s">
        <v>3463</v>
      </c>
      <c r="BV195" t="s">
        <v>3463</v>
      </c>
      <c r="BW195" t="s">
        <v>3463</v>
      </c>
      <c r="BX195" t="s">
        <v>79</v>
      </c>
      <c r="BY195" t="s">
        <v>87</v>
      </c>
      <c r="BZ195" t="s">
        <v>79</v>
      </c>
      <c r="CA195" s="10">
        <v>45909</v>
      </c>
    </row>
    <row r="196" spans="1:79">
      <c r="A196">
        <v>199</v>
      </c>
      <c r="B196">
        <v>57</v>
      </c>
      <c r="C196">
        <v>46</v>
      </c>
      <c r="D196" t="s">
        <v>3466</v>
      </c>
      <c r="E196" t="s">
        <v>507</v>
      </c>
      <c r="F196" t="s">
        <v>503</v>
      </c>
      <c r="G196" s="12" t="s">
        <v>3463</v>
      </c>
      <c r="I196">
        <v>85</v>
      </c>
      <c r="J196">
        <v>82</v>
      </c>
      <c r="K196">
        <v>163</v>
      </c>
      <c r="L196">
        <v>74</v>
      </c>
      <c r="M196" t="s">
        <v>72</v>
      </c>
      <c r="N196">
        <v>162</v>
      </c>
      <c r="O196">
        <v>91</v>
      </c>
      <c r="P196" t="s">
        <v>72</v>
      </c>
      <c r="Q196" t="s">
        <v>72</v>
      </c>
      <c r="R196">
        <v>78</v>
      </c>
      <c r="S196">
        <v>159</v>
      </c>
      <c r="T196" s="8">
        <f t="shared" si="6"/>
        <v>30.853209920493654</v>
      </c>
      <c r="U196" s="13" t="str" cm="1">
        <f t="array" ref="U196">IF(T196="","",_xlfn.IFS(T196&lt;18.5,"Bajo peso",T196&lt;25,"Peso normal",T196&lt;30,"Sobrepeso",T196&lt;35,"Obesidad clase I",T196&lt;40,"Obesidad clase II",T196&gt;=40,"Obesidad clase III"))</f>
        <v>Obesidad clase I</v>
      </c>
      <c r="V196">
        <v>119</v>
      </c>
      <c r="X196" t="s">
        <v>3463</v>
      </c>
      <c r="Y196">
        <v>0.43</v>
      </c>
      <c r="AA196">
        <v>90</v>
      </c>
      <c r="AB196" s="9">
        <f t="shared" si="7"/>
        <v>121.40183119352947</v>
      </c>
      <c r="AD196" t="s">
        <v>73</v>
      </c>
      <c r="AF196" t="s">
        <v>73</v>
      </c>
      <c r="AH196" t="s">
        <v>3463</v>
      </c>
      <c r="AI196" t="s">
        <v>3463</v>
      </c>
      <c r="AJ196" t="s">
        <v>3465</v>
      </c>
      <c r="AK196" t="s">
        <v>3463</v>
      </c>
      <c r="AL196" t="s">
        <v>3465</v>
      </c>
      <c r="AM196" t="s">
        <v>655</v>
      </c>
      <c r="AN196" t="s">
        <v>3661</v>
      </c>
      <c r="AP196" t="s">
        <v>3463</v>
      </c>
      <c r="AQ196" t="s">
        <v>656</v>
      </c>
      <c r="AR196" t="s">
        <v>3491</v>
      </c>
      <c r="AV196" t="s">
        <v>74</v>
      </c>
      <c r="AW196" t="s">
        <v>3915</v>
      </c>
      <c r="AX196" t="s">
        <v>3463</v>
      </c>
      <c r="AY196" t="s">
        <v>3465</v>
      </c>
      <c r="AZ196" t="s">
        <v>90</v>
      </c>
      <c r="BF196" t="s">
        <v>3921</v>
      </c>
      <c r="BG196" t="s">
        <v>653</v>
      </c>
      <c r="BH196" t="s">
        <v>4021</v>
      </c>
      <c r="BL196" t="s">
        <v>602</v>
      </c>
      <c r="BP196" t="s">
        <v>4342</v>
      </c>
      <c r="BQ196" t="s">
        <v>3463</v>
      </c>
      <c r="BR196" t="s">
        <v>3463</v>
      </c>
      <c r="BS196" t="s">
        <v>3463</v>
      </c>
      <c r="BT196" t="s">
        <v>3463</v>
      </c>
      <c r="BU196" t="s">
        <v>3463</v>
      </c>
      <c r="BV196" t="s">
        <v>3463</v>
      </c>
      <c r="BW196" t="s">
        <v>3463</v>
      </c>
      <c r="BX196" t="s">
        <v>79</v>
      </c>
      <c r="BY196" t="s">
        <v>87</v>
      </c>
      <c r="BZ196" t="s">
        <v>79</v>
      </c>
      <c r="CA196" s="10">
        <v>45909</v>
      </c>
    </row>
    <row r="197" spans="1:79">
      <c r="A197">
        <v>200</v>
      </c>
      <c r="B197">
        <v>58</v>
      </c>
      <c r="C197">
        <v>41</v>
      </c>
      <c r="D197" t="s">
        <v>3466</v>
      </c>
      <c r="E197" t="s">
        <v>502</v>
      </c>
      <c r="F197" t="s">
        <v>503</v>
      </c>
      <c r="G197" s="12" t="s">
        <v>3463</v>
      </c>
      <c r="H197" s="12"/>
      <c r="I197">
        <v>78</v>
      </c>
      <c r="J197">
        <v>80</v>
      </c>
      <c r="K197">
        <v>144</v>
      </c>
      <c r="L197">
        <v>90</v>
      </c>
      <c r="M197" t="s">
        <v>72</v>
      </c>
      <c r="N197">
        <v>141</v>
      </c>
      <c r="O197">
        <v>83</v>
      </c>
      <c r="P197" t="s">
        <v>72</v>
      </c>
      <c r="Q197" t="s">
        <v>72</v>
      </c>
      <c r="R197">
        <v>66</v>
      </c>
      <c r="S197">
        <v>153</v>
      </c>
      <c r="T197" s="8">
        <f t="shared" si="6"/>
        <v>28.19428424964757</v>
      </c>
      <c r="U197" s="13" t="str" cm="1">
        <f t="array" ref="U197">IF(T197="","",_xlfn.IFS(T197&lt;18.5,"Bajo peso",T197&lt;25,"Peso normal",T197&lt;30,"Sobrepeso",T197&lt;35,"Obesidad clase I",T197&lt;40,"Obesidad clase II",T197&gt;=40,"Obesidad clase III"))</f>
        <v>Sobrepeso</v>
      </c>
      <c r="V197">
        <v>120</v>
      </c>
      <c r="X197" t="s">
        <v>3463</v>
      </c>
      <c r="Y197">
        <v>0.67</v>
      </c>
      <c r="AA197">
        <v>90</v>
      </c>
      <c r="AB197" s="9">
        <f t="shared" si="7"/>
        <v>112.54135658238411</v>
      </c>
      <c r="AD197" t="s">
        <v>73</v>
      </c>
      <c r="AF197" t="s">
        <v>73</v>
      </c>
      <c r="AH197" t="s">
        <v>3463</v>
      </c>
      <c r="AI197" t="s">
        <v>3465</v>
      </c>
      <c r="AJ197" t="s">
        <v>3463</v>
      </c>
      <c r="AK197" t="s">
        <v>3463</v>
      </c>
      <c r="AL197" t="s">
        <v>3465</v>
      </c>
      <c r="AM197" t="s">
        <v>660</v>
      </c>
      <c r="AN197" t="s">
        <v>3662</v>
      </c>
      <c r="AP197" t="s">
        <v>3463</v>
      </c>
      <c r="AQ197" t="s">
        <v>661</v>
      </c>
      <c r="AR197" t="s">
        <v>3504</v>
      </c>
      <c r="AS197" t="s">
        <v>3463</v>
      </c>
      <c r="AV197" t="s">
        <v>126</v>
      </c>
      <c r="AW197" t="s">
        <v>126</v>
      </c>
      <c r="AX197" t="s">
        <v>3463</v>
      </c>
      <c r="AY197" t="s">
        <v>3463</v>
      </c>
      <c r="BE197" t="s">
        <v>662</v>
      </c>
      <c r="BF197" t="s">
        <v>3662</v>
      </c>
      <c r="BG197" t="s">
        <v>68</v>
      </c>
      <c r="BH197" t="s">
        <v>4076</v>
      </c>
      <c r="BI197" t="s">
        <v>411</v>
      </c>
      <c r="BL197" t="s">
        <v>663</v>
      </c>
      <c r="BP197" t="s">
        <v>4336</v>
      </c>
      <c r="BQ197" t="s">
        <v>3463</v>
      </c>
      <c r="BR197" t="s">
        <v>3465</v>
      </c>
      <c r="BS197" t="s">
        <v>3465</v>
      </c>
      <c r="BT197" t="s">
        <v>3465</v>
      </c>
      <c r="BU197" t="s">
        <v>3463</v>
      </c>
      <c r="BV197" t="s">
        <v>3463</v>
      </c>
      <c r="BW197" t="s">
        <v>3463</v>
      </c>
      <c r="BX197" t="s">
        <v>79</v>
      </c>
      <c r="BY197" t="s">
        <v>87</v>
      </c>
      <c r="BZ197" t="s">
        <v>95</v>
      </c>
      <c r="CA197" s="10">
        <v>45909</v>
      </c>
    </row>
    <row r="198" spans="1:79">
      <c r="A198">
        <v>201</v>
      </c>
      <c r="B198">
        <v>59</v>
      </c>
      <c r="C198">
        <v>41</v>
      </c>
      <c r="D198" t="s">
        <v>3466</v>
      </c>
      <c r="E198" t="s">
        <v>527</v>
      </c>
      <c r="F198" t="s">
        <v>613</v>
      </c>
      <c r="G198" s="12" t="s">
        <v>3465</v>
      </c>
      <c r="H198" t="s">
        <v>88</v>
      </c>
      <c r="I198">
        <v>92</v>
      </c>
      <c r="J198">
        <v>94</v>
      </c>
      <c r="K198">
        <v>142</v>
      </c>
      <c r="L198">
        <v>89</v>
      </c>
      <c r="M198" t="s">
        <v>72</v>
      </c>
      <c r="N198">
        <v>132</v>
      </c>
      <c r="O198">
        <v>86</v>
      </c>
      <c r="P198" t="s">
        <v>82</v>
      </c>
      <c r="Q198" t="s">
        <v>82</v>
      </c>
      <c r="R198">
        <v>69.599999999999994</v>
      </c>
      <c r="S198">
        <v>157.5</v>
      </c>
      <c r="T198" s="8">
        <f t="shared" si="6"/>
        <v>28.05744520030234</v>
      </c>
      <c r="U198" s="13" t="str" cm="1">
        <f t="array" ref="U198">IF(T198="","",_xlfn.IFS(T198&lt;18.5,"Bajo peso",T198&lt;25,"Peso normal",T198&lt;30,"Sobrepeso",T198&lt;35,"Obesidad clase I",T198&lt;40,"Obesidad clase II",T198&gt;=40,"Obesidad clase III"))</f>
        <v>Sobrepeso</v>
      </c>
      <c r="V198">
        <v>169</v>
      </c>
      <c r="X198" t="s">
        <v>3463</v>
      </c>
      <c r="Y198">
        <v>0.65</v>
      </c>
      <c r="AA198">
        <v>90</v>
      </c>
      <c r="AB198" s="9">
        <f t="shared" si="7"/>
        <v>113.36632135685491</v>
      </c>
      <c r="AD198" t="s">
        <v>73</v>
      </c>
      <c r="AF198" t="s">
        <v>73</v>
      </c>
      <c r="AH198" t="s">
        <v>3463</v>
      </c>
      <c r="AI198" t="s">
        <v>3465</v>
      </c>
      <c r="AP198" t="s">
        <v>3463</v>
      </c>
      <c r="AQ198" t="s">
        <v>657</v>
      </c>
      <c r="AR198" t="s">
        <v>3525</v>
      </c>
      <c r="AS198" t="s">
        <v>3465</v>
      </c>
      <c r="AV198" t="s">
        <v>74</v>
      </c>
      <c r="AW198" t="s">
        <v>3915</v>
      </c>
      <c r="BA198" t="s">
        <v>3920</v>
      </c>
      <c r="BE198" t="s">
        <v>116</v>
      </c>
      <c r="BF198" t="s">
        <v>116</v>
      </c>
      <c r="BG198" t="s">
        <v>658</v>
      </c>
      <c r="BH198" t="s">
        <v>4081</v>
      </c>
      <c r="BI198" t="s">
        <v>86</v>
      </c>
      <c r="BL198" t="s">
        <v>659</v>
      </c>
      <c r="BP198" t="s">
        <v>4347</v>
      </c>
      <c r="BQ198" t="s">
        <v>3463</v>
      </c>
      <c r="BR198" t="s">
        <v>3465</v>
      </c>
      <c r="BS198" t="s">
        <v>3465</v>
      </c>
      <c r="BT198" t="s">
        <v>3465</v>
      </c>
      <c r="BU198" t="s">
        <v>3463</v>
      </c>
      <c r="BV198" t="s">
        <v>3463</v>
      </c>
      <c r="BW198" t="s">
        <v>3463</v>
      </c>
      <c r="BX198" t="s">
        <v>79</v>
      </c>
      <c r="BY198" t="s">
        <v>87</v>
      </c>
      <c r="BZ198" t="s">
        <v>79</v>
      </c>
      <c r="CA198" s="10">
        <v>45909</v>
      </c>
    </row>
    <row r="199" spans="1:79">
      <c r="A199">
        <v>202</v>
      </c>
      <c r="B199">
        <v>60</v>
      </c>
      <c r="C199">
        <v>26</v>
      </c>
      <c r="D199" t="s">
        <v>3466</v>
      </c>
      <c r="E199" t="s">
        <v>507</v>
      </c>
      <c r="F199" t="s">
        <v>613</v>
      </c>
      <c r="G199" s="12" t="s">
        <v>3465</v>
      </c>
      <c r="H199" s="12" t="s">
        <v>88</v>
      </c>
      <c r="I199">
        <v>76</v>
      </c>
      <c r="K199">
        <v>131</v>
      </c>
      <c r="L199">
        <v>70</v>
      </c>
      <c r="M199" t="s">
        <v>82</v>
      </c>
      <c r="P199" t="s">
        <v>83</v>
      </c>
      <c r="Q199" t="s">
        <v>82</v>
      </c>
      <c r="R199">
        <v>58.1</v>
      </c>
      <c r="S199">
        <v>160</v>
      </c>
      <c r="T199" s="8">
        <f t="shared" si="6"/>
        <v>22.6953125</v>
      </c>
      <c r="U199" s="13" t="str" cm="1">
        <f t="array" ref="U199">IF(T199="","",_xlfn.IFS(T199&lt;18.5,"Bajo peso",T199&lt;25,"Peso normal",T199&lt;30,"Sobrepeso",T199&lt;35,"Obesidad clase I",T199&lt;40,"Obesidad clase II",T199&gt;=40,"Obesidad clase III"))</f>
        <v>Peso normal</v>
      </c>
      <c r="V199">
        <v>112</v>
      </c>
      <c r="X199" t="s">
        <v>3463</v>
      </c>
      <c r="Y199">
        <v>0.68</v>
      </c>
      <c r="AA199">
        <v>90</v>
      </c>
      <c r="AB199" s="9">
        <f t="shared" si="7"/>
        <v>123.10526836197431</v>
      </c>
      <c r="AD199" t="s">
        <v>73</v>
      </c>
      <c r="AF199" t="s">
        <v>73</v>
      </c>
      <c r="AH199" t="s">
        <v>3463</v>
      </c>
      <c r="AI199" t="s">
        <v>3463</v>
      </c>
      <c r="AJ199" t="s">
        <v>3463</v>
      </c>
      <c r="AK199" t="s">
        <v>3463</v>
      </c>
      <c r="AL199" t="s">
        <v>3465</v>
      </c>
      <c r="AM199" t="s">
        <v>666</v>
      </c>
      <c r="AN199" t="s">
        <v>3663</v>
      </c>
      <c r="AP199" t="s">
        <v>3463</v>
      </c>
      <c r="AQ199" t="s">
        <v>667</v>
      </c>
      <c r="AR199" t="s">
        <v>3505</v>
      </c>
      <c r="AV199" t="s">
        <v>74</v>
      </c>
      <c r="AW199" t="s">
        <v>3915</v>
      </c>
      <c r="AX199" t="s">
        <v>3463</v>
      </c>
      <c r="AY199" t="s">
        <v>3463</v>
      </c>
      <c r="BF199" t="s">
        <v>3921</v>
      </c>
      <c r="BG199" t="s">
        <v>668</v>
      </c>
      <c r="BH199" t="s">
        <v>4076</v>
      </c>
      <c r="BL199" t="s">
        <v>669</v>
      </c>
      <c r="BP199" t="s">
        <v>4348</v>
      </c>
      <c r="BQ199" t="s">
        <v>3463</v>
      </c>
      <c r="BR199" t="s">
        <v>3465</v>
      </c>
      <c r="BS199" t="s">
        <v>3465</v>
      </c>
      <c r="BT199" t="s">
        <v>3465</v>
      </c>
      <c r="BU199" t="s">
        <v>3463</v>
      </c>
      <c r="BV199" t="s">
        <v>3463</v>
      </c>
      <c r="BW199" t="s">
        <v>3463</v>
      </c>
      <c r="BX199" t="s">
        <v>79</v>
      </c>
      <c r="BY199" t="s">
        <v>87</v>
      </c>
      <c r="BZ199" t="s">
        <v>95</v>
      </c>
      <c r="CA199" s="10">
        <v>45909</v>
      </c>
    </row>
    <row r="200" spans="1:79">
      <c r="A200">
        <v>203</v>
      </c>
      <c r="B200">
        <v>61</v>
      </c>
      <c r="C200">
        <v>32</v>
      </c>
      <c r="D200" t="s">
        <v>3466</v>
      </c>
      <c r="E200" t="s">
        <v>664</v>
      </c>
      <c r="F200" t="s">
        <v>503</v>
      </c>
      <c r="G200" s="12" t="s">
        <v>3465</v>
      </c>
      <c r="H200" s="12" t="s">
        <v>88</v>
      </c>
      <c r="K200">
        <v>117</v>
      </c>
      <c r="L200">
        <v>76</v>
      </c>
      <c r="M200" t="s">
        <v>80</v>
      </c>
      <c r="P200" t="s">
        <v>83</v>
      </c>
      <c r="Q200" t="s">
        <v>80</v>
      </c>
      <c r="R200">
        <v>59</v>
      </c>
      <c r="S200">
        <v>153</v>
      </c>
      <c r="T200" s="8">
        <f t="shared" si="6"/>
        <v>25.20398137468495</v>
      </c>
      <c r="U200" s="13" t="str" cm="1">
        <f t="array" ref="U200">IF(T200="","",_xlfn.IFS(T200&lt;18.5,"Bajo peso",T200&lt;25,"Peso normal",T200&lt;30,"Sobrepeso",T200&lt;35,"Obesidad clase I",T200&lt;40,"Obesidad clase II",T200&gt;=40,"Obesidad clase III"))</f>
        <v>Sobrepeso</v>
      </c>
      <c r="V200">
        <v>101</v>
      </c>
      <c r="X200" t="s">
        <v>3463</v>
      </c>
      <c r="Y200">
        <v>0.55000000000000004</v>
      </c>
      <c r="AA200">
        <v>90</v>
      </c>
      <c r="AB200" s="9">
        <f t="shared" si="7"/>
        <v>124.81817646903193</v>
      </c>
      <c r="AD200" t="s">
        <v>73</v>
      </c>
      <c r="AF200" t="s">
        <v>73</v>
      </c>
      <c r="AH200" t="s">
        <v>3463</v>
      </c>
      <c r="AI200" t="s">
        <v>3463</v>
      </c>
      <c r="AJ200" t="s">
        <v>3463</v>
      </c>
      <c r="AK200" t="s">
        <v>3463</v>
      </c>
      <c r="AL200" t="s">
        <v>3463</v>
      </c>
      <c r="AP200" t="s">
        <v>3463</v>
      </c>
      <c r="AT200" t="s">
        <v>3463</v>
      </c>
      <c r="AV200" t="s">
        <v>126</v>
      </c>
      <c r="AW200" t="s">
        <v>126</v>
      </c>
      <c r="AX200" t="s">
        <v>3463</v>
      </c>
      <c r="AY200" t="s">
        <v>3465</v>
      </c>
      <c r="AZ200" t="s">
        <v>665</v>
      </c>
      <c r="BF200" t="s">
        <v>3921</v>
      </c>
      <c r="BH200" t="s">
        <v>4020</v>
      </c>
      <c r="BP200" t="s">
        <v>4260</v>
      </c>
      <c r="BQ200" t="s">
        <v>3465</v>
      </c>
      <c r="BR200" t="s">
        <v>3465</v>
      </c>
      <c r="BS200" t="s">
        <v>3465</v>
      </c>
      <c r="BT200" t="s">
        <v>3465</v>
      </c>
      <c r="BU200" t="s">
        <v>3463</v>
      </c>
      <c r="BV200" t="s">
        <v>3463</v>
      </c>
      <c r="BW200" t="s">
        <v>3463</v>
      </c>
      <c r="BX200" t="s">
        <v>79</v>
      </c>
      <c r="BY200" t="s">
        <v>87</v>
      </c>
      <c r="BZ200" t="s">
        <v>79</v>
      </c>
      <c r="CA200" s="10">
        <v>45909</v>
      </c>
    </row>
    <row r="201" spans="1:79">
      <c r="A201">
        <v>204</v>
      </c>
      <c r="B201">
        <v>62</v>
      </c>
      <c r="C201">
        <v>56</v>
      </c>
      <c r="D201" t="s">
        <v>3466</v>
      </c>
      <c r="E201" t="s">
        <v>527</v>
      </c>
      <c r="F201" t="s">
        <v>503</v>
      </c>
      <c r="G201" s="12" t="s">
        <v>3463</v>
      </c>
      <c r="I201">
        <v>86</v>
      </c>
      <c r="J201">
        <v>83</v>
      </c>
      <c r="K201">
        <v>150</v>
      </c>
      <c r="L201">
        <v>91</v>
      </c>
      <c r="M201" t="s">
        <v>72</v>
      </c>
      <c r="N201">
        <v>147</v>
      </c>
      <c r="O201">
        <v>9</v>
      </c>
      <c r="P201" t="s">
        <v>72</v>
      </c>
      <c r="Q201" t="s">
        <v>72</v>
      </c>
      <c r="R201">
        <v>56</v>
      </c>
      <c r="S201">
        <v>145</v>
      </c>
      <c r="T201" s="8">
        <f t="shared" si="6"/>
        <v>26.634958382877528</v>
      </c>
      <c r="U201" s="13" t="str" cm="1">
        <f t="array" ref="U201">IF(T201="","",_xlfn.IFS(T201&lt;18.5,"Bajo peso",T201&lt;25,"Peso normal",T201&lt;30,"Sobrepeso",T201&lt;35,"Obesidad clase I",T201&lt;40,"Obesidad clase II",T201&gt;=40,"Obesidad clase III"))</f>
        <v>Sobrepeso</v>
      </c>
      <c r="V201">
        <v>103</v>
      </c>
      <c r="X201" t="s">
        <v>3463</v>
      </c>
      <c r="Y201">
        <v>0.44</v>
      </c>
      <c r="AA201">
        <v>90</v>
      </c>
      <c r="AB201" s="9">
        <f t="shared" si="7"/>
        <v>113.45116618360869</v>
      </c>
      <c r="AD201" t="s">
        <v>73</v>
      </c>
      <c r="AF201" t="s">
        <v>73</v>
      </c>
      <c r="AG201" t="s">
        <v>3463</v>
      </c>
      <c r="AH201" t="s">
        <v>3465</v>
      </c>
      <c r="AI201" t="s">
        <v>3465</v>
      </c>
      <c r="AJ201" t="s">
        <v>3463</v>
      </c>
      <c r="AK201" t="s">
        <v>3465</v>
      </c>
      <c r="AL201" t="s">
        <v>3465</v>
      </c>
      <c r="AM201" t="s">
        <v>670</v>
      </c>
      <c r="AN201" t="s">
        <v>3664</v>
      </c>
      <c r="AO201" t="s">
        <v>3463</v>
      </c>
      <c r="AP201" t="s">
        <v>3465</v>
      </c>
      <c r="AS201" t="s">
        <v>3463</v>
      </c>
      <c r="AV201" t="s">
        <v>178</v>
      </c>
      <c r="AW201" t="s">
        <v>3918</v>
      </c>
      <c r="BE201" t="s">
        <v>671</v>
      </c>
      <c r="BF201" t="s">
        <v>3733</v>
      </c>
      <c r="BG201" t="s">
        <v>672</v>
      </c>
      <c r="BH201" t="s">
        <v>4088</v>
      </c>
      <c r="BI201" t="s">
        <v>411</v>
      </c>
      <c r="BL201" t="s">
        <v>673</v>
      </c>
      <c r="BP201" t="s">
        <v>4320</v>
      </c>
      <c r="BQ201" t="s">
        <v>3465</v>
      </c>
      <c r="BR201" t="s">
        <v>3465</v>
      </c>
      <c r="BS201" t="s">
        <v>3463</v>
      </c>
      <c r="BT201" t="s">
        <v>3465</v>
      </c>
      <c r="BU201" t="s">
        <v>3463</v>
      </c>
      <c r="BV201" t="s">
        <v>3463</v>
      </c>
      <c r="BW201" t="s">
        <v>3463</v>
      </c>
      <c r="BX201" t="s">
        <v>79</v>
      </c>
      <c r="BY201" t="s">
        <v>87</v>
      </c>
      <c r="BZ201" t="s">
        <v>79</v>
      </c>
      <c r="CA201" s="10">
        <v>45909</v>
      </c>
    </row>
    <row r="202" spans="1:79">
      <c r="A202">
        <v>205</v>
      </c>
      <c r="B202">
        <v>63</v>
      </c>
      <c r="C202">
        <v>29</v>
      </c>
      <c r="D202" t="s">
        <v>3466</v>
      </c>
      <c r="E202" t="s">
        <v>502</v>
      </c>
      <c r="F202" t="s">
        <v>503</v>
      </c>
      <c r="G202" s="12" t="s">
        <v>3463</v>
      </c>
      <c r="I202">
        <v>83</v>
      </c>
      <c r="K202">
        <v>123</v>
      </c>
      <c r="L202">
        <v>71</v>
      </c>
      <c r="M202" t="s">
        <v>118</v>
      </c>
      <c r="P202" t="s">
        <v>83</v>
      </c>
      <c r="Q202" t="s">
        <v>118</v>
      </c>
      <c r="R202">
        <v>50.9</v>
      </c>
      <c r="S202">
        <v>149.5</v>
      </c>
      <c r="T202" s="8">
        <f t="shared" si="6"/>
        <v>22.773794476571851</v>
      </c>
      <c r="U202" s="13" t="str" cm="1">
        <f t="array" ref="U202">IF(T202="","",_xlfn.IFS(T202&lt;18.5,"Bajo peso",T202&lt;25,"Peso normal",T202&lt;30,"Sobrepeso",T202&lt;35,"Obesidad clase I",T202&lt;40,"Obesidad clase II",T202&gt;=40,"Obesidad clase III"))</f>
        <v>Peso normal</v>
      </c>
      <c r="V202">
        <v>95</v>
      </c>
      <c r="X202" t="s">
        <v>3463</v>
      </c>
      <c r="Y202">
        <v>0.62</v>
      </c>
      <c r="AA202">
        <v>90</v>
      </c>
      <c r="AB202" s="9">
        <f t="shared" si="7"/>
        <v>123.54974894249823</v>
      </c>
      <c r="AD202" t="s">
        <v>73</v>
      </c>
      <c r="AF202" t="s">
        <v>73</v>
      </c>
      <c r="AH202" t="s">
        <v>3463</v>
      </c>
      <c r="AI202" t="s">
        <v>3463</v>
      </c>
      <c r="AJ202" t="s">
        <v>3463</v>
      </c>
      <c r="AK202" t="s">
        <v>3463</v>
      </c>
      <c r="AL202" t="s">
        <v>3465</v>
      </c>
      <c r="AM202" t="s">
        <v>674</v>
      </c>
      <c r="AN202" t="s">
        <v>674</v>
      </c>
      <c r="AP202" t="s">
        <v>3464</v>
      </c>
      <c r="AV202" t="s">
        <v>126</v>
      </c>
      <c r="AW202" t="s">
        <v>126</v>
      </c>
      <c r="AX202" t="s">
        <v>3463</v>
      </c>
      <c r="AY202" t="s">
        <v>3463</v>
      </c>
      <c r="BF202" t="s">
        <v>3921</v>
      </c>
      <c r="BG202" t="s">
        <v>675</v>
      </c>
      <c r="BH202" t="s">
        <v>4029</v>
      </c>
      <c r="BL202" t="s">
        <v>602</v>
      </c>
      <c r="BP202" t="s">
        <v>4349</v>
      </c>
      <c r="BQ202" t="s">
        <v>3463</v>
      </c>
      <c r="BR202" t="s">
        <v>3463</v>
      </c>
      <c r="BS202" t="s">
        <v>3463</v>
      </c>
      <c r="BT202" t="s">
        <v>3463</v>
      </c>
      <c r="BU202" t="s">
        <v>3463</v>
      </c>
      <c r="BV202" t="s">
        <v>3463</v>
      </c>
      <c r="BW202" t="s">
        <v>3463</v>
      </c>
      <c r="BX202" t="s">
        <v>518</v>
      </c>
      <c r="BY202" t="s">
        <v>87</v>
      </c>
      <c r="BZ202" t="s">
        <v>79</v>
      </c>
      <c r="CA202" s="10">
        <v>45909</v>
      </c>
    </row>
    <row r="203" spans="1:79">
      <c r="A203">
        <v>206</v>
      </c>
      <c r="B203">
        <v>64</v>
      </c>
      <c r="C203">
        <v>44</v>
      </c>
      <c r="D203" t="s">
        <v>3466</v>
      </c>
      <c r="E203" t="s">
        <v>507</v>
      </c>
      <c r="F203" t="s">
        <v>503</v>
      </c>
      <c r="G203" s="12" t="s">
        <v>3463</v>
      </c>
      <c r="H203" s="12"/>
      <c r="I203">
        <v>86</v>
      </c>
      <c r="K203">
        <v>136</v>
      </c>
      <c r="L203">
        <v>81</v>
      </c>
      <c r="M203" t="s">
        <v>82</v>
      </c>
      <c r="P203" t="s">
        <v>83</v>
      </c>
      <c r="Q203" t="s">
        <v>82</v>
      </c>
      <c r="R203">
        <v>82</v>
      </c>
      <c r="S203">
        <v>159</v>
      </c>
      <c r="T203" s="8">
        <f t="shared" si="6"/>
        <v>32.435425813852305</v>
      </c>
      <c r="U203" s="13" t="str" cm="1">
        <f t="array" ref="U203">IF(T203="","",_xlfn.IFS(T203&lt;18.5,"Bajo peso",T203&lt;25,"Peso normal",T203&lt;30,"Sobrepeso",T203&lt;35,"Obesidad clase I",T203&lt;40,"Obesidad clase II",T203&gt;=40,"Obesidad clase III"))</f>
        <v>Obesidad clase I</v>
      </c>
      <c r="V203">
        <v>593</v>
      </c>
      <c r="X203" t="s">
        <v>3465</v>
      </c>
      <c r="Y203">
        <v>0.61</v>
      </c>
      <c r="AA203">
        <v>90</v>
      </c>
      <c r="AB203" s="9">
        <f t="shared" si="7"/>
        <v>112.98704755351127</v>
      </c>
      <c r="AD203" t="s">
        <v>73</v>
      </c>
      <c r="AF203" t="s">
        <v>73</v>
      </c>
      <c r="AG203" t="s">
        <v>3463</v>
      </c>
      <c r="AH203" t="s">
        <v>3465</v>
      </c>
      <c r="AI203" t="s">
        <v>3463</v>
      </c>
      <c r="AJ203" t="s">
        <v>3463</v>
      </c>
      <c r="AK203" t="s">
        <v>3463</v>
      </c>
      <c r="AL203" t="s">
        <v>3463</v>
      </c>
      <c r="AO203" t="s">
        <v>3463</v>
      </c>
      <c r="AP203" t="s">
        <v>3465</v>
      </c>
      <c r="AV203" t="s">
        <v>74</v>
      </c>
      <c r="AW203" t="s">
        <v>3915</v>
      </c>
      <c r="AX203" t="s">
        <v>3463</v>
      </c>
      <c r="AY203" t="s">
        <v>3465</v>
      </c>
      <c r="AZ203" t="s">
        <v>90</v>
      </c>
      <c r="BB203" t="s">
        <v>3485</v>
      </c>
      <c r="BF203" t="s">
        <v>3921</v>
      </c>
      <c r="BG203" t="s">
        <v>676</v>
      </c>
      <c r="BH203" t="s">
        <v>4089</v>
      </c>
      <c r="BI203" t="s">
        <v>677</v>
      </c>
      <c r="BK203" t="s">
        <v>678</v>
      </c>
      <c r="BL203" t="s">
        <v>679</v>
      </c>
      <c r="BP203" t="s">
        <v>4350</v>
      </c>
      <c r="BQ203" t="s">
        <v>3463</v>
      </c>
      <c r="BR203" t="s">
        <v>3463</v>
      </c>
      <c r="BS203" t="s">
        <v>3463</v>
      </c>
      <c r="BT203" t="s">
        <v>3465</v>
      </c>
      <c r="BU203" t="s">
        <v>3463</v>
      </c>
      <c r="BV203" t="s">
        <v>3463</v>
      </c>
      <c r="BW203" t="s">
        <v>3463</v>
      </c>
      <c r="BX203" t="s">
        <v>79</v>
      </c>
      <c r="BY203" t="s">
        <v>109</v>
      </c>
      <c r="BZ203" t="s">
        <v>79</v>
      </c>
      <c r="CA203" s="10">
        <v>45909</v>
      </c>
    </row>
    <row r="204" spans="1:79">
      <c r="A204">
        <v>207</v>
      </c>
      <c r="B204">
        <v>65</v>
      </c>
      <c r="C204">
        <v>57</v>
      </c>
      <c r="D204" t="s">
        <v>3466</v>
      </c>
      <c r="E204" t="s">
        <v>680</v>
      </c>
      <c r="F204" t="s">
        <v>503</v>
      </c>
      <c r="G204" s="12" t="s">
        <v>3463</v>
      </c>
      <c r="H204" s="12"/>
      <c r="I204">
        <v>98</v>
      </c>
      <c r="J204">
        <v>102</v>
      </c>
      <c r="K204">
        <v>164</v>
      </c>
      <c r="L204">
        <v>125</v>
      </c>
      <c r="M204" t="s">
        <v>96</v>
      </c>
      <c r="N204">
        <v>165</v>
      </c>
      <c r="O204">
        <v>94</v>
      </c>
      <c r="P204" t="s">
        <v>72</v>
      </c>
      <c r="Q204" t="s">
        <v>72</v>
      </c>
      <c r="R204">
        <v>78.099999999999994</v>
      </c>
      <c r="S204">
        <v>151</v>
      </c>
      <c r="T204" s="8">
        <f t="shared" si="6"/>
        <v>34.252883645454148</v>
      </c>
      <c r="U204" s="13" t="str" cm="1">
        <f t="array" ref="U204">IF(T204="","",_xlfn.IFS(T204&lt;18.5,"Bajo peso",T204&lt;25,"Peso normal",T204&lt;30,"Sobrepeso",T204&lt;35,"Obesidad clase I",T204&lt;40,"Obesidad clase II",T204&gt;=40,"Obesidad clase III"))</f>
        <v>Obesidad clase I</v>
      </c>
      <c r="V204">
        <v>110</v>
      </c>
      <c r="X204" t="s">
        <v>3463</v>
      </c>
      <c r="Y204">
        <v>0.51</v>
      </c>
      <c r="AA204">
        <v>90</v>
      </c>
      <c r="AB204" s="9">
        <f t="shared" si="7"/>
        <v>108.80670016456315</v>
      </c>
      <c r="AD204" t="s">
        <v>73</v>
      </c>
      <c r="AF204" t="s">
        <v>73</v>
      </c>
      <c r="AH204" t="s">
        <v>3463</v>
      </c>
      <c r="AI204" t="s">
        <v>3465</v>
      </c>
      <c r="AJ204" t="s">
        <v>3463</v>
      </c>
      <c r="AK204" t="s">
        <v>3465</v>
      </c>
      <c r="AL204" t="s">
        <v>3463</v>
      </c>
      <c r="AP204" t="s">
        <v>3463</v>
      </c>
      <c r="AQ204" t="s">
        <v>159</v>
      </c>
      <c r="AR204" t="s">
        <v>3491</v>
      </c>
      <c r="AS204" t="s">
        <v>3465</v>
      </c>
      <c r="AV204" t="s">
        <v>74</v>
      </c>
      <c r="AW204" t="s">
        <v>3915</v>
      </c>
      <c r="BA204" t="s">
        <v>3920</v>
      </c>
      <c r="BE204" t="s">
        <v>681</v>
      </c>
      <c r="BF204" t="s">
        <v>3933</v>
      </c>
      <c r="BG204" t="s">
        <v>682</v>
      </c>
      <c r="BH204" t="s">
        <v>4090</v>
      </c>
      <c r="BI204" t="s">
        <v>411</v>
      </c>
      <c r="BL204" t="s">
        <v>683</v>
      </c>
      <c r="BP204" t="s">
        <v>4330</v>
      </c>
      <c r="BQ204" t="s">
        <v>3463</v>
      </c>
      <c r="BR204" t="s">
        <v>3463</v>
      </c>
      <c r="BS204" t="s">
        <v>3465</v>
      </c>
      <c r="BT204" t="s">
        <v>3465</v>
      </c>
      <c r="BU204" t="s">
        <v>3463</v>
      </c>
      <c r="BV204" t="s">
        <v>3463</v>
      </c>
      <c r="BW204" t="s">
        <v>3463</v>
      </c>
      <c r="BX204" t="s">
        <v>79</v>
      </c>
      <c r="BY204" t="s">
        <v>87</v>
      </c>
      <c r="BZ204" t="s">
        <v>79</v>
      </c>
      <c r="CA204" s="10">
        <v>45909</v>
      </c>
    </row>
    <row r="205" spans="1:79">
      <c r="A205">
        <v>208</v>
      </c>
      <c r="B205">
        <v>66</v>
      </c>
      <c r="C205">
        <v>37</v>
      </c>
      <c r="D205" t="s">
        <v>3466</v>
      </c>
      <c r="E205" t="s">
        <v>502</v>
      </c>
      <c r="F205" t="s">
        <v>503</v>
      </c>
      <c r="G205" s="12" t="s">
        <v>3465</v>
      </c>
      <c r="H205" s="12" t="s">
        <v>88</v>
      </c>
      <c r="I205">
        <v>68</v>
      </c>
      <c r="K205">
        <v>113</v>
      </c>
      <c r="L205">
        <v>69</v>
      </c>
      <c r="M205" t="s">
        <v>80</v>
      </c>
      <c r="P205" t="s">
        <v>83</v>
      </c>
      <c r="Q205" t="s">
        <v>80</v>
      </c>
      <c r="R205">
        <v>69.7</v>
      </c>
      <c r="S205">
        <v>155</v>
      </c>
      <c r="T205" s="8">
        <f t="shared" si="6"/>
        <v>29.011446409989595</v>
      </c>
      <c r="U205" s="13" t="str" cm="1">
        <f t="array" ref="U205">IF(T205="","",_xlfn.IFS(T205&lt;18.5,"Bajo peso",T205&lt;25,"Peso normal",T205&lt;30,"Sobrepeso",T205&lt;35,"Obesidad clase I",T205&lt;40,"Obesidad clase II",T205&gt;=40,"Obesidad clase III"))</f>
        <v>Sobrepeso</v>
      </c>
      <c r="V205">
        <v>78</v>
      </c>
      <c r="X205" t="s">
        <v>3463</v>
      </c>
      <c r="Y205">
        <v>0.51</v>
      </c>
      <c r="AA205">
        <v>90</v>
      </c>
      <c r="AB205" s="9">
        <f t="shared" si="7"/>
        <v>123.21846414774632</v>
      </c>
      <c r="AD205" t="s">
        <v>73</v>
      </c>
      <c r="AF205" t="s">
        <v>73</v>
      </c>
      <c r="AH205" t="s">
        <v>3463</v>
      </c>
      <c r="AI205" t="s">
        <v>3463</v>
      </c>
      <c r="AJ205" t="s">
        <v>3463</v>
      </c>
      <c r="AK205" t="s">
        <v>3463</v>
      </c>
      <c r="AL205" t="s">
        <v>3465</v>
      </c>
      <c r="AM205" t="s">
        <v>684</v>
      </c>
      <c r="AN205" t="s">
        <v>3665</v>
      </c>
      <c r="AP205" t="s">
        <v>3463</v>
      </c>
      <c r="AV205" t="s">
        <v>126</v>
      </c>
      <c r="AW205" t="s">
        <v>126</v>
      </c>
      <c r="AX205" t="s">
        <v>3465</v>
      </c>
      <c r="AY205" t="s">
        <v>3465</v>
      </c>
      <c r="AZ205" t="s">
        <v>90</v>
      </c>
      <c r="BF205" t="s">
        <v>3921</v>
      </c>
      <c r="BH205" t="s">
        <v>4020</v>
      </c>
      <c r="BP205" t="s">
        <v>4260</v>
      </c>
      <c r="BQ205" t="s">
        <v>3465</v>
      </c>
      <c r="BR205" t="s">
        <v>3465</v>
      </c>
      <c r="BS205" t="s">
        <v>3465</v>
      </c>
      <c r="BT205" t="s">
        <v>3465</v>
      </c>
      <c r="BU205" t="s">
        <v>3463</v>
      </c>
      <c r="BV205" t="s">
        <v>3463</v>
      </c>
      <c r="BW205" t="s">
        <v>3463</v>
      </c>
      <c r="BX205" t="s">
        <v>518</v>
      </c>
      <c r="BY205" t="s">
        <v>87</v>
      </c>
      <c r="BZ205" t="s">
        <v>79</v>
      </c>
      <c r="CA205" s="10">
        <v>45909</v>
      </c>
    </row>
    <row r="206" spans="1:79">
      <c r="A206">
        <v>209</v>
      </c>
      <c r="B206">
        <v>67</v>
      </c>
      <c r="C206">
        <v>63</v>
      </c>
      <c r="D206" t="s">
        <v>3466</v>
      </c>
      <c r="E206" t="s">
        <v>507</v>
      </c>
      <c r="F206" t="s">
        <v>503</v>
      </c>
      <c r="G206" s="12" t="s">
        <v>3463</v>
      </c>
      <c r="H206" s="12"/>
      <c r="I206">
        <v>72</v>
      </c>
      <c r="J206">
        <v>66</v>
      </c>
      <c r="K206">
        <v>143</v>
      </c>
      <c r="L206">
        <v>78</v>
      </c>
      <c r="M206" t="s">
        <v>72</v>
      </c>
      <c r="N206">
        <v>139</v>
      </c>
      <c r="O206">
        <v>75</v>
      </c>
      <c r="P206" t="s">
        <v>82</v>
      </c>
      <c r="Q206" t="s">
        <v>82</v>
      </c>
      <c r="R206">
        <v>69</v>
      </c>
      <c r="S206">
        <v>151</v>
      </c>
      <c r="T206" s="8">
        <f t="shared" si="6"/>
        <v>30.261830621463968</v>
      </c>
      <c r="U206" s="13" t="str" cm="1">
        <f t="array" ref="U206">IF(T206="","",_xlfn.IFS(T206&lt;18.5,"Bajo peso",T206&lt;25,"Peso normal",T206&lt;30,"Sobrepeso",T206&lt;35,"Obesidad clase I",T206&lt;40,"Obesidad clase II",T206&gt;=40,"Obesidad clase III"))</f>
        <v>Obesidad clase I</v>
      </c>
      <c r="V206">
        <v>108</v>
      </c>
      <c r="X206" t="s">
        <v>3463</v>
      </c>
      <c r="Y206">
        <v>0.61</v>
      </c>
      <c r="AA206">
        <v>90</v>
      </c>
      <c r="AB206" s="9">
        <f t="shared" si="7"/>
        <v>100.39440636985319</v>
      </c>
      <c r="AD206" t="s">
        <v>73</v>
      </c>
      <c r="AF206" t="s">
        <v>73</v>
      </c>
      <c r="AH206" t="s">
        <v>3463</v>
      </c>
      <c r="AI206" t="s">
        <v>3465</v>
      </c>
      <c r="AJ206" t="s">
        <v>3463</v>
      </c>
      <c r="AK206" t="s">
        <v>3465</v>
      </c>
      <c r="AL206" t="s">
        <v>3465</v>
      </c>
      <c r="AM206" t="s">
        <v>356</v>
      </c>
      <c r="AN206" t="s">
        <v>110</v>
      </c>
      <c r="AO206" t="s">
        <v>3463</v>
      </c>
      <c r="AP206" t="s">
        <v>3465</v>
      </c>
      <c r="AQ206" t="s">
        <v>685</v>
      </c>
      <c r="AR206" t="s">
        <v>3491</v>
      </c>
      <c r="AS206" t="s">
        <v>3465</v>
      </c>
      <c r="AT206" t="s">
        <v>3465</v>
      </c>
      <c r="AU206" t="s">
        <v>80</v>
      </c>
      <c r="AV206" t="s">
        <v>74</v>
      </c>
      <c r="AW206" t="s">
        <v>3915</v>
      </c>
      <c r="AX206" t="s">
        <v>3463</v>
      </c>
      <c r="AY206" t="s">
        <v>3465</v>
      </c>
      <c r="AZ206" t="s">
        <v>247</v>
      </c>
      <c r="BA206" t="s">
        <v>3920</v>
      </c>
      <c r="BB206" t="s">
        <v>3485</v>
      </c>
      <c r="BF206" t="s">
        <v>3921</v>
      </c>
      <c r="BG206" t="s">
        <v>686</v>
      </c>
      <c r="BH206" t="s">
        <v>4091</v>
      </c>
      <c r="BL206" t="s">
        <v>687</v>
      </c>
      <c r="BP206" t="s">
        <v>4351</v>
      </c>
      <c r="BQ206" t="s">
        <v>3465</v>
      </c>
      <c r="BR206" t="s">
        <v>3465</v>
      </c>
      <c r="BS206" t="s">
        <v>3463</v>
      </c>
      <c r="BT206" t="s">
        <v>3465</v>
      </c>
      <c r="BU206" t="s">
        <v>3463</v>
      </c>
      <c r="BV206" t="s">
        <v>3463</v>
      </c>
      <c r="BW206" t="s">
        <v>3463</v>
      </c>
      <c r="BX206" t="s">
        <v>518</v>
      </c>
      <c r="BY206" t="s">
        <v>87</v>
      </c>
      <c r="BZ206" t="s">
        <v>79</v>
      </c>
      <c r="CA206" s="10">
        <v>45909</v>
      </c>
    </row>
    <row r="207" spans="1:79">
      <c r="A207">
        <v>210</v>
      </c>
      <c r="B207">
        <v>68</v>
      </c>
      <c r="C207">
        <v>34</v>
      </c>
      <c r="D207" t="s">
        <v>3462</v>
      </c>
      <c r="E207" t="s">
        <v>688</v>
      </c>
      <c r="F207" t="s">
        <v>503</v>
      </c>
      <c r="G207" s="12" t="s">
        <v>3465</v>
      </c>
      <c r="H207" s="12" t="s">
        <v>88</v>
      </c>
      <c r="I207">
        <v>60</v>
      </c>
      <c r="K207">
        <v>128</v>
      </c>
      <c r="L207">
        <v>88</v>
      </c>
      <c r="M207" t="s">
        <v>82</v>
      </c>
      <c r="P207" t="s">
        <v>83</v>
      </c>
      <c r="Q207" t="s">
        <v>82</v>
      </c>
      <c r="R207">
        <v>75.099999999999994</v>
      </c>
      <c r="S207">
        <v>158.5</v>
      </c>
      <c r="T207" s="8">
        <f t="shared" si="6"/>
        <v>29.893819223994665</v>
      </c>
      <c r="U207" s="13" t="str" cm="1">
        <f t="array" ref="U207">IF(T207="","",_xlfn.IFS(T207&lt;18.5,"Bajo peso",T207&lt;25,"Peso normal",T207&lt;30,"Sobrepeso",T207&lt;35,"Obesidad clase I",T207&lt;40,"Obesidad clase II",T207&gt;=40,"Obesidad clase III"))</f>
        <v>Sobrepeso</v>
      </c>
      <c r="V207">
        <v>114</v>
      </c>
      <c r="X207" t="s">
        <v>3463</v>
      </c>
      <c r="Y207">
        <v>0.8</v>
      </c>
      <c r="AA207">
        <v>90</v>
      </c>
      <c r="AB207" s="9">
        <f t="shared" si="7"/>
        <v>119.09736367148427</v>
      </c>
      <c r="AD207" t="s">
        <v>73</v>
      </c>
      <c r="AF207" t="s">
        <v>73</v>
      </c>
      <c r="AH207" t="s">
        <v>3463</v>
      </c>
      <c r="AI207" t="s">
        <v>3463</v>
      </c>
      <c r="AJ207" t="s">
        <v>3463</v>
      </c>
      <c r="AK207" t="s">
        <v>3463</v>
      </c>
      <c r="AL207" t="s">
        <v>3465</v>
      </c>
      <c r="AM207" t="s">
        <v>689</v>
      </c>
      <c r="AN207" t="s">
        <v>3666</v>
      </c>
      <c r="AP207" t="s">
        <v>3463</v>
      </c>
      <c r="AQ207" t="s">
        <v>690</v>
      </c>
      <c r="AR207" t="s">
        <v>3526</v>
      </c>
      <c r="AV207" t="s">
        <v>126</v>
      </c>
      <c r="AW207" t="s">
        <v>126</v>
      </c>
      <c r="BF207" t="s">
        <v>3921</v>
      </c>
      <c r="BH207" t="s">
        <v>4020</v>
      </c>
      <c r="BP207" t="s">
        <v>4260</v>
      </c>
      <c r="BQ207" t="s">
        <v>3463</v>
      </c>
      <c r="BR207" t="s">
        <v>3465</v>
      </c>
      <c r="BS207" t="s">
        <v>3463</v>
      </c>
      <c r="BT207" t="s">
        <v>3465</v>
      </c>
      <c r="BU207" t="s">
        <v>3463</v>
      </c>
      <c r="BV207" t="s">
        <v>3463</v>
      </c>
      <c r="BW207" t="s">
        <v>3463</v>
      </c>
      <c r="BX207" t="s">
        <v>79</v>
      </c>
      <c r="BY207" t="s">
        <v>87</v>
      </c>
      <c r="BZ207" t="s">
        <v>79</v>
      </c>
      <c r="CA207" s="10">
        <v>45909</v>
      </c>
    </row>
    <row r="208" spans="1:79">
      <c r="A208">
        <v>211</v>
      </c>
      <c r="B208">
        <v>69</v>
      </c>
      <c r="C208">
        <v>42</v>
      </c>
      <c r="D208" t="s">
        <v>3462</v>
      </c>
      <c r="E208" t="s">
        <v>691</v>
      </c>
      <c r="F208" t="s">
        <v>503</v>
      </c>
      <c r="G208" s="12" t="s">
        <v>3463</v>
      </c>
      <c r="I208">
        <v>62</v>
      </c>
      <c r="J208">
        <v>55</v>
      </c>
      <c r="K208">
        <v>159</v>
      </c>
      <c r="L208">
        <v>62</v>
      </c>
      <c r="M208" t="s">
        <v>72</v>
      </c>
      <c r="N208">
        <v>139</v>
      </c>
      <c r="O208">
        <v>71</v>
      </c>
      <c r="P208" t="s">
        <v>82</v>
      </c>
      <c r="Q208" t="s">
        <v>82</v>
      </c>
      <c r="R208">
        <v>71.900000000000006</v>
      </c>
      <c r="S208">
        <v>165</v>
      </c>
      <c r="T208" s="8">
        <f t="shared" si="6"/>
        <v>26.409550045913683</v>
      </c>
      <c r="U208" s="13" t="str" cm="1">
        <f t="array" ref="U208">IF(T208="","",_xlfn.IFS(T208&lt;18.5,"Bajo peso",T208&lt;25,"Peso normal",T208&lt;30,"Sobrepeso",T208&lt;35,"Obesidad clase I",T208&lt;40,"Obesidad clase II",T208&gt;=40,"Obesidad clase III"))</f>
        <v>Sobrepeso</v>
      </c>
      <c r="V208">
        <v>103</v>
      </c>
      <c r="X208" t="s">
        <v>3463</v>
      </c>
      <c r="Y208">
        <v>0.64</v>
      </c>
      <c r="AA208">
        <v>90</v>
      </c>
      <c r="AB208" s="9">
        <f t="shared" si="7"/>
        <v>121.21626868263029</v>
      </c>
      <c r="AD208" t="s">
        <v>73</v>
      </c>
      <c r="AF208" t="s">
        <v>73</v>
      </c>
      <c r="AH208" t="s">
        <v>3463</v>
      </c>
      <c r="AI208" t="s">
        <v>3463</v>
      </c>
      <c r="AJ208" t="s">
        <v>3463</v>
      </c>
      <c r="AK208" t="s">
        <v>3463</v>
      </c>
      <c r="AL208" t="s">
        <v>3463</v>
      </c>
      <c r="AP208" t="s">
        <v>3463</v>
      </c>
      <c r="AQ208" t="s">
        <v>159</v>
      </c>
      <c r="AR208" t="s">
        <v>3491</v>
      </c>
      <c r="AV208" t="s">
        <v>74</v>
      </c>
      <c r="AW208" t="s">
        <v>3915</v>
      </c>
      <c r="BF208" t="s">
        <v>3921</v>
      </c>
      <c r="BH208" t="s">
        <v>4020</v>
      </c>
      <c r="BP208" t="s">
        <v>4260</v>
      </c>
      <c r="BQ208" t="s">
        <v>3463</v>
      </c>
      <c r="BR208" t="s">
        <v>3465</v>
      </c>
      <c r="BS208" t="s">
        <v>3465</v>
      </c>
      <c r="BT208" t="s">
        <v>3465</v>
      </c>
      <c r="BU208" t="s">
        <v>3463</v>
      </c>
      <c r="BV208" t="s">
        <v>3463</v>
      </c>
      <c r="BW208" t="s">
        <v>3463</v>
      </c>
      <c r="BX208" t="s">
        <v>79</v>
      </c>
      <c r="BY208" t="s">
        <v>87</v>
      </c>
      <c r="BZ208" t="s">
        <v>79</v>
      </c>
      <c r="CA208" s="10">
        <v>45909</v>
      </c>
    </row>
    <row r="209" spans="1:79">
      <c r="A209">
        <v>212</v>
      </c>
      <c r="B209">
        <v>70</v>
      </c>
      <c r="C209">
        <v>34</v>
      </c>
      <c r="D209" t="s">
        <v>3462</v>
      </c>
      <c r="E209" t="s">
        <v>507</v>
      </c>
      <c r="F209" t="s">
        <v>71</v>
      </c>
      <c r="G209" s="12" t="s">
        <v>3465</v>
      </c>
      <c r="H209" s="12" t="s">
        <v>88</v>
      </c>
      <c r="I209">
        <v>71</v>
      </c>
      <c r="J209">
        <v>76</v>
      </c>
      <c r="K209">
        <v>143</v>
      </c>
      <c r="L209">
        <v>88</v>
      </c>
      <c r="M209" t="s">
        <v>72</v>
      </c>
      <c r="N209">
        <v>141</v>
      </c>
      <c r="O209">
        <v>88</v>
      </c>
      <c r="P209" t="s">
        <v>72</v>
      </c>
      <c r="Q209" t="s">
        <v>72</v>
      </c>
      <c r="R209">
        <v>92.5</v>
      </c>
      <c r="S209">
        <v>170.5</v>
      </c>
      <c r="T209" s="8">
        <f t="shared" si="6"/>
        <v>31.819471796768173</v>
      </c>
      <c r="U209" s="13" t="str" cm="1">
        <f t="array" ref="U209">IF(T209="","",_xlfn.IFS(T209&lt;18.5,"Bajo peso",T209&lt;25,"Peso normal",T209&lt;30,"Sobrepeso",T209&lt;35,"Obesidad clase I",T209&lt;40,"Obesidad clase II",T209&gt;=40,"Obesidad clase III"))</f>
        <v>Obesidad clase I</v>
      </c>
      <c r="V209">
        <v>129</v>
      </c>
      <c r="X209" t="s">
        <v>3463</v>
      </c>
      <c r="Y209">
        <v>0.57999999999999996</v>
      </c>
      <c r="AA209">
        <v>90</v>
      </c>
      <c r="AB209" s="9">
        <f t="shared" si="7"/>
        <v>131.24418492840178</v>
      </c>
      <c r="AD209" t="s">
        <v>73</v>
      </c>
      <c r="AF209" t="s">
        <v>73</v>
      </c>
      <c r="AH209" t="s">
        <v>3463</v>
      </c>
      <c r="AI209" t="s">
        <v>3463</v>
      </c>
      <c r="AJ209" t="s">
        <v>3463</v>
      </c>
      <c r="AK209" t="s">
        <v>3463</v>
      </c>
      <c r="AL209" t="s">
        <v>3465</v>
      </c>
      <c r="AM209" t="s">
        <v>692</v>
      </c>
      <c r="AN209" t="s">
        <v>3667</v>
      </c>
      <c r="AP209" t="s">
        <v>3463</v>
      </c>
      <c r="AQ209" t="s">
        <v>693</v>
      </c>
      <c r="AR209" t="s">
        <v>3512</v>
      </c>
      <c r="AV209" t="s">
        <v>74</v>
      </c>
      <c r="AW209" t="s">
        <v>3915</v>
      </c>
      <c r="BF209" t="s">
        <v>3921</v>
      </c>
      <c r="BH209" t="s">
        <v>4020</v>
      </c>
      <c r="BP209" t="s">
        <v>4260</v>
      </c>
      <c r="BQ209" t="s">
        <v>3465</v>
      </c>
      <c r="BR209" t="s">
        <v>3465</v>
      </c>
      <c r="BS209" t="s">
        <v>3465</v>
      </c>
      <c r="BT209" t="s">
        <v>3465</v>
      </c>
      <c r="BU209" t="s">
        <v>3463</v>
      </c>
      <c r="BV209" t="s">
        <v>3463</v>
      </c>
      <c r="BW209" t="s">
        <v>3463</v>
      </c>
      <c r="BX209" t="s">
        <v>79</v>
      </c>
      <c r="BY209" t="s">
        <v>87</v>
      </c>
      <c r="BZ209" t="s">
        <v>79</v>
      </c>
      <c r="CA209" s="10">
        <v>45909</v>
      </c>
    </row>
    <row r="210" spans="1:79">
      <c r="A210">
        <v>213</v>
      </c>
      <c r="B210">
        <v>71</v>
      </c>
      <c r="C210">
        <v>43</v>
      </c>
      <c r="D210" t="s">
        <v>3466</v>
      </c>
      <c r="E210" t="s">
        <v>502</v>
      </c>
      <c r="F210" t="s">
        <v>503</v>
      </c>
      <c r="G210" s="12" t="s">
        <v>3463</v>
      </c>
      <c r="H210" s="12"/>
      <c r="I210">
        <v>83</v>
      </c>
      <c r="J210">
        <v>75</v>
      </c>
      <c r="K210">
        <v>136</v>
      </c>
      <c r="L210">
        <v>82</v>
      </c>
      <c r="M210" t="s">
        <v>82</v>
      </c>
      <c r="N210">
        <v>139</v>
      </c>
      <c r="O210">
        <v>69</v>
      </c>
      <c r="P210" t="s">
        <v>82</v>
      </c>
      <c r="Q210" t="s">
        <v>82</v>
      </c>
      <c r="R210">
        <v>79.400000000000006</v>
      </c>
      <c r="S210">
        <v>159.5</v>
      </c>
      <c r="T210" s="8">
        <f t="shared" si="6"/>
        <v>31.210385118070775</v>
      </c>
      <c r="U210" s="13" t="str" cm="1">
        <f t="array" ref="U210">IF(T210="","",_xlfn.IFS(T210&lt;18.5,"Bajo peso",T210&lt;25,"Peso normal",T210&lt;30,"Sobrepeso",T210&lt;35,"Obesidad clase I",T210&lt;40,"Obesidad clase II",T210&gt;=40,"Obesidad clase III"))</f>
        <v>Obesidad clase I</v>
      </c>
      <c r="V210">
        <v>104</v>
      </c>
      <c r="X210" t="s">
        <v>3463</v>
      </c>
      <c r="Y210">
        <v>0.71</v>
      </c>
      <c r="AA210">
        <v>90</v>
      </c>
      <c r="AB210" s="9">
        <f t="shared" si="7"/>
        <v>108.1267526367352</v>
      </c>
      <c r="AD210" t="s">
        <v>73</v>
      </c>
      <c r="AF210" t="s">
        <v>73</v>
      </c>
      <c r="AH210" t="s">
        <v>3463</v>
      </c>
      <c r="AI210" t="s">
        <v>3463</v>
      </c>
      <c r="AJ210" t="s">
        <v>3463</v>
      </c>
      <c r="AK210" t="s">
        <v>3463</v>
      </c>
      <c r="AL210" t="s">
        <v>3463</v>
      </c>
      <c r="AO210" t="s">
        <v>3465</v>
      </c>
      <c r="AP210" t="s">
        <v>3465</v>
      </c>
      <c r="AQ210" t="s">
        <v>694</v>
      </c>
      <c r="AR210" t="s">
        <v>3524</v>
      </c>
      <c r="AV210" t="s">
        <v>74</v>
      </c>
      <c r="AW210" t="s">
        <v>3915</v>
      </c>
      <c r="AX210" t="s">
        <v>3465</v>
      </c>
      <c r="AY210" t="s">
        <v>3465</v>
      </c>
      <c r="BF210" t="s">
        <v>3921</v>
      </c>
      <c r="BH210" t="s">
        <v>4020</v>
      </c>
      <c r="BP210" t="s">
        <v>4260</v>
      </c>
      <c r="BQ210" t="s">
        <v>3463</v>
      </c>
      <c r="BR210" t="s">
        <v>3465</v>
      </c>
      <c r="BS210" t="s">
        <v>3465</v>
      </c>
      <c r="BT210" t="s">
        <v>3465</v>
      </c>
      <c r="BU210" t="s">
        <v>3465</v>
      </c>
      <c r="BV210" t="s">
        <v>3463</v>
      </c>
      <c r="BW210" t="s">
        <v>3463</v>
      </c>
      <c r="BX210" t="s">
        <v>79</v>
      </c>
      <c r="BY210" t="s">
        <v>87</v>
      </c>
      <c r="BZ210" t="s">
        <v>79</v>
      </c>
      <c r="CA210" s="10">
        <v>45909</v>
      </c>
    </row>
    <row r="211" spans="1:79">
      <c r="A211">
        <v>214</v>
      </c>
      <c r="B211">
        <v>72</v>
      </c>
      <c r="C211">
        <v>41</v>
      </c>
      <c r="D211" t="s">
        <v>3466</v>
      </c>
      <c r="E211" t="s">
        <v>695</v>
      </c>
      <c r="F211" t="s">
        <v>503</v>
      </c>
      <c r="G211" s="12" t="s">
        <v>3463</v>
      </c>
      <c r="H211" s="12"/>
      <c r="I211">
        <v>64</v>
      </c>
      <c r="K211">
        <v>132</v>
      </c>
      <c r="L211">
        <v>77</v>
      </c>
      <c r="M211" t="s">
        <v>82</v>
      </c>
      <c r="P211" t="s">
        <v>83</v>
      </c>
      <c r="Q211" t="s">
        <v>82</v>
      </c>
      <c r="R211">
        <v>79.7</v>
      </c>
      <c r="S211">
        <v>154</v>
      </c>
      <c r="T211" s="8">
        <f t="shared" si="6"/>
        <v>33.606004385225162</v>
      </c>
      <c r="U211" s="13" t="str" cm="1">
        <f t="array" ref="U211">IF(T211="","",_xlfn.IFS(T211&lt;18.5,"Bajo peso",T211&lt;25,"Peso normal",T211&lt;30,"Sobrepeso",T211&lt;35,"Obesidad clase I",T211&lt;40,"Obesidad clase II",T211&gt;=40,"Obesidad clase III"))</f>
        <v>Obesidad clase I</v>
      </c>
      <c r="V211">
        <v>80</v>
      </c>
      <c r="X211" t="s">
        <v>3463</v>
      </c>
      <c r="Y211">
        <v>0.62</v>
      </c>
      <c r="AA211">
        <v>90</v>
      </c>
      <c r="AB211" s="9">
        <f t="shared" si="7"/>
        <v>114.66470977385393</v>
      </c>
      <c r="AD211" t="s">
        <v>73</v>
      </c>
      <c r="AF211" t="s">
        <v>73</v>
      </c>
      <c r="AH211" t="s">
        <v>3463</v>
      </c>
      <c r="AI211" t="s">
        <v>3463</v>
      </c>
      <c r="AJ211" t="s">
        <v>3463</v>
      </c>
      <c r="AK211" t="s">
        <v>3463</v>
      </c>
      <c r="AL211" t="s">
        <v>3463</v>
      </c>
      <c r="AP211" t="s">
        <v>3463</v>
      </c>
      <c r="AT211" t="s">
        <v>3465</v>
      </c>
      <c r="AU211" t="s">
        <v>80</v>
      </c>
      <c r="AV211" t="s">
        <v>126</v>
      </c>
      <c r="AW211" t="s">
        <v>126</v>
      </c>
      <c r="AX211" t="s">
        <v>3463</v>
      </c>
      <c r="AY211" t="s">
        <v>3465</v>
      </c>
      <c r="AZ211" t="s">
        <v>665</v>
      </c>
      <c r="BF211" t="s">
        <v>3921</v>
      </c>
      <c r="BH211" t="s">
        <v>4020</v>
      </c>
      <c r="BP211" t="s">
        <v>4260</v>
      </c>
      <c r="BQ211" t="s">
        <v>3463</v>
      </c>
      <c r="BR211" t="s">
        <v>3463</v>
      </c>
      <c r="BS211" t="s">
        <v>3465</v>
      </c>
      <c r="BT211" t="s">
        <v>3465</v>
      </c>
      <c r="BU211" t="s">
        <v>3463</v>
      </c>
      <c r="BV211" t="s">
        <v>3463</v>
      </c>
      <c r="BW211" t="s">
        <v>3463</v>
      </c>
      <c r="BX211" t="s">
        <v>79</v>
      </c>
      <c r="BY211" t="s">
        <v>87</v>
      </c>
      <c r="BZ211" t="s">
        <v>79</v>
      </c>
      <c r="CA211" s="10">
        <v>45909</v>
      </c>
    </row>
    <row r="212" spans="1:79">
      <c r="A212">
        <v>215</v>
      </c>
      <c r="B212">
        <v>73</v>
      </c>
      <c r="C212">
        <v>43</v>
      </c>
      <c r="D212" t="s">
        <v>3462</v>
      </c>
      <c r="E212" t="s">
        <v>507</v>
      </c>
      <c r="F212" t="s">
        <v>503</v>
      </c>
      <c r="G212" s="12" t="s">
        <v>3463</v>
      </c>
      <c r="I212">
        <v>62</v>
      </c>
      <c r="K212">
        <v>142</v>
      </c>
      <c r="L212">
        <v>88</v>
      </c>
      <c r="M212" t="s">
        <v>72</v>
      </c>
      <c r="P212" t="s">
        <v>83</v>
      </c>
      <c r="Q212" t="s">
        <v>72</v>
      </c>
      <c r="R212">
        <v>104.7</v>
      </c>
      <c r="S212">
        <v>183.5</v>
      </c>
      <c r="T212" s="8">
        <f t="shared" si="6"/>
        <v>31.093853247110008</v>
      </c>
      <c r="U212" s="13" t="str" cm="1">
        <f t="array" ref="U212">IF(T212="","",_xlfn.IFS(T212&lt;18.5,"Bajo peso",T212&lt;25,"Peso normal",T212&lt;30,"Sobrepeso",T212&lt;35,"Obesidad clase I",T212&lt;40,"Obesidad clase II",T212&gt;=40,"Obesidad clase III"))</f>
        <v>Obesidad clase I</v>
      </c>
      <c r="V212">
        <v>79</v>
      </c>
      <c r="X212" t="s">
        <v>3463</v>
      </c>
      <c r="Y212">
        <v>0.77</v>
      </c>
      <c r="AA212">
        <v>90</v>
      </c>
      <c r="AB212" s="9">
        <f t="shared" si="7"/>
        <v>113.92159500270459</v>
      </c>
      <c r="AD212" t="s">
        <v>73</v>
      </c>
      <c r="AF212" t="s">
        <v>73</v>
      </c>
      <c r="AH212" t="s">
        <v>3463</v>
      </c>
      <c r="AI212" t="s">
        <v>3463</v>
      </c>
      <c r="AJ212" t="s">
        <v>3463</v>
      </c>
      <c r="AK212" t="s">
        <v>3463</v>
      </c>
      <c r="AL212" t="s">
        <v>3463</v>
      </c>
      <c r="AP212" t="s">
        <v>3463</v>
      </c>
      <c r="AQ212" t="s">
        <v>696</v>
      </c>
      <c r="AR212" t="s">
        <v>3491</v>
      </c>
      <c r="AV212" t="s">
        <v>74</v>
      </c>
      <c r="AW212" t="s">
        <v>3915</v>
      </c>
      <c r="BF212" t="s">
        <v>3921</v>
      </c>
      <c r="BH212" t="s">
        <v>4020</v>
      </c>
      <c r="BP212" t="s">
        <v>4260</v>
      </c>
      <c r="BQ212" t="s">
        <v>3465</v>
      </c>
      <c r="BR212" t="s">
        <v>3465</v>
      </c>
      <c r="BS212" t="s">
        <v>3463</v>
      </c>
      <c r="BT212" t="s">
        <v>3465</v>
      </c>
      <c r="BU212" t="s">
        <v>3463</v>
      </c>
      <c r="BV212" t="s">
        <v>3463</v>
      </c>
      <c r="BW212" t="s">
        <v>3463</v>
      </c>
      <c r="BX212" t="s">
        <v>79</v>
      </c>
      <c r="BY212" t="s">
        <v>87</v>
      </c>
      <c r="BZ212" t="s">
        <v>79</v>
      </c>
      <c r="CA212" s="10">
        <v>45909</v>
      </c>
    </row>
    <row r="213" spans="1:79">
      <c r="A213">
        <v>216</v>
      </c>
      <c r="B213">
        <v>74</v>
      </c>
      <c r="C213">
        <v>37</v>
      </c>
      <c r="D213" t="s">
        <v>3466</v>
      </c>
      <c r="E213" t="s">
        <v>502</v>
      </c>
      <c r="F213" t="s">
        <v>503</v>
      </c>
      <c r="G213" s="12" t="s">
        <v>3463</v>
      </c>
      <c r="H213" s="12"/>
      <c r="I213">
        <v>81</v>
      </c>
      <c r="J213">
        <v>7667</v>
      </c>
      <c r="K213">
        <v>155</v>
      </c>
      <c r="L213">
        <v>89</v>
      </c>
      <c r="M213" t="s">
        <v>72</v>
      </c>
      <c r="N213">
        <v>131</v>
      </c>
      <c r="O213">
        <v>85</v>
      </c>
      <c r="P213" t="s">
        <v>82</v>
      </c>
      <c r="Q213" t="s">
        <v>82</v>
      </c>
      <c r="R213">
        <v>67.099999999999994</v>
      </c>
      <c r="S213">
        <v>158</v>
      </c>
      <c r="T213" s="8">
        <f t="shared" si="6"/>
        <v>26.878705335683382</v>
      </c>
      <c r="U213" s="13" t="str" cm="1">
        <f t="array" ref="U213">IF(T213="","",_xlfn.IFS(T213&lt;18.5,"Bajo peso",T213&lt;25,"Peso normal",T213&lt;30,"Sobrepeso",T213&lt;35,"Obesidad clase I",T213&lt;40,"Obesidad clase II",T213&gt;=40,"Obesidad clase III"))</f>
        <v>Sobrepeso</v>
      </c>
      <c r="V213">
        <v>79</v>
      </c>
      <c r="X213" t="s">
        <v>3463</v>
      </c>
      <c r="Y213">
        <v>0.74</v>
      </c>
      <c r="AA213">
        <v>90</v>
      </c>
      <c r="AB213" s="9">
        <f t="shared" si="7"/>
        <v>106.799977298567</v>
      </c>
      <c r="AD213" t="s">
        <v>73</v>
      </c>
      <c r="AF213" t="s">
        <v>73</v>
      </c>
      <c r="AH213" t="s">
        <v>3463</v>
      </c>
      <c r="AI213" t="s">
        <v>3463</v>
      </c>
      <c r="AJ213" t="s">
        <v>3463</v>
      </c>
      <c r="AK213" t="s">
        <v>3463</v>
      </c>
      <c r="AL213" t="s">
        <v>3465</v>
      </c>
      <c r="AM213" t="s">
        <v>697</v>
      </c>
      <c r="AN213" t="s">
        <v>697</v>
      </c>
      <c r="AP213" t="s">
        <v>3463</v>
      </c>
      <c r="AQ213" t="s">
        <v>698</v>
      </c>
      <c r="AR213" t="s">
        <v>3488</v>
      </c>
      <c r="AV213" t="s">
        <v>74</v>
      </c>
      <c r="AW213" t="s">
        <v>3915</v>
      </c>
      <c r="AX213" t="s">
        <v>3463</v>
      </c>
      <c r="AY213" t="s">
        <v>3465</v>
      </c>
      <c r="AZ213" t="s">
        <v>247</v>
      </c>
      <c r="BF213" t="s">
        <v>3921</v>
      </c>
      <c r="BG213" t="s">
        <v>699</v>
      </c>
      <c r="BH213" t="s">
        <v>4042</v>
      </c>
      <c r="BL213" t="s">
        <v>700</v>
      </c>
      <c r="BP213" t="s">
        <v>4260</v>
      </c>
      <c r="BQ213" t="s">
        <v>3463</v>
      </c>
      <c r="BR213" t="s">
        <v>3465</v>
      </c>
      <c r="BS213" t="s">
        <v>3463</v>
      </c>
      <c r="BT213" t="s">
        <v>3463</v>
      </c>
      <c r="BU213" t="s">
        <v>3463</v>
      </c>
      <c r="BV213" t="s">
        <v>3463</v>
      </c>
      <c r="BW213" t="s">
        <v>3463</v>
      </c>
      <c r="BX213" t="s">
        <v>79</v>
      </c>
      <c r="BY213" t="s">
        <v>87</v>
      </c>
      <c r="BZ213" t="s">
        <v>79</v>
      </c>
      <c r="CA213" s="10">
        <v>45909</v>
      </c>
    </row>
    <row r="214" spans="1:79">
      <c r="A214">
        <v>217</v>
      </c>
      <c r="B214">
        <v>75</v>
      </c>
      <c r="C214">
        <v>28</v>
      </c>
      <c r="D214" t="s">
        <v>3466</v>
      </c>
      <c r="E214" t="s">
        <v>701</v>
      </c>
      <c r="F214" t="s">
        <v>613</v>
      </c>
      <c r="G214" s="12" t="s">
        <v>3463</v>
      </c>
      <c r="I214">
        <v>76</v>
      </c>
      <c r="K214">
        <v>139</v>
      </c>
      <c r="L214">
        <v>72</v>
      </c>
      <c r="M214" t="s">
        <v>82</v>
      </c>
      <c r="P214" t="s">
        <v>83</v>
      </c>
      <c r="Q214" t="s">
        <v>82</v>
      </c>
      <c r="R214">
        <v>67.2</v>
      </c>
      <c r="S214">
        <v>161</v>
      </c>
      <c r="T214" s="8">
        <f t="shared" si="6"/>
        <v>25.924925735889818</v>
      </c>
      <c r="U214" s="13" t="str" cm="1">
        <f t="array" ref="U214">IF(T214="","",_xlfn.IFS(T214&lt;18.5,"Bajo peso",T214&lt;25,"Peso normal",T214&lt;30,"Sobrepeso",T214&lt;35,"Obesidad clase I",T214&lt;40,"Obesidad clase II",T214&gt;=40,"Obesidad clase III"))</f>
        <v>Sobrepeso</v>
      </c>
      <c r="V214">
        <v>91</v>
      </c>
      <c r="X214" t="s">
        <v>3463</v>
      </c>
      <c r="Y214">
        <v>0.82</v>
      </c>
      <c r="AA214">
        <v>90</v>
      </c>
      <c r="AB214" s="9">
        <f t="shared" si="7"/>
        <v>99.857725449428671</v>
      </c>
      <c r="AD214" t="s">
        <v>73</v>
      </c>
      <c r="AF214" t="s">
        <v>73</v>
      </c>
      <c r="AH214" t="s">
        <v>3463</v>
      </c>
      <c r="AI214" t="s">
        <v>3463</v>
      </c>
      <c r="AJ214" t="s">
        <v>3463</v>
      </c>
      <c r="AK214" t="s">
        <v>3465</v>
      </c>
      <c r="AL214" t="s">
        <v>3463</v>
      </c>
      <c r="AP214" t="s">
        <v>3463</v>
      </c>
      <c r="AQ214" t="s">
        <v>702</v>
      </c>
      <c r="AR214" t="s">
        <v>3488</v>
      </c>
      <c r="AT214" t="s">
        <v>3463</v>
      </c>
      <c r="AV214" t="s">
        <v>126</v>
      </c>
      <c r="AW214" t="s">
        <v>126</v>
      </c>
      <c r="AY214" t="s">
        <v>3465</v>
      </c>
      <c r="AZ214" t="s">
        <v>665</v>
      </c>
      <c r="BF214" t="s">
        <v>3921</v>
      </c>
      <c r="BG214" t="s">
        <v>703</v>
      </c>
      <c r="BH214" t="s">
        <v>4043</v>
      </c>
      <c r="BL214" t="s">
        <v>703</v>
      </c>
      <c r="BP214" t="s">
        <v>4260</v>
      </c>
      <c r="BQ214" t="s">
        <v>3463</v>
      </c>
      <c r="BR214" t="s">
        <v>3463</v>
      </c>
      <c r="BS214" t="s">
        <v>3465</v>
      </c>
      <c r="BT214" t="s">
        <v>3465</v>
      </c>
      <c r="BU214" t="s">
        <v>3463</v>
      </c>
      <c r="BV214" t="s">
        <v>3463</v>
      </c>
      <c r="BW214" t="s">
        <v>3463</v>
      </c>
      <c r="BX214" t="s">
        <v>79</v>
      </c>
      <c r="BY214" t="s">
        <v>87</v>
      </c>
      <c r="BZ214" t="s">
        <v>79</v>
      </c>
      <c r="CA214" s="10">
        <v>45909</v>
      </c>
    </row>
    <row r="215" spans="1:79">
      <c r="A215">
        <v>218</v>
      </c>
      <c r="B215">
        <v>76</v>
      </c>
      <c r="C215">
        <v>34</v>
      </c>
      <c r="D215" t="s">
        <v>3466</v>
      </c>
      <c r="E215" t="s">
        <v>704</v>
      </c>
      <c r="F215" t="s">
        <v>503</v>
      </c>
      <c r="G215" s="12" t="s">
        <v>3465</v>
      </c>
      <c r="H215" s="12" t="s">
        <v>88</v>
      </c>
      <c r="I215">
        <v>85</v>
      </c>
      <c r="K215">
        <v>136</v>
      </c>
      <c r="L215">
        <v>87</v>
      </c>
      <c r="M215" t="s">
        <v>82</v>
      </c>
      <c r="P215" t="s">
        <v>83</v>
      </c>
      <c r="Q215" t="s">
        <v>82</v>
      </c>
      <c r="R215">
        <v>73.599999999999994</v>
      </c>
      <c r="S215">
        <v>159</v>
      </c>
      <c r="T215" s="8">
        <f t="shared" si="6"/>
        <v>29.112772437799137</v>
      </c>
      <c r="U215" s="13" t="str" cm="1">
        <f t="array" ref="U215">IF(T215="","",_xlfn.IFS(T215&lt;18.5,"Bajo peso",T215&lt;25,"Peso normal",T215&lt;30,"Sobrepeso",T215&lt;35,"Obesidad clase I",T215&lt;40,"Obesidad clase II",T215&gt;=40,"Obesidad clase III"))</f>
        <v>Sobrepeso</v>
      </c>
      <c r="V215">
        <v>108</v>
      </c>
      <c r="X215" t="s">
        <v>3463</v>
      </c>
      <c r="Y215">
        <v>0.53</v>
      </c>
      <c r="AA215">
        <v>90</v>
      </c>
      <c r="AB215" s="9">
        <f t="shared" si="7"/>
        <v>124.38062703666506</v>
      </c>
      <c r="AD215" t="s">
        <v>73</v>
      </c>
      <c r="AF215" t="s">
        <v>73</v>
      </c>
      <c r="AH215" t="s">
        <v>3463</v>
      </c>
      <c r="AI215" t="s">
        <v>3463</v>
      </c>
      <c r="AJ215" t="s">
        <v>3463</v>
      </c>
      <c r="AK215" t="s">
        <v>3463</v>
      </c>
      <c r="AL215" t="s">
        <v>3465</v>
      </c>
      <c r="AM215" t="s">
        <v>705</v>
      </c>
      <c r="AN215" t="s">
        <v>3668</v>
      </c>
      <c r="AO215" t="s">
        <v>3463</v>
      </c>
      <c r="AP215" t="s">
        <v>3465</v>
      </c>
      <c r="AQ215" t="s">
        <v>706</v>
      </c>
      <c r="AR215" t="s">
        <v>3505</v>
      </c>
      <c r="AV215" t="s">
        <v>74</v>
      </c>
      <c r="AW215" t="s">
        <v>3915</v>
      </c>
      <c r="AX215" t="s">
        <v>3463</v>
      </c>
      <c r="AY215" t="s">
        <v>3465</v>
      </c>
      <c r="AZ215" t="s">
        <v>104</v>
      </c>
      <c r="BF215" t="s">
        <v>3921</v>
      </c>
      <c r="BG215" t="s">
        <v>707</v>
      </c>
      <c r="BH215" t="s">
        <v>4092</v>
      </c>
      <c r="BP215" t="s">
        <v>4352</v>
      </c>
      <c r="BQ215" t="s">
        <v>3463</v>
      </c>
      <c r="BR215" t="s">
        <v>3463</v>
      </c>
      <c r="BS215" t="s">
        <v>3465</v>
      </c>
      <c r="BT215" t="s">
        <v>3465</v>
      </c>
      <c r="BU215" t="s">
        <v>3463</v>
      </c>
      <c r="BV215" t="s">
        <v>3463</v>
      </c>
      <c r="BW215" t="s">
        <v>3463</v>
      </c>
      <c r="BX215" t="s">
        <v>79</v>
      </c>
      <c r="BY215" t="s">
        <v>87</v>
      </c>
      <c r="BZ215" t="s">
        <v>79</v>
      </c>
      <c r="CA215" s="10">
        <v>45909</v>
      </c>
    </row>
    <row r="216" spans="1:79">
      <c r="A216">
        <v>219</v>
      </c>
      <c r="B216">
        <v>77</v>
      </c>
      <c r="C216">
        <v>30</v>
      </c>
      <c r="D216" t="s">
        <v>3466</v>
      </c>
      <c r="E216" t="s">
        <v>708</v>
      </c>
      <c r="F216" t="s">
        <v>503</v>
      </c>
      <c r="G216" s="12" t="s">
        <v>3465</v>
      </c>
      <c r="H216" s="12" t="s">
        <v>88</v>
      </c>
      <c r="I216">
        <v>86</v>
      </c>
      <c r="J216">
        <v>86</v>
      </c>
      <c r="K216">
        <v>141</v>
      </c>
      <c r="L216">
        <v>79</v>
      </c>
      <c r="M216" t="s">
        <v>72</v>
      </c>
      <c r="N216">
        <v>136</v>
      </c>
      <c r="O216">
        <v>77</v>
      </c>
      <c r="P216" t="s">
        <v>82</v>
      </c>
      <c r="Q216" t="s">
        <v>82</v>
      </c>
      <c r="R216">
        <v>60.5</v>
      </c>
      <c r="S216">
        <v>156.5</v>
      </c>
      <c r="T216" s="8">
        <f t="shared" si="6"/>
        <v>24.701691351345836</v>
      </c>
      <c r="U216" s="13" t="str" cm="1">
        <f t="array" ref="U216">IF(T216="","",_xlfn.IFS(T216&lt;18.5,"Bajo peso",T216&lt;25,"Peso normal",T216&lt;30,"Sobrepeso",T216&lt;35,"Obesidad clase I",T216&lt;40,"Obesidad clase II",T216&gt;=40,"Obesidad clase III"))</f>
        <v>Peso normal</v>
      </c>
      <c r="V216">
        <v>98</v>
      </c>
      <c r="X216" t="s">
        <v>3463</v>
      </c>
      <c r="Y216">
        <v>0.71</v>
      </c>
      <c r="AA216">
        <v>90</v>
      </c>
      <c r="AB216" s="9">
        <f t="shared" si="7"/>
        <v>117.23202281816449</v>
      </c>
      <c r="AD216" t="s">
        <v>73</v>
      </c>
      <c r="AF216" t="s">
        <v>73</v>
      </c>
      <c r="AH216" t="s">
        <v>3463</v>
      </c>
      <c r="AI216" t="s">
        <v>3463</v>
      </c>
      <c r="AJ216" t="s">
        <v>3463</v>
      </c>
      <c r="AK216" t="s">
        <v>3463</v>
      </c>
      <c r="AL216" t="s">
        <v>3465</v>
      </c>
      <c r="AM216" t="s">
        <v>709</v>
      </c>
      <c r="AN216" t="s">
        <v>3669</v>
      </c>
      <c r="AP216" t="s">
        <v>3463</v>
      </c>
      <c r="AQ216" t="s">
        <v>710</v>
      </c>
      <c r="AR216" t="s">
        <v>3527</v>
      </c>
      <c r="AT216" t="s">
        <v>3463</v>
      </c>
      <c r="AW216" t="s">
        <v>3916</v>
      </c>
      <c r="AX216" t="s">
        <v>3463</v>
      </c>
      <c r="AY216" t="s">
        <v>3465</v>
      </c>
      <c r="AZ216" t="s">
        <v>247</v>
      </c>
      <c r="BF216" t="s">
        <v>3921</v>
      </c>
      <c r="BH216" t="s">
        <v>4020</v>
      </c>
      <c r="BP216" t="s">
        <v>4260</v>
      </c>
      <c r="BQ216" t="s">
        <v>3463</v>
      </c>
      <c r="BR216" t="s">
        <v>3463</v>
      </c>
      <c r="BS216" t="s">
        <v>3465</v>
      </c>
      <c r="BT216" t="s">
        <v>3465</v>
      </c>
      <c r="BU216" t="s">
        <v>3463</v>
      </c>
      <c r="BV216" t="s">
        <v>3463</v>
      </c>
      <c r="BW216" t="s">
        <v>3463</v>
      </c>
      <c r="BX216" t="s">
        <v>79</v>
      </c>
      <c r="BY216" t="s">
        <v>87</v>
      </c>
      <c r="BZ216" t="s">
        <v>79</v>
      </c>
      <c r="CA216" s="10">
        <v>45909</v>
      </c>
    </row>
    <row r="217" spans="1:79">
      <c r="A217">
        <v>220</v>
      </c>
      <c r="B217">
        <v>78</v>
      </c>
      <c r="C217">
        <v>51</v>
      </c>
      <c r="D217" t="s">
        <v>3466</v>
      </c>
      <c r="E217" t="s">
        <v>502</v>
      </c>
      <c r="F217" t="s">
        <v>503</v>
      </c>
      <c r="G217" s="12" t="s">
        <v>3465</v>
      </c>
      <c r="H217" t="s">
        <v>88</v>
      </c>
      <c r="I217">
        <v>76</v>
      </c>
      <c r="K217">
        <v>128</v>
      </c>
      <c r="L217">
        <v>86</v>
      </c>
      <c r="M217" t="s">
        <v>82</v>
      </c>
      <c r="P217" t="s">
        <v>83</v>
      </c>
      <c r="Q217" t="s">
        <v>82</v>
      </c>
      <c r="R217">
        <v>49.8</v>
      </c>
      <c r="S217">
        <v>134.5</v>
      </c>
      <c r="T217" s="8">
        <f t="shared" si="6"/>
        <v>27.528641118834727</v>
      </c>
      <c r="U217" s="13" t="str" cm="1">
        <f t="array" ref="U217">IF(T217="","",_xlfn.IFS(T217&lt;18.5,"Bajo peso",T217&lt;25,"Peso normal",T217&lt;30,"Sobrepeso",T217&lt;35,"Obesidad clase I",T217&lt;40,"Obesidad clase II",T217&gt;=40,"Obesidad clase III"))</f>
        <v>Sobrepeso</v>
      </c>
      <c r="V217">
        <v>106</v>
      </c>
      <c r="X217" t="s">
        <v>3463</v>
      </c>
      <c r="Y217">
        <v>0.76</v>
      </c>
      <c r="AA217">
        <v>90</v>
      </c>
      <c r="AB217" s="9">
        <f t="shared" si="7"/>
        <v>94.811017425083278</v>
      </c>
      <c r="AD217" t="s">
        <v>73</v>
      </c>
      <c r="AF217" t="s">
        <v>73</v>
      </c>
      <c r="AH217" t="s">
        <v>3463</v>
      </c>
      <c r="AI217" t="s">
        <v>3463</v>
      </c>
      <c r="AJ217" t="s">
        <v>3465</v>
      </c>
      <c r="AK217" t="s">
        <v>3463</v>
      </c>
      <c r="AL217" t="s">
        <v>3463</v>
      </c>
      <c r="AO217" t="s">
        <v>3465</v>
      </c>
      <c r="AP217" t="s">
        <v>3465</v>
      </c>
      <c r="AQ217" t="s">
        <v>196</v>
      </c>
      <c r="AR217" t="s">
        <v>3522</v>
      </c>
      <c r="AT217" t="s">
        <v>3465</v>
      </c>
      <c r="AU217" t="s">
        <v>80</v>
      </c>
      <c r="AV217" t="s">
        <v>112</v>
      </c>
      <c r="AW217" t="s">
        <v>3917</v>
      </c>
      <c r="AX217" t="s">
        <v>3463</v>
      </c>
      <c r="AY217" t="s">
        <v>3465</v>
      </c>
      <c r="AZ217" t="s">
        <v>90</v>
      </c>
      <c r="BF217" t="s">
        <v>3921</v>
      </c>
      <c r="BG217" t="s">
        <v>703</v>
      </c>
      <c r="BH217" t="s">
        <v>4043</v>
      </c>
      <c r="BL217" t="s">
        <v>703</v>
      </c>
      <c r="BP217" t="s">
        <v>4260</v>
      </c>
      <c r="BQ217" t="s">
        <v>3463</v>
      </c>
      <c r="BR217" t="s">
        <v>3463</v>
      </c>
      <c r="BS217" t="s">
        <v>3465</v>
      </c>
      <c r="BT217" t="s">
        <v>3465</v>
      </c>
      <c r="BU217" t="s">
        <v>3463</v>
      </c>
      <c r="BV217" t="s">
        <v>3463</v>
      </c>
      <c r="BW217" t="s">
        <v>3463</v>
      </c>
      <c r="BX217" t="s">
        <v>79</v>
      </c>
      <c r="BY217" t="s">
        <v>87</v>
      </c>
      <c r="BZ217" t="s">
        <v>79</v>
      </c>
      <c r="CA217" s="10">
        <v>45909</v>
      </c>
    </row>
    <row r="218" spans="1:79">
      <c r="A218">
        <v>221</v>
      </c>
      <c r="B218">
        <v>79</v>
      </c>
      <c r="C218">
        <v>30</v>
      </c>
      <c r="D218" t="s">
        <v>3466</v>
      </c>
      <c r="F218" t="s">
        <v>168</v>
      </c>
      <c r="G218" s="12" t="s">
        <v>3465</v>
      </c>
      <c r="H218" t="s">
        <v>88</v>
      </c>
      <c r="I218">
        <v>89</v>
      </c>
      <c r="K218">
        <v>123</v>
      </c>
      <c r="L218">
        <v>71</v>
      </c>
      <c r="M218" t="s">
        <v>118</v>
      </c>
      <c r="P218" t="s">
        <v>83</v>
      </c>
      <c r="Q218" t="s">
        <v>118</v>
      </c>
      <c r="R218">
        <v>57</v>
      </c>
      <c r="S218">
        <v>162</v>
      </c>
      <c r="T218" s="8">
        <f t="shared" si="6"/>
        <v>21.719250114311844</v>
      </c>
      <c r="U218" s="13" t="str" cm="1">
        <f t="array" ref="U218">IF(T218="","",_xlfn.IFS(T218&lt;18.5,"Bajo peso",T218&lt;25,"Peso normal",T218&lt;30,"Sobrepeso",T218&lt;35,"Obesidad clase I",T218&lt;40,"Obesidad clase II",T218&gt;=40,"Obesidad clase III"))</f>
        <v>Peso normal</v>
      </c>
      <c r="V218">
        <v>77</v>
      </c>
      <c r="X218" t="s">
        <v>3463</v>
      </c>
      <c r="Y218">
        <v>0.8</v>
      </c>
      <c r="AA218">
        <v>90</v>
      </c>
      <c r="AB218" s="9">
        <f t="shared" si="7"/>
        <v>101.58937601542699</v>
      </c>
      <c r="AD218" t="s">
        <v>73</v>
      </c>
      <c r="AF218" t="s">
        <v>73</v>
      </c>
      <c r="AH218" t="s">
        <v>3463</v>
      </c>
      <c r="AI218" t="s">
        <v>3463</v>
      </c>
      <c r="AJ218" t="s">
        <v>3463</v>
      </c>
      <c r="AK218" t="s">
        <v>3463</v>
      </c>
      <c r="AL218" t="s">
        <v>3463</v>
      </c>
      <c r="AP218" t="s">
        <v>3463</v>
      </c>
      <c r="AQ218" t="s">
        <v>169</v>
      </c>
      <c r="AR218" t="s">
        <v>3493</v>
      </c>
      <c r="AT218" t="s">
        <v>3463</v>
      </c>
      <c r="AV218" t="s">
        <v>126</v>
      </c>
      <c r="AW218" t="s">
        <v>126</v>
      </c>
      <c r="AX218" t="s">
        <v>3463</v>
      </c>
      <c r="AY218" t="s">
        <v>3463</v>
      </c>
      <c r="AZ218" t="s">
        <v>718</v>
      </c>
      <c r="BF218" t="s">
        <v>3921</v>
      </c>
      <c r="BH218" t="s">
        <v>4020</v>
      </c>
      <c r="BP218" t="s">
        <v>4260</v>
      </c>
      <c r="BQ218" t="s">
        <v>3463</v>
      </c>
      <c r="BR218" t="s">
        <v>3463</v>
      </c>
      <c r="BS218" t="s">
        <v>3463</v>
      </c>
      <c r="BT218" t="s">
        <v>3463</v>
      </c>
      <c r="BU218" t="s">
        <v>3463</v>
      </c>
      <c r="BV218" t="s">
        <v>3463</v>
      </c>
      <c r="BW218" t="s">
        <v>3463</v>
      </c>
      <c r="BX218" t="s">
        <v>79</v>
      </c>
      <c r="BY218" t="s">
        <v>87</v>
      </c>
      <c r="BZ218" t="s">
        <v>79</v>
      </c>
      <c r="CA218" s="10">
        <v>45909</v>
      </c>
    </row>
    <row r="219" spans="1:79">
      <c r="A219">
        <v>222</v>
      </c>
      <c r="B219">
        <v>80</v>
      </c>
      <c r="C219">
        <v>35</v>
      </c>
      <c r="D219" t="s">
        <v>3466</v>
      </c>
      <c r="E219" t="s">
        <v>708</v>
      </c>
      <c r="F219" t="s">
        <v>503</v>
      </c>
      <c r="G219" s="12" t="s">
        <v>3465</v>
      </c>
      <c r="H219" t="s">
        <v>88</v>
      </c>
      <c r="I219">
        <v>88</v>
      </c>
      <c r="J219">
        <v>83</v>
      </c>
      <c r="K219">
        <v>153</v>
      </c>
      <c r="L219">
        <v>84</v>
      </c>
      <c r="M219" t="s">
        <v>72</v>
      </c>
      <c r="N219">
        <v>142</v>
      </c>
      <c r="O219">
        <v>83</v>
      </c>
      <c r="P219" t="s">
        <v>72</v>
      </c>
      <c r="Q219" t="s">
        <v>72</v>
      </c>
      <c r="R219">
        <v>109.4</v>
      </c>
      <c r="S219">
        <v>167</v>
      </c>
      <c r="T219" s="8">
        <f t="shared" si="6"/>
        <v>39.226935350855179</v>
      </c>
      <c r="U219" s="13" t="str" cm="1">
        <f t="array" ref="U219">IF(T219="","",_xlfn.IFS(T219&lt;18.5,"Bajo peso",T219&lt;25,"Peso normal",T219&lt;30,"Sobrepeso",T219&lt;35,"Obesidad clase I",T219&lt;40,"Obesidad clase II",T219&gt;=40,"Obesidad clase III"))</f>
        <v>Obesidad clase II</v>
      </c>
      <c r="V219">
        <v>116</v>
      </c>
      <c r="X219" t="s">
        <v>3463</v>
      </c>
      <c r="Y219">
        <v>0.64</v>
      </c>
      <c r="AA219">
        <v>90</v>
      </c>
      <c r="AB219" s="9">
        <f t="shared" si="7"/>
        <v>118.11711889319595</v>
      </c>
      <c r="AD219" t="s">
        <v>73</v>
      </c>
      <c r="AF219" t="s">
        <v>73</v>
      </c>
      <c r="AH219" t="s">
        <v>3463</v>
      </c>
      <c r="AI219" t="s">
        <v>3463</v>
      </c>
      <c r="AJ219" t="s">
        <v>3465</v>
      </c>
      <c r="AK219" t="s">
        <v>3463</v>
      </c>
      <c r="AL219" t="s">
        <v>3465</v>
      </c>
      <c r="AM219" t="s">
        <v>711</v>
      </c>
      <c r="AN219" t="s">
        <v>3670</v>
      </c>
      <c r="AO219" t="s">
        <v>3465</v>
      </c>
      <c r="AP219" t="s">
        <v>3465</v>
      </c>
      <c r="AQ219" t="s">
        <v>712</v>
      </c>
      <c r="AR219" t="s">
        <v>3522</v>
      </c>
      <c r="AT219" t="s">
        <v>3463</v>
      </c>
      <c r="AV219" t="s">
        <v>126</v>
      </c>
      <c r="AW219" t="s">
        <v>126</v>
      </c>
      <c r="AX219" t="s">
        <v>3463</v>
      </c>
      <c r="AY219" t="s">
        <v>3465</v>
      </c>
      <c r="AZ219" t="s">
        <v>665</v>
      </c>
      <c r="BC219" t="s">
        <v>128</v>
      </c>
      <c r="BE219" t="s">
        <v>713</v>
      </c>
      <c r="BF219" t="s">
        <v>3934</v>
      </c>
      <c r="BG219" t="s">
        <v>714</v>
      </c>
      <c r="BH219" t="s">
        <v>4093</v>
      </c>
      <c r="BI219" t="s">
        <v>715</v>
      </c>
      <c r="BK219" t="s">
        <v>716</v>
      </c>
      <c r="BL219" t="s">
        <v>717</v>
      </c>
      <c r="BP219" t="s">
        <v>4353</v>
      </c>
      <c r="BQ219" t="s">
        <v>3463</v>
      </c>
      <c r="BR219" t="s">
        <v>3463</v>
      </c>
      <c r="BS219" t="s">
        <v>3463</v>
      </c>
      <c r="BT219" t="s">
        <v>3463</v>
      </c>
      <c r="BU219" t="s">
        <v>3463</v>
      </c>
      <c r="BV219" t="s">
        <v>3463</v>
      </c>
      <c r="BW219" t="s">
        <v>3463</v>
      </c>
      <c r="BX219" t="s">
        <v>79</v>
      </c>
      <c r="BY219" t="s">
        <v>87</v>
      </c>
      <c r="BZ219" t="s">
        <v>79</v>
      </c>
      <c r="CA219" s="10">
        <v>45909</v>
      </c>
    </row>
    <row r="220" spans="1:79">
      <c r="A220">
        <v>223</v>
      </c>
      <c r="B220">
        <v>81</v>
      </c>
      <c r="C220">
        <v>43</v>
      </c>
      <c r="D220" t="s">
        <v>3466</v>
      </c>
      <c r="E220" t="s">
        <v>646</v>
      </c>
      <c r="F220" t="s">
        <v>503</v>
      </c>
      <c r="G220" s="12" t="s">
        <v>3465</v>
      </c>
      <c r="H220" t="s">
        <v>88</v>
      </c>
      <c r="I220">
        <v>72</v>
      </c>
      <c r="J220">
        <v>70</v>
      </c>
      <c r="K220">
        <v>152</v>
      </c>
      <c r="L220">
        <v>109</v>
      </c>
      <c r="M220" t="s">
        <v>72</v>
      </c>
      <c r="N220">
        <v>157</v>
      </c>
      <c r="O220">
        <v>107</v>
      </c>
      <c r="P220" t="s">
        <v>72</v>
      </c>
      <c r="Q220" t="s">
        <v>72</v>
      </c>
      <c r="R220">
        <v>91.8</v>
      </c>
      <c r="S220">
        <v>163</v>
      </c>
      <c r="T220" s="8">
        <f t="shared" si="6"/>
        <v>34.551545033685876</v>
      </c>
      <c r="U220" s="13" t="str" cm="1">
        <f t="array" ref="U220">IF(T220="","",_xlfn.IFS(T220&lt;18.5,"Bajo peso",T220&lt;25,"Peso normal",T220&lt;30,"Sobrepeso",T220&lt;35,"Obesidad clase I",T220&lt;40,"Obesidad clase II",T220&gt;=40,"Obesidad clase III"))</f>
        <v>Obesidad clase I</v>
      </c>
      <c r="V220">
        <v>120</v>
      </c>
      <c r="X220" t="s">
        <v>3463</v>
      </c>
      <c r="Y220">
        <v>0.59</v>
      </c>
      <c r="AA220">
        <v>90</v>
      </c>
      <c r="AB220" s="9">
        <f t="shared" si="7"/>
        <v>114.60902642795705</v>
      </c>
      <c r="AD220" t="s">
        <v>73</v>
      </c>
      <c r="AF220" t="s">
        <v>73</v>
      </c>
      <c r="AH220" t="s">
        <v>3463</v>
      </c>
      <c r="AI220" t="s">
        <v>3465</v>
      </c>
      <c r="AJ220" t="s">
        <v>3465</v>
      </c>
      <c r="AK220" t="s">
        <v>3463</v>
      </c>
      <c r="AL220" t="s">
        <v>3465</v>
      </c>
      <c r="AM220" t="s">
        <v>697</v>
      </c>
      <c r="AN220" t="s">
        <v>697</v>
      </c>
      <c r="AP220" t="s">
        <v>3463</v>
      </c>
      <c r="AQ220" t="s">
        <v>661</v>
      </c>
      <c r="AR220" t="s">
        <v>3504</v>
      </c>
      <c r="AS220" t="s">
        <v>3465</v>
      </c>
      <c r="AV220" t="s">
        <v>178</v>
      </c>
      <c r="AW220" t="s">
        <v>3918</v>
      </c>
      <c r="AX220" t="s">
        <v>3463</v>
      </c>
      <c r="AY220" t="s">
        <v>3465</v>
      </c>
      <c r="BA220" t="s">
        <v>3920</v>
      </c>
      <c r="BF220" t="s">
        <v>3921</v>
      </c>
      <c r="BG220" t="s">
        <v>719</v>
      </c>
      <c r="BH220" t="s">
        <v>4021</v>
      </c>
      <c r="BL220" t="s">
        <v>720</v>
      </c>
      <c r="BP220" t="s">
        <v>4354</v>
      </c>
      <c r="BQ220" t="s">
        <v>3463</v>
      </c>
      <c r="BR220" t="s">
        <v>3465</v>
      </c>
      <c r="BS220" t="s">
        <v>3465</v>
      </c>
      <c r="BT220" t="s">
        <v>3465</v>
      </c>
      <c r="BU220" t="s">
        <v>3463</v>
      </c>
      <c r="BV220" t="s">
        <v>3463</v>
      </c>
      <c r="BW220" t="s">
        <v>3463</v>
      </c>
      <c r="BX220" t="s">
        <v>79</v>
      </c>
      <c r="BY220" t="s">
        <v>87</v>
      </c>
      <c r="BZ220" t="s">
        <v>79</v>
      </c>
      <c r="CA220" s="10">
        <v>45909</v>
      </c>
    </row>
    <row r="221" spans="1:79">
      <c r="A221">
        <v>224</v>
      </c>
      <c r="B221">
        <v>82</v>
      </c>
      <c r="C221">
        <v>26</v>
      </c>
      <c r="D221" t="s">
        <v>3462</v>
      </c>
      <c r="E221" t="s">
        <v>688</v>
      </c>
      <c r="F221" t="s">
        <v>503</v>
      </c>
      <c r="G221" s="12" t="s">
        <v>3463</v>
      </c>
      <c r="H221" s="12"/>
      <c r="I221">
        <v>53</v>
      </c>
      <c r="K221">
        <v>128</v>
      </c>
      <c r="L221">
        <v>89</v>
      </c>
      <c r="M221" t="s">
        <v>82</v>
      </c>
      <c r="P221" t="s">
        <v>83</v>
      </c>
      <c r="Q221" t="s">
        <v>82</v>
      </c>
      <c r="R221">
        <v>79</v>
      </c>
      <c r="S221">
        <v>171</v>
      </c>
      <c r="T221" s="8">
        <f t="shared" si="6"/>
        <v>27.016859888512705</v>
      </c>
      <c r="U221" s="13" t="str" cm="1">
        <f t="array" ref="U221">IF(T221="","",_xlfn.IFS(T221&lt;18.5,"Bajo peso",T221&lt;25,"Peso normal",T221&lt;30,"Sobrepeso",T221&lt;35,"Obesidad clase I",T221&lt;40,"Obesidad clase II",T221&gt;=40,"Obesidad clase III"))</f>
        <v>Sobrepeso</v>
      </c>
      <c r="V221">
        <v>117</v>
      </c>
      <c r="X221" t="s">
        <v>3463</v>
      </c>
      <c r="Y221">
        <v>0.69</v>
      </c>
      <c r="AA221">
        <v>90</v>
      </c>
      <c r="AB221" s="9">
        <f t="shared" si="7"/>
        <v>130.89135376132342</v>
      </c>
      <c r="AD221" t="s">
        <v>73</v>
      </c>
      <c r="AF221" t="s">
        <v>73</v>
      </c>
      <c r="AH221" t="s">
        <v>3463</v>
      </c>
      <c r="AI221" t="s">
        <v>3463</v>
      </c>
      <c r="AJ221" t="s">
        <v>3463</v>
      </c>
      <c r="AK221" t="s">
        <v>3463</v>
      </c>
      <c r="AL221" t="s">
        <v>3463</v>
      </c>
      <c r="AP221" t="s">
        <v>3463</v>
      </c>
      <c r="AQ221" t="s">
        <v>89</v>
      </c>
      <c r="AR221" t="s">
        <v>3488</v>
      </c>
      <c r="AV221" t="s">
        <v>178</v>
      </c>
      <c r="AW221" t="s">
        <v>3918</v>
      </c>
      <c r="BF221" t="s">
        <v>3921</v>
      </c>
      <c r="BH221" t="s">
        <v>4020</v>
      </c>
      <c r="BP221" t="s">
        <v>4260</v>
      </c>
      <c r="BQ221" t="s">
        <v>3463</v>
      </c>
      <c r="BR221" t="s">
        <v>3465</v>
      </c>
      <c r="BS221" t="s">
        <v>3463</v>
      </c>
      <c r="BT221" t="s">
        <v>3463</v>
      </c>
      <c r="BU221" t="s">
        <v>3463</v>
      </c>
      <c r="BV221" t="s">
        <v>3463</v>
      </c>
      <c r="BW221" t="s">
        <v>3463</v>
      </c>
      <c r="BX221" t="s">
        <v>79</v>
      </c>
      <c r="BY221" t="s">
        <v>87</v>
      </c>
      <c r="BZ221" t="s">
        <v>79</v>
      </c>
      <c r="CA221" s="10">
        <v>45909</v>
      </c>
    </row>
    <row r="222" spans="1:79">
      <c r="A222">
        <v>225</v>
      </c>
      <c r="B222">
        <v>83</v>
      </c>
      <c r="C222">
        <v>37</v>
      </c>
      <c r="D222" t="s">
        <v>3466</v>
      </c>
      <c r="F222" t="s">
        <v>613</v>
      </c>
      <c r="G222" s="12" t="s">
        <v>3463</v>
      </c>
      <c r="I222">
        <v>84</v>
      </c>
      <c r="K222">
        <v>144</v>
      </c>
      <c r="L222">
        <v>73</v>
      </c>
      <c r="M222" t="s">
        <v>72</v>
      </c>
      <c r="P222" t="s">
        <v>83</v>
      </c>
      <c r="Q222" t="s">
        <v>72</v>
      </c>
      <c r="R222">
        <v>68.8</v>
      </c>
      <c r="S222">
        <v>169</v>
      </c>
      <c r="T222" s="8">
        <f t="shared" si="6"/>
        <v>24.088792409229367</v>
      </c>
      <c r="U222" s="13" t="str" cm="1">
        <f t="array" ref="U222">IF(T222="","",_xlfn.IFS(T222&lt;18.5,"Bajo peso",T222&lt;25,"Peso normal",T222&lt;30,"Sobrepeso",T222&lt;35,"Obesidad clase I",T222&lt;40,"Obesidad clase II",T222&gt;=40,"Obesidad clase III"))</f>
        <v>Peso normal</v>
      </c>
      <c r="V222">
        <v>110</v>
      </c>
      <c r="X222" t="s">
        <v>3463</v>
      </c>
      <c r="Y222">
        <v>0.96</v>
      </c>
      <c r="AA222">
        <v>78</v>
      </c>
      <c r="AB222" s="9">
        <f t="shared" si="7"/>
        <v>78.149057452753524</v>
      </c>
      <c r="AD222" t="s">
        <v>73</v>
      </c>
      <c r="AF222" t="s">
        <v>73</v>
      </c>
      <c r="AH222" t="s">
        <v>3463</v>
      </c>
      <c r="AI222" t="s">
        <v>3463</v>
      </c>
      <c r="AJ222" t="s">
        <v>3463</v>
      </c>
      <c r="AK222" t="s">
        <v>3463</v>
      </c>
      <c r="AL222" t="s">
        <v>3463</v>
      </c>
      <c r="AP222" t="s">
        <v>3463</v>
      </c>
      <c r="AQ222" t="s">
        <v>159</v>
      </c>
      <c r="AR222" t="s">
        <v>3491</v>
      </c>
      <c r="AV222" t="s">
        <v>126</v>
      </c>
      <c r="AW222" t="s">
        <v>126</v>
      </c>
      <c r="AX222" t="s">
        <v>3463</v>
      </c>
      <c r="AY222" t="s">
        <v>3465</v>
      </c>
      <c r="AZ222" t="s">
        <v>90</v>
      </c>
      <c r="BF222" t="s">
        <v>3921</v>
      </c>
      <c r="BH222" t="s">
        <v>4020</v>
      </c>
      <c r="BP222" t="s">
        <v>4260</v>
      </c>
      <c r="BQ222" t="s">
        <v>3463</v>
      </c>
      <c r="BR222" t="s">
        <v>3463</v>
      </c>
      <c r="BS222" t="s">
        <v>3463</v>
      </c>
      <c r="BT222" t="s">
        <v>3465</v>
      </c>
      <c r="BU222" t="s">
        <v>3463</v>
      </c>
      <c r="BV222" t="s">
        <v>3463</v>
      </c>
      <c r="BW222" t="s">
        <v>3463</v>
      </c>
      <c r="BX222" t="s">
        <v>79</v>
      </c>
      <c r="BY222" t="s">
        <v>87</v>
      </c>
      <c r="BZ222" t="s">
        <v>79</v>
      </c>
      <c r="CA222" s="10">
        <v>45909</v>
      </c>
    </row>
    <row r="223" spans="1:79">
      <c r="A223">
        <v>226</v>
      </c>
      <c r="B223">
        <v>84</v>
      </c>
      <c r="C223">
        <v>39</v>
      </c>
      <c r="D223" t="s">
        <v>3466</v>
      </c>
      <c r="F223" t="s">
        <v>503</v>
      </c>
      <c r="G223" s="12" t="s">
        <v>3465</v>
      </c>
      <c r="H223" s="12" t="s">
        <v>88</v>
      </c>
      <c r="I223">
        <v>80</v>
      </c>
      <c r="J223">
        <v>82</v>
      </c>
      <c r="K223">
        <v>145</v>
      </c>
      <c r="L223">
        <v>87</v>
      </c>
      <c r="M223" t="s">
        <v>72</v>
      </c>
      <c r="N223">
        <v>149</v>
      </c>
      <c r="O223">
        <v>85</v>
      </c>
      <c r="P223" t="s">
        <v>72</v>
      </c>
      <c r="Q223" t="s">
        <v>72</v>
      </c>
      <c r="R223">
        <v>103.5</v>
      </c>
      <c r="S223">
        <v>164</v>
      </c>
      <c r="T223" s="8">
        <f t="shared" si="6"/>
        <v>38.481558596073761</v>
      </c>
      <c r="U223" s="13" t="str" cm="1">
        <f t="array" ref="U223">IF(T223="","",_xlfn.IFS(T223&lt;18.5,"Bajo peso",T223&lt;25,"Peso normal",T223&lt;30,"Sobrepeso",T223&lt;35,"Obesidad clase I",T223&lt;40,"Obesidad clase II",T223&gt;=40,"Obesidad clase III"))</f>
        <v>Obesidad clase II</v>
      </c>
      <c r="V223">
        <v>106</v>
      </c>
      <c r="X223" t="s">
        <v>3463</v>
      </c>
      <c r="Y223">
        <v>0.65</v>
      </c>
      <c r="AA223">
        <v>90</v>
      </c>
      <c r="AB223" s="9">
        <f t="shared" si="7"/>
        <v>114.78524606317967</v>
      </c>
      <c r="AD223" t="s">
        <v>73</v>
      </c>
      <c r="AF223" t="s">
        <v>73</v>
      </c>
      <c r="AH223" t="s">
        <v>3463</v>
      </c>
      <c r="AI223" t="s">
        <v>3463</v>
      </c>
      <c r="AJ223" t="s">
        <v>3463</v>
      </c>
      <c r="AK223" t="s">
        <v>3463</v>
      </c>
      <c r="AL223" t="s">
        <v>3465</v>
      </c>
      <c r="AM223" t="s">
        <v>724</v>
      </c>
      <c r="AN223" t="s">
        <v>3671</v>
      </c>
      <c r="AP223" t="s">
        <v>3463</v>
      </c>
      <c r="AQ223" t="s">
        <v>564</v>
      </c>
      <c r="AR223" t="s">
        <v>3491</v>
      </c>
      <c r="AT223" t="s">
        <v>3463</v>
      </c>
      <c r="AV223" t="s">
        <v>74</v>
      </c>
      <c r="AW223" t="s">
        <v>3915</v>
      </c>
      <c r="AX223" t="s">
        <v>3463</v>
      </c>
      <c r="AY223" t="s">
        <v>3465</v>
      </c>
      <c r="AZ223" t="s">
        <v>725</v>
      </c>
      <c r="BF223" t="s">
        <v>3921</v>
      </c>
      <c r="BG223" t="s">
        <v>726</v>
      </c>
      <c r="BH223" t="s">
        <v>4094</v>
      </c>
      <c r="BP223" t="s">
        <v>4355</v>
      </c>
      <c r="BQ223" t="s">
        <v>3463</v>
      </c>
      <c r="BR223" t="s">
        <v>3465</v>
      </c>
      <c r="BS223" t="s">
        <v>3465</v>
      </c>
      <c r="BT223" t="s">
        <v>3465</v>
      </c>
      <c r="BU223" t="s">
        <v>3463</v>
      </c>
      <c r="BV223" t="s">
        <v>3463</v>
      </c>
      <c r="BW223" t="s">
        <v>3463</v>
      </c>
      <c r="BX223" t="s">
        <v>79</v>
      </c>
      <c r="BY223" t="s">
        <v>87</v>
      </c>
      <c r="BZ223" t="s">
        <v>79</v>
      </c>
      <c r="CA223" s="10">
        <v>45909</v>
      </c>
    </row>
    <row r="224" spans="1:79">
      <c r="A224">
        <v>227</v>
      </c>
      <c r="B224">
        <v>85</v>
      </c>
      <c r="C224">
        <v>52</v>
      </c>
      <c r="D224" t="s">
        <v>3466</v>
      </c>
      <c r="E224" t="s">
        <v>708</v>
      </c>
      <c r="F224" t="s">
        <v>503</v>
      </c>
      <c r="G224" s="12" t="s">
        <v>3463</v>
      </c>
      <c r="I224">
        <v>72</v>
      </c>
      <c r="J224">
        <v>70</v>
      </c>
      <c r="K224">
        <v>142</v>
      </c>
      <c r="L224">
        <v>73</v>
      </c>
      <c r="M224" t="s">
        <v>72</v>
      </c>
      <c r="N224">
        <v>148</v>
      </c>
      <c r="O224">
        <v>63</v>
      </c>
      <c r="P224" t="s">
        <v>72</v>
      </c>
      <c r="Q224" t="s">
        <v>72</v>
      </c>
      <c r="R224">
        <v>90.6</v>
      </c>
      <c r="S224">
        <v>152.5</v>
      </c>
      <c r="T224" s="8">
        <f t="shared" si="6"/>
        <v>38.957269551195914</v>
      </c>
      <c r="U224" s="13" t="str" cm="1">
        <f t="array" ref="U224">IF(T224="","",_xlfn.IFS(T224&lt;18.5,"Bajo peso",T224&lt;25,"Peso normal",T224&lt;30,"Sobrepeso",T224&lt;35,"Obesidad clase I",T224&lt;40,"Obesidad clase II",T224&gt;=40,"Obesidad clase III"))</f>
        <v>Obesidad clase II</v>
      </c>
      <c r="V224">
        <v>89</v>
      </c>
      <c r="X224" t="s">
        <v>3463</v>
      </c>
      <c r="Y224">
        <v>0.61</v>
      </c>
      <c r="AA224">
        <v>90</v>
      </c>
      <c r="AB224" s="9">
        <f t="shared" si="7"/>
        <v>107.50300387611919</v>
      </c>
      <c r="AD224" t="s">
        <v>73</v>
      </c>
      <c r="AF224" t="s">
        <v>73</v>
      </c>
      <c r="AH224" t="s">
        <v>3463</v>
      </c>
      <c r="AI224" t="s">
        <v>3463</v>
      </c>
      <c r="AJ224" t="s">
        <v>3463</v>
      </c>
      <c r="AK224" t="s">
        <v>3463</v>
      </c>
      <c r="AL224" t="s">
        <v>3463</v>
      </c>
      <c r="AP224" t="s">
        <v>3463</v>
      </c>
      <c r="AQ224" t="s">
        <v>721</v>
      </c>
      <c r="AR224" t="s">
        <v>3493</v>
      </c>
      <c r="AT224" t="s">
        <v>3465</v>
      </c>
      <c r="AU224" t="s">
        <v>80</v>
      </c>
      <c r="AV224" t="s">
        <v>178</v>
      </c>
      <c r="AW224" t="s">
        <v>3918</v>
      </c>
      <c r="AY224" t="s">
        <v>3465</v>
      </c>
      <c r="AZ224" t="s">
        <v>665</v>
      </c>
      <c r="BF224" t="s">
        <v>3921</v>
      </c>
      <c r="BG224" t="s">
        <v>722</v>
      </c>
      <c r="BH224" t="s">
        <v>4095</v>
      </c>
      <c r="BI224" t="s">
        <v>411</v>
      </c>
      <c r="BL224" t="s">
        <v>723</v>
      </c>
      <c r="BP224" t="s">
        <v>4356</v>
      </c>
      <c r="BQ224" t="s">
        <v>3463</v>
      </c>
      <c r="BR224" t="s">
        <v>3463</v>
      </c>
      <c r="BS224" t="s">
        <v>3463</v>
      </c>
      <c r="BT224" t="s">
        <v>3463</v>
      </c>
      <c r="BU224" t="s">
        <v>3463</v>
      </c>
      <c r="BV224" t="s">
        <v>3463</v>
      </c>
      <c r="BW224" t="s">
        <v>3463</v>
      </c>
      <c r="BX224" t="s">
        <v>79</v>
      </c>
      <c r="BY224" t="s">
        <v>87</v>
      </c>
      <c r="BZ224" t="s">
        <v>79</v>
      </c>
      <c r="CA224" s="10">
        <v>45909</v>
      </c>
    </row>
    <row r="225" spans="1:79">
      <c r="A225">
        <v>228</v>
      </c>
      <c r="B225">
        <v>85</v>
      </c>
      <c r="C225">
        <v>23</v>
      </c>
      <c r="D225" t="s">
        <v>3466</v>
      </c>
      <c r="E225" t="s">
        <v>502</v>
      </c>
      <c r="F225" t="s">
        <v>503</v>
      </c>
      <c r="G225" s="12" t="s">
        <v>3465</v>
      </c>
      <c r="H225" t="s">
        <v>88</v>
      </c>
      <c r="I225">
        <v>77</v>
      </c>
      <c r="J225">
        <v>75</v>
      </c>
      <c r="K225">
        <v>140</v>
      </c>
      <c r="L225">
        <v>80</v>
      </c>
      <c r="M225" t="s">
        <v>72</v>
      </c>
      <c r="N225">
        <v>130</v>
      </c>
      <c r="O225">
        <v>77</v>
      </c>
      <c r="P225" t="s">
        <v>82</v>
      </c>
      <c r="Q225" t="s">
        <v>82</v>
      </c>
      <c r="R225">
        <v>94.6</v>
      </c>
      <c r="S225">
        <v>161</v>
      </c>
      <c r="T225" s="8">
        <f t="shared" si="6"/>
        <v>36.495505574630606</v>
      </c>
      <c r="U225" s="13" t="str" cm="1">
        <f t="array" ref="U225">IF(T225="","",_xlfn.IFS(T225&lt;18.5,"Bajo peso",T225&lt;25,"Peso normal",T225&lt;30,"Sobrepeso",T225&lt;35,"Obesidad clase I",T225&lt;40,"Obesidad clase II",T225&gt;=40,"Obesidad clase III"))</f>
        <v>Obesidad clase II</v>
      </c>
      <c r="V225">
        <v>97</v>
      </c>
      <c r="X225" t="s">
        <v>3463</v>
      </c>
      <c r="Y225">
        <v>0.7</v>
      </c>
      <c r="AA225">
        <v>90</v>
      </c>
      <c r="AB225" s="9">
        <f t="shared" si="7"/>
        <v>124.55055936007102</v>
      </c>
      <c r="AD225" t="s">
        <v>73</v>
      </c>
      <c r="AF225" t="s">
        <v>73</v>
      </c>
      <c r="AH225" t="s">
        <v>3463</v>
      </c>
      <c r="AI225" t="s">
        <v>3463</v>
      </c>
      <c r="AJ225" t="s">
        <v>3463</v>
      </c>
      <c r="AK225" t="s">
        <v>3465</v>
      </c>
      <c r="AL225" t="s">
        <v>3463</v>
      </c>
      <c r="AP225" t="s">
        <v>3463</v>
      </c>
      <c r="AQ225" t="s">
        <v>661</v>
      </c>
      <c r="AR225" t="s">
        <v>3504</v>
      </c>
      <c r="AV225" t="s">
        <v>126</v>
      </c>
      <c r="AW225" t="s">
        <v>126</v>
      </c>
      <c r="AX225" t="s">
        <v>3465</v>
      </c>
      <c r="BF225" t="s">
        <v>3921</v>
      </c>
      <c r="BH225" t="s">
        <v>4020</v>
      </c>
      <c r="BP225" t="s">
        <v>4260</v>
      </c>
      <c r="BQ225" t="s">
        <v>3463</v>
      </c>
      <c r="BR225" t="s">
        <v>3463</v>
      </c>
      <c r="BS225" t="s">
        <v>3465</v>
      </c>
      <c r="BT225" t="s">
        <v>3465</v>
      </c>
      <c r="BU225" t="s">
        <v>3463</v>
      </c>
      <c r="BV225" t="s">
        <v>3463</v>
      </c>
      <c r="BW225" t="s">
        <v>3463</v>
      </c>
      <c r="BX225" t="s">
        <v>79</v>
      </c>
      <c r="BY225" t="s">
        <v>87</v>
      </c>
      <c r="BZ225" t="s">
        <v>79</v>
      </c>
      <c r="CA225" s="10">
        <v>45909</v>
      </c>
    </row>
    <row r="226" spans="1:79">
      <c r="A226">
        <v>229</v>
      </c>
      <c r="B226">
        <v>87</v>
      </c>
      <c r="C226">
        <v>60</v>
      </c>
      <c r="D226" t="s">
        <v>3466</v>
      </c>
      <c r="E226" t="s">
        <v>527</v>
      </c>
      <c r="F226" t="s">
        <v>503</v>
      </c>
      <c r="G226" s="12" t="s">
        <v>3465</v>
      </c>
      <c r="H226" t="s">
        <v>88</v>
      </c>
      <c r="I226">
        <v>60</v>
      </c>
      <c r="J226">
        <v>58</v>
      </c>
      <c r="K226">
        <v>145</v>
      </c>
      <c r="L226">
        <v>84</v>
      </c>
      <c r="M226" t="s">
        <v>72</v>
      </c>
      <c r="N226">
        <v>168</v>
      </c>
      <c r="O226">
        <v>84</v>
      </c>
      <c r="P226" t="s">
        <v>72</v>
      </c>
      <c r="Q226" t="s">
        <v>72</v>
      </c>
      <c r="R226">
        <v>56</v>
      </c>
      <c r="S226">
        <v>149</v>
      </c>
      <c r="T226" s="8">
        <f t="shared" si="6"/>
        <v>25.224089004999772</v>
      </c>
      <c r="U226" s="13" t="str" cm="1">
        <f t="array" ref="U226">IF(T226="","",_xlfn.IFS(T226&lt;18.5,"Bajo peso",T226&lt;25,"Peso normal",T226&lt;30,"Sobrepeso",T226&lt;35,"Obesidad clase I",T226&lt;40,"Obesidad clase II",T226&gt;=40,"Obesidad clase III"))</f>
        <v>Sobrepeso</v>
      </c>
      <c r="V226">
        <v>84</v>
      </c>
      <c r="X226" t="s">
        <v>3463</v>
      </c>
      <c r="Y226">
        <v>0.88</v>
      </c>
      <c r="AA226">
        <v>76</v>
      </c>
      <c r="AB226" s="9">
        <f t="shared" si="7"/>
        <v>75.187707441245877</v>
      </c>
      <c r="AD226" t="s">
        <v>73</v>
      </c>
      <c r="AF226" t="s">
        <v>73</v>
      </c>
      <c r="AH226" t="s">
        <v>3463</v>
      </c>
      <c r="AI226" t="s">
        <v>3465</v>
      </c>
      <c r="AJ226" t="s">
        <v>3463</v>
      </c>
      <c r="AK226" t="s">
        <v>3463</v>
      </c>
      <c r="AL226" t="s">
        <v>3465</v>
      </c>
      <c r="AM226" t="s">
        <v>116</v>
      </c>
      <c r="AN226" t="s">
        <v>116</v>
      </c>
      <c r="AO226" t="s">
        <v>3465</v>
      </c>
      <c r="AP226" t="s">
        <v>3465</v>
      </c>
      <c r="AQ226" t="s">
        <v>89</v>
      </c>
      <c r="AR226" t="s">
        <v>3488</v>
      </c>
      <c r="AS226" t="s">
        <v>3465</v>
      </c>
      <c r="AT226" t="s">
        <v>3465</v>
      </c>
      <c r="AU226" t="s">
        <v>80</v>
      </c>
      <c r="AV226" t="s">
        <v>126</v>
      </c>
      <c r="AW226" t="s">
        <v>126</v>
      </c>
      <c r="AX226" t="s">
        <v>3463</v>
      </c>
      <c r="AY226" t="s">
        <v>3465</v>
      </c>
      <c r="AZ226" t="s">
        <v>90</v>
      </c>
      <c r="BA226" t="s">
        <v>3920</v>
      </c>
      <c r="BF226" t="s">
        <v>3921</v>
      </c>
      <c r="BG226" t="s">
        <v>727</v>
      </c>
      <c r="BH226" t="s">
        <v>4042</v>
      </c>
      <c r="BL226" t="s">
        <v>728</v>
      </c>
      <c r="BP226" t="s">
        <v>4357</v>
      </c>
      <c r="BQ226" t="s">
        <v>3463</v>
      </c>
      <c r="BR226" t="s">
        <v>3465</v>
      </c>
      <c r="BS226" t="s">
        <v>3465</v>
      </c>
      <c r="BT226" t="s">
        <v>3465</v>
      </c>
      <c r="BU226" t="s">
        <v>3463</v>
      </c>
      <c r="BV226" t="s">
        <v>3463</v>
      </c>
      <c r="BW226" t="s">
        <v>3463</v>
      </c>
      <c r="BX226" t="s">
        <v>79</v>
      </c>
      <c r="BY226" t="s">
        <v>87</v>
      </c>
      <c r="BZ226" t="s">
        <v>79</v>
      </c>
      <c r="CA226" s="10">
        <v>45909</v>
      </c>
    </row>
    <row r="227" spans="1:79">
      <c r="A227">
        <v>230</v>
      </c>
      <c r="B227">
        <v>88</v>
      </c>
      <c r="C227">
        <v>55</v>
      </c>
      <c r="D227" t="s">
        <v>3466</v>
      </c>
      <c r="F227" t="s">
        <v>503</v>
      </c>
      <c r="G227" s="12" t="s">
        <v>3463</v>
      </c>
      <c r="I227">
        <v>71</v>
      </c>
      <c r="J227">
        <v>75</v>
      </c>
      <c r="K227">
        <v>156</v>
      </c>
      <c r="L227">
        <v>89</v>
      </c>
      <c r="M227" t="s">
        <v>72</v>
      </c>
      <c r="N227">
        <v>134</v>
      </c>
      <c r="O227">
        <v>93</v>
      </c>
      <c r="P227" t="s">
        <v>72</v>
      </c>
      <c r="Q227" t="s">
        <v>72</v>
      </c>
      <c r="R227">
        <v>83.8</v>
      </c>
      <c r="S227">
        <v>164</v>
      </c>
      <c r="T227" s="8">
        <f t="shared" si="6"/>
        <v>31.157049375371802</v>
      </c>
      <c r="U227" s="13" t="str" cm="1">
        <f t="array" ref="U227">IF(T227="","",_xlfn.IFS(T227&lt;18.5,"Bajo peso",T227&lt;25,"Peso normal",T227&lt;30,"Sobrepeso",T227&lt;35,"Obesidad clase I",T227&lt;40,"Obesidad clase II",T227&gt;=40,"Obesidad clase III"))</f>
        <v>Obesidad clase I</v>
      </c>
      <c r="V227">
        <v>101</v>
      </c>
      <c r="X227" t="s">
        <v>3463</v>
      </c>
      <c r="Y227">
        <v>0.78</v>
      </c>
      <c r="AA227">
        <v>90</v>
      </c>
      <c r="AB227" s="9">
        <f t="shared" si="7"/>
        <v>89.643243968953442</v>
      </c>
      <c r="AD227" t="s">
        <v>73</v>
      </c>
      <c r="AF227" t="s">
        <v>73</v>
      </c>
      <c r="AH227" t="s">
        <v>3463</v>
      </c>
      <c r="AI227" t="s">
        <v>3463</v>
      </c>
      <c r="AJ227" t="s">
        <v>3463</v>
      </c>
      <c r="AK227" t="s">
        <v>3463</v>
      </c>
      <c r="AL227" t="s">
        <v>3463</v>
      </c>
      <c r="AP227" t="s">
        <v>3463</v>
      </c>
      <c r="AQ227" t="s">
        <v>159</v>
      </c>
      <c r="AR227" t="s">
        <v>3491</v>
      </c>
      <c r="AT227" t="s">
        <v>3465</v>
      </c>
      <c r="AU227" t="s">
        <v>80</v>
      </c>
      <c r="AV227" t="s">
        <v>74</v>
      </c>
      <c r="AW227" t="s">
        <v>3915</v>
      </c>
      <c r="AX227" t="s">
        <v>3463</v>
      </c>
      <c r="AY227" t="s">
        <v>3465</v>
      </c>
      <c r="AZ227" t="s">
        <v>90</v>
      </c>
      <c r="BF227" t="s">
        <v>3921</v>
      </c>
      <c r="BH227" t="s">
        <v>4020</v>
      </c>
      <c r="BP227" t="s">
        <v>4260</v>
      </c>
      <c r="BQ227" t="s">
        <v>3463</v>
      </c>
      <c r="BR227" t="s">
        <v>3465</v>
      </c>
      <c r="BS227" t="s">
        <v>3463</v>
      </c>
      <c r="BT227" t="s">
        <v>3465</v>
      </c>
      <c r="BU227" t="s">
        <v>3463</v>
      </c>
      <c r="BV227" t="s">
        <v>3463</v>
      </c>
      <c r="BW227" t="s">
        <v>3463</v>
      </c>
      <c r="BX227" t="s">
        <v>79</v>
      </c>
      <c r="BY227" t="s">
        <v>87</v>
      </c>
      <c r="BZ227" t="s">
        <v>79</v>
      </c>
      <c r="CA227" s="10">
        <v>45909</v>
      </c>
    </row>
    <row r="228" spans="1:79">
      <c r="A228">
        <v>231</v>
      </c>
      <c r="B228">
        <v>89</v>
      </c>
      <c r="C228">
        <v>53</v>
      </c>
      <c r="D228" t="s">
        <v>3466</v>
      </c>
      <c r="F228" t="s">
        <v>503</v>
      </c>
      <c r="G228" s="12" t="s">
        <v>3463</v>
      </c>
      <c r="H228" s="12"/>
      <c r="I228">
        <v>65</v>
      </c>
      <c r="J228">
        <v>64</v>
      </c>
      <c r="K228">
        <v>157</v>
      </c>
      <c r="L228">
        <v>92</v>
      </c>
      <c r="M228" t="s">
        <v>72</v>
      </c>
      <c r="N228">
        <v>143</v>
      </c>
      <c r="O228">
        <v>86</v>
      </c>
      <c r="P228" t="s">
        <v>72</v>
      </c>
      <c r="Q228" t="s">
        <v>72</v>
      </c>
      <c r="R228">
        <v>75.599999999999994</v>
      </c>
      <c r="S228">
        <v>157</v>
      </c>
      <c r="T228" s="8">
        <f t="shared" si="6"/>
        <v>30.670615440788669</v>
      </c>
      <c r="U228" s="13" t="str" cm="1">
        <f t="array" ref="U228">IF(T228="","",_xlfn.IFS(T228&lt;18.5,"Bajo peso",T228&lt;25,"Peso normal",T228&lt;30,"Sobrepeso",T228&lt;35,"Obesidad clase I",T228&lt;40,"Obesidad clase II",T228&gt;=40,"Obesidad clase III"))</f>
        <v>Obesidad clase I</v>
      </c>
      <c r="V228">
        <v>89</v>
      </c>
      <c r="X228" t="s">
        <v>3463</v>
      </c>
      <c r="Y228">
        <v>0.96</v>
      </c>
      <c r="AA228">
        <v>71</v>
      </c>
      <c r="AB228" s="9">
        <f t="shared" si="7"/>
        <v>70.746933938555244</v>
      </c>
      <c r="AD228" t="s">
        <v>73</v>
      </c>
      <c r="AF228" t="s">
        <v>73</v>
      </c>
      <c r="AH228" t="s">
        <v>3463</v>
      </c>
      <c r="AI228" t="s">
        <v>3465</v>
      </c>
      <c r="AJ228" t="s">
        <v>3463</v>
      </c>
      <c r="AK228" t="s">
        <v>3463</v>
      </c>
      <c r="AL228" t="s">
        <v>3465</v>
      </c>
      <c r="AM228" t="s">
        <v>729</v>
      </c>
      <c r="AN228" t="s">
        <v>729</v>
      </c>
      <c r="AP228" t="s">
        <v>3463</v>
      </c>
      <c r="AQ228" t="s">
        <v>730</v>
      </c>
      <c r="AR228" t="s">
        <v>3493</v>
      </c>
      <c r="AS228" t="s">
        <v>3465</v>
      </c>
      <c r="AT228" t="s">
        <v>3465</v>
      </c>
      <c r="AV228" t="s">
        <v>74</v>
      </c>
      <c r="AW228" t="s">
        <v>3915</v>
      </c>
      <c r="AX228" t="s">
        <v>3463</v>
      </c>
      <c r="AY228" t="s">
        <v>3465</v>
      </c>
      <c r="AZ228" t="s">
        <v>90</v>
      </c>
      <c r="BA228" t="s">
        <v>3920</v>
      </c>
      <c r="BF228" t="s">
        <v>3921</v>
      </c>
      <c r="BG228" t="s">
        <v>731</v>
      </c>
      <c r="BH228" t="s">
        <v>4021</v>
      </c>
      <c r="BL228" t="s">
        <v>728</v>
      </c>
      <c r="BP228" t="s">
        <v>4358</v>
      </c>
      <c r="BQ228" t="s">
        <v>3463</v>
      </c>
      <c r="BR228" t="s">
        <v>3463</v>
      </c>
      <c r="BS228" t="s">
        <v>3465</v>
      </c>
      <c r="BT228" t="s">
        <v>3465</v>
      </c>
      <c r="BU228" t="s">
        <v>3463</v>
      </c>
      <c r="BV228" t="s">
        <v>3463</v>
      </c>
      <c r="BW228" t="s">
        <v>3463</v>
      </c>
      <c r="BX228" t="s">
        <v>79</v>
      </c>
      <c r="BY228" t="s">
        <v>87</v>
      </c>
      <c r="BZ228" t="s">
        <v>79</v>
      </c>
      <c r="CA228" s="10">
        <v>45909</v>
      </c>
    </row>
    <row r="229" spans="1:79">
      <c r="A229">
        <v>232</v>
      </c>
      <c r="B229">
        <v>90</v>
      </c>
      <c r="C229">
        <v>55</v>
      </c>
      <c r="D229" t="s">
        <v>3466</v>
      </c>
      <c r="E229" t="s">
        <v>527</v>
      </c>
      <c r="F229" t="s">
        <v>503</v>
      </c>
      <c r="G229" s="12" t="s">
        <v>3465</v>
      </c>
      <c r="H229" s="12" t="s">
        <v>88</v>
      </c>
      <c r="I229">
        <v>73</v>
      </c>
      <c r="J229">
        <v>70</v>
      </c>
      <c r="K229">
        <v>180</v>
      </c>
      <c r="L229">
        <v>93</v>
      </c>
      <c r="M229" t="s">
        <v>96</v>
      </c>
      <c r="N229">
        <v>152</v>
      </c>
      <c r="O229">
        <v>87</v>
      </c>
      <c r="P229" t="s">
        <v>72</v>
      </c>
      <c r="Q229" t="s">
        <v>72</v>
      </c>
      <c r="R229">
        <v>66.3</v>
      </c>
      <c r="S229">
        <v>159</v>
      </c>
      <c r="T229" s="8">
        <f t="shared" si="6"/>
        <v>26.225228432419602</v>
      </c>
      <c r="U229" s="13" t="str" cm="1">
        <f t="array" ref="U229">IF(T229="","",_xlfn.IFS(T229&lt;18.5,"Bajo peso",T229&lt;25,"Peso normal",T229&lt;30,"Sobrepeso",T229&lt;35,"Obesidad clase I",T229&lt;40,"Obesidad clase II",T229&gt;=40,"Obesidad clase III"))</f>
        <v>Sobrepeso</v>
      </c>
      <c r="V229">
        <v>95</v>
      </c>
      <c r="X229" t="s">
        <v>3463</v>
      </c>
      <c r="Y229">
        <v>0.76</v>
      </c>
      <c r="AA229">
        <v>90</v>
      </c>
      <c r="AB229" s="9">
        <f t="shared" si="7"/>
        <v>92.481481161615434</v>
      </c>
      <c r="AD229" t="s">
        <v>73</v>
      </c>
      <c r="AF229" t="s">
        <v>73</v>
      </c>
      <c r="AH229" t="s">
        <v>3463</v>
      </c>
      <c r="AI229" t="s">
        <v>3463</v>
      </c>
      <c r="AJ229" t="s">
        <v>3463</v>
      </c>
      <c r="AK229" t="s">
        <v>3463</v>
      </c>
      <c r="AL229" t="s">
        <v>3465</v>
      </c>
      <c r="AM229" t="s">
        <v>732</v>
      </c>
      <c r="AN229" t="s">
        <v>3672</v>
      </c>
      <c r="AP229" t="s">
        <v>3463</v>
      </c>
      <c r="AQ229" t="s">
        <v>159</v>
      </c>
      <c r="AR229" t="s">
        <v>3491</v>
      </c>
      <c r="AT229" t="s">
        <v>3465</v>
      </c>
      <c r="AU229" t="s">
        <v>80</v>
      </c>
      <c r="AV229" t="s">
        <v>126</v>
      </c>
      <c r="AW229" t="s">
        <v>126</v>
      </c>
      <c r="AY229" t="s">
        <v>3465</v>
      </c>
      <c r="AZ229" t="s">
        <v>665</v>
      </c>
      <c r="BF229" t="s">
        <v>3921</v>
      </c>
      <c r="BG229" t="s">
        <v>653</v>
      </c>
      <c r="BH229" t="s">
        <v>4021</v>
      </c>
      <c r="BL229" t="s">
        <v>700</v>
      </c>
      <c r="BP229" t="s">
        <v>4260</v>
      </c>
      <c r="BQ229" t="s">
        <v>3463</v>
      </c>
      <c r="BR229" t="s">
        <v>3463</v>
      </c>
      <c r="BS229" t="s">
        <v>3465</v>
      </c>
      <c r="BT229" t="s">
        <v>3465</v>
      </c>
      <c r="BU229" t="s">
        <v>3463</v>
      </c>
      <c r="BV229" t="s">
        <v>3463</v>
      </c>
      <c r="BW229" t="s">
        <v>3463</v>
      </c>
      <c r="BX229" t="s">
        <v>79</v>
      </c>
      <c r="BY229" t="s">
        <v>87</v>
      </c>
      <c r="BZ229" t="s">
        <v>79</v>
      </c>
      <c r="CA229" s="10">
        <v>45909</v>
      </c>
    </row>
    <row r="230" spans="1:79">
      <c r="A230">
        <v>233</v>
      </c>
      <c r="B230">
        <v>91</v>
      </c>
      <c r="C230">
        <v>58</v>
      </c>
      <c r="D230" t="s">
        <v>3466</v>
      </c>
      <c r="E230" t="s">
        <v>502</v>
      </c>
      <c r="F230" t="s">
        <v>503</v>
      </c>
      <c r="G230" s="12" t="s">
        <v>3465</v>
      </c>
      <c r="H230" t="s">
        <v>88</v>
      </c>
      <c r="I230">
        <v>75</v>
      </c>
      <c r="J230">
        <v>627</v>
      </c>
      <c r="K230">
        <v>156</v>
      </c>
      <c r="L230">
        <v>87</v>
      </c>
      <c r="M230" t="s">
        <v>72</v>
      </c>
      <c r="N230">
        <v>158</v>
      </c>
      <c r="O230">
        <v>82</v>
      </c>
      <c r="P230" t="s">
        <v>72</v>
      </c>
      <c r="Q230" t="s">
        <v>72</v>
      </c>
      <c r="R230">
        <v>72.400000000000006</v>
      </c>
      <c r="S230">
        <v>154.5</v>
      </c>
      <c r="T230" s="8">
        <f t="shared" si="6"/>
        <v>30.330641698348366</v>
      </c>
      <c r="U230" s="13" t="str" cm="1">
        <f t="array" ref="U230">IF(T230="","",_xlfn.IFS(T230&lt;18.5,"Bajo peso",T230&lt;25,"Peso normal",T230&lt;30,"Sobrepeso",T230&lt;35,"Obesidad clase I",T230&lt;40,"Obesidad clase II",T230&gt;=40,"Obesidad clase III"))</f>
        <v>Obesidad clase I</v>
      </c>
      <c r="V230">
        <v>90</v>
      </c>
      <c r="X230" t="s">
        <v>3463</v>
      </c>
      <c r="Y230">
        <v>0.8</v>
      </c>
      <c r="AA230">
        <v>84</v>
      </c>
      <c r="AB230" s="9">
        <f t="shared" si="7"/>
        <v>85.353253507519725</v>
      </c>
      <c r="AD230" t="s">
        <v>73</v>
      </c>
      <c r="AF230" t="s">
        <v>73</v>
      </c>
      <c r="AH230" t="s">
        <v>3463</v>
      </c>
      <c r="AI230" t="s">
        <v>3463</v>
      </c>
      <c r="AJ230" t="s">
        <v>3463</v>
      </c>
      <c r="AK230" t="s">
        <v>3463</v>
      </c>
      <c r="AL230" t="s">
        <v>3463</v>
      </c>
      <c r="AP230" t="s">
        <v>3463</v>
      </c>
      <c r="AQ230" t="s">
        <v>547</v>
      </c>
      <c r="AR230" t="s">
        <v>3488</v>
      </c>
      <c r="AT230" t="s">
        <v>3463</v>
      </c>
      <c r="AV230" t="s">
        <v>178</v>
      </c>
      <c r="AW230" t="s">
        <v>3918</v>
      </c>
      <c r="AX230" t="s">
        <v>3465</v>
      </c>
      <c r="AY230" t="s">
        <v>3463</v>
      </c>
      <c r="BC230" t="s">
        <v>128</v>
      </c>
      <c r="BF230" t="s">
        <v>3921</v>
      </c>
      <c r="BG230" t="s">
        <v>733</v>
      </c>
      <c r="BH230" t="s">
        <v>4021</v>
      </c>
      <c r="BI230" t="s">
        <v>734</v>
      </c>
      <c r="BL230" t="s">
        <v>735</v>
      </c>
      <c r="BP230" t="s">
        <v>4359</v>
      </c>
      <c r="BQ230" t="s">
        <v>3465</v>
      </c>
      <c r="BR230" t="s">
        <v>3463</v>
      </c>
      <c r="BS230" t="s">
        <v>3465</v>
      </c>
      <c r="BT230" t="s">
        <v>3465</v>
      </c>
      <c r="BU230" t="s">
        <v>3463</v>
      </c>
      <c r="BV230" t="s">
        <v>3463</v>
      </c>
      <c r="BW230" t="s">
        <v>3463</v>
      </c>
      <c r="BX230" t="s">
        <v>79</v>
      </c>
      <c r="BY230" t="s">
        <v>87</v>
      </c>
      <c r="BZ230" t="s">
        <v>79</v>
      </c>
      <c r="CA230" s="10">
        <v>45909</v>
      </c>
    </row>
    <row r="231" spans="1:79">
      <c r="A231">
        <v>234</v>
      </c>
      <c r="B231">
        <v>92</v>
      </c>
      <c r="C231">
        <v>39</v>
      </c>
      <c r="D231" t="s">
        <v>3462</v>
      </c>
      <c r="E231" t="s">
        <v>708</v>
      </c>
      <c r="F231" t="s">
        <v>503</v>
      </c>
      <c r="G231" s="12" t="s">
        <v>3465</v>
      </c>
      <c r="H231" t="s">
        <v>88</v>
      </c>
      <c r="I231">
        <v>76</v>
      </c>
      <c r="J231">
        <v>80</v>
      </c>
      <c r="K231">
        <v>150</v>
      </c>
      <c r="L231">
        <v>82</v>
      </c>
      <c r="M231" t="s">
        <v>72</v>
      </c>
      <c r="N231">
        <v>135</v>
      </c>
      <c r="O231">
        <v>84</v>
      </c>
      <c r="P231" t="s">
        <v>82</v>
      </c>
      <c r="Q231" t="s">
        <v>82</v>
      </c>
      <c r="R231">
        <v>88.9</v>
      </c>
      <c r="S231">
        <v>165</v>
      </c>
      <c r="T231" s="8">
        <f t="shared" si="6"/>
        <v>32.653810835629017</v>
      </c>
      <c r="U231" s="13" t="str" cm="1">
        <f t="array" ref="U231">IF(T231="","",_xlfn.IFS(T231&lt;18.5,"Bajo peso",T231&lt;25,"Peso normal",T231&lt;30,"Sobrepeso",T231&lt;35,"Obesidad clase I",T231&lt;40,"Obesidad clase II",T231&gt;=40,"Obesidad clase III"))</f>
        <v>Obesidad clase I</v>
      </c>
      <c r="V231">
        <v>116</v>
      </c>
      <c r="X231" t="s">
        <v>3463</v>
      </c>
      <c r="Y231">
        <v>0.61</v>
      </c>
      <c r="AA231">
        <v>90</v>
      </c>
      <c r="AB231" s="9">
        <f t="shared" si="7"/>
        <v>125.30277121755442</v>
      </c>
      <c r="AD231" t="s">
        <v>73</v>
      </c>
      <c r="AF231" t="s">
        <v>73</v>
      </c>
      <c r="AH231" t="s">
        <v>3463</v>
      </c>
      <c r="AI231" t="s">
        <v>3463</v>
      </c>
      <c r="AJ231" t="s">
        <v>3463</v>
      </c>
      <c r="AK231" t="s">
        <v>3463</v>
      </c>
      <c r="AL231" t="s">
        <v>3463</v>
      </c>
      <c r="AP231" t="s">
        <v>3463</v>
      </c>
      <c r="AQ231" t="s">
        <v>89</v>
      </c>
      <c r="AR231" t="s">
        <v>3488</v>
      </c>
      <c r="AV231" t="s">
        <v>74</v>
      </c>
      <c r="AW231" t="s">
        <v>3915</v>
      </c>
      <c r="BF231" t="s">
        <v>3921</v>
      </c>
      <c r="BH231" t="s">
        <v>4020</v>
      </c>
      <c r="BP231" t="s">
        <v>4260</v>
      </c>
      <c r="BQ231" t="s">
        <v>3465</v>
      </c>
      <c r="BR231" t="s">
        <v>3465</v>
      </c>
      <c r="BS231" t="s">
        <v>3463</v>
      </c>
      <c r="BT231" t="s">
        <v>3465</v>
      </c>
      <c r="BU231" t="s">
        <v>3463</v>
      </c>
      <c r="BV231" t="s">
        <v>3463</v>
      </c>
      <c r="BW231" t="s">
        <v>3463</v>
      </c>
      <c r="BX231" t="s">
        <v>79</v>
      </c>
      <c r="BY231" t="s">
        <v>87</v>
      </c>
      <c r="BZ231" t="s">
        <v>79</v>
      </c>
      <c r="CA231" s="10">
        <v>45909</v>
      </c>
    </row>
    <row r="232" spans="1:79">
      <c r="A232">
        <v>235</v>
      </c>
      <c r="B232">
        <v>93</v>
      </c>
      <c r="C232">
        <v>52</v>
      </c>
      <c r="D232" t="s">
        <v>3462</v>
      </c>
      <c r="F232" t="s">
        <v>503</v>
      </c>
      <c r="G232" s="12" t="s">
        <v>3465</v>
      </c>
      <c r="H232" s="12" t="s">
        <v>88</v>
      </c>
      <c r="I232">
        <v>79</v>
      </c>
      <c r="J232">
        <v>77</v>
      </c>
      <c r="K232">
        <v>146</v>
      </c>
      <c r="L232">
        <v>97</v>
      </c>
      <c r="M232" t="s">
        <v>72</v>
      </c>
      <c r="N232">
        <v>146</v>
      </c>
      <c r="O232">
        <v>98</v>
      </c>
      <c r="P232" t="s">
        <v>72</v>
      </c>
      <c r="Q232" t="s">
        <v>72</v>
      </c>
      <c r="R232">
        <v>102.8</v>
      </c>
      <c r="S232">
        <v>163</v>
      </c>
      <c r="T232" s="8">
        <f t="shared" si="6"/>
        <v>38.691708381948885</v>
      </c>
      <c r="U232" s="13" t="str" cm="1">
        <f t="array" ref="U232">IF(T232="","",_xlfn.IFS(T232&lt;18.5,"Bajo peso",T232&lt;25,"Peso normal",T232&lt;30,"Sobrepeso",T232&lt;35,"Obesidad clase I",T232&lt;40,"Obesidad clase II",T232&gt;=40,"Obesidad clase III"))</f>
        <v>Obesidad clase II</v>
      </c>
      <c r="V232">
        <v>411</v>
      </c>
      <c r="X232" t="s">
        <v>3465</v>
      </c>
      <c r="Y232">
        <v>0.78</v>
      </c>
      <c r="AA232">
        <v>90</v>
      </c>
      <c r="AB232" s="9">
        <f t="shared" si="7"/>
        <v>107.30120953752768</v>
      </c>
      <c r="AD232" t="s">
        <v>73</v>
      </c>
      <c r="AF232" t="s">
        <v>73</v>
      </c>
      <c r="AG232" t="s">
        <v>3465</v>
      </c>
      <c r="AH232" t="s">
        <v>3465</v>
      </c>
      <c r="AI232" t="s">
        <v>3463</v>
      </c>
      <c r="AJ232" t="s">
        <v>3465</v>
      </c>
      <c r="AK232" t="s">
        <v>3463</v>
      </c>
      <c r="AL232" t="s">
        <v>3465</v>
      </c>
      <c r="AM232" t="s">
        <v>736</v>
      </c>
      <c r="AN232" t="s">
        <v>3673</v>
      </c>
      <c r="AO232" t="s">
        <v>3463</v>
      </c>
      <c r="AP232" t="s">
        <v>3465</v>
      </c>
      <c r="AV232" t="s">
        <v>74</v>
      </c>
      <c r="AW232" t="s">
        <v>3915</v>
      </c>
      <c r="BB232" t="s">
        <v>3485</v>
      </c>
      <c r="BE232" t="s">
        <v>116</v>
      </c>
      <c r="BF232" t="s">
        <v>116</v>
      </c>
      <c r="BG232" t="s">
        <v>737</v>
      </c>
      <c r="BH232" t="s">
        <v>4096</v>
      </c>
      <c r="BL232" t="s">
        <v>738</v>
      </c>
      <c r="BP232" t="s">
        <v>4360</v>
      </c>
      <c r="BQ232" t="s">
        <v>3463</v>
      </c>
      <c r="BR232" t="s">
        <v>3463</v>
      </c>
      <c r="BS232" t="s">
        <v>3465</v>
      </c>
      <c r="BT232" t="s">
        <v>3465</v>
      </c>
      <c r="BU232" t="s">
        <v>3463</v>
      </c>
      <c r="BV232" t="s">
        <v>3463</v>
      </c>
      <c r="BW232" t="s">
        <v>3463</v>
      </c>
      <c r="BX232" t="s">
        <v>79</v>
      </c>
      <c r="BY232" t="s">
        <v>87</v>
      </c>
      <c r="BZ232" t="s">
        <v>79</v>
      </c>
      <c r="CA232" s="10">
        <v>45909</v>
      </c>
    </row>
    <row r="233" spans="1:79">
      <c r="A233">
        <v>236</v>
      </c>
      <c r="B233">
        <v>94</v>
      </c>
      <c r="C233">
        <v>41</v>
      </c>
      <c r="D233" t="s">
        <v>3466</v>
      </c>
      <c r="E233" t="s">
        <v>527</v>
      </c>
      <c r="F233" t="s">
        <v>503</v>
      </c>
      <c r="G233" s="12" t="s">
        <v>3465</v>
      </c>
      <c r="H233" t="s">
        <v>88</v>
      </c>
      <c r="I233">
        <v>75</v>
      </c>
      <c r="J233">
        <v>71</v>
      </c>
      <c r="K233">
        <v>169</v>
      </c>
      <c r="L233">
        <v>74</v>
      </c>
      <c r="M233" t="s">
        <v>72</v>
      </c>
      <c r="N233">
        <v>150</v>
      </c>
      <c r="O233">
        <v>77</v>
      </c>
      <c r="P233" t="s">
        <v>72</v>
      </c>
      <c r="Q233" t="s">
        <v>72</v>
      </c>
      <c r="R233">
        <v>97.2</v>
      </c>
      <c r="S233">
        <v>158</v>
      </c>
      <c r="T233" s="8">
        <f t="shared" si="6"/>
        <v>38.936067937830472</v>
      </c>
      <c r="U233" s="13" t="str" cm="1">
        <f t="array" ref="U233">IF(T233="","",_xlfn.IFS(T233&lt;18.5,"Bajo peso",T233&lt;25,"Peso normal",T233&lt;30,"Sobrepeso",T233&lt;35,"Obesidad clase I",T233&lt;40,"Obesidad clase II",T233&gt;=40,"Obesidad clase III"))</f>
        <v>Obesidad clase II</v>
      </c>
      <c r="V233">
        <v>129</v>
      </c>
      <c r="X233" t="s">
        <v>3463</v>
      </c>
      <c r="Y233">
        <v>0.45</v>
      </c>
      <c r="AA233">
        <v>90</v>
      </c>
      <c r="AB233" s="9">
        <f t="shared" si="7"/>
        <v>123.87165997182102</v>
      </c>
      <c r="AD233" t="s">
        <v>73</v>
      </c>
      <c r="AF233" t="s">
        <v>73</v>
      </c>
      <c r="AH233" t="s">
        <v>3463</v>
      </c>
      <c r="AI233" t="s">
        <v>3463</v>
      </c>
      <c r="AJ233" t="s">
        <v>3463</v>
      </c>
      <c r="AK233" t="s">
        <v>3463</v>
      </c>
      <c r="AL233" t="s">
        <v>3463</v>
      </c>
      <c r="AP233" t="s">
        <v>3463</v>
      </c>
      <c r="AQ233" t="s">
        <v>159</v>
      </c>
      <c r="AR233" t="s">
        <v>3491</v>
      </c>
      <c r="AT233" t="s">
        <v>3465</v>
      </c>
      <c r="AU233" t="s">
        <v>80</v>
      </c>
      <c r="AV233" t="s">
        <v>74</v>
      </c>
      <c r="AW233" t="s">
        <v>3915</v>
      </c>
      <c r="AY233" t="s">
        <v>3465</v>
      </c>
      <c r="AZ233" t="s">
        <v>665</v>
      </c>
      <c r="BA233" t="s">
        <v>3920</v>
      </c>
      <c r="BC233" t="s">
        <v>128</v>
      </c>
      <c r="BF233" t="s">
        <v>3921</v>
      </c>
      <c r="BG233" t="s">
        <v>739</v>
      </c>
      <c r="BH233" t="s">
        <v>4097</v>
      </c>
      <c r="BI233" t="s">
        <v>76</v>
      </c>
      <c r="BK233" t="s">
        <v>720</v>
      </c>
      <c r="BL233" t="s">
        <v>740</v>
      </c>
      <c r="BP233" t="s">
        <v>4296</v>
      </c>
      <c r="BQ233" t="s">
        <v>3463</v>
      </c>
      <c r="BR233" t="s">
        <v>3463</v>
      </c>
      <c r="BS233" t="s">
        <v>3463</v>
      </c>
      <c r="BT233" t="s">
        <v>3463</v>
      </c>
      <c r="BU233" t="s">
        <v>3463</v>
      </c>
      <c r="BV233" t="s">
        <v>3463</v>
      </c>
      <c r="BW233" t="s">
        <v>3463</v>
      </c>
      <c r="BX233" t="s">
        <v>79</v>
      </c>
      <c r="BY233" t="s">
        <v>87</v>
      </c>
      <c r="BZ233" t="s">
        <v>79</v>
      </c>
      <c r="CA233" s="10">
        <v>45909</v>
      </c>
    </row>
    <row r="234" spans="1:79">
      <c r="A234">
        <v>237</v>
      </c>
      <c r="B234">
        <v>95</v>
      </c>
      <c r="C234">
        <v>46</v>
      </c>
      <c r="D234" t="s">
        <v>3466</v>
      </c>
      <c r="F234" t="s">
        <v>503</v>
      </c>
      <c r="G234" s="12" t="s">
        <v>3463</v>
      </c>
      <c r="I234">
        <v>65</v>
      </c>
      <c r="J234">
        <v>62</v>
      </c>
      <c r="K234">
        <v>162</v>
      </c>
      <c r="L234">
        <v>102</v>
      </c>
      <c r="M234" t="s">
        <v>72</v>
      </c>
      <c r="N234">
        <v>173</v>
      </c>
      <c r="O234">
        <v>105</v>
      </c>
      <c r="P234" t="s">
        <v>72</v>
      </c>
      <c r="Q234" t="s">
        <v>72</v>
      </c>
      <c r="R234">
        <v>106.2</v>
      </c>
      <c r="S234">
        <v>165</v>
      </c>
      <c r="T234" s="8">
        <f t="shared" si="6"/>
        <v>39.008264462809919</v>
      </c>
      <c r="U234" s="13" t="str" cm="1">
        <f t="array" ref="U234">IF(T234="","",_xlfn.IFS(T234&lt;18.5,"Bajo peso",T234&lt;25,"Peso normal",T234&lt;30,"Sobrepeso",T234&lt;35,"Obesidad clase I",T234&lt;40,"Obesidad clase II",T234&gt;=40,"Obesidad clase III"))</f>
        <v>Obesidad clase II</v>
      </c>
      <c r="V234">
        <v>74</v>
      </c>
      <c r="X234" t="s">
        <v>3463</v>
      </c>
      <c r="Y234">
        <v>0.63</v>
      </c>
      <c r="AA234">
        <v>90</v>
      </c>
      <c r="AB234" s="9">
        <f t="shared" si="7"/>
        <v>110.7261151714161</v>
      </c>
      <c r="AD234" t="s">
        <v>73</v>
      </c>
      <c r="AF234" t="s">
        <v>73</v>
      </c>
      <c r="AH234" t="s">
        <v>3463</v>
      </c>
      <c r="AI234" t="s">
        <v>3463</v>
      </c>
      <c r="AJ234" t="s">
        <v>3463</v>
      </c>
      <c r="AK234" t="s">
        <v>3463</v>
      </c>
      <c r="AL234" t="s">
        <v>3465</v>
      </c>
      <c r="AM234" t="s">
        <v>741</v>
      </c>
      <c r="AN234" t="s">
        <v>3674</v>
      </c>
      <c r="AO234" t="s">
        <v>3463</v>
      </c>
      <c r="AP234" t="s">
        <v>3465</v>
      </c>
      <c r="AQ234" t="s">
        <v>742</v>
      </c>
      <c r="AR234" t="s">
        <v>3528</v>
      </c>
      <c r="AT234" t="s">
        <v>3465</v>
      </c>
      <c r="AU234" t="s">
        <v>125</v>
      </c>
      <c r="AV234" t="s">
        <v>178</v>
      </c>
      <c r="AW234" t="s">
        <v>3918</v>
      </c>
      <c r="AX234" t="s">
        <v>3465</v>
      </c>
      <c r="AY234" t="s">
        <v>3465</v>
      </c>
      <c r="AZ234" t="s">
        <v>247</v>
      </c>
      <c r="BC234" t="s">
        <v>128</v>
      </c>
      <c r="BF234" t="s">
        <v>3921</v>
      </c>
      <c r="BG234" t="s">
        <v>743</v>
      </c>
      <c r="BH234" t="s">
        <v>4024</v>
      </c>
      <c r="BI234" t="s">
        <v>734</v>
      </c>
      <c r="BL234" t="s">
        <v>744</v>
      </c>
      <c r="BP234" t="s">
        <v>4361</v>
      </c>
      <c r="BQ234" t="s">
        <v>3463</v>
      </c>
      <c r="BR234" t="s">
        <v>3463</v>
      </c>
      <c r="BS234" t="s">
        <v>3465</v>
      </c>
      <c r="BT234" t="s">
        <v>3465</v>
      </c>
      <c r="BU234" t="s">
        <v>3463</v>
      </c>
      <c r="BV234" t="s">
        <v>3463</v>
      </c>
      <c r="BW234" t="s">
        <v>3463</v>
      </c>
      <c r="BX234" t="s">
        <v>79</v>
      </c>
      <c r="BY234" t="s">
        <v>87</v>
      </c>
      <c r="BZ234" t="s">
        <v>79</v>
      </c>
      <c r="CA234" s="10">
        <v>45909</v>
      </c>
    </row>
    <row r="235" spans="1:79">
      <c r="A235">
        <v>238</v>
      </c>
      <c r="B235">
        <v>96</v>
      </c>
      <c r="C235">
        <v>35</v>
      </c>
      <c r="D235" t="s">
        <v>3466</v>
      </c>
      <c r="E235" t="s">
        <v>745</v>
      </c>
      <c r="F235" t="s">
        <v>503</v>
      </c>
      <c r="G235" s="12" t="s">
        <v>3465</v>
      </c>
      <c r="H235" t="s">
        <v>88</v>
      </c>
      <c r="I235">
        <v>71</v>
      </c>
      <c r="J235">
        <v>65110</v>
      </c>
      <c r="K235">
        <v>165</v>
      </c>
      <c r="L235">
        <v>94</v>
      </c>
      <c r="M235" t="s">
        <v>72</v>
      </c>
      <c r="N235">
        <v>142</v>
      </c>
      <c r="O235">
        <v>89</v>
      </c>
      <c r="P235" t="s">
        <v>72</v>
      </c>
      <c r="Q235" t="s">
        <v>72</v>
      </c>
      <c r="R235">
        <v>110.4</v>
      </c>
      <c r="S235">
        <v>161</v>
      </c>
      <c r="T235" s="8">
        <f t="shared" si="6"/>
        <v>42.590949423247558</v>
      </c>
      <c r="U235" s="13" t="str" cm="1">
        <f t="array" ref="U235">IF(T235="","",_xlfn.IFS(T235&lt;18.5,"Bajo peso",T235&lt;25,"Peso normal",T235&lt;30,"Sobrepeso",T235&lt;35,"Obesidad clase I",T235&lt;40,"Obesidad clase II",T235&gt;=40,"Obesidad clase III"))</f>
        <v>Obesidad clase III</v>
      </c>
      <c r="V235">
        <v>89</v>
      </c>
      <c r="X235" t="s">
        <v>3463</v>
      </c>
      <c r="Y235">
        <v>0.56999999999999995</v>
      </c>
      <c r="AA235">
        <v>90</v>
      </c>
      <c r="AB235" s="9">
        <f t="shared" si="7"/>
        <v>121.46086750634394</v>
      </c>
      <c r="AD235" t="s">
        <v>73</v>
      </c>
      <c r="AF235" t="s">
        <v>73</v>
      </c>
      <c r="AH235" t="s">
        <v>3463</v>
      </c>
      <c r="AI235" t="s">
        <v>3463</v>
      </c>
      <c r="AJ235" t="s">
        <v>3463</v>
      </c>
      <c r="AK235" t="s">
        <v>3463</v>
      </c>
      <c r="AL235" t="s">
        <v>3463</v>
      </c>
      <c r="AP235" t="s">
        <v>3463</v>
      </c>
      <c r="AQ235" t="s">
        <v>169</v>
      </c>
      <c r="AR235" t="s">
        <v>3493</v>
      </c>
      <c r="AT235" t="s">
        <v>3463</v>
      </c>
      <c r="AV235" t="s">
        <v>74</v>
      </c>
      <c r="AW235" t="s">
        <v>3915</v>
      </c>
      <c r="AX235" t="s">
        <v>3463</v>
      </c>
      <c r="AY235" t="s">
        <v>3463</v>
      </c>
      <c r="BA235" t="s">
        <v>3920</v>
      </c>
      <c r="BF235" t="s">
        <v>3921</v>
      </c>
      <c r="BG235" t="s">
        <v>746</v>
      </c>
      <c r="BH235" t="s">
        <v>4017</v>
      </c>
      <c r="BI235" t="s">
        <v>76</v>
      </c>
      <c r="BK235" t="s">
        <v>720</v>
      </c>
      <c r="BL235" t="s">
        <v>747</v>
      </c>
      <c r="BP235" t="s">
        <v>4362</v>
      </c>
      <c r="BQ235" t="s">
        <v>3465</v>
      </c>
      <c r="BR235" t="s">
        <v>3463</v>
      </c>
      <c r="BS235" t="s">
        <v>3463</v>
      </c>
      <c r="BT235" t="s">
        <v>3463</v>
      </c>
      <c r="BU235" t="s">
        <v>3463</v>
      </c>
      <c r="BV235" t="s">
        <v>3463</v>
      </c>
      <c r="BW235" t="s">
        <v>3463</v>
      </c>
      <c r="BX235" t="s">
        <v>79</v>
      </c>
      <c r="BY235" t="s">
        <v>87</v>
      </c>
      <c r="BZ235" t="s">
        <v>79</v>
      </c>
      <c r="CA235" s="10">
        <v>45909</v>
      </c>
    </row>
    <row r="236" spans="1:79">
      <c r="A236">
        <v>239</v>
      </c>
      <c r="B236">
        <v>97</v>
      </c>
      <c r="C236">
        <v>46</v>
      </c>
      <c r="D236" t="s">
        <v>3466</v>
      </c>
      <c r="E236" t="s">
        <v>449</v>
      </c>
      <c r="F236" t="s">
        <v>503</v>
      </c>
      <c r="G236" s="12" t="s">
        <v>3465</v>
      </c>
      <c r="H236" t="s">
        <v>88</v>
      </c>
      <c r="I236">
        <v>82</v>
      </c>
      <c r="J236">
        <v>77</v>
      </c>
      <c r="K236">
        <v>156</v>
      </c>
      <c r="L236">
        <v>97</v>
      </c>
      <c r="M236" t="s">
        <v>72</v>
      </c>
      <c r="N236">
        <v>148</v>
      </c>
      <c r="O236">
        <v>96</v>
      </c>
      <c r="P236" t="s">
        <v>72</v>
      </c>
      <c r="Q236" t="s">
        <v>72</v>
      </c>
      <c r="R236">
        <v>88.8</v>
      </c>
      <c r="S236">
        <v>159</v>
      </c>
      <c r="T236" s="8">
        <f t="shared" si="6"/>
        <v>35.125192832562</v>
      </c>
      <c r="U236" s="13" t="str" cm="1">
        <f t="array" ref="U236">IF(T236="","",_xlfn.IFS(T236&lt;18.5,"Bajo peso",T236&lt;25,"Peso normal",T236&lt;30,"Sobrepeso",T236&lt;35,"Obesidad clase I",T236&lt;40,"Obesidad clase II",T236&gt;=40,"Obesidad clase III"))</f>
        <v>Obesidad clase II</v>
      </c>
      <c r="V236">
        <v>95</v>
      </c>
      <c r="X236" t="s">
        <v>3463</v>
      </c>
      <c r="Y236">
        <v>0.66</v>
      </c>
      <c r="AA236">
        <v>90</v>
      </c>
      <c r="AB236" s="9">
        <f t="shared" si="7"/>
        <v>109.49166170364055</v>
      </c>
      <c r="AD236" t="s">
        <v>73</v>
      </c>
      <c r="AF236" t="s">
        <v>73</v>
      </c>
      <c r="AH236" t="s">
        <v>3463</v>
      </c>
      <c r="AI236" t="s">
        <v>3463</v>
      </c>
      <c r="AJ236" t="s">
        <v>3463</v>
      </c>
      <c r="AK236" t="s">
        <v>3463</v>
      </c>
      <c r="AL236" t="s">
        <v>3465</v>
      </c>
      <c r="AM236" t="s">
        <v>748</v>
      </c>
      <c r="AN236" t="s">
        <v>3675</v>
      </c>
      <c r="AP236" t="s">
        <v>3463</v>
      </c>
      <c r="AQ236" t="s">
        <v>749</v>
      </c>
      <c r="AR236" t="s">
        <v>3505</v>
      </c>
      <c r="AV236" t="s">
        <v>74</v>
      </c>
      <c r="AW236" t="s">
        <v>3915</v>
      </c>
      <c r="AX236" t="s">
        <v>3463</v>
      </c>
      <c r="AY236" t="s">
        <v>3465</v>
      </c>
      <c r="AZ236" t="s">
        <v>247</v>
      </c>
      <c r="BC236" t="s">
        <v>128</v>
      </c>
      <c r="BE236" t="s">
        <v>750</v>
      </c>
      <c r="BF236" t="s">
        <v>3935</v>
      </c>
      <c r="BH236" t="s">
        <v>4021</v>
      </c>
      <c r="BI236" t="s">
        <v>751</v>
      </c>
      <c r="BL236" t="s">
        <v>752</v>
      </c>
      <c r="BP236" t="s">
        <v>4363</v>
      </c>
      <c r="BQ236" t="s">
        <v>3463</v>
      </c>
      <c r="BR236" t="s">
        <v>3465</v>
      </c>
      <c r="BS236" t="s">
        <v>3465</v>
      </c>
      <c r="BT236" t="s">
        <v>3465</v>
      </c>
      <c r="BU236" t="s">
        <v>3463</v>
      </c>
      <c r="BV236" t="s">
        <v>3463</v>
      </c>
      <c r="BW236" t="s">
        <v>3463</v>
      </c>
      <c r="BX236" t="s">
        <v>79</v>
      </c>
      <c r="BY236" t="s">
        <v>87</v>
      </c>
      <c r="BZ236" t="s">
        <v>79</v>
      </c>
      <c r="CA236" s="10">
        <v>45909</v>
      </c>
    </row>
    <row r="237" spans="1:79">
      <c r="A237">
        <v>240</v>
      </c>
      <c r="B237">
        <v>98</v>
      </c>
      <c r="C237">
        <v>31</v>
      </c>
      <c r="D237" t="s">
        <v>3462</v>
      </c>
      <c r="F237" t="s">
        <v>503</v>
      </c>
      <c r="G237" s="12" t="s">
        <v>3465</v>
      </c>
      <c r="H237" s="12" t="s">
        <v>88</v>
      </c>
      <c r="I237">
        <v>78</v>
      </c>
      <c r="J237">
        <v>61</v>
      </c>
      <c r="K237">
        <v>163</v>
      </c>
      <c r="L237">
        <v>92</v>
      </c>
      <c r="M237" t="s">
        <v>72</v>
      </c>
      <c r="N237">
        <v>128</v>
      </c>
      <c r="O237">
        <v>69</v>
      </c>
      <c r="P237" t="s">
        <v>118</v>
      </c>
      <c r="Q237" t="s">
        <v>118</v>
      </c>
      <c r="R237">
        <v>79.599999999999994</v>
      </c>
      <c r="S237">
        <v>178</v>
      </c>
      <c r="T237" s="8">
        <f t="shared" si="6"/>
        <v>25.12309051887388</v>
      </c>
      <c r="U237" s="13" t="str" cm="1">
        <f t="array" ref="U237">IF(T237="","",_xlfn.IFS(T237&lt;18.5,"Bajo peso",T237&lt;25,"Peso normal",T237&lt;30,"Sobrepeso",T237&lt;35,"Obesidad clase I",T237&lt;40,"Obesidad clase II",T237&gt;=40,"Obesidad clase III"))</f>
        <v>Sobrepeso</v>
      </c>
      <c r="V237">
        <v>98</v>
      </c>
      <c r="X237" t="s">
        <v>3463</v>
      </c>
      <c r="Y237">
        <v>0.93</v>
      </c>
      <c r="AA237">
        <v>90</v>
      </c>
      <c r="AB237" s="9">
        <f t="shared" si="7"/>
        <v>112.58190216171153</v>
      </c>
      <c r="AD237" t="s">
        <v>73</v>
      </c>
      <c r="AF237" t="s">
        <v>73</v>
      </c>
      <c r="AH237" t="s">
        <v>3463</v>
      </c>
      <c r="AI237" t="s">
        <v>3463</v>
      </c>
      <c r="AJ237" t="s">
        <v>3463</v>
      </c>
      <c r="AK237" t="s">
        <v>3463</v>
      </c>
      <c r="AL237" t="s">
        <v>3463</v>
      </c>
      <c r="AP237" t="s">
        <v>3463</v>
      </c>
      <c r="AQ237" t="s">
        <v>169</v>
      </c>
      <c r="AR237" t="s">
        <v>3493</v>
      </c>
      <c r="AV237" t="s">
        <v>126</v>
      </c>
      <c r="AW237" t="s">
        <v>126</v>
      </c>
      <c r="BF237" t="s">
        <v>3921</v>
      </c>
      <c r="BH237" t="s">
        <v>4020</v>
      </c>
      <c r="BP237" t="s">
        <v>4260</v>
      </c>
      <c r="BQ237" t="s">
        <v>3463</v>
      </c>
      <c r="BR237" t="s">
        <v>3465</v>
      </c>
      <c r="BS237" t="s">
        <v>3463</v>
      </c>
      <c r="BT237" t="s">
        <v>3465</v>
      </c>
      <c r="BU237" t="s">
        <v>3463</v>
      </c>
      <c r="BV237" t="s">
        <v>3463</v>
      </c>
      <c r="BW237" t="s">
        <v>3463</v>
      </c>
      <c r="BX237" t="s">
        <v>79</v>
      </c>
      <c r="BY237" t="s">
        <v>87</v>
      </c>
      <c r="BZ237" t="s">
        <v>79</v>
      </c>
      <c r="CA237" s="10">
        <v>45909</v>
      </c>
    </row>
    <row r="238" spans="1:79">
      <c r="A238">
        <v>241</v>
      </c>
      <c r="B238">
        <v>99</v>
      </c>
      <c r="C238">
        <v>66</v>
      </c>
      <c r="D238" t="s">
        <v>3462</v>
      </c>
      <c r="F238" t="s">
        <v>503</v>
      </c>
      <c r="G238" s="12" t="s">
        <v>3463</v>
      </c>
      <c r="H238" s="12"/>
      <c r="I238">
        <v>83</v>
      </c>
      <c r="K238">
        <v>140</v>
      </c>
      <c r="L238">
        <v>85</v>
      </c>
      <c r="M238" t="s">
        <v>72</v>
      </c>
      <c r="P238" t="s">
        <v>83</v>
      </c>
      <c r="Q238" t="s">
        <v>72</v>
      </c>
      <c r="R238">
        <v>90.1</v>
      </c>
      <c r="S238">
        <v>171</v>
      </c>
      <c r="T238" s="8">
        <f t="shared" si="6"/>
        <v>30.812899695632844</v>
      </c>
      <c r="U238" s="13" t="str" cm="1">
        <f t="array" ref="U238">IF(T238="","",_xlfn.IFS(T238&lt;18.5,"Bajo peso",T238&lt;25,"Peso normal",T238&lt;30,"Sobrepeso",T238&lt;35,"Obesidad clase I",T238&lt;40,"Obesidad clase II",T238&gt;=40,"Obesidad clase III"))</f>
        <v>Obesidad clase I</v>
      </c>
      <c r="V238">
        <v>177</v>
      </c>
      <c r="X238" t="s">
        <v>3463</v>
      </c>
      <c r="Y238">
        <v>1.01</v>
      </c>
      <c r="AA238">
        <v>83</v>
      </c>
      <c r="AB238" s="9">
        <f t="shared" si="7"/>
        <v>82.021405351384402</v>
      </c>
      <c r="AD238" t="s">
        <v>73</v>
      </c>
      <c r="AF238" t="s">
        <v>73</v>
      </c>
      <c r="AG238" t="s">
        <v>3465</v>
      </c>
      <c r="AH238" t="s">
        <v>3465</v>
      </c>
      <c r="AI238" t="s">
        <v>3465</v>
      </c>
      <c r="AJ238" t="s">
        <v>3465</v>
      </c>
      <c r="AK238" t="s">
        <v>3463</v>
      </c>
      <c r="AL238" t="s">
        <v>3465</v>
      </c>
      <c r="AP238" t="s">
        <v>3463</v>
      </c>
      <c r="AS238" t="s">
        <v>3465</v>
      </c>
      <c r="AW238" t="s">
        <v>3916</v>
      </c>
      <c r="BF238" t="s">
        <v>3921</v>
      </c>
      <c r="BH238" t="s">
        <v>4020</v>
      </c>
      <c r="BP238" t="s">
        <v>4260</v>
      </c>
      <c r="BQ238" t="s">
        <v>3463</v>
      </c>
      <c r="BR238" t="s">
        <v>3463</v>
      </c>
      <c r="BS238" t="s">
        <v>3463</v>
      </c>
      <c r="BT238" t="s">
        <v>3463</v>
      </c>
      <c r="BU238" t="s">
        <v>3463</v>
      </c>
      <c r="BV238" t="s">
        <v>3463</v>
      </c>
      <c r="BW238" t="s">
        <v>3463</v>
      </c>
      <c r="BX238" t="s">
        <v>79</v>
      </c>
      <c r="BY238" t="s">
        <v>87</v>
      </c>
      <c r="BZ238" t="s">
        <v>79</v>
      </c>
      <c r="CA238" s="10">
        <v>45909</v>
      </c>
    </row>
    <row r="239" spans="1:79">
      <c r="A239">
        <v>242</v>
      </c>
      <c r="B239">
        <v>100</v>
      </c>
      <c r="C239">
        <v>51</v>
      </c>
      <c r="D239" t="s">
        <v>3466</v>
      </c>
      <c r="E239" t="s">
        <v>756</v>
      </c>
      <c r="F239" t="s">
        <v>503</v>
      </c>
      <c r="G239" s="12" t="s">
        <v>3465</v>
      </c>
      <c r="H239" t="s">
        <v>88</v>
      </c>
      <c r="I239">
        <v>62</v>
      </c>
      <c r="J239">
        <v>65</v>
      </c>
      <c r="K239">
        <v>155</v>
      </c>
      <c r="L239">
        <v>72</v>
      </c>
      <c r="M239" t="s">
        <v>72</v>
      </c>
      <c r="N239">
        <v>131</v>
      </c>
      <c r="O239">
        <v>73</v>
      </c>
      <c r="P239" t="s">
        <v>82</v>
      </c>
      <c r="Q239" t="s">
        <v>82</v>
      </c>
      <c r="R239">
        <v>67.400000000000006</v>
      </c>
      <c r="S239">
        <v>150</v>
      </c>
      <c r="T239" s="8">
        <f t="shared" si="6"/>
        <v>29.955555555555559</v>
      </c>
      <c r="U239" s="13" t="str" cm="1">
        <f t="array" ref="U239">IF(T239="","",_xlfn.IFS(T239&lt;18.5,"Bajo peso",T239&lt;25,"Peso normal",T239&lt;30,"Sobrepeso",T239&lt;35,"Obesidad clase I",T239&lt;40,"Obesidad clase II",T239&gt;=40,"Obesidad clase III"))</f>
        <v>Sobrepeso</v>
      </c>
      <c r="V239">
        <v>129</v>
      </c>
      <c r="X239" t="s">
        <v>3463</v>
      </c>
      <c r="Y239">
        <v>0.84</v>
      </c>
      <c r="AA239">
        <v>84</v>
      </c>
      <c r="AB239" s="9">
        <f t="shared" si="7"/>
        <v>84.081407783012239</v>
      </c>
      <c r="AD239" t="s">
        <v>73</v>
      </c>
      <c r="AF239" t="s">
        <v>73</v>
      </c>
      <c r="AH239" t="s">
        <v>3463</v>
      </c>
      <c r="AI239" t="s">
        <v>3463</v>
      </c>
      <c r="AJ239" t="s">
        <v>3463</v>
      </c>
      <c r="AK239" t="s">
        <v>3465</v>
      </c>
      <c r="AL239" t="s">
        <v>3463</v>
      </c>
      <c r="AP239" t="s">
        <v>3463</v>
      </c>
      <c r="AV239" t="s">
        <v>74</v>
      </c>
      <c r="AW239" t="s">
        <v>3915</v>
      </c>
      <c r="AY239" t="s">
        <v>3463</v>
      </c>
      <c r="BF239" t="s">
        <v>3921</v>
      </c>
      <c r="BG239" t="s">
        <v>757</v>
      </c>
      <c r="BH239" t="s">
        <v>4098</v>
      </c>
      <c r="BI239" t="s">
        <v>411</v>
      </c>
      <c r="BL239" t="s">
        <v>758</v>
      </c>
      <c r="BP239" t="s">
        <v>4364</v>
      </c>
      <c r="BQ239" t="s">
        <v>3463</v>
      </c>
      <c r="BR239" t="s">
        <v>3463</v>
      </c>
      <c r="BS239" t="s">
        <v>3465</v>
      </c>
      <c r="BT239" t="s">
        <v>3465</v>
      </c>
      <c r="BU239" t="s">
        <v>3463</v>
      </c>
      <c r="BV239" t="s">
        <v>3463</v>
      </c>
      <c r="BW239" t="s">
        <v>3463</v>
      </c>
      <c r="BX239" t="s">
        <v>79</v>
      </c>
      <c r="BY239" t="s">
        <v>87</v>
      </c>
      <c r="BZ239" t="s">
        <v>79</v>
      </c>
      <c r="CA239" s="10">
        <v>45909</v>
      </c>
    </row>
    <row r="240" spans="1:79">
      <c r="A240">
        <v>243</v>
      </c>
      <c r="B240">
        <v>101</v>
      </c>
      <c r="C240">
        <v>34</v>
      </c>
      <c r="D240" t="s">
        <v>3462</v>
      </c>
      <c r="E240" t="s">
        <v>502</v>
      </c>
      <c r="F240" t="s">
        <v>613</v>
      </c>
      <c r="G240" s="12" t="s">
        <v>3463</v>
      </c>
      <c r="H240" s="12"/>
      <c r="I240">
        <v>79</v>
      </c>
      <c r="K240">
        <v>138</v>
      </c>
      <c r="L240">
        <v>76</v>
      </c>
      <c r="M240" t="s">
        <v>82</v>
      </c>
      <c r="P240" t="s">
        <v>83</v>
      </c>
      <c r="Q240" t="s">
        <v>82</v>
      </c>
      <c r="R240">
        <v>83.8</v>
      </c>
      <c r="S240">
        <v>178</v>
      </c>
      <c r="T240" s="8">
        <f t="shared" si="6"/>
        <v>26.448680722131044</v>
      </c>
      <c r="U240" s="13" t="str" cm="1">
        <f t="array" ref="U240">IF(T240="","",_xlfn.IFS(T240&lt;18.5,"Bajo peso",T240&lt;25,"Peso normal",T240&lt;30,"Sobrepeso",T240&lt;35,"Obesidad clase I",T240&lt;40,"Obesidad clase II",T240&gt;=40,"Obesidad clase III"))</f>
        <v>Sobrepeso</v>
      </c>
      <c r="V240">
        <v>135</v>
      </c>
      <c r="X240" t="s">
        <v>3463</v>
      </c>
      <c r="Y240">
        <v>0.87</v>
      </c>
      <c r="AA240">
        <v>90</v>
      </c>
      <c r="AB240" s="9">
        <f t="shared" si="7"/>
        <v>116.11825744409514</v>
      </c>
      <c r="AD240" t="s">
        <v>73</v>
      </c>
      <c r="AF240" t="s">
        <v>73</v>
      </c>
      <c r="AH240" t="s">
        <v>3463</v>
      </c>
      <c r="AI240" t="s">
        <v>3463</v>
      </c>
      <c r="AJ240" t="s">
        <v>3463</v>
      </c>
      <c r="AK240" t="s">
        <v>3463</v>
      </c>
      <c r="AL240" t="s">
        <v>3465</v>
      </c>
      <c r="AM240" t="s">
        <v>116</v>
      </c>
      <c r="AN240" t="s">
        <v>116</v>
      </c>
      <c r="AP240" t="s">
        <v>3463</v>
      </c>
      <c r="AQ240" t="s">
        <v>759</v>
      </c>
      <c r="AR240" t="s">
        <v>3530</v>
      </c>
      <c r="AV240" t="s">
        <v>74</v>
      </c>
      <c r="AW240" t="s">
        <v>3915</v>
      </c>
      <c r="BF240" t="s">
        <v>3921</v>
      </c>
      <c r="BH240" t="s">
        <v>4020</v>
      </c>
      <c r="BP240" t="s">
        <v>4260</v>
      </c>
      <c r="BQ240" t="s">
        <v>3463</v>
      </c>
      <c r="BR240" t="s">
        <v>3465</v>
      </c>
      <c r="BS240" t="s">
        <v>3465</v>
      </c>
      <c r="BT240" t="s">
        <v>3465</v>
      </c>
      <c r="BU240" t="s">
        <v>3463</v>
      </c>
      <c r="BV240" t="s">
        <v>3463</v>
      </c>
      <c r="BW240" t="s">
        <v>3463</v>
      </c>
      <c r="BX240" t="s">
        <v>79</v>
      </c>
      <c r="BY240" t="s">
        <v>87</v>
      </c>
      <c r="BZ240" t="s">
        <v>79</v>
      </c>
      <c r="CA240" s="10">
        <v>45909</v>
      </c>
    </row>
    <row r="241" spans="1:79">
      <c r="A241">
        <v>244</v>
      </c>
      <c r="B241">
        <v>102</v>
      </c>
      <c r="C241">
        <v>59</v>
      </c>
      <c r="D241" t="s">
        <v>3462</v>
      </c>
      <c r="F241" t="s">
        <v>503</v>
      </c>
      <c r="G241" s="12" t="s">
        <v>3465</v>
      </c>
      <c r="H241" s="12" t="s">
        <v>88</v>
      </c>
      <c r="I241">
        <v>65</v>
      </c>
      <c r="J241">
        <v>63</v>
      </c>
      <c r="K241">
        <v>160</v>
      </c>
      <c r="L241">
        <v>102</v>
      </c>
      <c r="M241" t="s">
        <v>72</v>
      </c>
      <c r="N241">
        <v>166</v>
      </c>
      <c r="O241">
        <v>104</v>
      </c>
      <c r="P241" t="s">
        <v>72</v>
      </c>
      <c r="Q241" t="s">
        <v>72</v>
      </c>
      <c r="R241">
        <v>98.05</v>
      </c>
      <c r="S241">
        <v>170</v>
      </c>
      <c r="T241" s="8">
        <f t="shared" si="6"/>
        <v>33.927335640138409</v>
      </c>
      <c r="U241" s="13" t="str" cm="1">
        <f t="array" ref="U241">IF(T241="","",_xlfn.IFS(T241&lt;18.5,"Bajo peso",T241&lt;25,"Peso normal",T241&lt;30,"Sobrepeso",T241&lt;35,"Obesidad clase I",T241&lt;40,"Obesidad clase II",T241&gt;=40,"Obesidad clase III"))</f>
        <v>Obesidad clase I</v>
      </c>
      <c r="V241">
        <v>96</v>
      </c>
      <c r="X241" t="s">
        <v>3463</v>
      </c>
      <c r="Y241">
        <v>1.27</v>
      </c>
      <c r="AA241">
        <v>65</v>
      </c>
      <c r="AB241" s="9">
        <f t="shared" si="7"/>
        <v>65.081183612610033</v>
      </c>
      <c r="AD241" t="s">
        <v>73</v>
      </c>
      <c r="AF241" t="s">
        <v>73</v>
      </c>
      <c r="AG241" t="s">
        <v>3463</v>
      </c>
      <c r="AH241" t="s">
        <v>3465</v>
      </c>
      <c r="AI241" t="s">
        <v>3463</v>
      </c>
      <c r="AJ241" t="s">
        <v>3463</v>
      </c>
      <c r="AK241" t="s">
        <v>3463</v>
      </c>
      <c r="AL241" t="s">
        <v>3463</v>
      </c>
      <c r="AO241" t="s">
        <v>3465</v>
      </c>
      <c r="AP241" t="s">
        <v>3465</v>
      </c>
      <c r="AQ241" t="s">
        <v>753</v>
      </c>
      <c r="AR241" t="s">
        <v>3529</v>
      </c>
      <c r="AV241" t="s">
        <v>74</v>
      </c>
      <c r="AW241" t="s">
        <v>3915</v>
      </c>
      <c r="BB241" t="s">
        <v>3485</v>
      </c>
      <c r="BF241" t="s">
        <v>3921</v>
      </c>
      <c r="BG241" t="s">
        <v>754</v>
      </c>
      <c r="BH241" t="s">
        <v>4099</v>
      </c>
      <c r="BI241" t="s">
        <v>411</v>
      </c>
      <c r="BL241" t="s">
        <v>755</v>
      </c>
      <c r="BP241" t="s">
        <v>4336</v>
      </c>
      <c r="BQ241" t="s">
        <v>3465</v>
      </c>
      <c r="BR241" t="s">
        <v>3465</v>
      </c>
      <c r="BS241" t="s">
        <v>3463</v>
      </c>
      <c r="BT241" t="s">
        <v>3463</v>
      </c>
      <c r="BU241" t="s">
        <v>3463</v>
      </c>
      <c r="BV241" t="s">
        <v>3463</v>
      </c>
      <c r="BW241" t="s">
        <v>3463</v>
      </c>
      <c r="BX241" t="s">
        <v>79</v>
      </c>
      <c r="BY241" t="s">
        <v>87</v>
      </c>
      <c r="BZ241" t="s">
        <v>95</v>
      </c>
      <c r="CA241" s="10">
        <v>45909</v>
      </c>
    </row>
    <row r="242" spans="1:79">
      <c r="A242">
        <v>245</v>
      </c>
      <c r="B242">
        <v>103</v>
      </c>
      <c r="C242">
        <v>41</v>
      </c>
      <c r="D242" t="s">
        <v>3466</v>
      </c>
      <c r="E242" t="s">
        <v>449</v>
      </c>
      <c r="F242" t="s">
        <v>503</v>
      </c>
      <c r="G242" s="12" t="s">
        <v>3465</v>
      </c>
      <c r="H242" t="s">
        <v>88</v>
      </c>
      <c r="I242">
        <v>56</v>
      </c>
      <c r="J242">
        <v>58</v>
      </c>
      <c r="K242">
        <v>141</v>
      </c>
      <c r="L242">
        <v>84</v>
      </c>
      <c r="M242" t="s">
        <v>72</v>
      </c>
      <c r="N242">
        <v>144</v>
      </c>
      <c r="O242">
        <v>88</v>
      </c>
      <c r="P242" t="s">
        <v>72</v>
      </c>
      <c r="Q242" t="s">
        <v>72</v>
      </c>
      <c r="R242">
        <v>76</v>
      </c>
      <c r="S242">
        <v>155</v>
      </c>
      <c r="T242" s="8">
        <f t="shared" si="6"/>
        <v>31.633714880332985</v>
      </c>
      <c r="U242" s="13" t="str" cm="1">
        <f t="array" ref="U242">IF(T242="","",_xlfn.IFS(T242&lt;18.5,"Bajo peso",T242&lt;25,"Peso normal",T242&lt;30,"Sobrepeso",T242&lt;35,"Obesidad clase I",T242&lt;40,"Obesidad clase II",T242&gt;=40,"Obesidad clase III"))</f>
        <v>Obesidad clase I</v>
      </c>
      <c r="V242">
        <v>125</v>
      </c>
      <c r="X242" t="s">
        <v>3463</v>
      </c>
      <c r="Y242">
        <v>0.88</v>
      </c>
      <c r="AA242">
        <v>85</v>
      </c>
      <c r="AB242" s="9">
        <f t="shared" si="7"/>
        <v>84.618629496219853</v>
      </c>
      <c r="AD242" t="s">
        <v>73</v>
      </c>
      <c r="AF242" t="s">
        <v>73</v>
      </c>
      <c r="AH242" t="s">
        <v>3463</v>
      </c>
      <c r="AI242" t="s">
        <v>3463</v>
      </c>
      <c r="AJ242" t="s">
        <v>3463</v>
      </c>
      <c r="AK242" t="s">
        <v>3463</v>
      </c>
      <c r="AL242" t="s">
        <v>3463</v>
      </c>
      <c r="AP242" t="s">
        <v>3463</v>
      </c>
      <c r="AT242" t="s">
        <v>3465</v>
      </c>
      <c r="AU242" t="s">
        <v>80</v>
      </c>
      <c r="AV242" t="s">
        <v>126</v>
      </c>
      <c r="AW242" t="s">
        <v>126</v>
      </c>
      <c r="AX242" t="s">
        <v>3463</v>
      </c>
      <c r="AY242" t="s">
        <v>3465</v>
      </c>
      <c r="AZ242" t="s">
        <v>90</v>
      </c>
      <c r="BC242" t="s">
        <v>128</v>
      </c>
      <c r="BE242" t="s">
        <v>760</v>
      </c>
      <c r="BF242" t="s">
        <v>901</v>
      </c>
      <c r="BG242" t="s">
        <v>761</v>
      </c>
      <c r="BH242" t="s">
        <v>4100</v>
      </c>
      <c r="BI242" t="s">
        <v>751</v>
      </c>
      <c r="BL242" t="s">
        <v>762</v>
      </c>
      <c r="BP242" t="s">
        <v>4365</v>
      </c>
      <c r="BQ242" t="s">
        <v>3463</v>
      </c>
      <c r="BR242" t="s">
        <v>3463</v>
      </c>
      <c r="BS242" t="s">
        <v>3465</v>
      </c>
      <c r="BT242" t="s">
        <v>3465</v>
      </c>
      <c r="BU242" t="s">
        <v>3463</v>
      </c>
      <c r="BV242" t="s">
        <v>3463</v>
      </c>
      <c r="BW242" t="s">
        <v>3463</v>
      </c>
      <c r="BX242" t="s">
        <v>79</v>
      </c>
      <c r="BY242" t="s">
        <v>87</v>
      </c>
      <c r="BZ242" t="s">
        <v>79</v>
      </c>
      <c r="CA242" s="10">
        <v>45909</v>
      </c>
    </row>
    <row r="243" spans="1:79">
      <c r="A243">
        <v>246</v>
      </c>
      <c r="B243">
        <v>104</v>
      </c>
      <c r="C243">
        <v>55</v>
      </c>
      <c r="D243" t="s">
        <v>3466</v>
      </c>
      <c r="F243" t="s">
        <v>503</v>
      </c>
      <c r="G243" s="12" t="s">
        <v>3463</v>
      </c>
      <c r="I243">
        <v>68</v>
      </c>
      <c r="K243">
        <v>128</v>
      </c>
      <c r="L243">
        <v>85</v>
      </c>
      <c r="M243" t="s">
        <v>82</v>
      </c>
      <c r="P243" t="s">
        <v>83</v>
      </c>
      <c r="Q243" t="s">
        <v>82</v>
      </c>
      <c r="R243">
        <v>74.099999999999994</v>
      </c>
      <c r="S243">
        <v>148</v>
      </c>
      <c r="T243" s="8">
        <f t="shared" si="6"/>
        <v>33.829437545653761</v>
      </c>
      <c r="U243" s="13" t="str" cm="1">
        <f t="array" ref="U243">IF(T243="","",_xlfn.IFS(T243&lt;18.5,"Bajo peso",T243&lt;25,"Peso normal",T243&lt;30,"Sobrepeso",T243&lt;35,"Obesidad clase I",T243&lt;40,"Obesidad clase II",T243&gt;=40,"Obesidad clase III"))</f>
        <v>Obesidad clase I</v>
      </c>
      <c r="V243">
        <v>99</v>
      </c>
      <c r="X243" t="s">
        <v>3463</v>
      </c>
      <c r="Y243">
        <v>0.5</v>
      </c>
      <c r="AA243">
        <v>90</v>
      </c>
      <c r="AB243" s="9">
        <f t="shared" si="7"/>
        <v>110.69558404503488</v>
      </c>
      <c r="AD243" t="s">
        <v>73</v>
      </c>
      <c r="AF243" t="s">
        <v>73</v>
      </c>
      <c r="AH243" t="s">
        <v>3463</v>
      </c>
      <c r="AI243" t="s">
        <v>3463</v>
      </c>
      <c r="AJ243" t="s">
        <v>3465</v>
      </c>
      <c r="AK243" t="s">
        <v>3463</v>
      </c>
      <c r="AL243" t="s">
        <v>3463</v>
      </c>
      <c r="AP243" t="s">
        <v>3463</v>
      </c>
      <c r="AT243" t="s">
        <v>3465</v>
      </c>
      <c r="AU243" t="s">
        <v>80</v>
      </c>
      <c r="AV243" t="s">
        <v>126</v>
      </c>
      <c r="AW243" t="s">
        <v>126</v>
      </c>
      <c r="AX243" t="s">
        <v>3463</v>
      </c>
      <c r="AY243" t="s">
        <v>3465</v>
      </c>
      <c r="AZ243" t="s">
        <v>90</v>
      </c>
      <c r="BF243" t="s">
        <v>3921</v>
      </c>
      <c r="BH243" t="s">
        <v>4020</v>
      </c>
      <c r="BP243" t="s">
        <v>4260</v>
      </c>
      <c r="BQ243" t="s">
        <v>3463</v>
      </c>
      <c r="BR243" t="s">
        <v>3465</v>
      </c>
      <c r="BS243" t="s">
        <v>3463</v>
      </c>
      <c r="BT243" t="s">
        <v>3465</v>
      </c>
      <c r="BU243" t="s">
        <v>3463</v>
      </c>
      <c r="BV243" t="s">
        <v>3463</v>
      </c>
      <c r="BW243" t="s">
        <v>3463</v>
      </c>
      <c r="BX243" t="s">
        <v>79</v>
      </c>
      <c r="BY243" t="s">
        <v>87</v>
      </c>
      <c r="BZ243" t="s">
        <v>79</v>
      </c>
      <c r="CA243" s="10">
        <v>45909</v>
      </c>
    </row>
    <row r="244" spans="1:79">
      <c r="A244">
        <v>247</v>
      </c>
      <c r="B244">
        <v>105</v>
      </c>
      <c r="C244">
        <v>26</v>
      </c>
      <c r="D244" t="s">
        <v>3466</v>
      </c>
      <c r="E244" t="s">
        <v>646</v>
      </c>
      <c r="F244" t="s">
        <v>613</v>
      </c>
      <c r="G244" s="12" t="s">
        <v>3463</v>
      </c>
      <c r="I244">
        <v>74</v>
      </c>
      <c r="K244">
        <v>122</v>
      </c>
      <c r="L244">
        <v>65</v>
      </c>
      <c r="M244" t="s">
        <v>118</v>
      </c>
      <c r="P244" t="s">
        <v>83</v>
      </c>
      <c r="Q244" t="s">
        <v>118</v>
      </c>
      <c r="R244">
        <v>73.150000000000006</v>
      </c>
      <c r="S244">
        <v>157</v>
      </c>
      <c r="T244" s="8">
        <f t="shared" si="6"/>
        <v>29.676660310763115</v>
      </c>
      <c r="U244" s="13" t="str" cm="1">
        <f t="array" ref="U244">IF(T244="","",_xlfn.IFS(T244&lt;18.5,"Bajo peso",T244&lt;25,"Peso normal",T244&lt;30,"Sobrepeso",T244&lt;35,"Obesidad clase I",T244&lt;40,"Obesidad clase II",T244&gt;=40,"Obesidad clase III"))</f>
        <v>Sobrepeso</v>
      </c>
      <c r="V244">
        <v>81</v>
      </c>
      <c r="X244" t="s">
        <v>3463</v>
      </c>
      <c r="Y244">
        <v>0.71</v>
      </c>
      <c r="AA244">
        <v>90</v>
      </c>
      <c r="AB244" s="9">
        <f t="shared" si="7"/>
        <v>120.18500589071451</v>
      </c>
      <c r="AD244" t="s">
        <v>73</v>
      </c>
      <c r="AF244" t="s">
        <v>73</v>
      </c>
      <c r="AH244" t="s">
        <v>3463</v>
      </c>
      <c r="AI244" t="s">
        <v>3463</v>
      </c>
      <c r="AJ244" t="s">
        <v>3463</v>
      </c>
      <c r="AK244" t="s">
        <v>3463</v>
      </c>
      <c r="AL244" t="s">
        <v>3463</v>
      </c>
      <c r="AP244" t="s">
        <v>3463</v>
      </c>
      <c r="AV244" t="s">
        <v>74</v>
      </c>
      <c r="AW244" t="s">
        <v>3915</v>
      </c>
      <c r="AX244" t="s">
        <v>3463</v>
      </c>
      <c r="AY244" t="s">
        <v>3465</v>
      </c>
      <c r="AZ244" t="s">
        <v>247</v>
      </c>
      <c r="BF244" t="s">
        <v>3921</v>
      </c>
      <c r="BH244" t="s">
        <v>4020</v>
      </c>
      <c r="BP244" t="s">
        <v>4260</v>
      </c>
      <c r="BQ244" t="s">
        <v>3463</v>
      </c>
      <c r="BR244" t="s">
        <v>3463</v>
      </c>
      <c r="BS244" t="s">
        <v>3465</v>
      </c>
      <c r="BT244" t="s">
        <v>3465</v>
      </c>
      <c r="BU244" t="s">
        <v>3463</v>
      </c>
      <c r="BV244" t="s">
        <v>3463</v>
      </c>
      <c r="BW244" t="s">
        <v>3463</v>
      </c>
      <c r="BX244" t="s">
        <v>79</v>
      </c>
      <c r="BY244" t="s">
        <v>87</v>
      </c>
      <c r="BZ244" t="s">
        <v>79</v>
      </c>
      <c r="CA244" s="10">
        <v>45909</v>
      </c>
    </row>
    <row r="245" spans="1:79">
      <c r="A245">
        <v>248</v>
      </c>
      <c r="B245">
        <v>106</v>
      </c>
      <c r="C245">
        <v>28</v>
      </c>
      <c r="D245" t="s">
        <v>3462</v>
      </c>
      <c r="E245" t="s">
        <v>527</v>
      </c>
      <c r="F245" t="s">
        <v>613</v>
      </c>
      <c r="G245" s="12" t="s">
        <v>3463</v>
      </c>
      <c r="I245">
        <v>61</v>
      </c>
      <c r="K245">
        <v>118</v>
      </c>
      <c r="L245">
        <v>69</v>
      </c>
      <c r="M245" t="s">
        <v>80</v>
      </c>
      <c r="P245" t="s">
        <v>83</v>
      </c>
      <c r="Q245" t="s">
        <v>80</v>
      </c>
      <c r="R245">
        <v>70.599999999999994</v>
      </c>
      <c r="S245">
        <v>172</v>
      </c>
      <c r="T245" s="8">
        <f t="shared" si="6"/>
        <v>23.864250946457542</v>
      </c>
      <c r="U245" s="13" t="str" cm="1">
        <f t="array" ref="U245">IF(T245="","",_xlfn.IFS(T245&lt;18.5,"Bajo peso",T245&lt;25,"Peso normal",T245&lt;30,"Sobrepeso",T245&lt;35,"Obesidad clase I",T245&lt;40,"Obesidad clase II",T245&gt;=40,"Obesidad clase III"))</f>
        <v>Peso normal</v>
      </c>
      <c r="V245">
        <v>104</v>
      </c>
      <c r="X245" t="s">
        <v>3463</v>
      </c>
      <c r="Y245">
        <v>0.79</v>
      </c>
      <c r="AA245">
        <v>90</v>
      </c>
      <c r="AB245" s="9">
        <f t="shared" si="7"/>
        <v>124.09605859642029</v>
      </c>
      <c r="AD245" t="s">
        <v>73</v>
      </c>
      <c r="AF245" t="s">
        <v>73</v>
      </c>
      <c r="AH245" t="s">
        <v>3463</v>
      </c>
      <c r="AI245" t="s">
        <v>3463</v>
      </c>
      <c r="AJ245" t="s">
        <v>3463</v>
      </c>
      <c r="AK245" t="s">
        <v>3463</v>
      </c>
      <c r="AL245" t="s">
        <v>3463</v>
      </c>
      <c r="AP245" t="s">
        <v>3463</v>
      </c>
      <c r="AQ245" t="s">
        <v>169</v>
      </c>
      <c r="AR245" t="s">
        <v>3493</v>
      </c>
      <c r="AV245" t="s">
        <v>126</v>
      </c>
      <c r="AW245" t="s">
        <v>126</v>
      </c>
      <c r="BF245" t="s">
        <v>3921</v>
      </c>
      <c r="BH245" t="s">
        <v>4020</v>
      </c>
      <c r="BP245" t="s">
        <v>4260</v>
      </c>
      <c r="BQ245" t="s">
        <v>3463</v>
      </c>
      <c r="BR245" t="s">
        <v>3463</v>
      </c>
      <c r="BU245" t="s">
        <v>3463</v>
      </c>
      <c r="BV245" t="s">
        <v>3463</v>
      </c>
      <c r="BW245" t="s">
        <v>3463</v>
      </c>
      <c r="BX245" t="s">
        <v>79</v>
      </c>
      <c r="BY245" t="s">
        <v>87</v>
      </c>
      <c r="BZ245" t="s">
        <v>79</v>
      </c>
      <c r="CA245" s="10">
        <v>45909</v>
      </c>
    </row>
    <row r="246" spans="1:79">
      <c r="A246">
        <v>249</v>
      </c>
      <c r="B246">
        <v>107</v>
      </c>
      <c r="C246">
        <v>29</v>
      </c>
      <c r="D246" t="s">
        <v>3466</v>
      </c>
      <c r="F246" t="s">
        <v>503</v>
      </c>
      <c r="G246" s="12" t="s">
        <v>3463</v>
      </c>
      <c r="H246" s="12"/>
      <c r="I246">
        <v>85</v>
      </c>
      <c r="J246">
        <v>77</v>
      </c>
      <c r="K246">
        <v>170</v>
      </c>
      <c r="L246">
        <v>104</v>
      </c>
      <c r="M246" t="s">
        <v>72</v>
      </c>
      <c r="N246">
        <v>164</v>
      </c>
      <c r="O246">
        <v>95</v>
      </c>
      <c r="P246" t="s">
        <v>72</v>
      </c>
      <c r="Q246" t="s">
        <v>72</v>
      </c>
      <c r="R246">
        <v>68.599999999999994</v>
      </c>
      <c r="S246">
        <v>154</v>
      </c>
      <c r="T246" s="8">
        <f t="shared" si="6"/>
        <v>28.925619834710741</v>
      </c>
      <c r="U246" s="13" t="str" cm="1">
        <f t="array" ref="U246">IF(T246="","",_xlfn.IFS(T246&lt;18.5,"Bajo peso",T246&lt;25,"Peso normal",T246&lt;30,"Sobrepeso",T246&lt;35,"Obesidad clase I",T246&lt;40,"Obesidad clase II",T246&gt;=40,"Obesidad clase III"))</f>
        <v>Sobrepeso</v>
      </c>
      <c r="V246">
        <v>113</v>
      </c>
      <c r="X246" t="s">
        <v>3463</v>
      </c>
      <c r="Y246">
        <v>0.75</v>
      </c>
      <c r="AA246">
        <v>90</v>
      </c>
      <c r="AB246" s="9">
        <f t="shared" si="7"/>
        <v>110.45459019994775</v>
      </c>
      <c r="AD246" t="s">
        <v>73</v>
      </c>
      <c r="AF246" t="s">
        <v>73</v>
      </c>
      <c r="AH246" t="s">
        <v>3463</v>
      </c>
      <c r="AI246" t="s">
        <v>3463</v>
      </c>
      <c r="AJ246" t="s">
        <v>3463</v>
      </c>
      <c r="AK246" t="s">
        <v>3465</v>
      </c>
      <c r="AL246" t="s">
        <v>3465</v>
      </c>
      <c r="AM246" t="s">
        <v>763</v>
      </c>
      <c r="AN246" t="s">
        <v>3676</v>
      </c>
      <c r="AP246" t="s">
        <v>3463</v>
      </c>
      <c r="AQ246" t="s">
        <v>764</v>
      </c>
      <c r="AR246" t="s">
        <v>3531</v>
      </c>
      <c r="AT246" t="s">
        <v>3463</v>
      </c>
      <c r="AV246" t="s">
        <v>74</v>
      </c>
      <c r="AW246" t="s">
        <v>3915</v>
      </c>
      <c r="AX246" t="s">
        <v>3463</v>
      </c>
      <c r="AY246" t="s">
        <v>3463</v>
      </c>
      <c r="BC246" t="s">
        <v>128</v>
      </c>
      <c r="BF246" t="s">
        <v>3921</v>
      </c>
      <c r="BG246" t="s">
        <v>765</v>
      </c>
      <c r="BH246" t="s">
        <v>4101</v>
      </c>
      <c r="BI246" t="s">
        <v>766</v>
      </c>
      <c r="BK246" t="s">
        <v>767</v>
      </c>
      <c r="BL246" t="s">
        <v>768</v>
      </c>
      <c r="BP246" t="s">
        <v>4366</v>
      </c>
      <c r="BQ246" t="s">
        <v>3463</v>
      </c>
      <c r="BR246" t="s">
        <v>3465</v>
      </c>
      <c r="BS246" t="s">
        <v>3463</v>
      </c>
      <c r="BT246" t="s">
        <v>3463</v>
      </c>
      <c r="BU246" t="s">
        <v>3463</v>
      </c>
      <c r="BV246" t="s">
        <v>3463</v>
      </c>
      <c r="BW246" t="s">
        <v>3463</v>
      </c>
      <c r="BX246" t="s">
        <v>79</v>
      </c>
      <c r="BY246" t="s">
        <v>87</v>
      </c>
      <c r="BZ246" t="s">
        <v>79</v>
      </c>
      <c r="CA246" s="10">
        <v>45909</v>
      </c>
    </row>
    <row r="247" spans="1:79">
      <c r="A247">
        <v>250</v>
      </c>
      <c r="B247">
        <v>108</v>
      </c>
      <c r="C247">
        <v>25</v>
      </c>
      <c r="D247" t="s">
        <v>3462</v>
      </c>
      <c r="E247" t="s">
        <v>449</v>
      </c>
      <c r="F247" t="s">
        <v>503</v>
      </c>
      <c r="G247" s="12" t="s">
        <v>3465</v>
      </c>
      <c r="H247" t="s">
        <v>88</v>
      </c>
      <c r="I247">
        <v>63</v>
      </c>
      <c r="K247">
        <v>98</v>
      </c>
      <c r="L247">
        <v>56</v>
      </c>
      <c r="M247" t="s">
        <v>80</v>
      </c>
      <c r="P247" t="s">
        <v>83</v>
      </c>
      <c r="Q247" t="s">
        <v>80</v>
      </c>
      <c r="R247">
        <v>65.45</v>
      </c>
      <c r="S247">
        <v>157</v>
      </c>
      <c r="T247" s="8">
        <f t="shared" si="6"/>
        <v>26.55280133068279</v>
      </c>
      <c r="U247" s="13" t="str" cm="1">
        <f t="array" ref="U247">IF(T247="","",_xlfn.IFS(T247&lt;18.5,"Bajo peso",T247&lt;25,"Peso normal",T247&lt;30,"Sobrepeso",T247&lt;35,"Obesidad clase I",T247&lt;40,"Obesidad clase II",T247&gt;=40,"Obesidad clase III"))</f>
        <v>Sobrepeso</v>
      </c>
      <c r="V247">
        <v>111</v>
      </c>
      <c r="X247" t="s">
        <v>3463</v>
      </c>
      <c r="Y247">
        <v>0.89</v>
      </c>
      <c r="AA247">
        <v>90</v>
      </c>
      <c r="AB247" s="9">
        <f t="shared" si="7"/>
        <v>121.96314379294003</v>
      </c>
      <c r="AD247" t="s">
        <v>73</v>
      </c>
      <c r="AF247" t="s">
        <v>73</v>
      </c>
      <c r="AH247" t="s">
        <v>3463</v>
      </c>
      <c r="AI247" t="s">
        <v>3463</v>
      </c>
      <c r="AJ247" t="s">
        <v>3463</v>
      </c>
      <c r="AK247" t="s">
        <v>3463</v>
      </c>
      <c r="AL247" t="s">
        <v>3463</v>
      </c>
      <c r="AP247" t="s">
        <v>3463</v>
      </c>
      <c r="AQ247" t="s">
        <v>769</v>
      </c>
      <c r="AR247" t="s">
        <v>3505</v>
      </c>
      <c r="AV247" t="s">
        <v>126</v>
      </c>
      <c r="AW247" t="s">
        <v>126</v>
      </c>
      <c r="BF247" t="s">
        <v>3921</v>
      </c>
      <c r="BH247" t="s">
        <v>4020</v>
      </c>
      <c r="BP247" t="s">
        <v>4260</v>
      </c>
      <c r="BQ247" t="s">
        <v>3465</v>
      </c>
      <c r="BR247" t="s">
        <v>3463</v>
      </c>
      <c r="BS247" t="s">
        <v>3463</v>
      </c>
      <c r="BT247" t="s">
        <v>3463</v>
      </c>
      <c r="BU247" t="s">
        <v>3463</v>
      </c>
      <c r="BV247" t="s">
        <v>3463</v>
      </c>
      <c r="BW247" t="s">
        <v>3463</v>
      </c>
      <c r="BX247" t="s">
        <v>79</v>
      </c>
      <c r="BY247" t="s">
        <v>87</v>
      </c>
      <c r="BZ247" t="s">
        <v>79</v>
      </c>
      <c r="CA247" s="10">
        <v>45909</v>
      </c>
    </row>
    <row r="248" spans="1:79">
      <c r="A248">
        <v>251</v>
      </c>
      <c r="B248">
        <v>109</v>
      </c>
      <c r="C248">
        <v>71</v>
      </c>
      <c r="D248" t="s">
        <v>3466</v>
      </c>
      <c r="E248" t="s">
        <v>502</v>
      </c>
      <c r="F248" t="s">
        <v>503</v>
      </c>
      <c r="G248" s="12" t="s">
        <v>3465</v>
      </c>
      <c r="H248" t="s">
        <v>88</v>
      </c>
      <c r="I248">
        <v>78</v>
      </c>
      <c r="J248">
        <v>78</v>
      </c>
      <c r="K248">
        <v>208</v>
      </c>
      <c r="L248">
        <v>114</v>
      </c>
      <c r="M248" t="s">
        <v>96</v>
      </c>
      <c r="N248">
        <v>229</v>
      </c>
      <c r="O248">
        <v>118</v>
      </c>
      <c r="P248" t="s">
        <v>96</v>
      </c>
      <c r="Q248" t="s">
        <v>96</v>
      </c>
      <c r="R248">
        <v>67.2</v>
      </c>
      <c r="S248">
        <v>148</v>
      </c>
      <c r="T248" s="8">
        <f t="shared" si="6"/>
        <v>30.679327976625274</v>
      </c>
      <c r="U248" s="13" t="str" cm="1">
        <f t="array" ref="U248">IF(T248="","",_xlfn.IFS(T248&lt;18.5,"Bajo peso",T248&lt;25,"Peso normal",T248&lt;30,"Sobrepeso",T248&lt;35,"Obesidad clase I",T248&lt;40,"Obesidad clase II",T248&gt;=40,"Obesidad clase III"))</f>
        <v>Obesidad clase I</v>
      </c>
      <c r="V248">
        <v>145</v>
      </c>
      <c r="X248" t="s">
        <v>3463</v>
      </c>
      <c r="Y248">
        <v>0.7</v>
      </c>
      <c r="AA248">
        <v>90</v>
      </c>
      <c r="AB248" s="9">
        <f t="shared" si="7"/>
        <v>92.405392901417329</v>
      </c>
      <c r="AD248" t="s">
        <v>73</v>
      </c>
      <c r="AF248" t="s">
        <v>73</v>
      </c>
      <c r="AH248" t="s">
        <v>3463</v>
      </c>
      <c r="AI248" t="s">
        <v>3465</v>
      </c>
      <c r="AJ248" t="s">
        <v>3463</v>
      </c>
      <c r="AK248" t="s">
        <v>3465</v>
      </c>
      <c r="AL248" t="s">
        <v>3465</v>
      </c>
      <c r="AM248" t="s">
        <v>770</v>
      </c>
      <c r="AN248" t="s">
        <v>3677</v>
      </c>
      <c r="AP248" t="s">
        <v>3464</v>
      </c>
      <c r="AQ248" t="s">
        <v>771</v>
      </c>
      <c r="AR248" t="s">
        <v>3504</v>
      </c>
      <c r="AS248" t="s">
        <v>3465</v>
      </c>
      <c r="AT248" t="s">
        <v>3465</v>
      </c>
      <c r="AV248" t="s">
        <v>112</v>
      </c>
      <c r="AW248" t="s">
        <v>3917</v>
      </c>
      <c r="AX248" t="s">
        <v>3463</v>
      </c>
      <c r="BA248" t="s">
        <v>3920</v>
      </c>
      <c r="BF248" t="s">
        <v>3921</v>
      </c>
      <c r="BG248" t="s">
        <v>772</v>
      </c>
      <c r="BH248" t="s">
        <v>4102</v>
      </c>
      <c r="BI248" t="s">
        <v>677</v>
      </c>
      <c r="BP248" t="s">
        <v>4367</v>
      </c>
      <c r="BQ248" t="s">
        <v>3463</v>
      </c>
      <c r="BR248" t="s">
        <v>3463</v>
      </c>
      <c r="BS248" t="s">
        <v>3465</v>
      </c>
      <c r="BT248" t="s">
        <v>3465</v>
      </c>
      <c r="BU248" t="s">
        <v>3465</v>
      </c>
      <c r="BV248" t="s">
        <v>3465</v>
      </c>
      <c r="BW248" t="s">
        <v>3465</v>
      </c>
      <c r="BX248" t="s">
        <v>79</v>
      </c>
      <c r="BY248" t="s">
        <v>87</v>
      </c>
      <c r="BZ248" t="s">
        <v>95</v>
      </c>
      <c r="CA248" s="10">
        <v>45909</v>
      </c>
    </row>
    <row r="249" spans="1:79">
      <c r="A249">
        <v>252</v>
      </c>
      <c r="B249">
        <v>110</v>
      </c>
      <c r="C249">
        <v>34</v>
      </c>
      <c r="D249" t="s">
        <v>3462</v>
      </c>
      <c r="F249" t="s">
        <v>503</v>
      </c>
      <c r="G249" s="12" t="s">
        <v>3463</v>
      </c>
      <c r="I249">
        <v>78</v>
      </c>
      <c r="K249">
        <v>112</v>
      </c>
      <c r="L249">
        <v>65</v>
      </c>
      <c r="M249" t="s">
        <v>80</v>
      </c>
      <c r="P249" t="s">
        <v>83</v>
      </c>
      <c r="Q249" t="s">
        <v>80</v>
      </c>
      <c r="R249">
        <v>72.75</v>
      </c>
      <c r="S249">
        <v>177</v>
      </c>
      <c r="T249" s="8">
        <f t="shared" si="6"/>
        <v>23.221296562290529</v>
      </c>
      <c r="U249" s="13" t="str" cm="1">
        <f t="array" ref="U249">IF(T249="","",_xlfn.IFS(T249&lt;18.5,"Bajo peso",T249&lt;25,"Peso normal",T249&lt;30,"Sobrepeso",T249&lt;35,"Obesidad clase I",T249&lt;40,"Obesidad clase II",T249&gt;=40,"Obesidad clase III"))</f>
        <v>Peso normal</v>
      </c>
      <c r="V249">
        <v>121</v>
      </c>
      <c r="X249" t="s">
        <v>3463</v>
      </c>
      <c r="Y249">
        <v>0.94</v>
      </c>
      <c r="AA249">
        <v>90</v>
      </c>
      <c r="AB249" s="9">
        <f t="shared" si="7"/>
        <v>109.09169090709385</v>
      </c>
      <c r="AD249" t="s">
        <v>73</v>
      </c>
      <c r="AF249" t="s">
        <v>73</v>
      </c>
      <c r="AH249" t="s">
        <v>3463</v>
      </c>
      <c r="AI249" t="s">
        <v>3463</v>
      </c>
      <c r="AJ249" t="s">
        <v>3463</v>
      </c>
      <c r="AK249" t="s">
        <v>3463</v>
      </c>
      <c r="AL249" t="s">
        <v>3465</v>
      </c>
      <c r="AM249" t="s">
        <v>773</v>
      </c>
      <c r="AN249" t="s">
        <v>3678</v>
      </c>
      <c r="AP249" t="s">
        <v>3463</v>
      </c>
      <c r="AV249" t="s">
        <v>126</v>
      </c>
      <c r="AW249" t="s">
        <v>126</v>
      </c>
      <c r="BF249" t="s">
        <v>3921</v>
      </c>
      <c r="BH249" t="s">
        <v>4020</v>
      </c>
      <c r="BP249" t="s">
        <v>4260</v>
      </c>
      <c r="BQ249" t="s">
        <v>3465</v>
      </c>
      <c r="BR249" t="s">
        <v>3465</v>
      </c>
      <c r="BS249" t="s">
        <v>3463</v>
      </c>
      <c r="BT249" t="s">
        <v>3463</v>
      </c>
      <c r="BU249" t="s">
        <v>3463</v>
      </c>
      <c r="BV249" t="s">
        <v>3463</v>
      </c>
      <c r="BW249" t="s">
        <v>3463</v>
      </c>
      <c r="BX249" t="s">
        <v>79</v>
      </c>
      <c r="BY249" t="s">
        <v>87</v>
      </c>
      <c r="BZ249" t="s">
        <v>79</v>
      </c>
      <c r="CA249" s="10">
        <v>45909</v>
      </c>
    </row>
    <row r="250" spans="1:79">
      <c r="A250">
        <v>253</v>
      </c>
      <c r="B250">
        <v>111</v>
      </c>
      <c r="C250">
        <v>35</v>
      </c>
      <c r="D250" t="s">
        <v>3462</v>
      </c>
      <c r="F250" t="s">
        <v>503</v>
      </c>
      <c r="G250" s="12" t="s">
        <v>3463</v>
      </c>
      <c r="H250" s="12"/>
      <c r="I250">
        <v>79</v>
      </c>
      <c r="J250">
        <v>78</v>
      </c>
      <c r="K250">
        <v>155</v>
      </c>
      <c r="L250">
        <v>96</v>
      </c>
      <c r="M250" t="s">
        <v>72</v>
      </c>
      <c r="N250">
        <v>146</v>
      </c>
      <c r="O250">
        <v>92</v>
      </c>
      <c r="P250" t="s">
        <v>72</v>
      </c>
      <c r="Q250" t="s">
        <v>72</v>
      </c>
      <c r="R250">
        <v>85.8</v>
      </c>
      <c r="S250">
        <v>172</v>
      </c>
      <c r="T250" s="8">
        <f t="shared" si="6"/>
        <v>29.002163331530557</v>
      </c>
      <c r="U250" s="13" t="str" cm="1">
        <f t="array" ref="U250">IF(T250="","",_xlfn.IFS(T250&lt;18.5,"Bajo peso",T250&lt;25,"Peso normal",T250&lt;30,"Sobrepeso",T250&lt;35,"Obesidad clase I",T250&lt;40,"Obesidad clase II",T250&gt;=40,"Obesidad clase III"))</f>
        <v>Sobrepeso</v>
      </c>
      <c r="V250">
        <v>99</v>
      </c>
      <c r="X250" t="s">
        <v>3463</v>
      </c>
      <c r="Y250">
        <v>0.98</v>
      </c>
      <c r="AA250">
        <v>90</v>
      </c>
      <c r="AB250" s="9">
        <f t="shared" si="7"/>
        <v>103.12709855848216</v>
      </c>
      <c r="AD250" t="s">
        <v>73</v>
      </c>
      <c r="AF250" t="s">
        <v>73</v>
      </c>
      <c r="AH250" t="s">
        <v>3463</v>
      </c>
      <c r="AI250" t="s">
        <v>3463</v>
      </c>
      <c r="AJ250" t="s">
        <v>3463</v>
      </c>
      <c r="AK250" t="s">
        <v>3463</v>
      </c>
      <c r="AL250" t="s">
        <v>3463</v>
      </c>
      <c r="AP250" t="s">
        <v>3463</v>
      </c>
      <c r="AQ250" t="s">
        <v>159</v>
      </c>
      <c r="AR250" t="s">
        <v>3491</v>
      </c>
      <c r="AV250" t="s">
        <v>74</v>
      </c>
      <c r="AW250" t="s">
        <v>3915</v>
      </c>
      <c r="BC250" t="s">
        <v>128</v>
      </c>
      <c r="BF250" t="s">
        <v>3921</v>
      </c>
      <c r="BG250" t="s">
        <v>774</v>
      </c>
      <c r="BH250" t="s">
        <v>4017</v>
      </c>
      <c r="BI250" t="s">
        <v>751</v>
      </c>
      <c r="BL250" t="s">
        <v>775</v>
      </c>
      <c r="BP250" t="s">
        <v>4368</v>
      </c>
      <c r="BQ250" t="s">
        <v>3463</v>
      </c>
      <c r="BR250" t="s">
        <v>3465</v>
      </c>
      <c r="BS250" t="s">
        <v>3463</v>
      </c>
      <c r="BT250" t="s">
        <v>3463</v>
      </c>
      <c r="BU250" t="s">
        <v>3463</v>
      </c>
      <c r="BV250" t="s">
        <v>3463</v>
      </c>
      <c r="BW250" t="s">
        <v>3463</v>
      </c>
      <c r="BX250" t="s">
        <v>79</v>
      </c>
      <c r="BY250" t="s">
        <v>87</v>
      </c>
      <c r="BZ250" t="s">
        <v>79</v>
      </c>
      <c r="CA250" s="10">
        <v>45909</v>
      </c>
    </row>
    <row r="251" spans="1:79">
      <c r="A251">
        <v>254</v>
      </c>
      <c r="B251">
        <v>112</v>
      </c>
      <c r="C251">
        <v>45</v>
      </c>
      <c r="D251" t="s">
        <v>3466</v>
      </c>
      <c r="E251" t="s">
        <v>450</v>
      </c>
      <c r="F251" t="s">
        <v>503</v>
      </c>
      <c r="G251" s="12" t="s">
        <v>3463</v>
      </c>
      <c r="H251" s="12"/>
      <c r="I251">
        <v>73</v>
      </c>
      <c r="K251">
        <v>128</v>
      </c>
      <c r="L251">
        <v>77</v>
      </c>
      <c r="M251" t="s">
        <v>118</v>
      </c>
      <c r="P251" t="s">
        <v>83</v>
      </c>
      <c r="Q251" t="s">
        <v>118</v>
      </c>
      <c r="R251">
        <v>91.95</v>
      </c>
      <c r="S251">
        <v>149</v>
      </c>
      <c r="T251" s="8">
        <f t="shared" si="6"/>
        <v>41.417053285888031</v>
      </c>
      <c r="U251" s="13" t="str" cm="1">
        <f t="array" ref="U251">IF(T251="","",_xlfn.IFS(T251&lt;18.5,"Bajo peso",T251&lt;25,"Peso normal",T251&lt;30,"Sobrepeso",T251&lt;35,"Obesidad clase I",T251&lt;40,"Obesidad clase II",T251&gt;=40,"Obesidad clase III"))</f>
        <v>Obesidad clase III</v>
      </c>
      <c r="V251">
        <v>103</v>
      </c>
      <c r="X251" t="s">
        <v>3463</v>
      </c>
      <c r="Y251">
        <v>0.5</v>
      </c>
      <c r="AA251">
        <v>90</v>
      </c>
      <c r="AB251" s="9">
        <f t="shared" si="7"/>
        <v>117.7986658811482</v>
      </c>
      <c r="AD251" t="s">
        <v>73</v>
      </c>
      <c r="AF251" t="s">
        <v>73</v>
      </c>
      <c r="AH251" t="s">
        <v>3463</v>
      </c>
      <c r="AI251" t="s">
        <v>3463</v>
      </c>
      <c r="AJ251" t="s">
        <v>3463</v>
      </c>
      <c r="AK251" t="s">
        <v>3463</v>
      </c>
      <c r="AL251" t="s">
        <v>3465</v>
      </c>
      <c r="AM251" t="s">
        <v>776</v>
      </c>
      <c r="AN251" t="s">
        <v>776</v>
      </c>
      <c r="AP251" t="s">
        <v>3463</v>
      </c>
      <c r="AQ251" t="s">
        <v>777</v>
      </c>
      <c r="AR251" t="s">
        <v>3505</v>
      </c>
      <c r="AT251" t="s">
        <v>3465</v>
      </c>
      <c r="AU251" t="s">
        <v>80</v>
      </c>
      <c r="AV251" t="s">
        <v>74</v>
      </c>
      <c r="AW251" t="s">
        <v>3915</v>
      </c>
      <c r="AX251" t="s">
        <v>3463</v>
      </c>
      <c r="AY251" t="s">
        <v>3465</v>
      </c>
      <c r="AZ251" t="s">
        <v>90</v>
      </c>
      <c r="BF251" t="s">
        <v>3921</v>
      </c>
      <c r="BH251" t="s">
        <v>4020</v>
      </c>
      <c r="BP251" t="s">
        <v>4260</v>
      </c>
      <c r="BQ251" t="s">
        <v>3463</v>
      </c>
      <c r="BR251" t="s">
        <v>3465</v>
      </c>
      <c r="BS251" t="s">
        <v>3465</v>
      </c>
      <c r="BT251" t="s">
        <v>3465</v>
      </c>
      <c r="BU251" t="s">
        <v>3463</v>
      </c>
      <c r="BV251" t="s">
        <v>3463</v>
      </c>
      <c r="BW251" t="s">
        <v>3463</v>
      </c>
      <c r="BX251" t="s">
        <v>79</v>
      </c>
      <c r="BY251" t="s">
        <v>87</v>
      </c>
      <c r="BZ251" t="s">
        <v>79</v>
      </c>
      <c r="CA251" s="10">
        <v>45909</v>
      </c>
    </row>
    <row r="252" spans="1:79">
      <c r="A252">
        <v>255</v>
      </c>
      <c r="B252">
        <v>113</v>
      </c>
      <c r="C252">
        <v>63</v>
      </c>
      <c r="D252" t="s">
        <v>3466</v>
      </c>
      <c r="F252" t="s">
        <v>503</v>
      </c>
      <c r="G252" s="12" t="s">
        <v>3463</v>
      </c>
      <c r="H252" s="12"/>
      <c r="I252">
        <v>63</v>
      </c>
      <c r="J252">
        <v>67</v>
      </c>
      <c r="K252">
        <v>179</v>
      </c>
      <c r="L252">
        <v>88</v>
      </c>
      <c r="M252" t="s">
        <v>72</v>
      </c>
      <c r="N252">
        <v>158</v>
      </c>
      <c r="O252">
        <v>91</v>
      </c>
      <c r="P252" t="s">
        <v>72</v>
      </c>
      <c r="Q252" t="s">
        <v>72</v>
      </c>
      <c r="R252">
        <v>109.85</v>
      </c>
      <c r="S252">
        <v>160</v>
      </c>
      <c r="T252" s="8">
        <f t="shared" si="6"/>
        <v>42.91015625</v>
      </c>
      <c r="U252" s="13" t="str" cm="1">
        <f t="array" ref="U252">IF(T252="","",_xlfn.IFS(T252&lt;18.5,"Bajo peso",T252&lt;25,"Peso normal",T252&lt;30,"Sobrepeso",T252&lt;35,"Obesidad clase I",T252&lt;40,"Obesidad clase II",T252&gt;=40,"Obesidad clase III"))</f>
        <v>Obesidad clase III</v>
      </c>
      <c r="V252">
        <v>98</v>
      </c>
      <c r="X252" t="s">
        <v>3463</v>
      </c>
      <c r="Y252">
        <v>0.78</v>
      </c>
      <c r="AA252">
        <v>86</v>
      </c>
      <c r="AB252" s="9">
        <f t="shared" si="7"/>
        <v>85.292236699062386</v>
      </c>
      <c r="AD252" t="s">
        <v>73</v>
      </c>
      <c r="AF252" t="s">
        <v>73</v>
      </c>
      <c r="AH252" t="s">
        <v>3463</v>
      </c>
      <c r="AI252" t="s">
        <v>3465</v>
      </c>
      <c r="AJ252" t="s">
        <v>3463</v>
      </c>
      <c r="AK252" t="s">
        <v>3463</v>
      </c>
      <c r="AL252" t="s">
        <v>3465</v>
      </c>
      <c r="AM252" t="s">
        <v>778</v>
      </c>
      <c r="AN252" t="s">
        <v>3679</v>
      </c>
      <c r="AP252" t="s">
        <v>3463</v>
      </c>
      <c r="AQ252" t="s">
        <v>169</v>
      </c>
      <c r="AR252" t="s">
        <v>3493</v>
      </c>
      <c r="AS252" t="s">
        <v>3465</v>
      </c>
      <c r="AT252" t="s">
        <v>3465</v>
      </c>
      <c r="AU252" t="s">
        <v>80</v>
      </c>
      <c r="AV252" t="s">
        <v>126</v>
      </c>
      <c r="AW252" t="s">
        <v>126</v>
      </c>
      <c r="AX252" t="s">
        <v>3463</v>
      </c>
      <c r="AY252" t="s">
        <v>3465</v>
      </c>
      <c r="AZ252" t="s">
        <v>104</v>
      </c>
      <c r="BA252" t="s">
        <v>3920</v>
      </c>
      <c r="BF252" t="s">
        <v>3921</v>
      </c>
      <c r="BG252" t="s">
        <v>779</v>
      </c>
      <c r="BH252" t="s">
        <v>4103</v>
      </c>
      <c r="BK252" t="s">
        <v>780</v>
      </c>
      <c r="BL252" t="s">
        <v>781</v>
      </c>
      <c r="BP252" t="s">
        <v>4369</v>
      </c>
      <c r="BQ252" t="s">
        <v>3463</v>
      </c>
      <c r="BR252" t="s">
        <v>3465</v>
      </c>
      <c r="BS252" t="s">
        <v>3463</v>
      </c>
      <c r="BT252" t="s">
        <v>3463</v>
      </c>
      <c r="BU252" t="s">
        <v>3463</v>
      </c>
      <c r="BV252" t="s">
        <v>3463</v>
      </c>
      <c r="BW252" t="s">
        <v>3463</v>
      </c>
      <c r="BX252" t="s">
        <v>79</v>
      </c>
      <c r="BY252" t="s">
        <v>87</v>
      </c>
      <c r="BZ252" t="s">
        <v>95</v>
      </c>
      <c r="CA252" s="10">
        <v>45909</v>
      </c>
    </row>
    <row r="253" spans="1:79">
      <c r="A253">
        <v>256</v>
      </c>
      <c r="B253">
        <v>114</v>
      </c>
      <c r="C253">
        <v>36</v>
      </c>
      <c r="D253" t="s">
        <v>3462</v>
      </c>
      <c r="E253" t="s">
        <v>502</v>
      </c>
      <c r="F253" t="s">
        <v>503</v>
      </c>
      <c r="G253" s="12" t="s">
        <v>3465</v>
      </c>
      <c r="H253" t="s">
        <v>88</v>
      </c>
      <c r="I253">
        <v>66</v>
      </c>
      <c r="K253">
        <v>129</v>
      </c>
      <c r="L253">
        <v>74</v>
      </c>
      <c r="M253" t="s">
        <v>118</v>
      </c>
      <c r="P253" t="s">
        <v>83</v>
      </c>
      <c r="Q253" t="s">
        <v>118</v>
      </c>
      <c r="R253">
        <v>107.45</v>
      </c>
      <c r="S253">
        <v>169</v>
      </c>
      <c r="T253" s="8">
        <f t="shared" si="6"/>
        <v>37.621231749588603</v>
      </c>
      <c r="U253" s="13" t="str" cm="1">
        <f t="array" ref="U253">IF(T253="","",_xlfn.IFS(T253&lt;18.5,"Bajo peso",T253&lt;25,"Peso normal",T253&lt;30,"Sobrepeso",T253&lt;35,"Obesidad clase I",T253&lt;40,"Obesidad clase II",T253&gt;=40,"Obesidad clase III"))</f>
        <v>Obesidad clase II</v>
      </c>
      <c r="V253">
        <v>102</v>
      </c>
      <c r="X253" t="s">
        <v>3463</v>
      </c>
      <c r="Y253">
        <v>0.78</v>
      </c>
      <c r="AA253">
        <v>90</v>
      </c>
      <c r="AB253" s="9">
        <f t="shared" si="7"/>
        <v>118.52794067628594</v>
      </c>
      <c r="AD253" t="s">
        <v>73</v>
      </c>
      <c r="AF253" t="s">
        <v>73</v>
      </c>
      <c r="AH253" t="s">
        <v>3463</v>
      </c>
      <c r="AI253" t="s">
        <v>3463</v>
      </c>
      <c r="AJ253" t="s">
        <v>3463</v>
      </c>
      <c r="AK253" t="s">
        <v>3463</v>
      </c>
      <c r="AL253" t="s">
        <v>3465</v>
      </c>
      <c r="AM253" t="s">
        <v>782</v>
      </c>
      <c r="AN253" t="s">
        <v>3626</v>
      </c>
      <c r="AP253" t="s">
        <v>3464</v>
      </c>
      <c r="AQ253" t="s">
        <v>783</v>
      </c>
      <c r="AR253" t="s">
        <v>3532</v>
      </c>
      <c r="AV253" t="s">
        <v>74</v>
      </c>
      <c r="AW253" t="s">
        <v>3915</v>
      </c>
      <c r="BF253" t="s">
        <v>3921</v>
      </c>
      <c r="BH253" t="s">
        <v>4020</v>
      </c>
      <c r="BP253" t="s">
        <v>4260</v>
      </c>
      <c r="BQ253" t="s">
        <v>3463</v>
      </c>
      <c r="BR253" t="s">
        <v>3465</v>
      </c>
      <c r="BS253" t="s">
        <v>3465</v>
      </c>
      <c r="BT253" t="s">
        <v>3465</v>
      </c>
      <c r="BU253" t="s">
        <v>3463</v>
      </c>
      <c r="BV253" t="s">
        <v>3463</v>
      </c>
      <c r="BW253" t="s">
        <v>3463</v>
      </c>
      <c r="BX253" t="s">
        <v>79</v>
      </c>
      <c r="BY253" t="s">
        <v>87</v>
      </c>
      <c r="BZ253" t="s">
        <v>79</v>
      </c>
      <c r="CA253" s="10">
        <v>45909</v>
      </c>
    </row>
    <row r="254" spans="1:79">
      <c r="A254">
        <v>257</v>
      </c>
      <c r="B254">
        <v>115</v>
      </c>
      <c r="C254">
        <v>54</v>
      </c>
      <c r="D254" t="s">
        <v>3466</v>
      </c>
      <c r="F254" t="s">
        <v>503</v>
      </c>
      <c r="G254" s="12" t="s">
        <v>3463</v>
      </c>
      <c r="I254">
        <v>76</v>
      </c>
      <c r="K254">
        <v>138</v>
      </c>
      <c r="L254">
        <v>74</v>
      </c>
      <c r="M254" t="s">
        <v>82</v>
      </c>
      <c r="P254" t="s">
        <v>83</v>
      </c>
      <c r="Q254" t="s">
        <v>82</v>
      </c>
      <c r="R254">
        <v>42.95</v>
      </c>
      <c r="S254">
        <v>151</v>
      </c>
      <c r="T254" s="8">
        <f t="shared" si="6"/>
        <v>18.836893118722866</v>
      </c>
      <c r="U254" s="13" t="str" cm="1">
        <f t="array" ref="U254">IF(T254="","",_xlfn.IFS(T254&lt;18.5,"Bajo peso",T254&lt;25,"Peso normal",T254&lt;30,"Sobrepeso",T254&lt;35,"Obesidad clase I",T254&lt;40,"Obesidad clase II",T254&gt;=40,"Obesidad clase III"))</f>
        <v>Peso normal</v>
      </c>
      <c r="V254">
        <v>84</v>
      </c>
      <c r="X254" t="s">
        <v>3463</v>
      </c>
      <c r="Y254">
        <v>0.63</v>
      </c>
      <c r="AA254">
        <v>90</v>
      </c>
      <c r="AB254" s="9">
        <f t="shared" si="7"/>
        <v>105.35181019596828</v>
      </c>
      <c r="AD254" t="s">
        <v>73</v>
      </c>
      <c r="AF254" t="s">
        <v>73</v>
      </c>
      <c r="AH254" t="s">
        <v>3463</v>
      </c>
      <c r="AI254" t="s">
        <v>3463</v>
      </c>
      <c r="AJ254" t="s">
        <v>3463</v>
      </c>
      <c r="AK254" t="s">
        <v>3463</v>
      </c>
      <c r="AL254" t="s">
        <v>3465</v>
      </c>
      <c r="AM254" t="s">
        <v>784</v>
      </c>
      <c r="AN254" t="s">
        <v>3680</v>
      </c>
      <c r="AP254" t="s">
        <v>3463</v>
      </c>
      <c r="AQ254" t="s">
        <v>377</v>
      </c>
      <c r="AR254" t="s">
        <v>3491</v>
      </c>
      <c r="AT254" t="s">
        <v>3465</v>
      </c>
      <c r="AU254" t="s">
        <v>125</v>
      </c>
      <c r="AV254" t="s">
        <v>74</v>
      </c>
      <c r="AW254" t="s">
        <v>3915</v>
      </c>
      <c r="AX254" t="s">
        <v>3463</v>
      </c>
      <c r="AY254" t="s">
        <v>3465</v>
      </c>
      <c r="AZ254" t="s">
        <v>247</v>
      </c>
      <c r="BF254" t="s">
        <v>3921</v>
      </c>
      <c r="BH254" t="s">
        <v>4020</v>
      </c>
      <c r="BP254" t="s">
        <v>4260</v>
      </c>
      <c r="BQ254" t="s">
        <v>3465</v>
      </c>
      <c r="BR254" t="s">
        <v>3465</v>
      </c>
      <c r="BS254" t="s">
        <v>3463</v>
      </c>
      <c r="BT254" t="s">
        <v>3463</v>
      </c>
      <c r="BU254" t="s">
        <v>3463</v>
      </c>
      <c r="BV254" t="s">
        <v>3463</v>
      </c>
      <c r="BW254" t="s">
        <v>3463</v>
      </c>
      <c r="BX254" t="s">
        <v>79</v>
      </c>
      <c r="BY254" t="s">
        <v>87</v>
      </c>
      <c r="BZ254" t="s">
        <v>79</v>
      </c>
      <c r="CA254" s="10">
        <v>45909</v>
      </c>
    </row>
    <row r="255" spans="1:79">
      <c r="A255">
        <v>258</v>
      </c>
      <c r="B255">
        <v>116</v>
      </c>
      <c r="C255">
        <v>60</v>
      </c>
      <c r="D255" t="s">
        <v>3466</v>
      </c>
      <c r="E255" t="s">
        <v>502</v>
      </c>
      <c r="F255" t="s">
        <v>503</v>
      </c>
      <c r="G255" s="12" t="s">
        <v>3465</v>
      </c>
      <c r="H255" t="s">
        <v>88</v>
      </c>
      <c r="I255">
        <v>75</v>
      </c>
      <c r="J255">
        <v>70</v>
      </c>
      <c r="K255">
        <v>167</v>
      </c>
      <c r="L255">
        <v>91</v>
      </c>
      <c r="M255" t="s">
        <v>72</v>
      </c>
      <c r="N255">
        <v>148</v>
      </c>
      <c r="O255">
        <v>84</v>
      </c>
      <c r="P255" t="s">
        <v>72</v>
      </c>
      <c r="Q255" t="s">
        <v>72</v>
      </c>
      <c r="R255">
        <v>89.8</v>
      </c>
      <c r="S255">
        <v>156</v>
      </c>
      <c r="T255" s="8">
        <f t="shared" si="6"/>
        <v>36.900065746219589</v>
      </c>
      <c r="U255" s="13" t="str" cm="1">
        <f t="array" ref="U255">IF(T255="","",_xlfn.IFS(T255&lt;18.5,"Bajo peso",T255&lt;25,"Peso normal",T255&lt;30,"Sobrepeso",T255&lt;35,"Obesidad clase I",T255&lt;40,"Obesidad clase II",T255&gt;=40,"Obesidad clase III"))</f>
        <v>Obesidad clase II</v>
      </c>
      <c r="V255">
        <v>100</v>
      </c>
      <c r="X255" t="s">
        <v>3463</v>
      </c>
      <c r="Y255">
        <v>0.71</v>
      </c>
      <c r="AA255">
        <v>90</v>
      </c>
      <c r="AB255" s="9">
        <f t="shared" si="7"/>
        <v>97.278313123326143</v>
      </c>
      <c r="AD255" t="s">
        <v>73</v>
      </c>
      <c r="AF255" t="s">
        <v>73</v>
      </c>
      <c r="AG255" t="s">
        <v>3463</v>
      </c>
      <c r="AH255" t="s">
        <v>3465</v>
      </c>
      <c r="AI255" t="s">
        <v>3465</v>
      </c>
      <c r="AJ255" t="s">
        <v>3463</v>
      </c>
      <c r="AK255" t="s">
        <v>3463</v>
      </c>
      <c r="AL255" t="s">
        <v>3465</v>
      </c>
      <c r="AM255" t="s">
        <v>788</v>
      </c>
      <c r="AN255" t="s">
        <v>3681</v>
      </c>
      <c r="AP255" t="s">
        <v>3463</v>
      </c>
      <c r="AQ255" t="s">
        <v>547</v>
      </c>
      <c r="AR255" t="s">
        <v>3488</v>
      </c>
      <c r="AS255" t="s">
        <v>3465</v>
      </c>
      <c r="AT255" t="s">
        <v>3463</v>
      </c>
      <c r="AV255" t="s">
        <v>74</v>
      </c>
      <c r="AW255" t="s">
        <v>3915</v>
      </c>
      <c r="AX255" t="s">
        <v>3463</v>
      </c>
      <c r="AY255" t="s">
        <v>3465</v>
      </c>
      <c r="AZ255" t="s">
        <v>90</v>
      </c>
      <c r="BA255" t="s">
        <v>3920</v>
      </c>
      <c r="BB255" t="s">
        <v>3485</v>
      </c>
      <c r="BF255" t="s">
        <v>3921</v>
      </c>
      <c r="BG255" t="s">
        <v>789</v>
      </c>
      <c r="BH255" t="s">
        <v>4104</v>
      </c>
      <c r="BK255" t="s">
        <v>790</v>
      </c>
      <c r="BL255" t="s">
        <v>791</v>
      </c>
      <c r="BP255" t="s">
        <v>4370</v>
      </c>
      <c r="BQ255" t="s">
        <v>3463</v>
      </c>
      <c r="BR255" t="s">
        <v>3463</v>
      </c>
      <c r="BS255" t="s">
        <v>3465</v>
      </c>
      <c r="BT255" t="s">
        <v>3465</v>
      </c>
      <c r="BU255" t="s">
        <v>3463</v>
      </c>
      <c r="BV255" t="s">
        <v>3463</v>
      </c>
      <c r="BW255" t="s">
        <v>3463</v>
      </c>
      <c r="BX255" t="s">
        <v>79</v>
      </c>
      <c r="BY255" t="s">
        <v>87</v>
      </c>
      <c r="BZ255" t="s">
        <v>95</v>
      </c>
      <c r="CA255" s="10">
        <v>45909</v>
      </c>
    </row>
    <row r="256" spans="1:79">
      <c r="A256">
        <v>259</v>
      </c>
      <c r="B256">
        <v>117</v>
      </c>
      <c r="C256">
        <v>74</v>
      </c>
      <c r="D256" t="s">
        <v>3462</v>
      </c>
      <c r="E256" t="s">
        <v>450</v>
      </c>
      <c r="F256" t="s">
        <v>503</v>
      </c>
      <c r="G256" s="12" t="s">
        <v>3463</v>
      </c>
      <c r="I256">
        <v>74</v>
      </c>
      <c r="K256">
        <v>129</v>
      </c>
      <c r="L256">
        <v>65</v>
      </c>
      <c r="M256" t="s">
        <v>118</v>
      </c>
      <c r="P256" t="s">
        <v>83</v>
      </c>
      <c r="Q256" t="s">
        <v>118</v>
      </c>
      <c r="R256">
        <v>98.6</v>
      </c>
      <c r="S256">
        <v>169</v>
      </c>
      <c r="T256" s="8">
        <f t="shared" si="6"/>
        <v>34.522600749273479</v>
      </c>
      <c r="U256" s="13" t="str" cm="1">
        <f t="array" ref="U256">IF(T256="","",_xlfn.IFS(T256&lt;18.5,"Bajo peso",T256&lt;25,"Peso normal",T256&lt;30,"Sobrepeso",T256&lt;35,"Obesidad clase I",T256&lt;40,"Obesidad clase II",T256&gt;=40,"Obesidad clase III"))</f>
        <v>Obesidad clase I</v>
      </c>
      <c r="V256">
        <v>117</v>
      </c>
      <c r="X256" t="s">
        <v>3463</v>
      </c>
      <c r="Y256">
        <v>0.98</v>
      </c>
      <c r="AA256">
        <v>81</v>
      </c>
      <c r="AB256" s="9">
        <f t="shared" si="7"/>
        <v>80.915831842372214</v>
      </c>
      <c r="AD256" t="s">
        <v>73</v>
      </c>
      <c r="AF256" t="s">
        <v>73</v>
      </c>
      <c r="AH256" t="s">
        <v>3463</v>
      </c>
      <c r="AI256" t="s">
        <v>3465</v>
      </c>
      <c r="AJ256" t="s">
        <v>3463</v>
      </c>
      <c r="AK256" t="s">
        <v>3463</v>
      </c>
      <c r="AL256" t="s">
        <v>3463</v>
      </c>
      <c r="AP256" t="s">
        <v>3463</v>
      </c>
      <c r="AQ256" t="s">
        <v>785</v>
      </c>
      <c r="AR256" t="s">
        <v>3508</v>
      </c>
      <c r="AS256" t="s">
        <v>3465</v>
      </c>
      <c r="AV256" t="s">
        <v>178</v>
      </c>
      <c r="AW256" t="s">
        <v>3918</v>
      </c>
      <c r="BA256" t="s">
        <v>3920</v>
      </c>
      <c r="BF256" t="s">
        <v>3921</v>
      </c>
      <c r="BG256" t="s">
        <v>786</v>
      </c>
      <c r="BH256" t="s">
        <v>4076</v>
      </c>
      <c r="BI256" t="s">
        <v>411</v>
      </c>
      <c r="BL256" t="s">
        <v>787</v>
      </c>
      <c r="BP256" t="s">
        <v>4336</v>
      </c>
      <c r="BQ256" t="s">
        <v>3463</v>
      </c>
      <c r="BR256" t="s">
        <v>3465</v>
      </c>
      <c r="BS256" t="s">
        <v>3463</v>
      </c>
      <c r="BT256" t="s">
        <v>3463</v>
      </c>
      <c r="BU256" t="s">
        <v>3463</v>
      </c>
      <c r="BV256" t="s">
        <v>3463</v>
      </c>
      <c r="BW256" t="s">
        <v>3463</v>
      </c>
      <c r="BX256" t="s">
        <v>79</v>
      </c>
      <c r="BY256" t="s">
        <v>87</v>
      </c>
      <c r="BZ256" t="s">
        <v>95</v>
      </c>
      <c r="CA256" s="10">
        <v>45909</v>
      </c>
    </row>
    <row r="257" spans="1:79">
      <c r="A257">
        <v>261</v>
      </c>
      <c r="B257">
        <v>119</v>
      </c>
      <c r="C257">
        <v>54</v>
      </c>
      <c r="D257" t="s">
        <v>3466</v>
      </c>
      <c r="F257" t="s">
        <v>503</v>
      </c>
      <c r="G257" s="12" t="s">
        <v>3463</v>
      </c>
      <c r="I257">
        <v>74</v>
      </c>
      <c r="J257">
        <v>75</v>
      </c>
      <c r="K257">
        <v>158</v>
      </c>
      <c r="L257">
        <v>95</v>
      </c>
      <c r="M257" t="s">
        <v>72</v>
      </c>
      <c r="N257">
        <v>164</v>
      </c>
      <c r="O257">
        <v>102</v>
      </c>
      <c r="P257" t="s">
        <v>72</v>
      </c>
      <c r="Q257" t="s">
        <v>72</v>
      </c>
      <c r="R257">
        <v>92.6</v>
      </c>
      <c r="S257">
        <v>152</v>
      </c>
      <c r="T257" s="8">
        <f t="shared" si="6"/>
        <v>40.07963988919667</v>
      </c>
      <c r="U257" s="13" t="str" cm="1">
        <f t="array" ref="U257">IF(T257="","",_xlfn.IFS(T257&lt;18.5,"Bajo peso",T257&lt;25,"Peso normal",T257&lt;30,"Sobrepeso",T257&lt;35,"Obesidad clase I",T257&lt;40,"Obesidad clase II",T257&gt;=40,"Obesidad clase III"))</f>
        <v>Obesidad clase III</v>
      </c>
      <c r="V257">
        <v>262</v>
      </c>
      <c r="X257" t="s">
        <v>3465</v>
      </c>
      <c r="Y257">
        <v>1.1000000000000001</v>
      </c>
      <c r="AA257">
        <v>59</v>
      </c>
      <c r="AB257" s="9">
        <f t="shared" si="7"/>
        <v>59.711897581974455</v>
      </c>
      <c r="AD257" t="s">
        <v>158</v>
      </c>
      <c r="AF257" t="s">
        <v>158</v>
      </c>
      <c r="AG257" t="s">
        <v>3465</v>
      </c>
      <c r="AH257" t="s">
        <v>3465</v>
      </c>
      <c r="AI257" t="s">
        <v>3465</v>
      </c>
      <c r="AJ257" t="s">
        <v>3463</v>
      </c>
      <c r="AK257" t="s">
        <v>3463</v>
      </c>
      <c r="AL257" t="s">
        <v>3465</v>
      </c>
      <c r="AM257" t="s">
        <v>792</v>
      </c>
      <c r="AN257" t="s">
        <v>3682</v>
      </c>
      <c r="AO257" t="s">
        <v>3463</v>
      </c>
      <c r="AP257" t="s">
        <v>3465</v>
      </c>
      <c r="AQ257" t="s">
        <v>793</v>
      </c>
      <c r="AR257" t="s">
        <v>3522</v>
      </c>
      <c r="AS257" t="s">
        <v>3465</v>
      </c>
      <c r="AT257" t="s">
        <v>3465</v>
      </c>
      <c r="AU257" t="s">
        <v>80</v>
      </c>
      <c r="AV257" t="s">
        <v>112</v>
      </c>
      <c r="AW257" t="s">
        <v>3917</v>
      </c>
      <c r="AX257" t="s">
        <v>3463</v>
      </c>
      <c r="AY257" t="s">
        <v>3463</v>
      </c>
      <c r="BA257" t="s">
        <v>3920</v>
      </c>
      <c r="BB257" t="s">
        <v>3485</v>
      </c>
      <c r="BE257" t="s">
        <v>116</v>
      </c>
      <c r="BF257" t="s">
        <v>116</v>
      </c>
      <c r="BG257" t="s">
        <v>794</v>
      </c>
      <c r="BH257" t="s">
        <v>4105</v>
      </c>
      <c r="BI257" t="s">
        <v>411</v>
      </c>
      <c r="BL257" t="s">
        <v>795</v>
      </c>
      <c r="BP257" t="s">
        <v>4372</v>
      </c>
      <c r="BQ257" t="s">
        <v>3463</v>
      </c>
      <c r="BR257" t="s">
        <v>3463</v>
      </c>
      <c r="BS257" t="s">
        <v>3463</v>
      </c>
      <c r="BT257" t="s">
        <v>3463</v>
      </c>
      <c r="BU257" t="s">
        <v>3463</v>
      </c>
      <c r="BV257" t="s">
        <v>3463</v>
      </c>
      <c r="BW257" t="s">
        <v>3463</v>
      </c>
      <c r="BX257" t="s">
        <v>518</v>
      </c>
      <c r="BY257" t="s">
        <v>487</v>
      </c>
      <c r="BZ257" t="s">
        <v>79</v>
      </c>
      <c r="CA257" s="10">
        <v>45909</v>
      </c>
    </row>
    <row r="258" spans="1:79">
      <c r="A258">
        <v>262</v>
      </c>
      <c r="B258">
        <v>120</v>
      </c>
      <c r="C258">
        <v>48</v>
      </c>
      <c r="D258" t="s">
        <v>3466</v>
      </c>
      <c r="E258" t="s">
        <v>796</v>
      </c>
      <c r="F258" t="s">
        <v>503</v>
      </c>
      <c r="G258" s="12" t="s">
        <v>3465</v>
      </c>
      <c r="H258" t="s">
        <v>88</v>
      </c>
      <c r="I258">
        <v>69</v>
      </c>
      <c r="J258">
        <v>62</v>
      </c>
      <c r="K258">
        <v>144</v>
      </c>
      <c r="L258">
        <v>78</v>
      </c>
      <c r="M258" t="s">
        <v>72</v>
      </c>
      <c r="N258">
        <v>127</v>
      </c>
      <c r="O258">
        <v>77</v>
      </c>
      <c r="P258" t="s">
        <v>118</v>
      </c>
      <c r="Q258" t="s">
        <v>118</v>
      </c>
      <c r="R258">
        <v>73.2</v>
      </c>
      <c r="S258">
        <v>149.5</v>
      </c>
      <c r="T258" s="8">
        <f t="shared" ref="T258:T321" si="8">IFERROR(R258/(S258^2)*10000,"")</f>
        <v>32.751311506582702</v>
      </c>
      <c r="U258" s="13" t="str" cm="1">
        <f t="array" ref="U258">IF(T258="","",_xlfn.IFS(T258&lt;18.5,"Bajo peso",T258&lt;25,"Peso normal",T258&lt;30,"Sobrepeso",T258&lt;35,"Obesidad clase I",T258&lt;40,"Obesidad clase II",T258&gt;=40,"Obesidad clase III"))</f>
        <v>Obesidad clase I</v>
      </c>
      <c r="V258">
        <v>122</v>
      </c>
      <c r="X258" t="s">
        <v>3463</v>
      </c>
      <c r="Y258">
        <v>1.04</v>
      </c>
      <c r="AA258">
        <v>66</v>
      </c>
      <c r="AB258" s="9">
        <f t="shared" ref="AB258:AB321" si="9">IF(OR(C258="",D258="",Y258=""),"",142*POWER(MIN(Y258/IF(D258="Mujer",0.7,0.9),1),IF(D258="Mujer",-0.241,-0.302))*POWER(MAX(Y258/IF(D258="Mujer",0.7,0.9),1),-1.2)*POWER(0.9938,C258)*IF(D258="Mujer",1.012,1))</f>
        <v>66.297649819119357</v>
      </c>
      <c r="AD258" t="s">
        <v>73</v>
      </c>
      <c r="AF258" t="s">
        <v>73</v>
      </c>
      <c r="AH258" t="s">
        <v>3463</v>
      </c>
      <c r="AI258" t="s">
        <v>3463</v>
      </c>
      <c r="AJ258" t="s">
        <v>3463</v>
      </c>
      <c r="AK258" t="s">
        <v>3463</v>
      </c>
      <c r="AL258" t="s">
        <v>3463</v>
      </c>
      <c r="AP258" t="s">
        <v>3463</v>
      </c>
      <c r="AQ258" t="s">
        <v>120</v>
      </c>
      <c r="AR258" t="s">
        <v>3491</v>
      </c>
      <c r="AT258" t="s">
        <v>3465</v>
      </c>
      <c r="AV258" t="s">
        <v>74</v>
      </c>
      <c r="AW258" t="s">
        <v>3915</v>
      </c>
      <c r="AX258" t="s">
        <v>3463</v>
      </c>
      <c r="AY258" t="s">
        <v>3463</v>
      </c>
      <c r="BA258" t="s">
        <v>3920</v>
      </c>
      <c r="BC258" t="s">
        <v>128</v>
      </c>
      <c r="BF258" t="s">
        <v>3921</v>
      </c>
      <c r="BG258" t="s">
        <v>797</v>
      </c>
      <c r="BH258" t="s">
        <v>4017</v>
      </c>
      <c r="BI258" t="s">
        <v>76</v>
      </c>
      <c r="BL258" t="s">
        <v>798</v>
      </c>
      <c r="BP258" t="s">
        <v>4261</v>
      </c>
      <c r="BQ258" t="s">
        <v>3463</v>
      </c>
      <c r="BR258" t="s">
        <v>3465</v>
      </c>
      <c r="BS258" t="s">
        <v>3465</v>
      </c>
      <c r="BT258" t="s">
        <v>3465</v>
      </c>
      <c r="BU258" t="s">
        <v>3463</v>
      </c>
      <c r="BV258" t="s">
        <v>3463</v>
      </c>
      <c r="BW258" t="s">
        <v>3463</v>
      </c>
      <c r="BX258" t="s">
        <v>79</v>
      </c>
      <c r="BY258" t="s">
        <v>87</v>
      </c>
      <c r="BZ258" t="s">
        <v>79</v>
      </c>
      <c r="CA258" s="10">
        <v>45909</v>
      </c>
    </row>
    <row r="259" spans="1:79">
      <c r="A259">
        <v>263</v>
      </c>
      <c r="B259">
        <v>121</v>
      </c>
      <c r="C259">
        <v>35</v>
      </c>
      <c r="D259" t="s">
        <v>3466</v>
      </c>
      <c r="F259" t="s">
        <v>503</v>
      </c>
      <c r="G259" s="12" t="s">
        <v>3463</v>
      </c>
      <c r="I259">
        <v>72</v>
      </c>
      <c r="J259">
        <v>82</v>
      </c>
      <c r="K259">
        <v>140</v>
      </c>
      <c r="L259">
        <v>79</v>
      </c>
      <c r="M259" t="s">
        <v>72</v>
      </c>
      <c r="N259">
        <v>134</v>
      </c>
      <c r="O259">
        <v>81</v>
      </c>
      <c r="P259" t="s">
        <v>82</v>
      </c>
      <c r="Q259" t="s">
        <v>82</v>
      </c>
      <c r="R259">
        <v>79.7</v>
      </c>
      <c r="S259">
        <v>169</v>
      </c>
      <c r="T259" s="8">
        <f t="shared" si="8"/>
        <v>27.905185392668326</v>
      </c>
      <c r="U259" s="13" t="str" cm="1">
        <f t="array" ref="U259">IF(T259="","",_xlfn.IFS(T259&lt;18.5,"Bajo peso",T259&lt;25,"Peso normal",T259&lt;30,"Sobrepeso",T259&lt;35,"Obesidad clase I",T259&lt;40,"Obesidad clase II",T259&gt;=40,"Obesidad clase III"))</f>
        <v>Sobrepeso</v>
      </c>
      <c r="V259">
        <v>80</v>
      </c>
      <c r="X259" t="s">
        <v>3463</v>
      </c>
      <c r="Y259">
        <v>0.64</v>
      </c>
      <c r="AA259">
        <v>90</v>
      </c>
      <c r="AB259" s="9">
        <f t="shared" si="9"/>
        <v>118.11711889319595</v>
      </c>
      <c r="AD259" t="s">
        <v>73</v>
      </c>
      <c r="AF259" t="s">
        <v>73</v>
      </c>
      <c r="AH259" t="s">
        <v>3463</v>
      </c>
      <c r="AI259" t="s">
        <v>3463</v>
      </c>
      <c r="AJ259" t="s">
        <v>3463</v>
      </c>
      <c r="AK259" t="s">
        <v>3463</v>
      </c>
      <c r="AL259" t="s">
        <v>3463</v>
      </c>
      <c r="AP259" t="s">
        <v>3463</v>
      </c>
      <c r="AQ259" t="s">
        <v>169</v>
      </c>
      <c r="AR259" t="s">
        <v>3493</v>
      </c>
      <c r="AV259" t="s">
        <v>178</v>
      </c>
      <c r="AW259" t="s">
        <v>3918</v>
      </c>
      <c r="AX259" t="s">
        <v>3465</v>
      </c>
      <c r="AY259" t="s">
        <v>3465</v>
      </c>
      <c r="AZ259" t="s">
        <v>90</v>
      </c>
      <c r="BF259" t="s">
        <v>3921</v>
      </c>
      <c r="BH259" t="s">
        <v>4020</v>
      </c>
      <c r="BP259" t="s">
        <v>4260</v>
      </c>
      <c r="BQ259" t="s">
        <v>3463</v>
      </c>
      <c r="BR259" t="s">
        <v>3465</v>
      </c>
      <c r="BS259" t="s">
        <v>3465</v>
      </c>
      <c r="BT259" t="s">
        <v>3465</v>
      </c>
      <c r="BU259" t="s">
        <v>3465</v>
      </c>
      <c r="BV259" t="s">
        <v>3465</v>
      </c>
      <c r="BW259" t="s">
        <v>3465</v>
      </c>
      <c r="BX259" t="s">
        <v>518</v>
      </c>
      <c r="BY259" t="s">
        <v>87</v>
      </c>
      <c r="BZ259" t="s">
        <v>79</v>
      </c>
      <c r="CA259" s="10">
        <v>45909</v>
      </c>
    </row>
    <row r="260" spans="1:79">
      <c r="A260">
        <v>264</v>
      </c>
      <c r="B260">
        <v>122</v>
      </c>
      <c r="C260">
        <v>38</v>
      </c>
      <c r="D260" t="s">
        <v>3466</v>
      </c>
      <c r="E260" t="s">
        <v>688</v>
      </c>
      <c r="F260" t="s">
        <v>503</v>
      </c>
      <c r="G260" s="12" t="s">
        <v>3463</v>
      </c>
      <c r="I260">
        <v>63</v>
      </c>
      <c r="J260">
        <v>66</v>
      </c>
      <c r="K260">
        <v>149</v>
      </c>
      <c r="L260">
        <v>85</v>
      </c>
      <c r="M260" t="s">
        <v>72</v>
      </c>
      <c r="N260">
        <v>139</v>
      </c>
      <c r="O260">
        <v>83</v>
      </c>
      <c r="P260" t="s">
        <v>82</v>
      </c>
      <c r="Q260" t="s">
        <v>82</v>
      </c>
      <c r="R260">
        <v>65.7</v>
      </c>
      <c r="S260">
        <v>164</v>
      </c>
      <c r="T260" s="8">
        <f t="shared" si="8"/>
        <v>24.427424152290303</v>
      </c>
      <c r="U260" s="13" t="str" cm="1">
        <f t="array" ref="U260">IF(T260="","",_xlfn.IFS(T260&lt;18.5,"Bajo peso",T260&lt;25,"Peso normal",T260&lt;30,"Sobrepeso",T260&lt;35,"Obesidad clase I",T260&lt;40,"Obesidad clase II",T260&gt;=40,"Obesidad clase III"))</f>
        <v>Peso normal</v>
      </c>
      <c r="V260">
        <v>87</v>
      </c>
      <c r="X260" t="s">
        <v>3463</v>
      </c>
      <c r="Y260">
        <v>0.64</v>
      </c>
      <c r="AA260">
        <v>90</v>
      </c>
      <c r="AB260" s="9">
        <f t="shared" si="9"/>
        <v>115.93373359731655</v>
      </c>
      <c r="AD260" t="s">
        <v>73</v>
      </c>
      <c r="AF260" t="s">
        <v>73</v>
      </c>
      <c r="AH260" t="s">
        <v>3463</v>
      </c>
      <c r="AI260" t="s">
        <v>3463</v>
      </c>
      <c r="AJ260" t="s">
        <v>3463</v>
      </c>
      <c r="AK260" t="s">
        <v>3463</v>
      </c>
      <c r="AL260" t="s">
        <v>3463</v>
      </c>
      <c r="AP260" t="s">
        <v>3463</v>
      </c>
      <c r="AQ260" t="s">
        <v>799</v>
      </c>
      <c r="AR260" t="s">
        <v>3488</v>
      </c>
      <c r="AV260" t="s">
        <v>74</v>
      </c>
      <c r="AW260" t="s">
        <v>3915</v>
      </c>
      <c r="BF260" t="s">
        <v>3921</v>
      </c>
      <c r="BG260" t="s">
        <v>800</v>
      </c>
      <c r="BH260" t="s">
        <v>4021</v>
      </c>
      <c r="BI260" t="s">
        <v>76</v>
      </c>
      <c r="BL260" t="s">
        <v>801</v>
      </c>
      <c r="BP260" t="s">
        <v>4261</v>
      </c>
      <c r="BQ260" t="s">
        <v>3465</v>
      </c>
      <c r="BR260" t="s">
        <v>3465</v>
      </c>
      <c r="BX260" t="s">
        <v>518</v>
      </c>
      <c r="BY260" t="s">
        <v>87</v>
      </c>
      <c r="BZ260" t="s">
        <v>79</v>
      </c>
      <c r="CA260" s="10">
        <v>45909</v>
      </c>
    </row>
    <row r="261" spans="1:79">
      <c r="A261">
        <v>265</v>
      </c>
      <c r="B261">
        <v>123</v>
      </c>
      <c r="C261">
        <v>75</v>
      </c>
      <c r="D261" t="s">
        <v>3466</v>
      </c>
      <c r="F261" t="s">
        <v>503</v>
      </c>
      <c r="G261" s="12" t="s">
        <v>3463</v>
      </c>
      <c r="I261">
        <v>83</v>
      </c>
      <c r="J261">
        <v>84</v>
      </c>
      <c r="K261">
        <v>170</v>
      </c>
      <c r="L261">
        <v>82</v>
      </c>
      <c r="M261" t="s">
        <v>72</v>
      </c>
      <c r="N261">
        <v>152</v>
      </c>
      <c r="O261">
        <v>72</v>
      </c>
      <c r="P261" t="s">
        <v>72</v>
      </c>
      <c r="Q261" t="s">
        <v>72</v>
      </c>
      <c r="R261">
        <v>66.7</v>
      </c>
      <c r="S261">
        <v>148</v>
      </c>
      <c r="T261" s="8">
        <f t="shared" si="8"/>
        <v>30.451059167275382</v>
      </c>
      <c r="U261" s="13" t="str" cm="1">
        <f t="array" ref="U261">IF(T261="","",_xlfn.IFS(T261&lt;18.5,"Bajo peso",T261&lt;25,"Peso normal",T261&lt;30,"Sobrepeso",T261&lt;35,"Obesidad clase I",T261&lt;40,"Obesidad clase II",T261&gt;=40,"Obesidad clase III"))</f>
        <v>Obesidad clase I</v>
      </c>
      <c r="V261">
        <v>87</v>
      </c>
      <c r="X261" t="s">
        <v>3463</v>
      </c>
      <c r="Y261">
        <v>0.94</v>
      </c>
      <c r="AA261">
        <v>63</v>
      </c>
      <c r="AB261" s="9">
        <f t="shared" si="9"/>
        <v>63.278694591272142</v>
      </c>
      <c r="AD261" t="s">
        <v>73</v>
      </c>
      <c r="AF261" t="s">
        <v>73</v>
      </c>
      <c r="AH261" t="s">
        <v>3463</v>
      </c>
      <c r="AI261" t="s">
        <v>3463</v>
      </c>
      <c r="AJ261" t="s">
        <v>3463</v>
      </c>
      <c r="AK261" t="s">
        <v>3463</v>
      </c>
      <c r="AL261" t="s">
        <v>3465</v>
      </c>
      <c r="AM261" t="s">
        <v>802</v>
      </c>
      <c r="AN261" t="s">
        <v>3612</v>
      </c>
      <c r="AO261" t="s">
        <v>3463</v>
      </c>
      <c r="AP261" t="s">
        <v>3465</v>
      </c>
      <c r="AQ261" t="s">
        <v>803</v>
      </c>
      <c r="AR261" t="s">
        <v>3533</v>
      </c>
      <c r="AT261" t="s">
        <v>3463</v>
      </c>
      <c r="AV261" t="s">
        <v>126</v>
      </c>
      <c r="AW261" t="s">
        <v>126</v>
      </c>
      <c r="AX261" t="s">
        <v>3463</v>
      </c>
      <c r="AY261" t="s">
        <v>3463</v>
      </c>
      <c r="BC261" t="s">
        <v>128</v>
      </c>
      <c r="BF261" t="s">
        <v>3921</v>
      </c>
      <c r="BG261" t="s">
        <v>804</v>
      </c>
      <c r="BH261" t="s">
        <v>4106</v>
      </c>
      <c r="BI261" t="s">
        <v>734</v>
      </c>
      <c r="BK261" t="s">
        <v>805</v>
      </c>
      <c r="BL261" t="s">
        <v>806</v>
      </c>
      <c r="BP261" t="s">
        <v>4270</v>
      </c>
      <c r="BQ261" t="s">
        <v>3463</v>
      </c>
      <c r="BR261" t="s">
        <v>3463</v>
      </c>
      <c r="BS261" t="s">
        <v>3465</v>
      </c>
      <c r="BT261" t="s">
        <v>3465</v>
      </c>
      <c r="BU261" t="s">
        <v>3463</v>
      </c>
      <c r="BV261" t="s">
        <v>3463</v>
      </c>
      <c r="BW261" t="s">
        <v>3463</v>
      </c>
      <c r="BX261" t="s">
        <v>518</v>
      </c>
      <c r="BY261" t="s">
        <v>87</v>
      </c>
      <c r="BZ261" t="s">
        <v>79</v>
      </c>
      <c r="CA261" s="10">
        <v>45909</v>
      </c>
    </row>
    <row r="262" spans="1:79">
      <c r="A262">
        <v>266</v>
      </c>
      <c r="B262">
        <v>124</v>
      </c>
      <c r="C262">
        <v>51</v>
      </c>
      <c r="D262" t="s">
        <v>3462</v>
      </c>
      <c r="E262" t="s">
        <v>502</v>
      </c>
      <c r="F262" t="s">
        <v>503</v>
      </c>
      <c r="G262" s="12" t="s">
        <v>3463</v>
      </c>
      <c r="H262" s="12"/>
      <c r="I262">
        <v>75</v>
      </c>
      <c r="K262">
        <v>136</v>
      </c>
      <c r="L262">
        <v>81</v>
      </c>
      <c r="M262" t="s">
        <v>82</v>
      </c>
      <c r="P262" t="s">
        <v>83</v>
      </c>
      <c r="Q262" t="s">
        <v>82</v>
      </c>
      <c r="R262">
        <v>80.150000000000006</v>
      </c>
      <c r="S262">
        <v>164</v>
      </c>
      <c r="T262" s="8">
        <f t="shared" si="8"/>
        <v>29.799970255800119</v>
      </c>
      <c r="U262" s="13" t="str" cm="1">
        <f t="array" ref="U262">IF(T262="","",_xlfn.IFS(T262&lt;18.5,"Bajo peso",T262&lt;25,"Peso normal",T262&lt;30,"Sobrepeso",T262&lt;35,"Obesidad clase I",T262&lt;40,"Obesidad clase II",T262&gt;=40,"Obesidad clase III"))</f>
        <v>Sobrepeso</v>
      </c>
      <c r="V262">
        <v>128</v>
      </c>
      <c r="X262" t="s">
        <v>3463</v>
      </c>
      <c r="Y262">
        <v>1.1200000000000001</v>
      </c>
      <c r="AA262">
        <v>79</v>
      </c>
      <c r="AB262" s="9">
        <f t="shared" si="9"/>
        <v>79.53647535479783</v>
      </c>
      <c r="AD262" t="s">
        <v>73</v>
      </c>
      <c r="AF262" t="s">
        <v>73</v>
      </c>
      <c r="AH262" t="s">
        <v>3463</v>
      </c>
      <c r="AI262" t="s">
        <v>3465</v>
      </c>
      <c r="AJ262" t="s">
        <v>3463</v>
      </c>
      <c r="AK262" t="s">
        <v>3463</v>
      </c>
      <c r="AL262" t="s">
        <v>3463</v>
      </c>
      <c r="AP262" t="s">
        <v>3463</v>
      </c>
      <c r="AQ262" t="s">
        <v>120</v>
      </c>
      <c r="AR262" t="s">
        <v>3491</v>
      </c>
      <c r="AS262" t="s">
        <v>3465</v>
      </c>
      <c r="AV262" t="s">
        <v>74</v>
      </c>
      <c r="AW262" t="s">
        <v>3915</v>
      </c>
      <c r="BF262" t="s">
        <v>3921</v>
      </c>
      <c r="BH262" t="s">
        <v>4020</v>
      </c>
      <c r="BP262" t="s">
        <v>4260</v>
      </c>
      <c r="BQ262" t="s">
        <v>3463</v>
      </c>
      <c r="BR262" t="s">
        <v>3465</v>
      </c>
      <c r="BS262" t="s">
        <v>3465</v>
      </c>
      <c r="BT262" t="s">
        <v>3465</v>
      </c>
      <c r="BU262" t="s">
        <v>3463</v>
      </c>
      <c r="BV262" t="s">
        <v>3463</v>
      </c>
      <c r="BW262" t="s">
        <v>3463</v>
      </c>
      <c r="BX262" t="s">
        <v>79</v>
      </c>
      <c r="BY262" t="s">
        <v>87</v>
      </c>
      <c r="BZ262" t="s">
        <v>79</v>
      </c>
      <c r="CA262" s="10">
        <v>45909</v>
      </c>
    </row>
    <row r="263" spans="1:79">
      <c r="A263">
        <v>267</v>
      </c>
      <c r="B263">
        <v>125</v>
      </c>
      <c r="C263">
        <v>38</v>
      </c>
      <c r="D263" t="s">
        <v>3466</v>
      </c>
      <c r="F263" t="s">
        <v>503</v>
      </c>
      <c r="G263" s="12" t="s">
        <v>3465</v>
      </c>
      <c r="H263" s="12" t="s">
        <v>88</v>
      </c>
      <c r="I263">
        <v>76</v>
      </c>
      <c r="K263">
        <v>131</v>
      </c>
      <c r="L263">
        <v>81</v>
      </c>
      <c r="M263" t="s">
        <v>82</v>
      </c>
      <c r="P263" t="s">
        <v>83</v>
      </c>
      <c r="Q263" t="s">
        <v>82</v>
      </c>
      <c r="R263">
        <v>62.8</v>
      </c>
      <c r="S263">
        <v>146</v>
      </c>
      <c r="T263" s="8">
        <f t="shared" si="8"/>
        <v>29.461437417902044</v>
      </c>
      <c r="U263" s="13" t="str" cm="1">
        <f t="array" ref="U263">IF(T263="","",_xlfn.IFS(T263&lt;18.5,"Bajo peso",T263&lt;25,"Peso normal",T263&lt;30,"Sobrepeso",T263&lt;35,"Obesidad clase I",T263&lt;40,"Obesidad clase II",T263&gt;=40,"Obesidad clase III"))</f>
        <v>Sobrepeso</v>
      </c>
      <c r="V263">
        <v>84</v>
      </c>
      <c r="X263" t="s">
        <v>3463</v>
      </c>
      <c r="Y263">
        <v>0.65</v>
      </c>
      <c r="AA263">
        <v>90</v>
      </c>
      <c r="AB263" s="9">
        <f t="shared" si="9"/>
        <v>115.50135446083686</v>
      </c>
      <c r="AD263" t="s">
        <v>73</v>
      </c>
      <c r="AF263" t="s">
        <v>73</v>
      </c>
      <c r="AH263" t="s">
        <v>3463</v>
      </c>
      <c r="AI263" t="s">
        <v>3463</v>
      </c>
      <c r="AJ263" t="s">
        <v>3465</v>
      </c>
      <c r="AK263" t="s">
        <v>3463</v>
      </c>
      <c r="AL263" t="s">
        <v>3463</v>
      </c>
      <c r="AP263" t="s">
        <v>3463</v>
      </c>
      <c r="AQ263" t="s">
        <v>169</v>
      </c>
      <c r="AR263" t="s">
        <v>3493</v>
      </c>
      <c r="AV263" t="s">
        <v>74</v>
      </c>
      <c r="AW263" t="s">
        <v>3915</v>
      </c>
      <c r="AX263" t="s">
        <v>3463</v>
      </c>
      <c r="AY263" t="s">
        <v>3465</v>
      </c>
      <c r="AZ263" t="s">
        <v>104</v>
      </c>
      <c r="BF263" t="s">
        <v>3921</v>
      </c>
      <c r="BH263" t="s">
        <v>4020</v>
      </c>
      <c r="BP263" t="s">
        <v>4260</v>
      </c>
      <c r="BQ263" t="s">
        <v>3463</v>
      </c>
      <c r="BR263" t="s">
        <v>3463</v>
      </c>
      <c r="BS263" t="s">
        <v>3463</v>
      </c>
      <c r="BT263" t="s">
        <v>3465</v>
      </c>
      <c r="BU263" t="s">
        <v>3463</v>
      </c>
      <c r="BV263" t="s">
        <v>3463</v>
      </c>
      <c r="BW263" t="s">
        <v>3463</v>
      </c>
      <c r="BX263" t="s">
        <v>654</v>
      </c>
      <c r="BY263" t="s">
        <v>87</v>
      </c>
      <c r="BZ263" t="s">
        <v>79</v>
      </c>
      <c r="CA263" s="10">
        <v>45909</v>
      </c>
    </row>
    <row r="264" spans="1:79">
      <c r="A264">
        <v>268</v>
      </c>
      <c r="B264">
        <v>126</v>
      </c>
      <c r="C264">
        <v>38</v>
      </c>
      <c r="D264" t="s">
        <v>3462</v>
      </c>
      <c r="F264" t="s">
        <v>503</v>
      </c>
      <c r="G264" s="12" t="s">
        <v>3465</v>
      </c>
      <c r="H264" t="s">
        <v>88</v>
      </c>
      <c r="I264">
        <v>69</v>
      </c>
      <c r="J264">
        <v>76</v>
      </c>
      <c r="K264">
        <v>151</v>
      </c>
      <c r="L264">
        <v>86</v>
      </c>
      <c r="M264" t="s">
        <v>72</v>
      </c>
      <c r="N264">
        <v>144</v>
      </c>
      <c r="O264">
        <v>92</v>
      </c>
      <c r="P264" t="s">
        <v>72</v>
      </c>
      <c r="Q264" t="s">
        <v>72</v>
      </c>
      <c r="R264">
        <v>81.7</v>
      </c>
      <c r="S264">
        <v>167</v>
      </c>
      <c r="T264" s="8">
        <f t="shared" si="8"/>
        <v>29.294704005163329</v>
      </c>
      <c r="U264" s="13" t="str" cm="1">
        <f t="array" ref="U264">IF(T264="","",_xlfn.IFS(T264&lt;18.5,"Bajo peso",T264&lt;25,"Peso normal",T264&lt;30,"Sobrepeso",T264&lt;35,"Obesidad clase I",T264&lt;40,"Obesidad clase II",T264&gt;=40,"Obesidad clase III"))</f>
        <v>Sobrepeso</v>
      </c>
      <c r="V264">
        <v>109</v>
      </c>
      <c r="X264" t="s">
        <v>3463</v>
      </c>
      <c r="Y264">
        <v>0.88</v>
      </c>
      <c r="AA264">
        <v>90</v>
      </c>
      <c r="AB264" s="9">
        <f t="shared" si="9"/>
        <v>112.87493852858434</v>
      </c>
      <c r="AD264" t="s">
        <v>73</v>
      </c>
      <c r="AF264" t="s">
        <v>73</v>
      </c>
      <c r="AH264" t="s">
        <v>3463</v>
      </c>
      <c r="AI264" t="s">
        <v>3463</v>
      </c>
      <c r="AJ264" t="s">
        <v>3463</v>
      </c>
      <c r="AK264" t="s">
        <v>3463</v>
      </c>
      <c r="AL264" t="s">
        <v>3463</v>
      </c>
      <c r="AP264" t="s">
        <v>3463</v>
      </c>
      <c r="AQ264" t="s">
        <v>159</v>
      </c>
      <c r="AR264" t="s">
        <v>3491</v>
      </c>
      <c r="AV264" t="s">
        <v>74</v>
      </c>
      <c r="AW264" t="s">
        <v>3915</v>
      </c>
      <c r="BA264" t="s">
        <v>3920</v>
      </c>
      <c r="BF264" t="s">
        <v>3921</v>
      </c>
      <c r="BG264" t="s">
        <v>807</v>
      </c>
      <c r="BH264" t="s">
        <v>4021</v>
      </c>
      <c r="BI264" t="s">
        <v>76</v>
      </c>
      <c r="BK264" t="s">
        <v>720</v>
      </c>
      <c r="BL264" t="s">
        <v>808</v>
      </c>
      <c r="BP264" t="s">
        <v>4261</v>
      </c>
      <c r="BQ264" t="s">
        <v>3463</v>
      </c>
      <c r="BR264" t="s">
        <v>3465</v>
      </c>
      <c r="BS264" t="s">
        <v>3465</v>
      </c>
      <c r="BT264" t="s">
        <v>3465</v>
      </c>
      <c r="BU264" t="s">
        <v>3463</v>
      </c>
      <c r="BV264" t="s">
        <v>3463</v>
      </c>
      <c r="BW264" t="s">
        <v>3463</v>
      </c>
      <c r="BX264" t="s">
        <v>79</v>
      </c>
      <c r="BY264" t="s">
        <v>87</v>
      </c>
      <c r="BZ264" t="s">
        <v>79</v>
      </c>
      <c r="CA264" s="10">
        <v>45909</v>
      </c>
    </row>
    <row r="265" spans="1:79">
      <c r="A265">
        <v>269</v>
      </c>
      <c r="B265">
        <v>127</v>
      </c>
      <c r="C265">
        <v>29</v>
      </c>
      <c r="D265" t="s">
        <v>3466</v>
      </c>
      <c r="E265" t="s">
        <v>502</v>
      </c>
      <c r="F265" t="s">
        <v>503</v>
      </c>
      <c r="G265" s="12" t="s">
        <v>3463</v>
      </c>
      <c r="I265">
        <v>75</v>
      </c>
      <c r="J265">
        <v>74</v>
      </c>
      <c r="K265">
        <v>139</v>
      </c>
      <c r="L265">
        <v>88</v>
      </c>
      <c r="M265" t="s">
        <v>82</v>
      </c>
      <c r="N265">
        <v>131</v>
      </c>
      <c r="O265">
        <v>81</v>
      </c>
      <c r="P265" t="s">
        <v>82</v>
      </c>
      <c r="Q265" t="s">
        <v>82</v>
      </c>
      <c r="R265">
        <v>71.5</v>
      </c>
      <c r="S265">
        <v>155.5</v>
      </c>
      <c r="T265" s="8">
        <f t="shared" si="8"/>
        <v>29.569586749516652</v>
      </c>
      <c r="U265" s="13" t="str" cm="1">
        <f t="array" ref="U265">IF(T265="","",_xlfn.IFS(T265&lt;18.5,"Bajo peso",T265&lt;25,"Peso normal",T265&lt;30,"Sobrepeso",T265&lt;35,"Obesidad clase I",T265&lt;40,"Obesidad clase II",T265&gt;=40,"Obesidad clase III"))</f>
        <v>Sobrepeso</v>
      </c>
      <c r="V265">
        <v>93</v>
      </c>
      <c r="X265" t="s">
        <v>3463</v>
      </c>
      <c r="Y265">
        <v>0.67</v>
      </c>
      <c r="AA265">
        <v>90</v>
      </c>
      <c r="AB265" s="9">
        <f t="shared" si="9"/>
        <v>121.26186320817121</v>
      </c>
      <c r="AD265" t="s">
        <v>73</v>
      </c>
      <c r="AF265" t="s">
        <v>73</v>
      </c>
      <c r="AH265" t="s">
        <v>3463</v>
      </c>
      <c r="AI265" t="s">
        <v>3463</v>
      </c>
      <c r="AJ265" t="s">
        <v>3463</v>
      </c>
      <c r="AK265" t="s">
        <v>3463</v>
      </c>
      <c r="AL265" t="s">
        <v>3463</v>
      </c>
      <c r="AO265" t="s">
        <v>3465</v>
      </c>
      <c r="AP265" t="s">
        <v>3465</v>
      </c>
      <c r="AQ265" t="s">
        <v>813</v>
      </c>
      <c r="AR265" t="s">
        <v>3534</v>
      </c>
      <c r="AV265" t="s">
        <v>74</v>
      </c>
      <c r="AW265" t="s">
        <v>3915</v>
      </c>
      <c r="AX265" t="s">
        <v>3463</v>
      </c>
      <c r="AY265" t="s">
        <v>3465</v>
      </c>
      <c r="AZ265" t="s">
        <v>247</v>
      </c>
      <c r="BF265" t="s">
        <v>3921</v>
      </c>
      <c r="BH265" t="s">
        <v>4020</v>
      </c>
      <c r="BP265" t="s">
        <v>4260</v>
      </c>
      <c r="BQ265" t="s">
        <v>3465</v>
      </c>
      <c r="BR265" t="s">
        <v>3465</v>
      </c>
      <c r="BS265" t="s">
        <v>3465</v>
      </c>
      <c r="BT265" t="s">
        <v>3465</v>
      </c>
      <c r="BU265" t="s">
        <v>3465</v>
      </c>
      <c r="BV265" t="s">
        <v>3465</v>
      </c>
      <c r="BW265" t="s">
        <v>3465</v>
      </c>
      <c r="BX265" t="s">
        <v>79</v>
      </c>
      <c r="BY265" t="s">
        <v>87</v>
      </c>
      <c r="BZ265" t="s">
        <v>79</v>
      </c>
      <c r="CA265" s="10">
        <v>45909</v>
      </c>
    </row>
    <row r="266" spans="1:79">
      <c r="A266">
        <v>270</v>
      </c>
      <c r="B266">
        <v>128</v>
      </c>
      <c r="C266">
        <v>55</v>
      </c>
      <c r="D266" t="s">
        <v>3462</v>
      </c>
      <c r="E266" t="s">
        <v>809</v>
      </c>
      <c r="F266" t="s">
        <v>503</v>
      </c>
      <c r="G266" s="12" t="s">
        <v>3465</v>
      </c>
      <c r="H266" t="s">
        <v>88</v>
      </c>
      <c r="I266">
        <v>68</v>
      </c>
      <c r="J266">
        <v>68</v>
      </c>
      <c r="K266">
        <v>151</v>
      </c>
      <c r="L266">
        <v>88</v>
      </c>
      <c r="M266" t="s">
        <v>72</v>
      </c>
      <c r="N266">
        <v>149</v>
      </c>
      <c r="O266">
        <v>89</v>
      </c>
      <c r="P266" t="s">
        <v>72</v>
      </c>
      <c r="Q266" t="s">
        <v>72</v>
      </c>
      <c r="R266">
        <v>75.400000000000006</v>
      </c>
      <c r="S266">
        <v>164.5</v>
      </c>
      <c r="T266" s="8">
        <f t="shared" si="8"/>
        <v>27.863748487172145</v>
      </c>
      <c r="U266" s="13" t="str" cm="1">
        <f t="array" ref="U266">IF(T266="","",_xlfn.IFS(T266&lt;18.5,"Bajo peso",T266&lt;25,"Peso normal",T266&lt;30,"Sobrepeso",T266&lt;35,"Obesidad clase I",T266&lt;40,"Obesidad clase II",T266&gt;=40,"Obesidad clase III"))</f>
        <v>Sobrepeso</v>
      </c>
      <c r="V266">
        <v>123</v>
      </c>
      <c r="X266" t="s">
        <v>3463</v>
      </c>
      <c r="Y266">
        <v>0.75</v>
      </c>
      <c r="AA266">
        <v>90</v>
      </c>
      <c r="AB266" s="9">
        <f t="shared" si="9"/>
        <v>106.57262503843246</v>
      </c>
      <c r="AD266" t="s">
        <v>73</v>
      </c>
      <c r="AF266" t="s">
        <v>73</v>
      </c>
      <c r="AH266" t="s">
        <v>3463</v>
      </c>
      <c r="AI266" t="s">
        <v>3463</v>
      </c>
      <c r="AJ266" t="s">
        <v>3463</v>
      </c>
      <c r="AK266" t="s">
        <v>3463</v>
      </c>
      <c r="AL266" t="s">
        <v>3463</v>
      </c>
      <c r="AP266" t="s">
        <v>3463</v>
      </c>
      <c r="AQ266" t="s">
        <v>810</v>
      </c>
      <c r="AR266" t="s">
        <v>3531</v>
      </c>
      <c r="AV266" t="s">
        <v>74</v>
      </c>
      <c r="AW266" t="s">
        <v>3915</v>
      </c>
      <c r="BF266" t="s">
        <v>3921</v>
      </c>
      <c r="BG266" t="s">
        <v>811</v>
      </c>
      <c r="BH266" t="s">
        <v>4107</v>
      </c>
      <c r="BI266" t="s">
        <v>734</v>
      </c>
      <c r="BL266" t="s">
        <v>812</v>
      </c>
      <c r="BP266" t="s">
        <v>4373</v>
      </c>
      <c r="BQ266" t="s">
        <v>3463</v>
      </c>
      <c r="BR266" t="s">
        <v>3465</v>
      </c>
      <c r="BS266" t="s">
        <v>3463</v>
      </c>
      <c r="BT266" t="s">
        <v>3465</v>
      </c>
      <c r="BU266" t="s">
        <v>3463</v>
      </c>
      <c r="BV266" t="s">
        <v>3463</v>
      </c>
      <c r="BW266" t="s">
        <v>3463</v>
      </c>
      <c r="BX266" t="s">
        <v>79</v>
      </c>
      <c r="BY266" t="s">
        <v>87</v>
      </c>
      <c r="BZ266" t="s">
        <v>95</v>
      </c>
      <c r="CA266" s="10">
        <v>45909</v>
      </c>
    </row>
    <row r="267" spans="1:79">
      <c r="A267">
        <v>271</v>
      </c>
      <c r="B267">
        <v>129</v>
      </c>
      <c r="C267">
        <v>35</v>
      </c>
      <c r="D267" t="s">
        <v>3462</v>
      </c>
      <c r="F267" t="s">
        <v>503</v>
      </c>
      <c r="G267" s="12" t="s">
        <v>3465</v>
      </c>
      <c r="H267" s="12" t="s">
        <v>88</v>
      </c>
      <c r="I267">
        <v>63</v>
      </c>
      <c r="J267">
        <v>66</v>
      </c>
      <c r="K267">
        <v>155</v>
      </c>
      <c r="L267">
        <v>88</v>
      </c>
      <c r="M267" t="s">
        <v>72</v>
      </c>
      <c r="N267">
        <v>150</v>
      </c>
      <c r="O267">
        <v>84</v>
      </c>
      <c r="P267" t="s">
        <v>72</v>
      </c>
      <c r="Q267" t="s">
        <v>72</v>
      </c>
      <c r="R267">
        <v>91.4</v>
      </c>
      <c r="S267">
        <v>171</v>
      </c>
      <c r="T267" s="8">
        <f t="shared" si="8"/>
        <v>31.257480934304578</v>
      </c>
      <c r="U267" s="13" t="str" cm="1">
        <f t="array" ref="U267">IF(T267="","",_xlfn.IFS(T267&lt;18.5,"Bajo peso",T267&lt;25,"Peso normal",T267&lt;30,"Sobrepeso",T267&lt;35,"Obesidad clase I",T267&lt;40,"Obesidad clase II",T267&gt;=40,"Obesidad clase III"))</f>
        <v>Obesidad clase I</v>
      </c>
      <c r="V267">
        <v>114</v>
      </c>
      <c r="X267" t="s">
        <v>3463</v>
      </c>
      <c r="Y267">
        <v>0.56999999999999995</v>
      </c>
      <c r="AA267">
        <v>90</v>
      </c>
      <c r="AB267" s="9">
        <f t="shared" si="9"/>
        <v>131.11733399460323</v>
      </c>
      <c r="AD267" t="s">
        <v>73</v>
      </c>
      <c r="AF267" t="s">
        <v>73</v>
      </c>
      <c r="AH267" t="s">
        <v>3463</v>
      </c>
      <c r="AI267" t="s">
        <v>3463</v>
      </c>
      <c r="AJ267" t="s">
        <v>3463</v>
      </c>
      <c r="AK267" t="s">
        <v>3463</v>
      </c>
      <c r="AL267" t="s">
        <v>3463</v>
      </c>
      <c r="AP267" t="s">
        <v>3463</v>
      </c>
      <c r="AV267" t="s">
        <v>74</v>
      </c>
      <c r="AW267" t="s">
        <v>3915</v>
      </c>
      <c r="BA267" t="s">
        <v>3920</v>
      </c>
      <c r="BC267" t="s">
        <v>128</v>
      </c>
      <c r="BF267" t="s">
        <v>3921</v>
      </c>
      <c r="BG267" t="s">
        <v>814</v>
      </c>
      <c r="BH267" t="s">
        <v>4021</v>
      </c>
      <c r="BI267" t="s">
        <v>76</v>
      </c>
      <c r="BK267" t="s">
        <v>720</v>
      </c>
      <c r="BL267" t="s">
        <v>815</v>
      </c>
      <c r="BP267" t="s">
        <v>4261</v>
      </c>
      <c r="BQ267" t="s">
        <v>3463</v>
      </c>
      <c r="BR267" t="s">
        <v>3465</v>
      </c>
      <c r="BS267" t="s">
        <v>3463</v>
      </c>
      <c r="BT267" t="s">
        <v>3463</v>
      </c>
      <c r="BU267" t="s">
        <v>3463</v>
      </c>
      <c r="BV267" t="s">
        <v>3463</v>
      </c>
      <c r="BW267" t="s">
        <v>3463</v>
      </c>
      <c r="BX267" t="s">
        <v>79</v>
      </c>
      <c r="BY267" t="s">
        <v>87</v>
      </c>
      <c r="BZ267" t="s">
        <v>79</v>
      </c>
      <c r="CA267" s="10">
        <v>45909</v>
      </c>
    </row>
    <row r="268" spans="1:79">
      <c r="A268">
        <v>272</v>
      </c>
      <c r="B268">
        <v>130</v>
      </c>
      <c r="C268">
        <v>61</v>
      </c>
      <c r="D268" t="s">
        <v>3462</v>
      </c>
      <c r="F268" t="s">
        <v>503</v>
      </c>
      <c r="G268" s="12" t="s">
        <v>3463</v>
      </c>
      <c r="I268">
        <v>65</v>
      </c>
      <c r="J268">
        <v>64</v>
      </c>
      <c r="K268">
        <v>161</v>
      </c>
      <c r="L268">
        <v>96</v>
      </c>
      <c r="M268" t="s">
        <v>72</v>
      </c>
      <c r="N268">
        <v>147</v>
      </c>
      <c r="O268">
        <v>88</v>
      </c>
      <c r="P268" t="s">
        <v>72</v>
      </c>
      <c r="Q268" t="s">
        <v>72</v>
      </c>
      <c r="R268">
        <v>88.3</v>
      </c>
      <c r="S268">
        <v>177</v>
      </c>
      <c r="T268" s="8">
        <f t="shared" si="8"/>
        <v>28.184748954642661</v>
      </c>
      <c r="U268" s="13" t="str" cm="1">
        <f t="array" ref="U268">IF(T268="","",_xlfn.IFS(T268&lt;18.5,"Bajo peso",T268&lt;25,"Peso normal",T268&lt;30,"Sobrepeso",T268&lt;35,"Obesidad clase I",T268&lt;40,"Obesidad clase II",T268&gt;=40,"Obesidad clase III"))</f>
        <v>Sobrepeso</v>
      </c>
      <c r="V268">
        <v>146</v>
      </c>
      <c r="X268" t="s">
        <v>3463</v>
      </c>
      <c r="Y268">
        <v>0.99</v>
      </c>
      <c r="AA268">
        <v>86</v>
      </c>
      <c r="AB268" s="9">
        <f t="shared" si="9"/>
        <v>86.667378275697558</v>
      </c>
      <c r="AD268" t="s">
        <v>73</v>
      </c>
      <c r="AF268" t="s">
        <v>73</v>
      </c>
      <c r="AH268" t="s">
        <v>3463</v>
      </c>
      <c r="AI268" t="s">
        <v>3463</v>
      </c>
      <c r="AJ268" t="s">
        <v>3463</v>
      </c>
      <c r="AK268" t="s">
        <v>3463</v>
      </c>
      <c r="AL268" t="s">
        <v>3463</v>
      </c>
      <c r="AP268" t="s">
        <v>3463</v>
      </c>
      <c r="AV268" t="s">
        <v>74</v>
      </c>
      <c r="AW268" t="s">
        <v>3915</v>
      </c>
      <c r="BA268" t="s">
        <v>3920</v>
      </c>
      <c r="BB268" t="s">
        <v>3485</v>
      </c>
      <c r="BF268" t="s">
        <v>3921</v>
      </c>
      <c r="BG268" t="s">
        <v>819</v>
      </c>
      <c r="BH268" t="s">
        <v>4108</v>
      </c>
      <c r="BI268" t="s">
        <v>820</v>
      </c>
      <c r="BK268" t="s">
        <v>821</v>
      </c>
      <c r="BL268" t="s">
        <v>822</v>
      </c>
      <c r="BP268" t="s">
        <v>4374</v>
      </c>
      <c r="BQ268" t="s">
        <v>3463</v>
      </c>
      <c r="BR268" t="s">
        <v>3465</v>
      </c>
      <c r="BS268" t="s">
        <v>3465</v>
      </c>
      <c r="BT268" t="s">
        <v>3465</v>
      </c>
      <c r="BU268" t="s">
        <v>3463</v>
      </c>
      <c r="BV268" t="s">
        <v>3463</v>
      </c>
      <c r="BW268" t="s">
        <v>3463</v>
      </c>
      <c r="BX268" t="s">
        <v>79</v>
      </c>
      <c r="BY268" t="s">
        <v>487</v>
      </c>
      <c r="BZ268" t="s">
        <v>79</v>
      </c>
      <c r="CA268" s="10">
        <v>45909</v>
      </c>
    </row>
    <row r="269" spans="1:79">
      <c r="A269">
        <v>273</v>
      </c>
      <c r="B269">
        <v>131</v>
      </c>
      <c r="C269">
        <v>79</v>
      </c>
      <c r="D269" t="s">
        <v>3462</v>
      </c>
      <c r="E269" t="s">
        <v>527</v>
      </c>
      <c r="F269" t="s">
        <v>503</v>
      </c>
      <c r="G269" s="12" t="s">
        <v>3463</v>
      </c>
      <c r="H269" s="12"/>
      <c r="I269">
        <v>78</v>
      </c>
      <c r="J269">
        <v>78</v>
      </c>
      <c r="K269">
        <v>169</v>
      </c>
      <c r="L269">
        <v>95</v>
      </c>
      <c r="M269" t="s">
        <v>72</v>
      </c>
      <c r="N269">
        <v>166</v>
      </c>
      <c r="O269">
        <v>102</v>
      </c>
      <c r="P269" t="s">
        <v>72</v>
      </c>
      <c r="Q269" t="s">
        <v>72</v>
      </c>
      <c r="R269">
        <v>59.9</v>
      </c>
      <c r="S269">
        <v>150</v>
      </c>
      <c r="T269" s="8">
        <f t="shared" si="8"/>
        <v>26.62222222222222</v>
      </c>
      <c r="U269" s="13" t="str" cm="1">
        <f t="array" ref="U269">IF(T269="","",_xlfn.IFS(T269&lt;18.5,"Bajo peso",T269&lt;25,"Peso normal",T269&lt;30,"Sobrepeso",T269&lt;35,"Obesidad clase I",T269&lt;40,"Obesidad clase II",T269&gt;=40,"Obesidad clase III"))</f>
        <v>Sobrepeso</v>
      </c>
      <c r="V269">
        <v>133</v>
      </c>
      <c r="X269" t="s">
        <v>3463</v>
      </c>
      <c r="Y269">
        <v>0.83</v>
      </c>
      <c r="AA269">
        <v>89</v>
      </c>
      <c r="AB269" s="9">
        <f t="shared" si="9"/>
        <v>89.028365210663466</v>
      </c>
      <c r="AD269" t="s">
        <v>73</v>
      </c>
      <c r="AF269" t="s">
        <v>73</v>
      </c>
      <c r="AH269" t="s">
        <v>3463</v>
      </c>
      <c r="AI269" t="s">
        <v>3463</v>
      </c>
      <c r="AJ269" t="s">
        <v>3463</v>
      </c>
      <c r="AK269" t="s">
        <v>3463</v>
      </c>
      <c r="AL269" t="s">
        <v>3463</v>
      </c>
      <c r="AP269" t="s">
        <v>3463</v>
      </c>
      <c r="AV269" t="s">
        <v>178</v>
      </c>
      <c r="AW269" t="s">
        <v>3918</v>
      </c>
      <c r="BE269" t="s">
        <v>816</v>
      </c>
      <c r="BF269" t="s">
        <v>3936</v>
      </c>
      <c r="BG269" t="s">
        <v>817</v>
      </c>
      <c r="BH269" t="s">
        <v>4021</v>
      </c>
      <c r="BI269" t="s">
        <v>734</v>
      </c>
      <c r="BL269" t="s">
        <v>818</v>
      </c>
      <c r="BP269" t="s">
        <v>4270</v>
      </c>
      <c r="BQ269" t="s">
        <v>3463</v>
      </c>
      <c r="BR269" t="s">
        <v>3465</v>
      </c>
      <c r="BS269" t="s">
        <v>3463</v>
      </c>
      <c r="BT269" t="s">
        <v>3463</v>
      </c>
      <c r="BU269" t="s">
        <v>3463</v>
      </c>
      <c r="BV269" t="s">
        <v>3463</v>
      </c>
      <c r="BW269" t="s">
        <v>3463</v>
      </c>
      <c r="BX269" t="s">
        <v>79</v>
      </c>
      <c r="BY269" t="s">
        <v>87</v>
      </c>
      <c r="BZ269" t="s">
        <v>79</v>
      </c>
      <c r="CA269" s="10">
        <v>45909</v>
      </c>
    </row>
    <row r="270" spans="1:79">
      <c r="A270">
        <v>274</v>
      </c>
      <c r="B270">
        <v>132</v>
      </c>
      <c r="C270">
        <v>49</v>
      </c>
      <c r="D270" t="s">
        <v>3466</v>
      </c>
      <c r="F270" t="s">
        <v>613</v>
      </c>
      <c r="G270" s="12" t="s">
        <v>3463</v>
      </c>
      <c r="I270">
        <v>76</v>
      </c>
      <c r="J270">
        <v>76</v>
      </c>
      <c r="K270">
        <v>170</v>
      </c>
      <c r="L270">
        <v>93</v>
      </c>
      <c r="M270" t="s">
        <v>72</v>
      </c>
      <c r="N270">
        <v>160</v>
      </c>
      <c r="O270">
        <v>73</v>
      </c>
      <c r="P270" t="s">
        <v>72</v>
      </c>
      <c r="Q270" t="s">
        <v>72</v>
      </c>
      <c r="R270">
        <v>93</v>
      </c>
      <c r="S270">
        <v>148</v>
      </c>
      <c r="T270" s="8">
        <f t="shared" si="8"/>
        <v>42.457998539079625</v>
      </c>
      <c r="U270" s="13" t="str" cm="1">
        <f t="array" ref="U270">IF(T270="","",_xlfn.IFS(T270&lt;18.5,"Bajo peso",T270&lt;25,"Peso normal",T270&lt;30,"Sobrepeso",T270&lt;35,"Obesidad clase I",T270&lt;40,"Obesidad clase II",T270&gt;=40,"Obesidad clase III"))</f>
        <v>Obesidad clase III</v>
      </c>
      <c r="V270">
        <v>134</v>
      </c>
      <c r="X270" t="s">
        <v>3463</v>
      </c>
      <c r="Y270">
        <v>0.57999999999999996</v>
      </c>
      <c r="AA270">
        <v>90</v>
      </c>
      <c r="AB270" s="9">
        <f t="shared" si="9"/>
        <v>110.86691581606547</v>
      </c>
      <c r="AD270" t="s">
        <v>73</v>
      </c>
      <c r="AF270" t="s">
        <v>73</v>
      </c>
      <c r="AG270" t="s">
        <v>3465</v>
      </c>
      <c r="AH270" t="s">
        <v>3465</v>
      </c>
      <c r="AI270" t="s">
        <v>3465</v>
      </c>
      <c r="AJ270" t="s">
        <v>3463</v>
      </c>
      <c r="AK270" t="s">
        <v>3463</v>
      </c>
      <c r="AL270" t="s">
        <v>3463</v>
      </c>
      <c r="AP270" t="s">
        <v>3463</v>
      </c>
      <c r="AQ270" t="s">
        <v>89</v>
      </c>
      <c r="AR270" t="s">
        <v>3488</v>
      </c>
      <c r="AS270" t="s">
        <v>3465</v>
      </c>
      <c r="AV270" t="s">
        <v>126</v>
      </c>
      <c r="AW270" t="s">
        <v>126</v>
      </c>
      <c r="AX270" t="s">
        <v>3463</v>
      </c>
      <c r="AY270" t="s">
        <v>3465</v>
      </c>
      <c r="AZ270" t="s">
        <v>152</v>
      </c>
      <c r="BA270" t="s">
        <v>3920</v>
      </c>
      <c r="BB270" t="s">
        <v>3485</v>
      </c>
      <c r="BC270" t="s">
        <v>128</v>
      </c>
      <c r="BF270" t="s">
        <v>3921</v>
      </c>
      <c r="BH270" t="s">
        <v>4023</v>
      </c>
      <c r="BI270" t="s">
        <v>823</v>
      </c>
      <c r="BK270" t="s">
        <v>824</v>
      </c>
      <c r="BL270" t="s">
        <v>825</v>
      </c>
      <c r="BP270" t="s">
        <v>4375</v>
      </c>
      <c r="BQ270" t="s">
        <v>3463</v>
      </c>
      <c r="BR270" t="s">
        <v>3465</v>
      </c>
      <c r="BS270" t="s">
        <v>3465</v>
      </c>
      <c r="BT270" t="s">
        <v>3465</v>
      </c>
      <c r="BU270" t="s">
        <v>3463</v>
      </c>
      <c r="BV270" t="s">
        <v>3463</v>
      </c>
      <c r="BW270" t="s">
        <v>3463</v>
      </c>
      <c r="BX270" t="s">
        <v>79</v>
      </c>
      <c r="BY270" t="s">
        <v>87</v>
      </c>
      <c r="BZ270" t="s">
        <v>79</v>
      </c>
      <c r="CA270" s="10">
        <v>45909</v>
      </c>
    </row>
    <row r="271" spans="1:79">
      <c r="A271">
        <v>275</v>
      </c>
      <c r="B271">
        <v>133</v>
      </c>
      <c r="C271">
        <v>44</v>
      </c>
      <c r="D271" t="s">
        <v>3466</v>
      </c>
      <c r="E271" t="s">
        <v>527</v>
      </c>
      <c r="F271" t="s">
        <v>503</v>
      </c>
      <c r="G271" s="12" t="s">
        <v>3463</v>
      </c>
      <c r="I271">
        <v>75</v>
      </c>
      <c r="K271">
        <v>111</v>
      </c>
      <c r="L271">
        <v>70</v>
      </c>
      <c r="M271" t="s">
        <v>80</v>
      </c>
      <c r="P271" t="s">
        <v>83</v>
      </c>
      <c r="Q271" t="s">
        <v>80</v>
      </c>
      <c r="R271">
        <v>76.150000000000006</v>
      </c>
      <c r="S271">
        <v>149</v>
      </c>
      <c r="T271" s="8">
        <f t="shared" si="8"/>
        <v>34.30025674519166</v>
      </c>
      <c r="U271" s="13" t="str" cm="1">
        <f t="array" ref="U271">IF(T271="","",_xlfn.IFS(T271&lt;18.5,"Bajo peso",T271&lt;25,"Peso normal",T271&lt;30,"Sobrepeso",T271&lt;35,"Obesidad clase I",T271&lt;40,"Obesidad clase II",T271&gt;=40,"Obesidad clase III"))</f>
        <v>Obesidad clase I</v>
      </c>
      <c r="V271">
        <v>93</v>
      </c>
      <c r="X271" t="s">
        <v>3463</v>
      </c>
      <c r="Y271">
        <v>0.76</v>
      </c>
      <c r="AA271">
        <v>90</v>
      </c>
      <c r="AB271" s="9">
        <f t="shared" si="9"/>
        <v>99.029790476173588</v>
      </c>
      <c r="AD271" t="s">
        <v>73</v>
      </c>
      <c r="AF271" t="s">
        <v>73</v>
      </c>
      <c r="AH271" t="s">
        <v>3463</v>
      </c>
      <c r="AI271" t="s">
        <v>3463</v>
      </c>
      <c r="AJ271" t="s">
        <v>3463</v>
      </c>
      <c r="AK271" t="s">
        <v>3463</v>
      </c>
      <c r="AL271" t="s">
        <v>3463</v>
      </c>
      <c r="AP271" t="s">
        <v>3463</v>
      </c>
      <c r="AQ271" t="s">
        <v>89</v>
      </c>
      <c r="AR271" t="s">
        <v>3488</v>
      </c>
      <c r="AT271" t="s">
        <v>3463</v>
      </c>
      <c r="AV271" t="s">
        <v>74</v>
      </c>
      <c r="AW271" t="s">
        <v>3915</v>
      </c>
      <c r="AY271" t="s">
        <v>3465</v>
      </c>
      <c r="AZ271" t="s">
        <v>665</v>
      </c>
      <c r="BC271" t="s">
        <v>128</v>
      </c>
      <c r="BF271" t="s">
        <v>3921</v>
      </c>
      <c r="BG271" t="s">
        <v>826</v>
      </c>
      <c r="BH271" t="s">
        <v>4068</v>
      </c>
      <c r="BL271" t="s">
        <v>602</v>
      </c>
      <c r="BP271" t="s">
        <v>4342</v>
      </c>
      <c r="BQ271" t="s">
        <v>3463</v>
      </c>
      <c r="BR271" t="s">
        <v>3463</v>
      </c>
      <c r="BS271" t="s">
        <v>3463</v>
      </c>
      <c r="BT271" t="s">
        <v>3465</v>
      </c>
      <c r="BU271" t="s">
        <v>3463</v>
      </c>
      <c r="BV271" t="s">
        <v>3463</v>
      </c>
      <c r="BW271" t="s">
        <v>3463</v>
      </c>
      <c r="BX271" t="s">
        <v>79</v>
      </c>
      <c r="BY271" t="s">
        <v>87</v>
      </c>
      <c r="BZ271" t="s">
        <v>79</v>
      </c>
      <c r="CA271" s="10">
        <v>45909</v>
      </c>
    </row>
    <row r="272" spans="1:79">
      <c r="A272">
        <v>276</v>
      </c>
      <c r="B272">
        <v>134</v>
      </c>
      <c r="C272">
        <v>66</v>
      </c>
      <c r="D272" t="s">
        <v>3466</v>
      </c>
      <c r="F272" t="s">
        <v>503</v>
      </c>
      <c r="G272" s="12" t="s">
        <v>3465</v>
      </c>
      <c r="H272" t="s">
        <v>88</v>
      </c>
      <c r="I272">
        <v>78</v>
      </c>
      <c r="J272">
        <v>76</v>
      </c>
      <c r="K272">
        <v>175</v>
      </c>
      <c r="L272">
        <v>82</v>
      </c>
      <c r="M272" t="s">
        <v>72</v>
      </c>
      <c r="N272">
        <v>160</v>
      </c>
      <c r="O272">
        <v>89</v>
      </c>
      <c r="P272" t="s">
        <v>72</v>
      </c>
      <c r="Q272" t="s">
        <v>72</v>
      </c>
      <c r="R272">
        <v>52.1</v>
      </c>
      <c r="S272">
        <v>154</v>
      </c>
      <c r="T272" s="8">
        <f t="shared" si="8"/>
        <v>21.96829144881093</v>
      </c>
      <c r="U272" s="13" t="str" cm="1">
        <f t="array" ref="U272">IF(T272="","",_xlfn.IFS(T272&lt;18.5,"Bajo peso",T272&lt;25,"Peso normal",T272&lt;30,"Sobrepeso",T272&lt;35,"Obesidad clase I",T272&lt;40,"Obesidad clase II",T272&gt;=40,"Obesidad clase III"))</f>
        <v>Peso normal</v>
      </c>
      <c r="V272">
        <v>105</v>
      </c>
      <c r="X272" t="s">
        <v>3463</v>
      </c>
      <c r="Y272">
        <v>0.91</v>
      </c>
      <c r="AA272">
        <v>70</v>
      </c>
      <c r="AB272" s="9">
        <f t="shared" si="9"/>
        <v>69.577742420513289</v>
      </c>
      <c r="AD272" t="s">
        <v>73</v>
      </c>
      <c r="AF272" t="s">
        <v>73</v>
      </c>
      <c r="AH272" t="s">
        <v>3463</v>
      </c>
      <c r="AI272" t="s">
        <v>3465</v>
      </c>
      <c r="AJ272" t="s">
        <v>3463</v>
      </c>
      <c r="AK272" t="s">
        <v>3463</v>
      </c>
      <c r="AL272" t="s">
        <v>3463</v>
      </c>
      <c r="AP272" t="s">
        <v>3463</v>
      </c>
      <c r="AS272" t="s">
        <v>3465</v>
      </c>
      <c r="AT272" t="s">
        <v>3465</v>
      </c>
      <c r="AU272" t="s">
        <v>80</v>
      </c>
      <c r="AV272" t="s">
        <v>126</v>
      </c>
      <c r="AW272" t="s">
        <v>126</v>
      </c>
      <c r="AX272" t="s">
        <v>3463</v>
      </c>
      <c r="AY272" t="s">
        <v>3463</v>
      </c>
      <c r="AZ272" t="s">
        <v>827</v>
      </c>
      <c r="BA272" t="s">
        <v>3920</v>
      </c>
      <c r="BF272" t="s">
        <v>3921</v>
      </c>
      <c r="BG272" t="s">
        <v>828</v>
      </c>
      <c r="BH272" t="s">
        <v>4030</v>
      </c>
      <c r="BI272" t="s">
        <v>76</v>
      </c>
      <c r="BL272" t="s">
        <v>829</v>
      </c>
      <c r="BP272" t="s">
        <v>4261</v>
      </c>
      <c r="BQ272" t="s">
        <v>3465</v>
      </c>
      <c r="BR272" t="s">
        <v>3465</v>
      </c>
      <c r="BS272" t="s">
        <v>3465</v>
      </c>
      <c r="BT272" t="s">
        <v>3465</v>
      </c>
      <c r="BU272" t="s">
        <v>3463</v>
      </c>
      <c r="BV272" t="s">
        <v>3463</v>
      </c>
      <c r="BW272" t="s">
        <v>3463</v>
      </c>
      <c r="BX272" t="s">
        <v>79</v>
      </c>
      <c r="BY272" t="s">
        <v>87</v>
      </c>
      <c r="BZ272" t="s">
        <v>79</v>
      </c>
      <c r="CA272" s="10">
        <v>45909</v>
      </c>
    </row>
    <row r="273" spans="1:79">
      <c r="A273">
        <v>277</v>
      </c>
      <c r="B273">
        <v>135</v>
      </c>
      <c r="C273">
        <v>68</v>
      </c>
      <c r="D273" t="s">
        <v>3466</v>
      </c>
      <c r="E273" t="s">
        <v>830</v>
      </c>
      <c r="F273" t="s">
        <v>503</v>
      </c>
      <c r="G273" s="12" t="s">
        <v>3463</v>
      </c>
      <c r="I273">
        <v>76</v>
      </c>
      <c r="J273">
        <v>73</v>
      </c>
      <c r="K273">
        <v>162</v>
      </c>
      <c r="L273">
        <v>77</v>
      </c>
      <c r="M273" t="s">
        <v>72</v>
      </c>
      <c r="N273">
        <v>156</v>
      </c>
      <c r="O273">
        <v>86</v>
      </c>
      <c r="P273" t="s">
        <v>72</v>
      </c>
      <c r="Q273" t="s">
        <v>72</v>
      </c>
      <c r="R273">
        <v>59.95</v>
      </c>
      <c r="S273">
        <v>156</v>
      </c>
      <c r="T273" s="8">
        <f t="shared" si="8"/>
        <v>24.634286653517425</v>
      </c>
      <c r="U273" s="13" t="str" cm="1">
        <f t="array" ref="U273">IF(T273="","",_xlfn.IFS(T273&lt;18.5,"Bajo peso",T273&lt;25,"Peso normal",T273&lt;30,"Sobrepeso",T273&lt;35,"Obesidad clase I",T273&lt;40,"Obesidad clase II",T273&gt;=40,"Obesidad clase III"))</f>
        <v>Peso normal</v>
      </c>
      <c r="V273">
        <v>91</v>
      </c>
      <c r="X273" t="s">
        <v>3463</v>
      </c>
      <c r="Y273">
        <v>0.63</v>
      </c>
      <c r="AA273">
        <v>90</v>
      </c>
      <c r="AB273" s="9">
        <f t="shared" si="9"/>
        <v>96.566812413545819</v>
      </c>
      <c r="AD273" t="s">
        <v>73</v>
      </c>
      <c r="AF273" t="s">
        <v>73</v>
      </c>
      <c r="AH273" t="s">
        <v>3463</v>
      </c>
      <c r="AI273" t="s">
        <v>3463</v>
      </c>
      <c r="AJ273" t="s">
        <v>3463</v>
      </c>
      <c r="AK273" t="s">
        <v>3465</v>
      </c>
      <c r="AL273" t="s">
        <v>3463</v>
      </c>
      <c r="AP273" t="s">
        <v>3463</v>
      </c>
      <c r="AQ273" t="s">
        <v>831</v>
      </c>
      <c r="AR273" t="s">
        <v>3491</v>
      </c>
      <c r="AT273" t="s">
        <v>3465</v>
      </c>
      <c r="AU273" t="s">
        <v>80</v>
      </c>
      <c r="AV273" t="s">
        <v>74</v>
      </c>
      <c r="AW273" t="s">
        <v>3915</v>
      </c>
      <c r="AX273" t="s">
        <v>3463</v>
      </c>
      <c r="AY273" t="s">
        <v>3463</v>
      </c>
      <c r="BF273" t="s">
        <v>3921</v>
      </c>
      <c r="BG273" t="s">
        <v>832</v>
      </c>
      <c r="BH273" t="s">
        <v>4109</v>
      </c>
      <c r="BK273" t="s">
        <v>833</v>
      </c>
      <c r="BL273" t="s">
        <v>834</v>
      </c>
      <c r="BP273" t="s">
        <v>4310</v>
      </c>
      <c r="BQ273" t="s">
        <v>3463</v>
      </c>
      <c r="BR273" t="s">
        <v>3465</v>
      </c>
      <c r="BS273" t="s">
        <v>3465</v>
      </c>
      <c r="BT273" t="s">
        <v>3465</v>
      </c>
      <c r="BU273" t="s">
        <v>3463</v>
      </c>
      <c r="BV273" t="s">
        <v>3463</v>
      </c>
      <c r="BW273" t="s">
        <v>3463</v>
      </c>
      <c r="BX273" t="s">
        <v>79</v>
      </c>
      <c r="BY273" t="s">
        <v>87</v>
      </c>
      <c r="BZ273" t="s">
        <v>95</v>
      </c>
      <c r="CA273" s="10">
        <v>45909</v>
      </c>
    </row>
    <row r="274" spans="1:79">
      <c r="A274">
        <v>278</v>
      </c>
      <c r="B274">
        <v>136</v>
      </c>
      <c r="C274">
        <v>47</v>
      </c>
      <c r="D274" t="s">
        <v>3466</v>
      </c>
      <c r="F274" t="s">
        <v>503</v>
      </c>
      <c r="G274" s="12" t="s">
        <v>3463</v>
      </c>
      <c r="H274" s="12"/>
      <c r="I274">
        <v>75</v>
      </c>
      <c r="K274">
        <v>130</v>
      </c>
      <c r="L274">
        <v>75</v>
      </c>
      <c r="M274" t="s">
        <v>82</v>
      </c>
      <c r="P274" t="s">
        <v>83</v>
      </c>
      <c r="Q274" t="s">
        <v>82</v>
      </c>
      <c r="R274">
        <v>62.05</v>
      </c>
      <c r="S274">
        <v>152</v>
      </c>
      <c r="T274" s="8">
        <f t="shared" si="8"/>
        <v>26.856821329639889</v>
      </c>
      <c r="U274" s="13" t="str" cm="1">
        <f t="array" ref="U274">IF(T274="","",_xlfn.IFS(T274&lt;18.5,"Bajo peso",T274&lt;25,"Peso normal",T274&lt;30,"Sobrepeso",T274&lt;35,"Obesidad clase I",T274&lt;40,"Obesidad clase II",T274&gt;=40,"Obesidad clase III"))</f>
        <v>Sobrepeso</v>
      </c>
      <c r="V274">
        <v>104</v>
      </c>
      <c r="X274" t="s">
        <v>3463</v>
      </c>
      <c r="Y274">
        <v>0.65</v>
      </c>
      <c r="AA274">
        <v>90</v>
      </c>
      <c r="AB274" s="9">
        <f t="shared" si="9"/>
        <v>109.21392336238476</v>
      </c>
      <c r="AD274" t="s">
        <v>73</v>
      </c>
      <c r="AF274" t="s">
        <v>73</v>
      </c>
      <c r="AH274" t="s">
        <v>3463</v>
      </c>
      <c r="AI274" t="s">
        <v>3463</v>
      </c>
      <c r="AJ274" t="s">
        <v>3463</v>
      </c>
      <c r="AK274" t="s">
        <v>3463</v>
      </c>
      <c r="AL274" t="s">
        <v>3465</v>
      </c>
      <c r="AM274" t="s">
        <v>835</v>
      </c>
      <c r="AN274" t="s">
        <v>3683</v>
      </c>
      <c r="AP274" t="s">
        <v>3463</v>
      </c>
      <c r="AQ274" t="s">
        <v>836</v>
      </c>
      <c r="AR274" t="s">
        <v>3491</v>
      </c>
      <c r="AT274" t="s">
        <v>3463</v>
      </c>
      <c r="AU274" t="s">
        <v>125</v>
      </c>
      <c r="AV274" t="s">
        <v>126</v>
      </c>
      <c r="AW274" t="s">
        <v>126</v>
      </c>
      <c r="AX274" t="s">
        <v>3463</v>
      </c>
      <c r="AY274" t="s">
        <v>3463</v>
      </c>
      <c r="BF274" t="s">
        <v>3921</v>
      </c>
      <c r="BH274" t="s">
        <v>4020</v>
      </c>
      <c r="BP274" t="s">
        <v>4260</v>
      </c>
      <c r="BQ274" t="s">
        <v>3463</v>
      </c>
      <c r="BR274" t="s">
        <v>3463</v>
      </c>
      <c r="BS274" t="s">
        <v>3463</v>
      </c>
      <c r="BT274" t="s">
        <v>3463</v>
      </c>
      <c r="BU274" t="s">
        <v>3463</v>
      </c>
      <c r="BV274" t="s">
        <v>3463</v>
      </c>
      <c r="BW274" t="s">
        <v>3463</v>
      </c>
      <c r="BX274" t="s">
        <v>79</v>
      </c>
      <c r="BY274" t="s">
        <v>87</v>
      </c>
      <c r="BZ274" t="s">
        <v>79</v>
      </c>
      <c r="CA274" s="10">
        <v>45909</v>
      </c>
    </row>
    <row r="275" spans="1:79">
      <c r="A275">
        <v>279</v>
      </c>
      <c r="B275">
        <v>137</v>
      </c>
      <c r="C275">
        <v>32</v>
      </c>
      <c r="D275" t="s">
        <v>3466</v>
      </c>
      <c r="F275" t="s">
        <v>503</v>
      </c>
      <c r="G275" s="12" t="s">
        <v>3463</v>
      </c>
      <c r="H275" s="12"/>
      <c r="I275">
        <v>75</v>
      </c>
      <c r="J275">
        <v>73</v>
      </c>
      <c r="K275">
        <v>143</v>
      </c>
      <c r="L275">
        <v>91</v>
      </c>
      <c r="M275" t="s">
        <v>72</v>
      </c>
      <c r="N275">
        <v>148</v>
      </c>
      <c r="O275">
        <v>87</v>
      </c>
      <c r="P275" t="s">
        <v>72</v>
      </c>
      <c r="Q275" t="s">
        <v>72</v>
      </c>
      <c r="R275">
        <v>59.8</v>
      </c>
      <c r="S275">
        <v>156.5</v>
      </c>
      <c r="T275" s="8">
        <f t="shared" si="8"/>
        <v>24.415886658024476</v>
      </c>
      <c r="U275" s="13" t="str" cm="1">
        <f t="array" ref="U275">IF(T275="","",_xlfn.IFS(T275&lt;18.5,"Bajo peso",T275&lt;25,"Peso normal",T275&lt;30,"Sobrepeso",T275&lt;35,"Obesidad clase I",T275&lt;40,"Obesidad clase II",T275&gt;=40,"Obesidad clase III"))</f>
        <v>Peso normal</v>
      </c>
      <c r="V275">
        <v>118</v>
      </c>
      <c r="X275" t="s">
        <v>3463</v>
      </c>
      <c r="Y275">
        <v>0.72</v>
      </c>
      <c r="AA275">
        <v>90</v>
      </c>
      <c r="AB275" s="9">
        <f t="shared" si="9"/>
        <v>113.85582807959523</v>
      </c>
      <c r="AD275" t="s">
        <v>73</v>
      </c>
      <c r="AF275" t="s">
        <v>73</v>
      </c>
      <c r="AH275" t="s">
        <v>3463</v>
      </c>
      <c r="AI275" t="s">
        <v>3463</v>
      </c>
      <c r="AJ275" t="s">
        <v>3463</v>
      </c>
      <c r="AK275" t="s">
        <v>3463</v>
      </c>
      <c r="AL275" t="s">
        <v>3463</v>
      </c>
      <c r="AP275" t="s">
        <v>3463</v>
      </c>
      <c r="AQ275" t="s">
        <v>837</v>
      </c>
      <c r="AR275" t="s">
        <v>3489</v>
      </c>
      <c r="AV275" t="s">
        <v>74</v>
      </c>
      <c r="AW275" t="s">
        <v>3915</v>
      </c>
      <c r="AX275" t="s">
        <v>3463</v>
      </c>
      <c r="AY275" t="s">
        <v>3465</v>
      </c>
      <c r="AZ275" t="s">
        <v>247</v>
      </c>
      <c r="BA275" t="s">
        <v>3920</v>
      </c>
      <c r="BF275" t="s">
        <v>3921</v>
      </c>
      <c r="BG275" t="s">
        <v>838</v>
      </c>
      <c r="BH275" t="s">
        <v>4110</v>
      </c>
      <c r="BI275" t="s">
        <v>76</v>
      </c>
      <c r="BL275" t="s">
        <v>839</v>
      </c>
      <c r="BP275" t="s">
        <v>4376</v>
      </c>
      <c r="BQ275" t="s">
        <v>3465</v>
      </c>
      <c r="BR275" t="s">
        <v>3465</v>
      </c>
      <c r="BS275" t="s">
        <v>3465</v>
      </c>
      <c r="BT275" t="s">
        <v>3465</v>
      </c>
      <c r="BU275" t="s">
        <v>3463</v>
      </c>
      <c r="BV275" t="s">
        <v>3463</v>
      </c>
      <c r="BW275" t="s">
        <v>3463</v>
      </c>
      <c r="BX275" t="s">
        <v>79</v>
      </c>
      <c r="BY275" t="s">
        <v>87</v>
      </c>
      <c r="BZ275" t="s">
        <v>79</v>
      </c>
      <c r="CA275" s="10">
        <v>45909</v>
      </c>
    </row>
    <row r="276" spans="1:79">
      <c r="A276">
        <v>280</v>
      </c>
      <c r="B276">
        <v>138</v>
      </c>
      <c r="C276">
        <v>32</v>
      </c>
      <c r="D276" t="s">
        <v>3462</v>
      </c>
      <c r="E276" t="s">
        <v>840</v>
      </c>
      <c r="F276" t="s">
        <v>503</v>
      </c>
      <c r="G276" s="12" t="s">
        <v>3465</v>
      </c>
      <c r="H276" s="12" t="s">
        <v>88</v>
      </c>
      <c r="I276">
        <v>93</v>
      </c>
      <c r="J276">
        <v>87</v>
      </c>
      <c r="K276">
        <v>145</v>
      </c>
      <c r="L276">
        <v>90</v>
      </c>
      <c r="M276" t="s">
        <v>72</v>
      </c>
      <c r="N276">
        <v>140</v>
      </c>
      <c r="O276">
        <v>86</v>
      </c>
      <c r="P276" t="s">
        <v>72</v>
      </c>
      <c r="Q276" t="s">
        <v>72</v>
      </c>
      <c r="R276">
        <v>61.7</v>
      </c>
      <c r="S276">
        <v>161</v>
      </c>
      <c r="T276" s="8">
        <f t="shared" si="8"/>
        <v>23.803094016434553</v>
      </c>
      <c r="U276" s="13" t="str" cm="1">
        <f t="array" ref="U276">IF(T276="","",_xlfn.IFS(T276&lt;18.5,"Bajo peso",T276&lt;25,"Peso normal",T276&lt;30,"Sobrepeso",T276&lt;35,"Obesidad clase I",T276&lt;40,"Obesidad clase II",T276&gt;=40,"Obesidad clase III"))</f>
        <v>Peso normal</v>
      </c>
      <c r="V276">
        <v>135</v>
      </c>
      <c r="X276" t="s">
        <v>3463</v>
      </c>
      <c r="Y276">
        <v>1.1100000000000001</v>
      </c>
      <c r="AA276">
        <v>90</v>
      </c>
      <c r="AB276" s="9">
        <f t="shared" si="9"/>
        <v>90.481447200228615</v>
      </c>
      <c r="AD276" t="s">
        <v>73</v>
      </c>
      <c r="AF276" t="s">
        <v>73</v>
      </c>
      <c r="AH276" t="s">
        <v>3463</v>
      </c>
      <c r="AI276" t="s">
        <v>3463</v>
      </c>
      <c r="AJ276" t="s">
        <v>3463</v>
      </c>
      <c r="AK276" t="s">
        <v>3463</v>
      </c>
      <c r="AL276" t="s">
        <v>3463</v>
      </c>
      <c r="AP276" t="s">
        <v>3463</v>
      </c>
      <c r="AV276" t="s">
        <v>126</v>
      </c>
      <c r="AW276" t="s">
        <v>126</v>
      </c>
      <c r="BE276" t="s">
        <v>153</v>
      </c>
      <c r="BF276" t="s">
        <v>153</v>
      </c>
      <c r="BG276" t="s">
        <v>841</v>
      </c>
      <c r="BH276" t="s">
        <v>4021</v>
      </c>
      <c r="BI276" t="s">
        <v>734</v>
      </c>
      <c r="BK276" t="s">
        <v>842</v>
      </c>
      <c r="BP276" t="s">
        <v>4270</v>
      </c>
      <c r="BQ276" t="s">
        <v>3465</v>
      </c>
      <c r="BR276" t="s">
        <v>3465</v>
      </c>
      <c r="BS276" t="s">
        <v>3463</v>
      </c>
      <c r="BT276" t="s">
        <v>3463</v>
      </c>
      <c r="BU276" t="s">
        <v>3463</v>
      </c>
      <c r="BV276" t="s">
        <v>3463</v>
      </c>
      <c r="BW276" t="s">
        <v>3463</v>
      </c>
      <c r="BX276" t="s">
        <v>79</v>
      </c>
      <c r="BY276" t="s">
        <v>87</v>
      </c>
      <c r="BZ276" t="s">
        <v>95</v>
      </c>
      <c r="CA276" s="10">
        <v>45909</v>
      </c>
    </row>
    <row r="277" spans="1:79">
      <c r="A277">
        <v>281</v>
      </c>
      <c r="B277">
        <v>139</v>
      </c>
      <c r="C277">
        <v>59</v>
      </c>
      <c r="D277" t="s">
        <v>3462</v>
      </c>
      <c r="E277" t="s">
        <v>507</v>
      </c>
      <c r="F277" t="s">
        <v>503</v>
      </c>
      <c r="G277" s="12" t="s">
        <v>3465</v>
      </c>
      <c r="H277" t="s">
        <v>88</v>
      </c>
      <c r="I277">
        <v>84</v>
      </c>
      <c r="J277">
        <v>90</v>
      </c>
      <c r="K277">
        <v>186</v>
      </c>
      <c r="L277">
        <v>113</v>
      </c>
      <c r="M277" t="s">
        <v>96</v>
      </c>
      <c r="N277">
        <v>177</v>
      </c>
      <c r="O277">
        <v>106</v>
      </c>
      <c r="P277" t="s">
        <v>72</v>
      </c>
      <c r="Q277" t="s">
        <v>72</v>
      </c>
      <c r="R277">
        <v>77.3</v>
      </c>
      <c r="S277">
        <v>168</v>
      </c>
      <c r="T277" s="8">
        <f t="shared" si="8"/>
        <v>27.388038548752832</v>
      </c>
      <c r="U277" s="13" t="str" cm="1">
        <f t="array" ref="U277">IF(T277="","",_xlfn.IFS(T277&lt;18.5,"Bajo peso",T277&lt;25,"Peso normal",T277&lt;30,"Sobrepeso",T277&lt;35,"Obesidad clase I",T277&lt;40,"Obesidad clase II",T277&gt;=40,"Obesidad clase III"))</f>
        <v>Sobrepeso</v>
      </c>
      <c r="V277">
        <v>106</v>
      </c>
      <c r="X277" t="s">
        <v>3463</v>
      </c>
      <c r="Y277">
        <v>1.06</v>
      </c>
      <c r="AA277">
        <v>81</v>
      </c>
      <c r="AB277" s="9">
        <f t="shared" si="9"/>
        <v>80.844944932465239</v>
      </c>
      <c r="AD277" t="s">
        <v>73</v>
      </c>
      <c r="AF277" t="s">
        <v>73</v>
      </c>
      <c r="AH277" t="s">
        <v>3463</v>
      </c>
      <c r="AI277" t="s">
        <v>3463</v>
      </c>
      <c r="AJ277" t="s">
        <v>3463</v>
      </c>
      <c r="AK277" t="s">
        <v>3463</v>
      </c>
      <c r="AL277" t="s">
        <v>3465</v>
      </c>
      <c r="AM277" t="s">
        <v>843</v>
      </c>
      <c r="AN277" t="s">
        <v>3661</v>
      </c>
      <c r="AP277" t="s">
        <v>3463</v>
      </c>
      <c r="AV277" t="s">
        <v>112</v>
      </c>
      <c r="AW277" t="s">
        <v>3917</v>
      </c>
      <c r="BF277" t="s">
        <v>3921</v>
      </c>
      <c r="BG277" t="s">
        <v>844</v>
      </c>
      <c r="BH277" t="s">
        <v>4021</v>
      </c>
      <c r="BI277" t="s">
        <v>734</v>
      </c>
      <c r="BK277" t="s">
        <v>173</v>
      </c>
      <c r="BL277" t="s">
        <v>845</v>
      </c>
      <c r="BP277" t="s">
        <v>4270</v>
      </c>
      <c r="BQ277" t="s">
        <v>3463</v>
      </c>
      <c r="BR277" t="s">
        <v>3463</v>
      </c>
      <c r="BS277" t="s">
        <v>3463</v>
      </c>
      <c r="BT277" t="s">
        <v>3463</v>
      </c>
      <c r="BU277" t="s">
        <v>3463</v>
      </c>
      <c r="BV277" t="s">
        <v>3463</v>
      </c>
      <c r="BW277" t="s">
        <v>3463</v>
      </c>
      <c r="BX277" t="s">
        <v>518</v>
      </c>
      <c r="BY277" t="s">
        <v>87</v>
      </c>
      <c r="BZ277" t="s">
        <v>79</v>
      </c>
      <c r="CA277" s="10">
        <v>45909</v>
      </c>
    </row>
    <row r="278" spans="1:79">
      <c r="A278">
        <v>282</v>
      </c>
      <c r="B278">
        <v>140</v>
      </c>
      <c r="C278">
        <v>26</v>
      </c>
      <c r="D278" t="s">
        <v>3466</v>
      </c>
      <c r="F278" t="s">
        <v>503</v>
      </c>
      <c r="G278" s="12" t="s">
        <v>3465</v>
      </c>
      <c r="H278" t="s">
        <v>88</v>
      </c>
      <c r="I278">
        <v>93</v>
      </c>
      <c r="K278">
        <v>123</v>
      </c>
      <c r="L278">
        <v>70</v>
      </c>
      <c r="M278" t="s">
        <v>118</v>
      </c>
      <c r="P278" t="s">
        <v>83</v>
      </c>
      <c r="Q278" t="s">
        <v>118</v>
      </c>
      <c r="R278">
        <v>78.7</v>
      </c>
      <c r="S278">
        <v>160</v>
      </c>
      <c r="T278" s="8">
        <f t="shared" si="8"/>
        <v>30.7421875</v>
      </c>
      <c r="U278" s="13" t="str" cm="1">
        <f t="array" ref="U278">IF(T278="","",_xlfn.IFS(T278&lt;18.5,"Bajo peso",T278&lt;25,"Peso normal",T278&lt;30,"Sobrepeso",T278&lt;35,"Obesidad clase I",T278&lt;40,"Obesidad clase II",T278&gt;=40,"Obesidad clase III"))</f>
        <v>Obesidad clase I</v>
      </c>
      <c r="V278">
        <v>102</v>
      </c>
      <c r="X278" t="s">
        <v>3463</v>
      </c>
      <c r="Y278">
        <v>0.66</v>
      </c>
      <c r="AA278">
        <v>90</v>
      </c>
      <c r="AB278" s="9">
        <f t="shared" si="9"/>
        <v>123.994150835402</v>
      </c>
      <c r="AD278" t="s">
        <v>73</v>
      </c>
      <c r="AF278" t="s">
        <v>73</v>
      </c>
      <c r="AH278" t="s">
        <v>3463</v>
      </c>
      <c r="AI278" t="s">
        <v>3463</v>
      </c>
      <c r="AJ278" t="s">
        <v>3463</v>
      </c>
      <c r="AK278" t="s">
        <v>3463</v>
      </c>
      <c r="AL278" t="s">
        <v>3463</v>
      </c>
      <c r="AP278" t="s">
        <v>3463</v>
      </c>
      <c r="AQ278" t="s">
        <v>89</v>
      </c>
      <c r="AR278" t="s">
        <v>3488</v>
      </c>
      <c r="AV278" t="s">
        <v>126</v>
      </c>
      <c r="AW278" t="s">
        <v>126</v>
      </c>
      <c r="AX278" t="s">
        <v>3463</v>
      </c>
      <c r="AY278" t="s">
        <v>3465</v>
      </c>
      <c r="AZ278" t="s">
        <v>90</v>
      </c>
      <c r="BE278" t="s">
        <v>153</v>
      </c>
      <c r="BF278" t="s">
        <v>153</v>
      </c>
      <c r="BG278" t="s">
        <v>846</v>
      </c>
      <c r="BH278" t="s">
        <v>4076</v>
      </c>
      <c r="BK278" t="s">
        <v>847</v>
      </c>
      <c r="BL278" t="s">
        <v>848</v>
      </c>
      <c r="BP278" t="s">
        <v>4377</v>
      </c>
      <c r="BQ278" t="s">
        <v>3465</v>
      </c>
      <c r="BR278" t="s">
        <v>3465</v>
      </c>
      <c r="BS278" t="s">
        <v>3463</v>
      </c>
      <c r="BT278" t="s">
        <v>3463</v>
      </c>
      <c r="BU278" t="s">
        <v>3463</v>
      </c>
      <c r="BV278" t="s">
        <v>3463</v>
      </c>
      <c r="BW278" t="s">
        <v>3463</v>
      </c>
      <c r="BX278" t="s">
        <v>79</v>
      </c>
      <c r="BY278" t="s">
        <v>87</v>
      </c>
      <c r="BZ278" t="s">
        <v>95</v>
      </c>
      <c r="CA278" s="10">
        <v>45909</v>
      </c>
    </row>
    <row r="279" spans="1:79">
      <c r="A279">
        <v>283</v>
      </c>
      <c r="B279">
        <v>141</v>
      </c>
      <c r="C279">
        <v>21</v>
      </c>
      <c r="D279" t="s">
        <v>3466</v>
      </c>
      <c r="E279" t="s">
        <v>449</v>
      </c>
      <c r="F279" t="s">
        <v>503</v>
      </c>
      <c r="G279" s="12" t="s">
        <v>3463</v>
      </c>
      <c r="I279">
        <v>67</v>
      </c>
      <c r="K279">
        <v>136</v>
      </c>
      <c r="L279">
        <v>88</v>
      </c>
      <c r="M279" t="s">
        <v>82</v>
      </c>
      <c r="P279" t="s">
        <v>83</v>
      </c>
      <c r="Q279" t="s">
        <v>82</v>
      </c>
      <c r="R279">
        <v>64.5</v>
      </c>
      <c r="S279">
        <v>161</v>
      </c>
      <c r="T279" s="8">
        <f t="shared" si="8"/>
        <v>24.883299255429961</v>
      </c>
      <c r="U279" s="13" t="str" cm="1">
        <f t="array" ref="U279">IF(T279="","",_xlfn.IFS(T279&lt;18.5,"Bajo peso",T279&lt;25,"Peso normal",T279&lt;30,"Sobrepeso",T279&lt;35,"Obesidad clase I",T279&lt;40,"Obesidad clase II",T279&gt;=40,"Obesidad clase III"))</f>
        <v>Peso normal</v>
      </c>
      <c r="V279">
        <v>108</v>
      </c>
      <c r="X279" t="s">
        <v>3463</v>
      </c>
      <c r="Y279">
        <v>0.61</v>
      </c>
      <c r="AA279">
        <v>90</v>
      </c>
      <c r="AB279" s="9">
        <f t="shared" si="9"/>
        <v>130.36224618381777</v>
      </c>
      <c r="AD279" t="s">
        <v>73</v>
      </c>
      <c r="AF279" t="s">
        <v>73</v>
      </c>
      <c r="AH279" t="s">
        <v>3463</v>
      </c>
      <c r="AI279" t="s">
        <v>3463</v>
      </c>
      <c r="AJ279" t="s">
        <v>3463</v>
      </c>
      <c r="AK279" t="s">
        <v>3463</v>
      </c>
      <c r="AL279" t="s">
        <v>3465</v>
      </c>
      <c r="AM279" t="s">
        <v>849</v>
      </c>
      <c r="AN279" t="s">
        <v>3669</v>
      </c>
      <c r="AP279" t="s">
        <v>3463</v>
      </c>
      <c r="AQ279" t="s">
        <v>850</v>
      </c>
      <c r="AR279" t="s">
        <v>3508</v>
      </c>
      <c r="AT279" t="s">
        <v>3463</v>
      </c>
      <c r="AV279" t="s">
        <v>74</v>
      </c>
      <c r="AW279" t="s">
        <v>3915</v>
      </c>
      <c r="AX279" t="s">
        <v>3463</v>
      </c>
      <c r="AY279" t="s">
        <v>3463</v>
      </c>
      <c r="BF279" t="s">
        <v>3921</v>
      </c>
      <c r="BH279" t="s">
        <v>4020</v>
      </c>
      <c r="BP279" t="s">
        <v>4260</v>
      </c>
      <c r="BQ279" t="s">
        <v>3463</v>
      </c>
      <c r="BR279" t="s">
        <v>3463</v>
      </c>
      <c r="BS279" t="s">
        <v>3463</v>
      </c>
      <c r="BT279" t="s">
        <v>3463</v>
      </c>
      <c r="BU279" t="s">
        <v>3463</v>
      </c>
      <c r="BV279" t="s">
        <v>3463</v>
      </c>
      <c r="BW279" t="s">
        <v>3463</v>
      </c>
      <c r="BX279" t="s">
        <v>79</v>
      </c>
      <c r="BY279" t="s">
        <v>79</v>
      </c>
      <c r="BZ279" t="s">
        <v>79</v>
      </c>
      <c r="CA279" s="10">
        <v>45909</v>
      </c>
    </row>
    <row r="280" spans="1:79">
      <c r="A280">
        <v>284</v>
      </c>
      <c r="B280">
        <v>142</v>
      </c>
      <c r="C280">
        <v>43</v>
      </c>
      <c r="D280" t="s">
        <v>3466</v>
      </c>
      <c r="E280" t="s">
        <v>527</v>
      </c>
      <c r="F280" t="s">
        <v>503</v>
      </c>
      <c r="G280" s="12" t="s">
        <v>3463</v>
      </c>
      <c r="I280">
        <v>74</v>
      </c>
      <c r="K280">
        <v>135</v>
      </c>
      <c r="L280">
        <v>84</v>
      </c>
      <c r="M280" t="s">
        <v>82</v>
      </c>
      <c r="P280" t="s">
        <v>83</v>
      </c>
      <c r="Q280" t="s">
        <v>82</v>
      </c>
      <c r="R280">
        <v>77</v>
      </c>
      <c r="S280">
        <v>152.5</v>
      </c>
      <c r="T280" s="8">
        <f t="shared" si="8"/>
        <v>33.109379199140015</v>
      </c>
      <c r="U280" s="13" t="str" cm="1">
        <f t="array" ref="U280">IF(T280="","",_xlfn.IFS(T280&lt;18.5,"Bajo peso",T280&lt;25,"Peso normal",T280&lt;30,"Sobrepeso",T280&lt;35,"Obesidad clase I",T280&lt;40,"Obesidad clase II",T280&gt;=40,"Obesidad clase III"))</f>
        <v>Obesidad clase I</v>
      </c>
      <c r="V280">
        <v>109</v>
      </c>
      <c r="X280" t="s">
        <v>3463</v>
      </c>
      <c r="Y280">
        <v>0.7</v>
      </c>
      <c r="AA280">
        <v>90</v>
      </c>
      <c r="AB280" s="9">
        <f t="shared" si="9"/>
        <v>109.98299208932102</v>
      </c>
      <c r="AD280" t="s">
        <v>73</v>
      </c>
      <c r="AF280" t="s">
        <v>73</v>
      </c>
      <c r="AH280" t="s">
        <v>3463</v>
      </c>
      <c r="AI280" t="s">
        <v>3463</v>
      </c>
      <c r="AJ280" t="s">
        <v>3463</v>
      </c>
      <c r="AK280" t="s">
        <v>3463</v>
      </c>
      <c r="AL280" t="s">
        <v>3465</v>
      </c>
      <c r="AM280" t="s">
        <v>851</v>
      </c>
      <c r="AN280" t="s">
        <v>3684</v>
      </c>
      <c r="AP280" t="s">
        <v>3463</v>
      </c>
      <c r="AQ280" t="s">
        <v>159</v>
      </c>
      <c r="AR280" t="s">
        <v>3491</v>
      </c>
      <c r="AT280" t="s">
        <v>3465</v>
      </c>
      <c r="AU280" t="s">
        <v>80</v>
      </c>
      <c r="AV280" t="s">
        <v>74</v>
      </c>
      <c r="AW280" t="s">
        <v>3915</v>
      </c>
      <c r="AX280" t="s">
        <v>3463</v>
      </c>
      <c r="AY280" t="s">
        <v>3465</v>
      </c>
      <c r="AZ280" t="s">
        <v>852</v>
      </c>
      <c r="BF280" t="s">
        <v>3921</v>
      </c>
      <c r="BH280" t="s">
        <v>4020</v>
      </c>
      <c r="BP280" t="s">
        <v>4260</v>
      </c>
      <c r="BQ280" t="s">
        <v>3463</v>
      </c>
      <c r="BR280" t="s">
        <v>3463</v>
      </c>
      <c r="BS280" t="s">
        <v>3463</v>
      </c>
      <c r="BT280" t="s">
        <v>3463</v>
      </c>
      <c r="BU280" t="s">
        <v>3463</v>
      </c>
      <c r="BV280" t="s">
        <v>3463</v>
      </c>
      <c r="BW280" t="s">
        <v>3463</v>
      </c>
      <c r="BX280" t="s">
        <v>79</v>
      </c>
      <c r="BY280" t="s">
        <v>79</v>
      </c>
      <c r="BZ280" t="s">
        <v>79</v>
      </c>
      <c r="CA280" s="10">
        <v>45909</v>
      </c>
    </row>
    <row r="281" spans="1:79">
      <c r="A281">
        <v>285</v>
      </c>
      <c r="B281">
        <v>143</v>
      </c>
      <c r="C281">
        <v>57</v>
      </c>
      <c r="D281" t="s">
        <v>3466</v>
      </c>
      <c r="E281" t="s">
        <v>507</v>
      </c>
      <c r="F281" t="s">
        <v>503</v>
      </c>
      <c r="G281" s="12" t="s">
        <v>3463</v>
      </c>
      <c r="I281">
        <v>71</v>
      </c>
      <c r="J281">
        <v>71</v>
      </c>
      <c r="K281">
        <v>168</v>
      </c>
      <c r="L281">
        <v>97</v>
      </c>
      <c r="M281" t="s">
        <v>72</v>
      </c>
      <c r="N281">
        <v>159</v>
      </c>
      <c r="O281">
        <v>100</v>
      </c>
      <c r="P281" t="s">
        <v>72</v>
      </c>
      <c r="Q281" t="s">
        <v>72</v>
      </c>
      <c r="R281">
        <v>79.3</v>
      </c>
      <c r="S281">
        <v>148</v>
      </c>
      <c r="T281" s="8">
        <f t="shared" si="8"/>
        <v>36.203433162892622</v>
      </c>
      <c r="U281" s="13" t="str" cm="1">
        <f t="array" ref="U281">IF(T281="","",_xlfn.IFS(T281&lt;18.5,"Bajo peso",T281&lt;25,"Peso normal",T281&lt;30,"Sobrepeso",T281&lt;35,"Obesidad clase I",T281&lt;40,"Obesidad clase II",T281&gt;=40,"Obesidad clase III"))</f>
        <v>Obesidad clase II</v>
      </c>
      <c r="V281">
        <v>93</v>
      </c>
      <c r="X281" t="s">
        <v>3463</v>
      </c>
      <c r="Y281">
        <v>0.53</v>
      </c>
      <c r="AA281">
        <v>90</v>
      </c>
      <c r="AB281" s="9">
        <f t="shared" si="9"/>
        <v>107.8026823955701</v>
      </c>
      <c r="AD281" t="s">
        <v>73</v>
      </c>
      <c r="AF281" t="s">
        <v>73</v>
      </c>
      <c r="AH281" t="s">
        <v>3463</v>
      </c>
      <c r="AI281" t="s">
        <v>3465</v>
      </c>
      <c r="AJ281" t="s">
        <v>3463</v>
      </c>
      <c r="AK281" t="s">
        <v>3463</v>
      </c>
      <c r="AL281" t="s">
        <v>3465</v>
      </c>
      <c r="AM281" t="s">
        <v>853</v>
      </c>
      <c r="AN281" t="s">
        <v>3685</v>
      </c>
      <c r="AP281" t="s">
        <v>3463</v>
      </c>
      <c r="AQ281" t="s">
        <v>536</v>
      </c>
      <c r="AR281" t="s">
        <v>3505</v>
      </c>
      <c r="AS281" t="s">
        <v>3465</v>
      </c>
      <c r="AT281" t="s">
        <v>3463</v>
      </c>
      <c r="AV281" t="s">
        <v>126</v>
      </c>
      <c r="AW281" t="s">
        <v>126</v>
      </c>
      <c r="AX281" t="s">
        <v>3463</v>
      </c>
      <c r="AY281" t="s">
        <v>3465</v>
      </c>
      <c r="AZ281" t="s">
        <v>854</v>
      </c>
      <c r="BA281" t="s">
        <v>3920</v>
      </c>
      <c r="BB281" t="s">
        <v>3485</v>
      </c>
      <c r="BE281" t="s">
        <v>257</v>
      </c>
      <c r="BF281" t="s">
        <v>116</v>
      </c>
      <c r="BH281" t="s">
        <v>4029</v>
      </c>
      <c r="BK281" t="s">
        <v>855</v>
      </c>
      <c r="BL281" t="s">
        <v>856</v>
      </c>
      <c r="BP281" t="s">
        <v>4378</v>
      </c>
      <c r="BQ281" t="s">
        <v>3463</v>
      </c>
      <c r="BR281" t="s">
        <v>3463</v>
      </c>
      <c r="BS281" t="s">
        <v>3463</v>
      </c>
      <c r="BT281" t="s">
        <v>3463</v>
      </c>
      <c r="BU281" t="s">
        <v>3463</v>
      </c>
      <c r="BV281" t="s">
        <v>3463</v>
      </c>
      <c r="BW281" t="s">
        <v>3463</v>
      </c>
      <c r="BX281" t="s">
        <v>79</v>
      </c>
      <c r="BY281" t="s">
        <v>87</v>
      </c>
      <c r="BZ281" t="s">
        <v>79</v>
      </c>
      <c r="CA281" s="10">
        <v>45909</v>
      </c>
    </row>
    <row r="282" spans="1:79">
      <c r="A282">
        <v>286</v>
      </c>
      <c r="B282">
        <v>144</v>
      </c>
      <c r="C282">
        <v>53</v>
      </c>
      <c r="D282" t="s">
        <v>3466</v>
      </c>
      <c r="F282" t="s">
        <v>503</v>
      </c>
      <c r="G282" s="12" t="s">
        <v>3463</v>
      </c>
      <c r="I282">
        <v>70</v>
      </c>
      <c r="J282">
        <v>68</v>
      </c>
      <c r="K282">
        <v>150</v>
      </c>
      <c r="L282">
        <v>90</v>
      </c>
      <c r="M282" t="s">
        <v>72</v>
      </c>
      <c r="N282">
        <v>150</v>
      </c>
      <c r="O282">
        <v>83</v>
      </c>
      <c r="P282" t="s">
        <v>72</v>
      </c>
      <c r="Q282" t="s">
        <v>72</v>
      </c>
      <c r="R282">
        <v>83.6</v>
      </c>
      <c r="S282">
        <v>168</v>
      </c>
      <c r="T282" s="8">
        <f t="shared" si="8"/>
        <v>29.620181405895689</v>
      </c>
      <c r="U282" s="13" t="str" cm="1">
        <f t="array" ref="U282">IF(T282="","",_xlfn.IFS(T282&lt;18.5,"Bajo peso",T282&lt;25,"Peso normal",T282&lt;30,"Sobrepeso",T282&lt;35,"Obesidad clase I",T282&lt;40,"Obesidad clase II",T282&gt;=40,"Obesidad clase III"))</f>
        <v>Sobrepeso</v>
      </c>
      <c r="V282">
        <v>105</v>
      </c>
      <c r="X282" t="s">
        <v>3463</v>
      </c>
      <c r="Y282">
        <v>0.89</v>
      </c>
      <c r="AA282">
        <v>77</v>
      </c>
      <c r="AB282" s="9">
        <f t="shared" si="9"/>
        <v>77.475626111767895</v>
      </c>
      <c r="AD282" t="s">
        <v>73</v>
      </c>
      <c r="AF282" t="s">
        <v>73</v>
      </c>
      <c r="AH282" t="s">
        <v>3463</v>
      </c>
      <c r="AI282" t="s">
        <v>3465</v>
      </c>
      <c r="AJ282" t="s">
        <v>3463</v>
      </c>
      <c r="AK282" t="s">
        <v>3463</v>
      </c>
      <c r="AL282" t="s">
        <v>3463</v>
      </c>
      <c r="AP282" t="s">
        <v>3463</v>
      </c>
      <c r="AQ282" t="s">
        <v>857</v>
      </c>
      <c r="AR282" t="s">
        <v>3488</v>
      </c>
      <c r="AS282" t="s">
        <v>3465</v>
      </c>
      <c r="AT282" t="s">
        <v>3465</v>
      </c>
      <c r="AU282" t="s">
        <v>80</v>
      </c>
      <c r="AV282" t="s">
        <v>126</v>
      </c>
      <c r="AW282" t="s">
        <v>126</v>
      </c>
      <c r="AX282" t="s">
        <v>3465</v>
      </c>
      <c r="AY282" t="s">
        <v>3465</v>
      </c>
      <c r="AZ282" t="s">
        <v>90</v>
      </c>
      <c r="BA282" t="s">
        <v>3920</v>
      </c>
      <c r="BE282" t="s">
        <v>457</v>
      </c>
      <c r="BF282" t="s">
        <v>457</v>
      </c>
      <c r="BG282" t="s">
        <v>858</v>
      </c>
      <c r="BH282" t="s">
        <v>4085</v>
      </c>
      <c r="BK282" t="s">
        <v>859</v>
      </c>
      <c r="BL282" t="s">
        <v>860</v>
      </c>
      <c r="BP282" t="s">
        <v>4379</v>
      </c>
      <c r="BQ282" t="s">
        <v>3465</v>
      </c>
      <c r="BR282" t="s">
        <v>3463</v>
      </c>
      <c r="BS282" t="s">
        <v>3465</v>
      </c>
      <c r="BT282" t="s">
        <v>3465</v>
      </c>
      <c r="BU282" t="s">
        <v>3463</v>
      </c>
      <c r="BV282" t="s">
        <v>3463</v>
      </c>
      <c r="BW282" t="s">
        <v>3463</v>
      </c>
      <c r="BX282" t="s">
        <v>121</v>
      </c>
      <c r="BY282" t="s">
        <v>79</v>
      </c>
      <c r="BZ282" t="s">
        <v>79</v>
      </c>
      <c r="CA282" s="10">
        <v>45909</v>
      </c>
    </row>
    <row r="283" spans="1:79">
      <c r="A283">
        <v>287</v>
      </c>
      <c r="B283">
        <v>145</v>
      </c>
      <c r="C283">
        <v>60</v>
      </c>
      <c r="D283" t="s">
        <v>3466</v>
      </c>
      <c r="E283" t="s">
        <v>449</v>
      </c>
      <c r="F283" t="s">
        <v>503</v>
      </c>
      <c r="G283" s="12" t="s">
        <v>3463</v>
      </c>
      <c r="H283" s="12"/>
      <c r="I283">
        <v>100</v>
      </c>
      <c r="J283">
        <v>10610</v>
      </c>
      <c r="K283">
        <v>161</v>
      </c>
      <c r="L283">
        <v>86</v>
      </c>
      <c r="M283" t="s">
        <v>72</v>
      </c>
      <c r="N283">
        <v>155</v>
      </c>
      <c r="O283">
        <v>84</v>
      </c>
      <c r="P283" t="s">
        <v>72</v>
      </c>
      <c r="Q283" t="s">
        <v>72</v>
      </c>
      <c r="R283">
        <v>70.599999999999994</v>
      </c>
      <c r="S283">
        <v>158</v>
      </c>
      <c r="T283" s="8">
        <f t="shared" si="8"/>
        <v>28.280724242909788</v>
      </c>
      <c r="U283" s="13" t="str" cm="1">
        <f t="array" ref="U283">IF(T283="","",_xlfn.IFS(T283&lt;18.5,"Bajo peso",T283&lt;25,"Peso normal",T283&lt;30,"Sobrepeso",T283&lt;35,"Obesidad clase I",T283&lt;40,"Obesidad clase II",T283&gt;=40,"Obesidad clase III"))</f>
        <v>Sobrepeso</v>
      </c>
      <c r="V283">
        <v>112</v>
      </c>
      <c r="X283" t="s">
        <v>3463</v>
      </c>
      <c r="Y283">
        <v>0.55000000000000004</v>
      </c>
      <c r="AA283">
        <v>90</v>
      </c>
      <c r="AB283" s="9">
        <f t="shared" si="9"/>
        <v>104.86960227898035</v>
      </c>
      <c r="AD283" t="s">
        <v>73</v>
      </c>
      <c r="AF283" t="s">
        <v>73</v>
      </c>
      <c r="AH283" t="s">
        <v>3464</v>
      </c>
      <c r="AI283" t="s">
        <v>3463</v>
      </c>
      <c r="AJ283" t="s">
        <v>3464</v>
      </c>
      <c r="AK283" t="s">
        <v>3465</v>
      </c>
      <c r="AL283" t="s">
        <v>3465</v>
      </c>
      <c r="AM283" t="s">
        <v>861</v>
      </c>
      <c r="AN283" t="s">
        <v>3661</v>
      </c>
      <c r="AP283" t="s">
        <v>3463</v>
      </c>
      <c r="AQ283" t="s">
        <v>862</v>
      </c>
      <c r="AR283" t="s">
        <v>3505</v>
      </c>
      <c r="AT283" t="s">
        <v>3465</v>
      </c>
      <c r="AV283" t="s">
        <v>112</v>
      </c>
      <c r="AW283" t="s">
        <v>3917</v>
      </c>
      <c r="AX283" t="s">
        <v>3463</v>
      </c>
      <c r="AY283" t="s">
        <v>3463</v>
      </c>
      <c r="BA283" t="s">
        <v>3920</v>
      </c>
      <c r="BF283" t="s">
        <v>3921</v>
      </c>
      <c r="BG283" t="s">
        <v>863</v>
      </c>
      <c r="BH283" t="s">
        <v>4021</v>
      </c>
      <c r="BI283" t="s">
        <v>76</v>
      </c>
      <c r="BL283" t="s">
        <v>864</v>
      </c>
      <c r="BP283" t="s">
        <v>4261</v>
      </c>
      <c r="BQ283" t="s">
        <v>3463</v>
      </c>
      <c r="BR283" t="s">
        <v>3465</v>
      </c>
      <c r="BS283" t="s">
        <v>3463</v>
      </c>
      <c r="BT283" t="s">
        <v>3463</v>
      </c>
      <c r="BU283" t="s">
        <v>3463</v>
      </c>
      <c r="BV283" t="s">
        <v>3463</v>
      </c>
      <c r="BW283" t="s">
        <v>3463</v>
      </c>
      <c r="BX283" t="s">
        <v>518</v>
      </c>
      <c r="BY283" t="s">
        <v>79</v>
      </c>
      <c r="BZ283" t="s">
        <v>79</v>
      </c>
      <c r="CA283" s="10">
        <v>45909</v>
      </c>
    </row>
    <row r="284" spans="1:79">
      <c r="A284">
        <v>288</v>
      </c>
      <c r="B284">
        <v>146</v>
      </c>
      <c r="C284">
        <v>37</v>
      </c>
      <c r="D284" t="s">
        <v>3466</v>
      </c>
      <c r="F284" t="s">
        <v>503</v>
      </c>
      <c r="G284" s="12" t="s">
        <v>3463</v>
      </c>
      <c r="H284" s="12"/>
      <c r="I284">
        <v>86</v>
      </c>
      <c r="K284">
        <v>135</v>
      </c>
      <c r="L284">
        <v>83</v>
      </c>
      <c r="M284" t="s">
        <v>82</v>
      </c>
      <c r="P284" t="s">
        <v>83</v>
      </c>
      <c r="Q284" t="s">
        <v>82</v>
      </c>
      <c r="R284">
        <v>69.45</v>
      </c>
      <c r="S284">
        <v>148</v>
      </c>
      <c r="T284" s="8">
        <f t="shared" si="8"/>
        <v>31.706537618699784</v>
      </c>
      <c r="U284" s="13" t="str" cm="1">
        <f t="array" ref="U284">IF(T284="","",_xlfn.IFS(T284&lt;18.5,"Bajo peso",T284&lt;25,"Peso normal",T284&lt;30,"Sobrepeso",T284&lt;35,"Obesidad clase I",T284&lt;40,"Obesidad clase II",T284&gt;=40,"Obesidad clase III"))</f>
        <v>Obesidad clase I</v>
      </c>
      <c r="V284">
        <v>104</v>
      </c>
      <c r="X284" t="s">
        <v>3463</v>
      </c>
      <c r="Y284">
        <v>0.69</v>
      </c>
      <c r="AA284">
        <v>9</v>
      </c>
      <c r="AB284" s="9">
        <f t="shared" si="9"/>
        <v>114.56120493297753</v>
      </c>
      <c r="AD284" t="s">
        <v>865</v>
      </c>
      <c r="AF284" t="s">
        <v>865</v>
      </c>
      <c r="AH284" t="s">
        <v>3463</v>
      </c>
      <c r="AI284" t="s">
        <v>3463</v>
      </c>
      <c r="AJ284" t="s">
        <v>3463</v>
      </c>
      <c r="AK284" t="s">
        <v>3465</v>
      </c>
      <c r="AL284" t="s">
        <v>3463</v>
      </c>
      <c r="AP284" t="s">
        <v>3463</v>
      </c>
      <c r="AQ284" t="s">
        <v>159</v>
      </c>
      <c r="AR284" t="s">
        <v>3491</v>
      </c>
      <c r="AV284" t="s">
        <v>126</v>
      </c>
      <c r="AW284" t="s">
        <v>126</v>
      </c>
      <c r="AX284" t="s">
        <v>3463</v>
      </c>
      <c r="AY284" t="s">
        <v>3465</v>
      </c>
      <c r="AZ284" t="s">
        <v>247</v>
      </c>
      <c r="BF284" t="s">
        <v>3921</v>
      </c>
      <c r="BH284" t="s">
        <v>4020</v>
      </c>
      <c r="BP284" t="s">
        <v>4260</v>
      </c>
      <c r="BQ284" t="s">
        <v>3465</v>
      </c>
      <c r="BR284" t="s">
        <v>3463</v>
      </c>
      <c r="BS284" t="s">
        <v>3465</v>
      </c>
      <c r="BT284" t="s">
        <v>3465</v>
      </c>
      <c r="BU284" t="s">
        <v>3463</v>
      </c>
      <c r="BV284" t="s">
        <v>3463</v>
      </c>
      <c r="BW284" t="s">
        <v>3463</v>
      </c>
      <c r="BX284" t="s">
        <v>79</v>
      </c>
      <c r="BY284" t="s">
        <v>79</v>
      </c>
      <c r="BZ284" t="s">
        <v>79</v>
      </c>
      <c r="CA284" s="10">
        <v>45909</v>
      </c>
    </row>
    <row r="285" spans="1:79">
      <c r="A285">
        <v>289</v>
      </c>
      <c r="B285">
        <v>147</v>
      </c>
      <c r="C285">
        <v>21</v>
      </c>
      <c r="D285" t="s">
        <v>3466</v>
      </c>
      <c r="E285" t="s">
        <v>503</v>
      </c>
      <c r="F285" t="s">
        <v>503</v>
      </c>
      <c r="G285" s="12" t="s">
        <v>3463</v>
      </c>
      <c r="H285" s="12"/>
      <c r="I285">
        <v>81</v>
      </c>
      <c r="K285">
        <v>137</v>
      </c>
      <c r="L285">
        <v>77</v>
      </c>
      <c r="M285" t="s">
        <v>82</v>
      </c>
      <c r="P285" t="s">
        <v>83</v>
      </c>
      <c r="Q285" t="s">
        <v>82</v>
      </c>
      <c r="R285">
        <v>53</v>
      </c>
      <c r="S285">
        <v>148</v>
      </c>
      <c r="T285" s="8">
        <f t="shared" si="8"/>
        <v>24.196493791088386</v>
      </c>
      <c r="U285" s="13" t="str" cm="1">
        <f t="array" ref="U285">IF(T285="","",_xlfn.IFS(T285&lt;18.5,"Bajo peso",T285&lt;25,"Peso normal",T285&lt;30,"Sobrepeso",T285&lt;35,"Obesidad clase I",T285&lt;40,"Obesidad clase II",T285&gt;=40,"Obesidad clase III"))</f>
        <v>Peso normal</v>
      </c>
      <c r="V285">
        <v>93</v>
      </c>
      <c r="X285" t="s">
        <v>3463</v>
      </c>
      <c r="Y285">
        <v>0.65</v>
      </c>
      <c r="AA285">
        <v>90</v>
      </c>
      <c r="AB285" s="9">
        <f t="shared" si="9"/>
        <v>128.38202043205581</v>
      </c>
      <c r="AD285" t="s">
        <v>73</v>
      </c>
      <c r="AF285" t="s">
        <v>73</v>
      </c>
      <c r="AH285" t="s">
        <v>3463</v>
      </c>
      <c r="AI285" t="s">
        <v>3463</v>
      </c>
      <c r="AJ285" t="s">
        <v>3463</v>
      </c>
      <c r="AK285" t="s">
        <v>3463</v>
      </c>
      <c r="AL285" t="s">
        <v>3465</v>
      </c>
      <c r="AM285" t="s">
        <v>866</v>
      </c>
      <c r="AN285" t="s">
        <v>3617</v>
      </c>
      <c r="AP285" t="s">
        <v>3463</v>
      </c>
      <c r="AV285" t="s">
        <v>74</v>
      </c>
      <c r="AW285" t="s">
        <v>3915</v>
      </c>
      <c r="AY285" t="s">
        <v>3465</v>
      </c>
      <c r="AZ285" t="s">
        <v>665</v>
      </c>
      <c r="BF285" t="s">
        <v>3921</v>
      </c>
      <c r="BH285" t="s">
        <v>4020</v>
      </c>
      <c r="BP285" t="s">
        <v>4260</v>
      </c>
      <c r="BQ285" t="s">
        <v>3463</v>
      </c>
      <c r="BR285" t="s">
        <v>3463</v>
      </c>
      <c r="BS285" t="s">
        <v>3463</v>
      </c>
      <c r="BT285" t="s">
        <v>3463</v>
      </c>
      <c r="BU285" t="s">
        <v>3463</v>
      </c>
      <c r="BV285" t="s">
        <v>3463</v>
      </c>
      <c r="BW285" t="s">
        <v>3463</v>
      </c>
      <c r="BX285" t="s">
        <v>79</v>
      </c>
      <c r="BY285" t="s">
        <v>79</v>
      </c>
      <c r="BZ285" t="s">
        <v>79</v>
      </c>
      <c r="CA285" s="10">
        <v>45909</v>
      </c>
    </row>
    <row r="286" spans="1:79">
      <c r="A286">
        <v>290</v>
      </c>
      <c r="B286">
        <v>148</v>
      </c>
      <c r="C286">
        <v>24</v>
      </c>
      <c r="D286" t="s">
        <v>3466</v>
      </c>
      <c r="E286" t="s">
        <v>507</v>
      </c>
      <c r="F286" t="s">
        <v>503</v>
      </c>
      <c r="G286" s="12" t="s">
        <v>3463</v>
      </c>
      <c r="H286" s="12"/>
      <c r="I286">
        <v>77</v>
      </c>
      <c r="J286">
        <v>77</v>
      </c>
      <c r="K286">
        <v>142</v>
      </c>
      <c r="L286">
        <v>87</v>
      </c>
      <c r="M286" t="s">
        <v>72</v>
      </c>
      <c r="N286">
        <v>130</v>
      </c>
      <c r="O286">
        <v>84</v>
      </c>
      <c r="P286" t="s">
        <v>82</v>
      </c>
      <c r="Q286" t="s">
        <v>82</v>
      </c>
      <c r="R286">
        <v>83.1</v>
      </c>
      <c r="S286">
        <v>162</v>
      </c>
      <c r="T286" s="8">
        <f t="shared" si="8"/>
        <v>31.664380429812528</v>
      </c>
      <c r="U286" s="13" t="str" cm="1">
        <f t="array" ref="U286">IF(T286="","",_xlfn.IFS(T286&lt;18.5,"Bajo peso",T286&lt;25,"Peso normal",T286&lt;30,"Sobrepeso",T286&lt;35,"Obesidad clase I",T286&lt;40,"Obesidad clase II",T286&gt;=40,"Obesidad clase III"))</f>
        <v>Obesidad clase I</v>
      </c>
      <c r="V286">
        <v>110</v>
      </c>
      <c r="X286" t="s">
        <v>3463</v>
      </c>
      <c r="Y286">
        <v>0.78</v>
      </c>
      <c r="AA286">
        <v>90</v>
      </c>
      <c r="AB286" s="9">
        <f t="shared" si="9"/>
        <v>108.70481956451363</v>
      </c>
      <c r="AD286" t="s">
        <v>73</v>
      </c>
      <c r="AF286" t="s">
        <v>73</v>
      </c>
      <c r="AH286" t="s">
        <v>3463</v>
      </c>
      <c r="AI286" t="s">
        <v>3463</v>
      </c>
      <c r="AJ286" t="s">
        <v>3463</v>
      </c>
      <c r="AK286" t="s">
        <v>3463</v>
      </c>
      <c r="AL286" t="s">
        <v>3463</v>
      </c>
      <c r="AP286" t="s">
        <v>3463</v>
      </c>
      <c r="AQ286" t="s">
        <v>867</v>
      </c>
      <c r="AR286" t="s">
        <v>3491</v>
      </c>
      <c r="AV286" t="s">
        <v>74</v>
      </c>
      <c r="AW286" t="s">
        <v>3915</v>
      </c>
      <c r="AX286" t="s">
        <v>3463</v>
      </c>
      <c r="AY286" t="s">
        <v>3465</v>
      </c>
      <c r="AZ286" t="s">
        <v>90</v>
      </c>
      <c r="BF286" t="s">
        <v>3921</v>
      </c>
      <c r="BH286" t="s">
        <v>4020</v>
      </c>
      <c r="BP286" t="s">
        <v>4260</v>
      </c>
      <c r="BQ286" t="s">
        <v>3463</v>
      </c>
      <c r="BR286" t="s">
        <v>3465</v>
      </c>
      <c r="BS286" t="s">
        <v>3463</v>
      </c>
      <c r="BT286" t="s">
        <v>3465</v>
      </c>
      <c r="BU286" t="s">
        <v>3463</v>
      </c>
      <c r="BV286" t="s">
        <v>3463</v>
      </c>
      <c r="BW286" t="s">
        <v>3463</v>
      </c>
      <c r="BX286" t="s">
        <v>79</v>
      </c>
      <c r="BY286" t="s">
        <v>87</v>
      </c>
      <c r="BZ286" t="s">
        <v>79</v>
      </c>
      <c r="CA286" s="10">
        <v>45909</v>
      </c>
    </row>
    <row r="287" spans="1:79">
      <c r="A287">
        <v>291</v>
      </c>
      <c r="B287">
        <v>149</v>
      </c>
      <c r="C287">
        <v>41</v>
      </c>
      <c r="D287" t="s">
        <v>3466</v>
      </c>
      <c r="E287" t="s">
        <v>449</v>
      </c>
      <c r="F287" t="s">
        <v>503</v>
      </c>
      <c r="G287" s="12" t="s">
        <v>3465</v>
      </c>
      <c r="H287" t="s">
        <v>88</v>
      </c>
      <c r="I287">
        <v>64</v>
      </c>
      <c r="K287">
        <v>137</v>
      </c>
      <c r="L287">
        <v>87</v>
      </c>
      <c r="M287" t="s">
        <v>82</v>
      </c>
      <c r="P287" t="s">
        <v>83</v>
      </c>
      <c r="Q287" t="s">
        <v>82</v>
      </c>
      <c r="R287">
        <v>71.099999999999994</v>
      </c>
      <c r="S287">
        <v>161</v>
      </c>
      <c r="T287" s="8">
        <f t="shared" si="8"/>
        <v>27.429497318776281</v>
      </c>
      <c r="U287" s="13" t="str" cm="1">
        <f t="array" ref="U287">IF(T287="","",_xlfn.IFS(T287&lt;18.5,"Bajo peso",T287&lt;25,"Peso normal",T287&lt;30,"Sobrepeso",T287&lt;35,"Obesidad clase I",T287&lt;40,"Obesidad clase II",T287&gt;=40,"Obesidad clase III"))</f>
        <v>Sobrepeso</v>
      </c>
      <c r="V287">
        <v>100</v>
      </c>
      <c r="X287" t="s">
        <v>3463</v>
      </c>
      <c r="Y287">
        <v>0.63</v>
      </c>
      <c r="AA287">
        <v>90</v>
      </c>
      <c r="AB287" s="9">
        <f t="shared" si="9"/>
        <v>114.2234046214449</v>
      </c>
      <c r="AD287" t="s">
        <v>73</v>
      </c>
      <c r="AF287" t="s">
        <v>73</v>
      </c>
      <c r="AH287" t="s">
        <v>3463</v>
      </c>
      <c r="AI287" t="s">
        <v>3463</v>
      </c>
      <c r="AJ287" t="s">
        <v>3465</v>
      </c>
      <c r="AK287" t="s">
        <v>3463</v>
      </c>
      <c r="AL287" t="s">
        <v>3463</v>
      </c>
      <c r="AP287" t="s">
        <v>3463</v>
      </c>
      <c r="AQ287" t="s">
        <v>868</v>
      </c>
      <c r="AR287" t="s">
        <v>3491</v>
      </c>
      <c r="AT287" t="s">
        <v>3463</v>
      </c>
      <c r="AV287" t="s">
        <v>74</v>
      </c>
      <c r="AW287" t="s">
        <v>3915</v>
      </c>
      <c r="AX287" t="s">
        <v>3463</v>
      </c>
      <c r="AY287" t="s">
        <v>3465</v>
      </c>
      <c r="AZ287" t="s">
        <v>137</v>
      </c>
      <c r="BF287" t="s">
        <v>3921</v>
      </c>
      <c r="BH287" t="s">
        <v>4020</v>
      </c>
      <c r="BP287" t="s">
        <v>4260</v>
      </c>
      <c r="BQ287" t="s">
        <v>3463</v>
      </c>
      <c r="BR287" t="s">
        <v>3465</v>
      </c>
      <c r="BS287" t="s">
        <v>3465</v>
      </c>
      <c r="BT287" t="s">
        <v>3465</v>
      </c>
      <c r="BU287" t="s">
        <v>3463</v>
      </c>
      <c r="BV287" t="s">
        <v>3463</v>
      </c>
      <c r="BW287" t="s">
        <v>3463</v>
      </c>
      <c r="BX287" t="s">
        <v>79</v>
      </c>
      <c r="BY287" t="s">
        <v>79</v>
      </c>
      <c r="BZ287" t="s">
        <v>79</v>
      </c>
      <c r="CA287" s="10">
        <v>45909</v>
      </c>
    </row>
    <row r="288" spans="1:79">
      <c r="A288">
        <v>292</v>
      </c>
      <c r="B288">
        <v>150</v>
      </c>
      <c r="C288">
        <v>20</v>
      </c>
      <c r="D288" t="s">
        <v>3466</v>
      </c>
      <c r="F288" t="s">
        <v>503</v>
      </c>
      <c r="G288" s="12" t="s">
        <v>3465</v>
      </c>
      <c r="H288" t="s">
        <v>88</v>
      </c>
      <c r="I288">
        <v>69</v>
      </c>
      <c r="K288">
        <v>139</v>
      </c>
      <c r="L288">
        <v>76</v>
      </c>
      <c r="M288" t="s">
        <v>82</v>
      </c>
      <c r="P288" t="s">
        <v>83</v>
      </c>
      <c r="Q288" t="s">
        <v>82</v>
      </c>
      <c r="R288">
        <v>92.1</v>
      </c>
      <c r="S288">
        <v>162</v>
      </c>
      <c r="T288" s="8">
        <f t="shared" si="8"/>
        <v>35.093735711019661</v>
      </c>
      <c r="U288" s="13" t="str" cm="1">
        <f t="array" ref="U288">IF(T288="","",_xlfn.IFS(T288&lt;18.5,"Bajo peso",T288&lt;25,"Peso normal",T288&lt;30,"Sobrepeso",T288&lt;35,"Obesidad clase I",T288&lt;40,"Obesidad clase II",T288&gt;=40,"Obesidad clase III"))</f>
        <v>Obesidad clase II</v>
      </c>
      <c r="V288">
        <v>94</v>
      </c>
      <c r="X288" t="s">
        <v>3463</v>
      </c>
      <c r="Y288">
        <v>0.67</v>
      </c>
      <c r="AA288">
        <v>90</v>
      </c>
      <c r="AB288" s="9">
        <f t="shared" si="9"/>
        <v>128.24289260733934</v>
      </c>
      <c r="AD288" t="s">
        <v>73</v>
      </c>
      <c r="AF288" t="s">
        <v>73</v>
      </c>
      <c r="AH288" t="s">
        <v>3463</v>
      </c>
      <c r="AI288" t="s">
        <v>3463</v>
      </c>
      <c r="AJ288" t="s">
        <v>3463</v>
      </c>
      <c r="AK288" t="s">
        <v>3463</v>
      </c>
      <c r="AL288" t="s">
        <v>3463</v>
      </c>
      <c r="AO288" t="s">
        <v>3463</v>
      </c>
      <c r="AP288" t="s">
        <v>3465</v>
      </c>
      <c r="AQ288" t="s">
        <v>239</v>
      </c>
      <c r="AR288" t="s">
        <v>3493</v>
      </c>
      <c r="AV288" t="s">
        <v>126</v>
      </c>
      <c r="AW288" t="s">
        <v>126</v>
      </c>
      <c r="AX288" t="s">
        <v>3463</v>
      </c>
      <c r="AY288" t="s">
        <v>3465</v>
      </c>
      <c r="AZ288" t="s">
        <v>90</v>
      </c>
      <c r="BF288" t="s">
        <v>3921</v>
      </c>
      <c r="BH288" t="s">
        <v>4020</v>
      </c>
      <c r="BP288" t="s">
        <v>4260</v>
      </c>
      <c r="BQ288" t="s">
        <v>3465</v>
      </c>
      <c r="BR288" t="s">
        <v>3465</v>
      </c>
      <c r="BS288" t="s">
        <v>3463</v>
      </c>
      <c r="BT288" t="s">
        <v>3465</v>
      </c>
      <c r="BU288" t="s">
        <v>3463</v>
      </c>
      <c r="BV288" t="s">
        <v>3463</v>
      </c>
      <c r="BW288" t="s">
        <v>3463</v>
      </c>
      <c r="BX288" t="s">
        <v>79</v>
      </c>
      <c r="BY288" t="s">
        <v>79</v>
      </c>
      <c r="BZ288" t="s">
        <v>79</v>
      </c>
      <c r="CA288" s="10">
        <v>45909</v>
      </c>
    </row>
    <row r="289" spans="1:79">
      <c r="A289">
        <v>293</v>
      </c>
      <c r="B289">
        <v>151</v>
      </c>
      <c r="C289">
        <v>43</v>
      </c>
      <c r="D289" t="s">
        <v>3466</v>
      </c>
      <c r="E289" t="s">
        <v>445</v>
      </c>
      <c r="F289" t="s">
        <v>71</v>
      </c>
      <c r="G289" s="12" t="s">
        <v>3463</v>
      </c>
      <c r="I289">
        <v>75</v>
      </c>
      <c r="K289">
        <v>138</v>
      </c>
      <c r="L289">
        <v>81</v>
      </c>
      <c r="M289" t="s">
        <v>82</v>
      </c>
      <c r="P289" t="s">
        <v>83</v>
      </c>
      <c r="Q289" t="s">
        <v>82</v>
      </c>
      <c r="R289">
        <v>61</v>
      </c>
      <c r="S289">
        <v>160</v>
      </c>
      <c r="T289" s="8">
        <f t="shared" si="8"/>
        <v>23.828125</v>
      </c>
      <c r="U289" s="13" t="str" cm="1">
        <f t="array" ref="U289">IF(T289="","",_xlfn.IFS(T289&lt;18.5,"Bajo peso",T289&lt;25,"Peso normal",T289&lt;30,"Sobrepeso",T289&lt;35,"Obesidad clase I",T289&lt;40,"Obesidad clase II",T289&gt;=40,"Obesidad clase III"))</f>
        <v>Peso normal</v>
      </c>
      <c r="V289">
        <v>88</v>
      </c>
      <c r="X289" t="s">
        <v>3463</v>
      </c>
      <c r="Y289">
        <v>0.62</v>
      </c>
      <c r="AA289">
        <v>90</v>
      </c>
      <c r="AB289" s="9">
        <f t="shared" si="9"/>
        <v>113.24727508410186</v>
      </c>
      <c r="AD289" t="s">
        <v>73</v>
      </c>
      <c r="AF289" t="s">
        <v>73</v>
      </c>
      <c r="AH289" t="s">
        <v>3463</v>
      </c>
      <c r="AI289" t="s">
        <v>3463</v>
      </c>
      <c r="AJ289" t="s">
        <v>3463</v>
      </c>
      <c r="AK289" t="s">
        <v>3463</v>
      </c>
      <c r="AL289" t="s">
        <v>3465</v>
      </c>
      <c r="AM289" t="s">
        <v>446</v>
      </c>
      <c r="AN289" t="s">
        <v>116</v>
      </c>
      <c r="AO289" t="s">
        <v>3463</v>
      </c>
      <c r="AP289" t="s">
        <v>3465</v>
      </c>
      <c r="AQ289" t="s">
        <v>447</v>
      </c>
      <c r="AR289" t="s">
        <v>3509</v>
      </c>
      <c r="AT289" t="s">
        <v>3465</v>
      </c>
      <c r="AV289" t="s">
        <v>74</v>
      </c>
      <c r="AW289" t="s">
        <v>3915</v>
      </c>
      <c r="AX289" t="s">
        <v>3465</v>
      </c>
      <c r="AY289" t="s">
        <v>3465</v>
      </c>
      <c r="AZ289" t="s">
        <v>448</v>
      </c>
      <c r="BF289" t="s">
        <v>3921</v>
      </c>
      <c r="BH289" t="s">
        <v>4020</v>
      </c>
      <c r="BP289" t="s">
        <v>4260</v>
      </c>
      <c r="BQ289" t="s">
        <v>3463</v>
      </c>
      <c r="BR289" t="s">
        <v>3463</v>
      </c>
      <c r="BS289" t="s">
        <v>3463</v>
      </c>
      <c r="BT289" t="s">
        <v>3463</v>
      </c>
      <c r="BU289" t="s">
        <v>3463</v>
      </c>
      <c r="BV289" t="s">
        <v>3463</v>
      </c>
      <c r="BW289" t="s">
        <v>3463</v>
      </c>
      <c r="BX289" t="s">
        <v>79</v>
      </c>
      <c r="BY289" t="s">
        <v>87</v>
      </c>
      <c r="BZ289" t="s">
        <v>79</v>
      </c>
      <c r="CA289" s="10">
        <v>45909</v>
      </c>
    </row>
    <row r="290" spans="1:79">
      <c r="A290">
        <v>294</v>
      </c>
      <c r="B290">
        <v>151</v>
      </c>
      <c r="C290">
        <v>41</v>
      </c>
      <c r="D290" t="s">
        <v>3466</v>
      </c>
      <c r="E290" t="s">
        <v>507</v>
      </c>
      <c r="F290" t="s">
        <v>503</v>
      </c>
      <c r="G290" s="12" t="s">
        <v>3463</v>
      </c>
      <c r="I290">
        <v>72</v>
      </c>
      <c r="K290">
        <v>139</v>
      </c>
      <c r="L290">
        <v>74</v>
      </c>
      <c r="M290" t="s">
        <v>82</v>
      </c>
      <c r="P290" t="s">
        <v>83</v>
      </c>
      <c r="Q290" t="s">
        <v>82</v>
      </c>
      <c r="R290">
        <v>65.099999999999994</v>
      </c>
      <c r="S290">
        <v>150</v>
      </c>
      <c r="T290" s="8">
        <f t="shared" si="8"/>
        <v>28.933333333333334</v>
      </c>
      <c r="U290" s="13" t="str" cm="1">
        <f t="array" ref="U290">IF(T290="","",_xlfn.IFS(T290&lt;18.5,"Bajo peso",T290&lt;25,"Peso normal",T290&lt;30,"Sobrepeso",T290&lt;35,"Obesidad clase I",T290&lt;40,"Obesidad clase II",T290&gt;=40,"Obesidad clase III"))</f>
        <v>Sobrepeso</v>
      </c>
      <c r="V290">
        <v>90</v>
      </c>
      <c r="X290" t="s">
        <v>3463</v>
      </c>
      <c r="Y290">
        <v>0.53</v>
      </c>
      <c r="AA290">
        <v>90</v>
      </c>
      <c r="AB290" s="9">
        <f t="shared" si="9"/>
        <v>119.08188173086492</v>
      </c>
      <c r="AD290" t="s">
        <v>73</v>
      </c>
      <c r="AF290" t="s">
        <v>73</v>
      </c>
      <c r="AH290" t="s">
        <v>3463</v>
      </c>
      <c r="AI290" t="s">
        <v>3463</v>
      </c>
      <c r="AJ290" t="s">
        <v>3463</v>
      </c>
      <c r="AK290" t="s">
        <v>3465</v>
      </c>
      <c r="AL290" t="s">
        <v>3463</v>
      </c>
      <c r="AP290" t="s">
        <v>3463</v>
      </c>
      <c r="AQ290" t="s">
        <v>869</v>
      </c>
      <c r="AR290" t="s">
        <v>3528</v>
      </c>
      <c r="AV290" t="s">
        <v>126</v>
      </c>
      <c r="AW290" t="s">
        <v>126</v>
      </c>
      <c r="AX290" t="s">
        <v>3463</v>
      </c>
      <c r="AY290" t="s">
        <v>3463</v>
      </c>
      <c r="AZ290" t="s">
        <v>90</v>
      </c>
      <c r="BF290" t="s">
        <v>3921</v>
      </c>
      <c r="BH290" t="s">
        <v>4020</v>
      </c>
      <c r="BP290" t="s">
        <v>4260</v>
      </c>
      <c r="BQ290" t="s">
        <v>3463</v>
      </c>
      <c r="BR290" t="s">
        <v>3465</v>
      </c>
      <c r="BS290" t="s">
        <v>3463</v>
      </c>
      <c r="BT290" t="s">
        <v>3463</v>
      </c>
      <c r="BU290" t="s">
        <v>3463</v>
      </c>
      <c r="BV290" t="s">
        <v>3463</v>
      </c>
      <c r="BW290" t="s">
        <v>3463</v>
      </c>
      <c r="BX290" t="s">
        <v>121</v>
      </c>
      <c r="BY290" t="s">
        <v>79</v>
      </c>
      <c r="BZ290" t="s">
        <v>79</v>
      </c>
      <c r="CA290" s="10">
        <v>45909</v>
      </c>
    </row>
    <row r="291" spans="1:79">
      <c r="A291">
        <v>295</v>
      </c>
      <c r="B291">
        <v>152</v>
      </c>
      <c r="C291">
        <v>53</v>
      </c>
      <c r="D291" t="s">
        <v>3466</v>
      </c>
      <c r="E291" t="s">
        <v>449</v>
      </c>
      <c r="F291" t="s">
        <v>71</v>
      </c>
      <c r="G291" s="12" t="s">
        <v>3463</v>
      </c>
      <c r="H291" s="12"/>
      <c r="I291">
        <v>67</v>
      </c>
      <c r="J291">
        <v>62</v>
      </c>
      <c r="K291">
        <v>168</v>
      </c>
      <c r="L291">
        <v>94</v>
      </c>
      <c r="M291" t="s">
        <v>72</v>
      </c>
      <c r="N291">
        <v>171</v>
      </c>
      <c r="O291">
        <v>81</v>
      </c>
      <c r="P291" t="s">
        <v>72</v>
      </c>
      <c r="Q291" t="s">
        <v>72</v>
      </c>
      <c r="R291">
        <v>66.3</v>
      </c>
      <c r="S291">
        <v>153</v>
      </c>
      <c r="T291" s="8">
        <f t="shared" si="8"/>
        <v>28.322440087145971</v>
      </c>
      <c r="U291" s="13" t="str" cm="1">
        <f t="array" ref="U291">IF(T291="","",_xlfn.IFS(T291&lt;18.5,"Bajo peso",T291&lt;25,"Peso normal",T291&lt;30,"Sobrepeso",T291&lt;35,"Obesidad clase I",T291&lt;40,"Obesidad clase II",T291&gt;=40,"Obesidad clase III"))</f>
        <v>Sobrepeso</v>
      </c>
      <c r="V291">
        <v>87</v>
      </c>
      <c r="X291" t="s">
        <v>3463</v>
      </c>
      <c r="Y291">
        <v>0.99</v>
      </c>
      <c r="AA291">
        <v>68</v>
      </c>
      <c r="AB291" s="9">
        <f t="shared" si="9"/>
        <v>68.182177834676608</v>
      </c>
      <c r="AD291" t="s">
        <v>73</v>
      </c>
      <c r="AF291" t="s">
        <v>73</v>
      </c>
      <c r="AG291" t="s">
        <v>3463</v>
      </c>
      <c r="AH291" t="s">
        <v>3465</v>
      </c>
      <c r="AI291" t="s">
        <v>3463</v>
      </c>
      <c r="AJ291" t="s">
        <v>3463</v>
      </c>
      <c r="AK291" t="s">
        <v>3463</v>
      </c>
      <c r="AL291" t="s">
        <v>3463</v>
      </c>
      <c r="AP291" t="s">
        <v>3463</v>
      </c>
      <c r="AT291" t="s">
        <v>3465</v>
      </c>
      <c r="AV291" t="s">
        <v>112</v>
      </c>
      <c r="AW291" t="s">
        <v>3917</v>
      </c>
      <c r="AX291" t="s">
        <v>3463</v>
      </c>
      <c r="AY291" t="s">
        <v>3465</v>
      </c>
      <c r="BF291" t="s">
        <v>3921</v>
      </c>
      <c r="BH291" t="s">
        <v>4020</v>
      </c>
      <c r="BP291" t="s">
        <v>4260</v>
      </c>
      <c r="BQ291" t="s">
        <v>3463</v>
      </c>
      <c r="BR291" t="s">
        <v>3465</v>
      </c>
      <c r="BS291" t="s">
        <v>3463</v>
      </c>
      <c r="BT291" t="s">
        <v>3463</v>
      </c>
      <c r="BU291" t="s">
        <v>3463</v>
      </c>
      <c r="BV291" t="s">
        <v>3463</v>
      </c>
      <c r="BW291" t="s">
        <v>3463</v>
      </c>
      <c r="BX291" t="s">
        <v>79</v>
      </c>
      <c r="BY291" t="s">
        <v>87</v>
      </c>
      <c r="BZ291" t="s">
        <v>79</v>
      </c>
      <c r="CA291" s="10">
        <v>45909</v>
      </c>
    </row>
    <row r="292" spans="1:79">
      <c r="A292">
        <v>297</v>
      </c>
      <c r="B292">
        <v>153</v>
      </c>
      <c r="C292">
        <v>74</v>
      </c>
      <c r="D292" t="s">
        <v>3466</v>
      </c>
      <c r="E292" t="s">
        <v>450</v>
      </c>
      <c r="F292" t="s">
        <v>71</v>
      </c>
      <c r="G292" s="12" t="s">
        <v>3465</v>
      </c>
      <c r="H292" s="12" t="s">
        <v>88</v>
      </c>
      <c r="I292">
        <v>94</v>
      </c>
      <c r="J292">
        <v>84</v>
      </c>
      <c r="K292">
        <v>170</v>
      </c>
      <c r="L292">
        <v>101</v>
      </c>
      <c r="M292" t="s">
        <v>72</v>
      </c>
      <c r="N292">
        <v>154</v>
      </c>
      <c r="O292">
        <v>97</v>
      </c>
      <c r="P292" t="s">
        <v>72</v>
      </c>
      <c r="Q292" t="s">
        <v>72</v>
      </c>
      <c r="R292">
        <v>94.6</v>
      </c>
      <c r="S292">
        <v>153</v>
      </c>
      <c r="T292" s="8">
        <f t="shared" si="8"/>
        <v>40.411807424494846</v>
      </c>
      <c r="U292" s="13" t="str" cm="1">
        <f t="array" ref="U292">IF(T292="","",_xlfn.IFS(T292&lt;18.5,"Bajo peso",T292&lt;25,"Peso normal",T292&lt;30,"Sobrepeso",T292&lt;35,"Obesidad clase I",T292&lt;40,"Obesidad clase II",T292&gt;=40,"Obesidad clase III"))</f>
        <v>Obesidad clase III</v>
      </c>
      <c r="V292">
        <v>187</v>
      </c>
      <c r="X292" t="s">
        <v>3463</v>
      </c>
      <c r="Y292">
        <v>0.94</v>
      </c>
      <c r="AA292">
        <v>64</v>
      </c>
      <c r="AB292" s="9">
        <f t="shared" si="9"/>
        <v>63.673470105928899</v>
      </c>
      <c r="AD292" t="s">
        <v>73</v>
      </c>
      <c r="AF292" t="s">
        <v>73</v>
      </c>
      <c r="AG292" t="s">
        <v>3465</v>
      </c>
      <c r="AH292" t="s">
        <v>3465</v>
      </c>
      <c r="AI292" t="s">
        <v>3465</v>
      </c>
      <c r="AJ292" t="s">
        <v>3463</v>
      </c>
      <c r="AK292" t="s">
        <v>3463</v>
      </c>
      <c r="AL292" t="s">
        <v>3463</v>
      </c>
      <c r="AP292" t="s">
        <v>3463</v>
      </c>
      <c r="AQ292" t="s">
        <v>451</v>
      </c>
      <c r="AR292" t="s">
        <v>3490</v>
      </c>
      <c r="AS292" t="s">
        <v>3465</v>
      </c>
      <c r="AT292" t="s">
        <v>3463</v>
      </c>
      <c r="AV292" t="s">
        <v>74</v>
      </c>
      <c r="AW292" t="s">
        <v>3915</v>
      </c>
      <c r="AX292" t="s">
        <v>3463</v>
      </c>
      <c r="AY292" t="s">
        <v>3463</v>
      </c>
      <c r="BF292" t="s">
        <v>3921</v>
      </c>
      <c r="BH292" t="s">
        <v>4020</v>
      </c>
      <c r="BP292" t="s">
        <v>4260</v>
      </c>
      <c r="BQ292" t="s">
        <v>3463</v>
      </c>
      <c r="BR292" t="s">
        <v>3465</v>
      </c>
      <c r="BS292" t="s">
        <v>3463</v>
      </c>
      <c r="BT292" t="s">
        <v>3463</v>
      </c>
      <c r="BU292" t="s">
        <v>3463</v>
      </c>
      <c r="BV292" t="s">
        <v>3463</v>
      </c>
      <c r="BW292" t="s">
        <v>3463</v>
      </c>
      <c r="BX292" t="s">
        <v>79</v>
      </c>
      <c r="BY292" t="s">
        <v>87</v>
      </c>
      <c r="BZ292" t="s">
        <v>79</v>
      </c>
      <c r="CA292" s="10">
        <v>45909</v>
      </c>
    </row>
    <row r="293" spans="1:79">
      <c r="A293">
        <v>298</v>
      </c>
      <c r="B293">
        <v>153</v>
      </c>
      <c r="C293">
        <v>28</v>
      </c>
      <c r="D293" t="s">
        <v>3466</v>
      </c>
      <c r="E293" t="s">
        <v>503</v>
      </c>
      <c r="F293" t="s">
        <v>503</v>
      </c>
      <c r="G293" s="12" t="s">
        <v>3463</v>
      </c>
      <c r="H293" s="12"/>
      <c r="I293">
        <v>68</v>
      </c>
      <c r="K293">
        <v>135</v>
      </c>
      <c r="L293">
        <v>57</v>
      </c>
      <c r="M293" t="s">
        <v>82</v>
      </c>
      <c r="P293" t="s">
        <v>83</v>
      </c>
      <c r="Q293" t="s">
        <v>82</v>
      </c>
      <c r="R293">
        <v>64.599999999999994</v>
      </c>
      <c r="S293">
        <v>156.5</v>
      </c>
      <c r="T293" s="8">
        <f t="shared" si="8"/>
        <v>26.375690269370921</v>
      </c>
      <c r="U293" s="13" t="str" cm="1">
        <f t="array" ref="U293">IF(T293="","",_xlfn.IFS(T293&lt;18.5,"Bajo peso",T293&lt;25,"Peso normal",T293&lt;30,"Sobrepeso",T293&lt;35,"Obesidad clase I",T293&lt;40,"Obesidad clase II",T293&gt;=40,"Obesidad clase III"))</f>
        <v>Sobrepeso</v>
      </c>
      <c r="V293">
        <v>103</v>
      </c>
      <c r="X293" t="s">
        <v>3463</v>
      </c>
      <c r="Y293">
        <v>0.85</v>
      </c>
      <c r="AA293">
        <v>90</v>
      </c>
      <c r="AB293" s="9">
        <f t="shared" si="9"/>
        <v>95.643526671196256</v>
      </c>
      <c r="AD293" t="s">
        <v>73</v>
      </c>
      <c r="AF293" t="s">
        <v>73</v>
      </c>
      <c r="AH293" t="s">
        <v>3463</v>
      </c>
      <c r="AI293" t="s">
        <v>3463</v>
      </c>
      <c r="AJ293" t="s">
        <v>3463</v>
      </c>
      <c r="AK293" t="s">
        <v>3463</v>
      </c>
      <c r="AL293" t="s">
        <v>3463</v>
      </c>
      <c r="AP293" t="s">
        <v>3463</v>
      </c>
      <c r="AQ293" t="s">
        <v>870</v>
      </c>
      <c r="AR293" t="s">
        <v>3493</v>
      </c>
      <c r="AV293" t="s">
        <v>126</v>
      </c>
      <c r="AW293" t="s">
        <v>126</v>
      </c>
      <c r="AY293" t="s">
        <v>3465</v>
      </c>
      <c r="AZ293" t="s">
        <v>665</v>
      </c>
      <c r="BF293" t="s">
        <v>3921</v>
      </c>
      <c r="BH293" t="s">
        <v>4020</v>
      </c>
      <c r="BP293" t="s">
        <v>4260</v>
      </c>
      <c r="BQ293" t="s">
        <v>3463</v>
      </c>
      <c r="BR293" t="s">
        <v>3463</v>
      </c>
      <c r="BS293" t="s">
        <v>3465</v>
      </c>
      <c r="BT293" t="s">
        <v>3465</v>
      </c>
      <c r="BU293" t="s">
        <v>3463</v>
      </c>
      <c r="BV293" t="s">
        <v>3463</v>
      </c>
      <c r="BW293" t="s">
        <v>3463</v>
      </c>
      <c r="BX293" t="s">
        <v>79</v>
      </c>
      <c r="BY293" t="s">
        <v>87</v>
      </c>
      <c r="BZ293" t="s">
        <v>79</v>
      </c>
      <c r="CA293" s="10">
        <v>45909</v>
      </c>
    </row>
    <row r="294" spans="1:79">
      <c r="A294">
        <v>299</v>
      </c>
      <c r="B294">
        <v>154</v>
      </c>
      <c r="C294">
        <v>56</v>
      </c>
      <c r="D294" t="s">
        <v>3466</v>
      </c>
      <c r="E294" t="s">
        <v>449</v>
      </c>
      <c r="F294" t="s">
        <v>503</v>
      </c>
      <c r="G294" s="12" t="s">
        <v>3465</v>
      </c>
      <c r="H294" t="s">
        <v>88</v>
      </c>
      <c r="I294">
        <v>76</v>
      </c>
      <c r="J294">
        <v>78</v>
      </c>
      <c r="K294">
        <v>148</v>
      </c>
      <c r="L294">
        <v>70</v>
      </c>
      <c r="M294" t="s">
        <v>72</v>
      </c>
      <c r="N294">
        <v>149</v>
      </c>
      <c r="O294">
        <v>73</v>
      </c>
      <c r="P294" t="s">
        <v>72</v>
      </c>
      <c r="Q294" t="s">
        <v>72</v>
      </c>
      <c r="R294">
        <v>86</v>
      </c>
      <c r="S294">
        <v>160</v>
      </c>
      <c r="T294" s="8">
        <f t="shared" si="8"/>
        <v>33.59375</v>
      </c>
      <c r="U294" s="13" t="str" cm="1">
        <f t="array" ref="U294">IF(T294="","",_xlfn.IFS(T294&lt;18.5,"Bajo peso",T294&lt;25,"Peso normal",T294&lt;30,"Sobrepeso",T294&lt;35,"Obesidad clase I",T294&lt;40,"Obesidad clase II",T294&gt;=40,"Obesidad clase III"))</f>
        <v>Obesidad clase I</v>
      </c>
      <c r="V294">
        <v>377</v>
      </c>
      <c r="X294" t="s">
        <v>3465</v>
      </c>
      <c r="Y294">
        <v>0.52</v>
      </c>
      <c r="AA294">
        <v>90</v>
      </c>
      <c r="AB294" s="9">
        <f t="shared" si="9"/>
        <v>108.97434156615832</v>
      </c>
      <c r="AD294" t="s">
        <v>73</v>
      </c>
      <c r="AF294" t="s">
        <v>73</v>
      </c>
      <c r="AG294" t="s">
        <v>3463</v>
      </c>
      <c r="AH294" t="s">
        <v>3465</v>
      </c>
      <c r="AI294" t="s">
        <v>3465</v>
      </c>
      <c r="AJ294" t="s">
        <v>3463</v>
      </c>
      <c r="AK294" t="s">
        <v>3463</v>
      </c>
      <c r="AL294" t="s">
        <v>3465</v>
      </c>
      <c r="AM294" t="s">
        <v>871</v>
      </c>
      <c r="AN294" t="s">
        <v>3617</v>
      </c>
      <c r="AP294" t="s">
        <v>3463</v>
      </c>
      <c r="AQ294" t="s">
        <v>872</v>
      </c>
      <c r="AR294" t="s">
        <v>3505</v>
      </c>
      <c r="AS294" t="s">
        <v>3463</v>
      </c>
      <c r="AT294" t="s">
        <v>3463</v>
      </c>
      <c r="AV294" t="s">
        <v>74</v>
      </c>
      <c r="AW294" t="s">
        <v>3915</v>
      </c>
      <c r="AX294" t="s">
        <v>3463</v>
      </c>
      <c r="AY294" t="s">
        <v>3463</v>
      </c>
      <c r="BB294" t="s">
        <v>3485</v>
      </c>
      <c r="BF294" t="s">
        <v>3921</v>
      </c>
      <c r="BG294" t="s">
        <v>873</v>
      </c>
      <c r="BH294" t="s">
        <v>4111</v>
      </c>
      <c r="BI294" t="s">
        <v>411</v>
      </c>
      <c r="BK294" t="s">
        <v>874</v>
      </c>
      <c r="BL294" t="s">
        <v>875</v>
      </c>
      <c r="BP294" t="s">
        <v>4380</v>
      </c>
      <c r="BQ294" t="s">
        <v>3463</v>
      </c>
      <c r="BR294" t="s">
        <v>3465</v>
      </c>
      <c r="BS294" t="s">
        <v>3463</v>
      </c>
      <c r="BT294" t="s">
        <v>3463</v>
      </c>
      <c r="BU294" t="s">
        <v>3463</v>
      </c>
      <c r="BV294" t="s">
        <v>3463</v>
      </c>
      <c r="BW294" t="s">
        <v>3463</v>
      </c>
      <c r="BX294" t="s">
        <v>79</v>
      </c>
      <c r="BY294" t="s">
        <v>121</v>
      </c>
      <c r="BZ294" t="s">
        <v>79</v>
      </c>
      <c r="CA294" s="10">
        <v>45909</v>
      </c>
    </row>
    <row r="295" spans="1:79">
      <c r="A295">
        <v>300</v>
      </c>
      <c r="B295">
        <v>154</v>
      </c>
      <c r="C295">
        <v>61</v>
      </c>
      <c r="D295" t="s">
        <v>3466</v>
      </c>
      <c r="E295" t="s">
        <v>452</v>
      </c>
      <c r="F295" t="s">
        <v>71</v>
      </c>
      <c r="G295" s="12" t="s">
        <v>3463</v>
      </c>
      <c r="H295" s="12"/>
      <c r="I295">
        <v>69</v>
      </c>
      <c r="K295">
        <v>126</v>
      </c>
      <c r="L295">
        <v>64</v>
      </c>
      <c r="M295" t="s">
        <v>118</v>
      </c>
      <c r="P295" t="s">
        <v>83</v>
      </c>
      <c r="Q295" t="s">
        <v>118</v>
      </c>
      <c r="R295">
        <v>62.3</v>
      </c>
      <c r="S295">
        <v>154</v>
      </c>
      <c r="T295" s="8">
        <f t="shared" si="8"/>
        <v>26.26918536009445</v>
      </c>
      <c r="U295" s="13" t="str" cm="1">
        <f t="array" ref="U295">IF(T295="","",_xlfn.IFS(T295&lt;18.5,"Bajo peso",T295&lt;25,"Peso normal",T295&lt;30,"Sobrepeso",T295&lt;35,"Obesidad clase I",T295&lt;40,"Obesidad clase II",T295&gt;=40,"Obesidad clase III"))</f>
        <v>Sobrepeso</v>
      </c>
      <c r="V295">
        <v>88</v>
      </c>
      <c r="X295" t="s">
        <v>3463</v>
      </c>
      <c r="Y295">
        <v>1.1000000000000001</v>
      </c>
      <c r="AA295">
        <v>57</v>
      </c>
      <c r="AB295" s="9">
        <f t="shared" si="9"/>
        <v>57.168108050187982</v>
      </c>
      <c r="AD295" t="s">
        <v>158</v>
      </c>
      <c r="AF295" t="s">
        <v>158</v>
      </c>
      <c r="AH295" t="s">
        <v>3463</v>
      </c>
      <c r="AI295" t="s">
        <v>3463</v>
      </c>
      <c r="AJ295" t="s">
        <v>3463</v>
      </c>
      <c r="AK295" t="s">
        <v>3463</v>
      </c>
      <c r="AL295" t="s">
        <v>3463</v>
      </c>
      <c r="AP295" t="s">
        <v>3463</v>
      </c>
      <c r="AT295" t="s">
        <v>3465</v>
      </c>
      <c r="AU295" t="s">
        <v>80</v>
      </c>
      <c r="AW295" t="s">
        <v>3916</v>
      </c>
      <c r="AX295" t="s">
        <v>3463</v>
      </c>
      <c r="AY295" t="s">
        <v>3465</v>
      </c>
      <c r="AZ295" t="s">
        <v>90</v>
      </c>
      <c r="BD295" t="s">
        <v>105</v>
      </c>
      <c r="BF295" t="s">
        <v>3921</v>
      </c>
      <c r="BH295" t="s">
        <v>4029</v>
      </c>
      <c r="BI295" t="s">
        <v>411</v>
      </c>
      <c r="BP295" t="s">
        <v>4320</v>
      </c>
      <c r="BQ295" t="s">
        <v>3463</v>
      </c>
      <c r="BR295" t="s">
        <v>3463</v>
      </c>
      <c r="BS295" t="s">
        <v>3463</v>
      </c>
      <c r="BT295" t="s">
        <v>3463</v>
      </c>
      <c r="BU295" t="s">
        <v>3463</v>
      </c>
      <c r="BV295" t="s">
        <v>3463</v>
      </c>
      <c r="BW295" t="s">
        <v>3463</v>
      </c>
      <c r="BX295" t="s">
        <v>79</v>
      </c>
      <c r="BY295" t="s">
        <v>87</v>
      </c>
      <c r="BZ295" t="s">
        <v>79</v>
      </c>
      <c r="CA295" s="10">
        <v>45909</v>
      </c>
    </row>
    <row r="296" spans="1:79">
      <c r="A296">
        <v>301</v>
      </c>
      <c r="B296">
        <v>155</v>
      </c>
      <c r="C296">
        <v>25</v>
      </c>
      <c r="D296" t="s">
        <v>3466</v>
      </c>
      <c r="E296" t="s">
        <v>450</v>
      </c>
      <c r="F296" t="s">
        <v>71</v>
      </c>
      <c r="G296" s="12" t="s">
        <v>3463</v>
      </c>
      <c r="H296" s="12"/>
      <c r="I296">
        <v>66</v>
      </c>
      <c r="J296">
        <v>72</v>
      </c>
      <c r="K296">
        <v>156</v>
      </c>
      <c r="L296">
        <v>73</v>
      </c>
      <c r="M296" t="s">
        <v>72</v>
      </c>
      <c r="N296">
        <v>123</v>
      </c>
      <c r="O296">
        <v>63</v>
      </c>
      <c r="P296" t="s">
        <v>118</v>
      </c>
      <c r="Q296" t="s">
        <v>118</v>
      </c>
      <c r="R296">
        <v>119.5</v>
      </c>
      <c r="S296">
        <v>168</v>
      </c>
      <c r="T296" s="8">
        <f t="shared" si="8"/>
        <v>42.339852607709751</v>
      </c>
      <c r="U296" s="13" t="str" cm="1">
        <f t="array" ref="U296">IF(T296="","",_xlfn.IFS(T296&lt;18.5,"Bajo peso",T296&lt;25,"Peso normal",T296&lt;30,"Sobrepeso",T296&lt;35,"Obesidad clase I",T296&lt;40,"Obesidad clase II",T296&gt;=40,"Obesidad clase III"))</f>
        <v>Obesidad clase III</v>
      </c>
      <c r="V296">
        <v>94</v>
      </c>
      <c r="X296" t="s">
        <v>3463</v>
      </c>
      <c r="Y296">
        <v>0.84</v>
      </c>
      <c r="AA296">
        <v>90</v>
      </c>
      <c r="AB296" s="9">
        <f t="shared" si="9"/>
        <v>98.838505930577426</v>
      </c>
      <c r="AD296" t="s">
        <v>73</v>
      </c>
      <c r="AF296" t="s">
        <v>73</v>
      </c>
      <c r="AH296" t="s">
        <v>3463</v>
      </c>
      <c r="AI296" t="s">
        <v>3463</v>
      </c>
      <c r="AJ296" t="s">
        <v>3463</v>
      </c>
      <c r="AK296" t="s">
        <v>3463</v>
      </c>
      <c r="AL296" t="s">
        <v>3463</v>
      </c>
      <c r="AP296" t="s">
        <v>3463</v>
      </c>
      <c r="AQ296" t="s">
        <v>296</v>
      </c>
      <c r="AR296" t="s">
        <v>3493</v>
      </c>
      <c r="AT296" t="s">
        <v>3463</v>
      </c>
      <c r="AV296" t="s">
        <v>126</v>
      </c>
      <c r="AW296" t="s">
        <v>126</v>
      </c>
      <c r="AX296" t="s">
        <v>3463</v>
      </c>
      <c r="AY296" t="s">
        <v>3463</v>
      </c>
      <c r="BA296" t="s">
        <v>3920</v>
      </c>
      <c r="BC296" t="s">
        <v>128</v>
      </c>
      <c r="BE296" t="s">
        <v>453</v>
      </c>
      <c r="BF296" t="s">
        <v>3937</v>
      </c>
      <c r="BG296" t="s">
        <v>454</v>
      </c>
      <c r="BH296" t="s">
        <v>4112</v>
      </c>
      <c r="BI296" t="s">
        <v>455</v>
      </c>
      <c r="BP296" t="s">
        <v>4381</v>
      </c>
      <c r="BQ296" t="s">
        <v>3465</v>
      </c>
      <c r="BR296" t="s">
        <v>3463</v>
      </c>
      <c r="BS296" t="s">
        <v>3463</v>
      </c>
      <c r="BT296" t="s">
        <v>3463</v>
      </c>
      <c r="BU296" t="s">
        <v>3463</v>
      </c>
      <c r="BV296" t="s">
        <v>3463</v>
      </c>
      <c r="BW296" t="s">
        <v>3463</v>
      </c>
      <c r="BX296" t="s">
        <v>79</v>
      </c>
      <c r="BY296" t="s">
        <v>87</v>
      </c>
      <c r="BZ296" t="s">
        <v>79</v>
      </c>
      <c r="CA296" s="10">
        <v>45909</v>
      </c>
    </row>
    <row r="297" spans="1:79">
      <c r="A297">
        <v>302</v>
      </c>
      <c r="B297">
        <v>155</v>
      </c>
      <c r="C297">
        <v>32</v>
      </c>
      <c r="D297" t="s">
        <v>3466</v>
      </c>
      <c r="E297" t="s">
        <v>507</v>
      </c>
      <c r="F297" t="s">
        <v>503</v>
      </c>
      <c r="G297" s="12" t="s">
        <v>3463</v>
      </c>
      <c r="H297" s="12"/>
      <c r="I297">
        <v>68</v>
      </c>
      <c r="K297">
        <v>120</v>
      </c>
      <c r="L297">
        <v>61</v>
      </c>
      <c r="M297" t="s">
        <v>118</v>
      </c>
      <c r="P297" t="s">
        <v>83</v>
      </c>
      <c r="Q297" t="s">
        <v>118</v>
      </c>
      <c r="R297">
        <v>86.4</v>
      </c>
      <c r="S297">
        <v>168</v>
      </c>
      <c r="T297" s="8">
        <f t="shared" si="8"/>
        <v>30.612244897959187</v>
      </c>
      <c r="U297" s="13" t="str" cm="1">
        <f t="array" ref="U297">IF(T297="","",_xlfn.IFS(T297&lt;18.5,"Bajo peso",T297&lt;25,"Peso normal",T297&lt;30,"Sobrepeso",T297&lt;35,"Obesidad clase I",T297&lt;40,"Obesidad clase II",T297&gt;=40,"Obesidad clase III"))</f>
        <v>Obesidad clase I</v>
      </c>
      <c r="V297">
        <v>89</v>
      </c>
      <c r="X297" t="s">
        <v>3463</v>
      </c>
      <c r="Y297">
        <v>0.84</v>
      </c>
      <c r="AA297">
        <v>90</v>
      </c>
      <c r="AB297" s="9">
        <f t="shared" si="9"/>
        <v>94.627881801969636</v>
      </c>
      <c r="AD297" t="s">
        <v>73</v>
      </c>
      <c r="AF297" t="s">
        <v>73</v>
      </c>
      <c r="AH297" t="s">
        <v>3463</v>
      </c>
      <c r="AI297" t="s">
        <v>3463</v>
      </c>
      <c r="AJ297" t="s">
        <v>3463</v>
      </c>
      <c r="AK297" t="s">
        <v>3463</v>
      </c>
      <c r="AL297" t="s">
        <v>3463</v>
      </c>
      <c r="AP297" t="s">
        <v>3463</v>
      </c>
      <c r="AQ297" t="s">
        <v>876</v>
      </c>
      <c r="AR297" t="s">
        <v>3505</v>
      </c>
      <c r="AV297" t="s">
        <v>74</v>
      </c>
      <c r="AW297" t="s">
        <v>3915</v>
      </c>
      <c r="AX297" t="s">
        <v>3463</v>
      </c>
      <c r="AY297" t="s">
        <v>3465</v>
      </c>
      <c r="AZ297" t="s">
        <v>90</v>
      </c>
      <c r="BF297" t="s">
        <v>3921</v>
      </c>
      <c r="BH297" t="s">
        <v>4020</v>
      </c>
      <c r="BP297" t="s">
        <v>4260</v>
      </c>
      <c r="BQ297" t="s">
        <v>3465</v>
      </c>
      <c r="BR297" t="s">
        <v>3463</v>
      </c>
      <c r="BS297" t="s">
        <v>3465</v>
      </c>
      <c r="BT297" t="s">
        <v>3465</v>
      </c>
      <c r="BU297" t="s">
        <v>3463</v>
      </c>
      <c r="BV297" t="s">
        <v>3463</v>
      </c>
      <c r="BW297" t="s">
        <v>3463</v>
      </c>
      <c r="BX297" t="s">
        <v>79</v>
      </c>
      <c r="BY297" t="s">
        <v>87</v>
      </c>
      <c r="BZ297" t="s">
        <v>79</v>
      </c>
      <c r="CA297" s="10">
        <v>45909</v>
      </c>
    </row>
    <row r="298" spans="1:79">
      <c r="A298">
        <v>303</v>
      </c>
      <c r="B298">
        <v>156</v>
      </c>
      <c r="C298">
        <v>36</v>
      </c>
      <c r="D298" t="s">
        <v>3462</v>
      </c>
      <c r="F298" t="s">
        <v>503</v>
      </c>
      <c r="G298" s="12" t="s">
        <v>3465</v>
      </c>
      <c r="H298" t="s">
        <v>88</v>
      </c>
      <c r="I298">
        <v>58</v>
      </c>
      <c r="J298">
        <v>55</v>
      </c>
      <c r="K298">
        <v>146</v>
      </c>
      <c r="L298">
        <v>79</v>
      </c>
      <c r="M298" t="s">
        <v>72</v>
      </c>
      <c r="N298">
        <v>144</v>
      </c>
      <c r="O298">
        <v>73</v>
      </c>
      <c r="P298" t="s">
        <v>72</v>
      </c>
      <c r="Q298" t="s">
        <v>72</v>
      </c>
      <c r="R298">
        <v>86.9</v>
      </c>
      <c r="S298">
        <v>181</v>
      </c>
      <c r="T298" s="8">
        <f t="shared" si="8"/>
        <v>26.525441836329783</v>
      </c>
      <c r="U298" s="13" t="str" cm="1">
        <f t="array" ref="U298">IF(T298="","",_xlfn.IFS(T298&lt;18.5,"Bajo peso",T298&lt;25,"Peso normal",T298&lt;30,"Sobrepeso",T298&lt;35,"Obesidad clase I",T298&lt;40,"Obesidad clase II",T298&gt;=40,"Obesidad clase III"))</f>
        <v>Sobrepeso</v>
      </c>
      <c r="V298">
        <v>100</v>
      </c>
      <c r="X298" t="s">
        <v>3463</v>
      </c>
      <c r="Y298">
        <v>0.67</v>
      </c>
      <c r="AA298">
        <v>90</v>
      </c>
      <c r="AB298" s="9">
        <f t="shared" si="9"/>
        <v>124.09626731098119</v>
      </c>
      <c r="AD298" t="s">
        <v>73</v>
      </c>
      <c r="AF298" t="s">
        <v>73</v>
      </c>
      <c r="AH298" t="s">
        <v>3463</v>
      </c>
      <c r="AI298" t="s">
        <v>3463</v>
      </c>
      <c r="AJ298" t="s">
        <v>3463</v>
      </c>
      <c r="AK298" t="s">
        <v>3463</v>
      </c>
      <c r="AL298" t="s">
        <v>3465</v>
      </c>
      <c r="AM298" t="s">
        <v>877</v>
      </c>
      <c r="AN298" t="s">
        <v>3686</v>
      </c>
      <c r="AP298" t="s">
        <v>3463</v>
      </c>
      <c r="AQ298" t="s">
        <v>878</v>
      </c>
      <c r="AR298" t="s">
        <v>3488</v>
      </c>
      <c r="AV298" t="s">
        <v>126</v>
      </c>
      <c r="AW298" t="s">
        <v>126</v>
      </c>
      <c r="BF298" t="s">
        <v>3921</v>
      </c>
      <c r="BG298" t="s">
        <v>879</v>
      </c>
      <c r="BH298" t="s">
        <v>4029</v>
      </c>
      <c r="BL298" t="s">
        <v>602</v>
      </c>
      <c r="BP298" t="s">
        <v>4342</v>
      </c>
      <c r="BQ298" t="s">
        <v>3463</v>
      </c>
      <c r="BR298" t="s">
        <v>3465</v>
      </c>
      <c r="BS298" t="s">
        <v>3465</v>
      </c>
      <c r="BT298" t="s">
        <v>3465</v>
      </c>
      <c r="BU298" t="s">
        <v>3463</v>
      </c>
      <c r="BV298" t="s">
        <v>3463</v>
      </c>
      <c r="BW298" t="s">
        <v>3463</v>
      </c>
      <c r="BX298" t="s">
        <v>79</v>
      </c>
      <c r="BY298" t="s">
        <v>79</v>
      </c>
      <c r="BZ298" t="s">
        <v>79</v>
      </c>
      <c r="CA298" s="10">
        <v>45909</v>
      </c>
    </row>
    <row r="299" spans="1:79">
      <c r="A299">
        <v>304</v>
      </c>
      <c r="B299">
        <v>156</v>
      </c>
      <c r="C299">
        <v>33</v>
      </c>
      <c r="D299" t="s">
        <v>3466</v>
      </c>
      <c r="E299" t="s">
        <v>449</v>
      </c>
      <c r="F299" t="s">
        <v>71</v>
      </c>
      <c r="G299" s="12" t="s">
        <v>3463</v>
      </c>
      <c r="H299" s="12"/>
      <c r="K299">
        <v>114</v>
      </c>
      <c r="L299">
        <v>51</v>
      </c>
      <c r="M299" t="s">
        <v>80</v>
      </c>
      <c r="P299" t="s">
        <v>83</v>
      </c>
      <c r="Q299" t="s">
        <v>80</v>
      </c>
      <c r="R299">
        <v>68.099999999999994</v>
      </c>
      <c r="S299">
        <v>150</v>
      </c>
      <c r="T299" s="8">
        <f t="shared" si="8"/>
        <v>30.266666666666662</v>
      </c>
      <c r="U299" s="13" t="str" cm="1">
        <f t="array" ref="U299">IF(T299="","",_xlfn.IFS(T299&lt;18.5,"Bajo peso",T299&lt;25,"Peso normal",T299&lt;30,"Sobrepeso",T299&lt;35,"Obesidad clase I",T299&lt;40,"Obesidad clase II",T299&gt;=40,"Obesidad clase III"))</f>
        <v>Obesidad clase I</v>
      </c>
      <c r="V299">
        <v>87</v>
      </c>
      <c r="X299" t="s">
        <v>3463</v>
      </c>
      <c r="Y299">
        <v>0.76</v>
      </c>
      <c r="AA299">
        <v>90</v>
      </c>
      <c r="AB299" s="9">
        <f t="shared" si="9"/>
        <v>106.04176402210574</v>
      </c>
      <c r="AD299" t="s">
        <v>73</v>
      </c>
      <c r="AF299" t="s">
        <v>73</v>
      </c>
      <c r="AH299" t="s">
        <v>3463</v>
      </c>
      <c r="AI299" t="s">
        <v>3463</v>
      </c>
      <c r="AJ299" t="s">
        <v>3463</v>
      </c>
      <c r="AK299" t="s">
        <v>3463</v>
      </c>
      <c r="AL299" t="s">
        <v>3463</v>
      </c>
      <c r="AP299" t="s">
        <v>3463</v>
      </c>
      <c r="AQ299" t="s">
        <v>373</v>
      </c>
      <c r="AR299" t="s">
        <v>3490</v>
      </c>
      <c r="AT299" t="s">
        <v>3463</v>
      </c>
      <c r="AV299" t="s">
        <v>74</v>
      </c>
      <c r="AW299" t="s">
        <v>3915</v>
      </c>
      <c r="AX299" t="s">
        <v>3465</v>
      </c>
      <c r="AY299" t="s">
        <v>3465</v>
      </c>
      <c r="AZ299" t="s">
        <v>90</v>
      </c>
      <c r="BF299" t="s">
        <v>3921</v>
      </c>
      <c r="BH299" t="s">
        <v>4020</v>
      </c>
      <c r="BP299" t="s">
        <v>4260</v>
      </c>
      <c r="BQ299" t="s">
        <v>3463</v>
      </c>
      <c r="BR299" t="s">
        <v>3463</v>
      </c>
      <c r="BS299" t="s">
        <v>3463</v>
      </c>
      <c r="BT299" t="s">
        <v>3463</v>
      </c>
      <c r="BU299" t="s">
        <v>3463</v>
      </c>
      <c r="BV299" t="s">
        <v>3463</v>
      </c>
      <c r="BW299" t="s">
        <v>3463</v>
      </c>
      <c r="BX299" t="s">
        <v>79</v>
      </c>
      <c r="BY299" t="s">
        <v>87</v>
      </c>
      <c r="BZ299" t="s">
        <v>79</v>
      </c>
      <c r="CA299" s="10">
        <v>45909</v>
      </c>
    </row>
    <row r="300" spans="1:79">
      <c r="A300">
        <v>305</v>
      </c>
      <c r="B300">
        <v>157</v>
      </c>
      <c r="C300">
        <v>83</v>
      </c>
      <c r="D300" t="s">
        <v>3466</v>
      </c>
      <c r="E300" t="s">
        <v>445</v>
      </c>
      <c r="F300" t="s">
        <v>71</v>
      </c>
      <c r="G300" s="12" t="s">
        <v>3465</v>
      </c>
      <c r="H300" s="12" t="s">
        <v>88</v>
      </c>
      <c r="I300">
        <v>81</v>
      </c>
      <c r="J300">
        <v>79</v>
      </c>
      <c r="K300">
        <v>151</v>
      </c>
      <c r="L300">
        <v>74</v>
      </c>
      <c r="M300" t="s">
        <v>72</v>
      </c>
      <c r="N300">
        <v>148</v>
      </c>
      <c r="O300">
        <v>73</v>
      </c>
      <c r="P300" t="s">
        <v>72</v>
      </c>
      <c r="Q300" t="s">
        <v>72</v>
      </c>
      <c r="R300">
        <v>89.5</v>
      </c>
      <c r="S300">
        <v>154</v>
      </c>
      <c r="T300" s="8">
        <f t="shared" si="8"/>
        <v>37.738235790183843</v>
      </c>
      <c r="U300" s="13" t="str" cm="1">
        <f t="array" ref="U300">IF(T300="","",_xlfn.IFS(T300&lt;18.5,"Bajo peso",T300&lt;25,"Peso normal",T300&lt;30,"Sobrepeso",T300&lt;35,"Obesidad clase I",T300&lt;40,"Obesidad clase II",T300&gt;=40,"Obesidad clase III"))</f>
        <v>Obesidad clase II</v>
      </c>
      <c r="V300">
        <v>152</v>
      </c>
      <c r="X300" t="s">
        <v>3463</v>
      </c>
      <c r="Y300">
        <v>0.85</v>
      </c>
      <c r="AA300">
        <v>68</v>
      </c>
      <c r="AB300" s="9">
        <f t="shared" si="9"/>
        <v>67.936029963956628</v>
      </c>
      <c r="AD300" t="s">
        <v>73</v>
      </c>
      <c r="AF300" t="s">
        <v>73</v>
      </c>
      <c r="AG300" t="s">
        <v>3465</v>
      </c>
      <c r="AH300" t="s">
        <v>3465</v>
      </c>
      <c r="AI300" t="s">
        <v>3465</v>
      </c>
      <c r="AJ300" t="s">
        <v>3463</v>
      </c>
      <c r="AK300" t="s">
        <v>3463</v>
      </c>
      <c r="AL300" t="s">
        <v>3465</v>
      </c>
      <c r="AM300" t="s">
        <v>457</v>
      </c>
      <c r="AN300" t="s">
        <v>3617</v>
      </c>
      <c r="AO300" t="s">
        <v>3465</v>
      </c>
      <c r="AP300" t="s">
        <v>3465</v>
      </c>
      <c r="AQ300" t="s">
        <v>458</v>
      </c>
      <c r="AR300" t="s">
        <v>3488</v>
      </c>
      <c r="AS300" t="s">
        <v>3465</v>
      </c>
      <c r="AT300" t="s">
        <v>3463</v>
      </c>
      <c r="AV300" t="s">
        <v>112</v>
      </c>
      <c r="AW300" t="s">
        <v>3917</v>
      </c>
      <c r="AX300" t="s">
        <v>3465</v>
      </c>
      <c r="AY300" t="s">
        <v>3463</v>
      </c>
      <c r="BA300" t="s">
        <v>3920</v>
      </c>
      <c r="BB300" t="s">
        <v>3485</v>
      </c>
      <c r="BF300" t="s">
        <v>3921</v>
      </c>
      <c r="BH300" t="s">
        <v>4015</v>
      </c>
      <c r="BK300" t="s">
        <v>459</v>
      </c>
      <c r="BL300" t="s">
        <v>460</v>
      </c>
      <c r="BP300" t="s">
        <v>4382</v>
      </c>
      <c r="BQ300" t="s">
        <v>3463</v>
      </c>
      <c r="BR300" t="s">
        <v>3463</v>
      </c>
      <c r="BS300" t="s">
        <v>3465</v>
      </c>
      <c r="BT300" t="s">
        <v>3465</v>
      </c>
      <c r="BU300" t="s">
        <v>3463</v>
      </c>
      <c r="BV300" t="s">
        <v>3463</v>
      </c>
      <c r="BW300" t="s">
        <v>3463</v>
      </c>
      <c r="BX300" t="s">
        <v>79</v>
      </c>
      <c r="BY300" t="s">
        <v>87</v>
      </c>
      <c r="BZ300" t="s">
        <v>79</v>
      </c>
      <c r="CA300" s="10">
        <v>45909</v>
      </c>
    </row>
    <row r="301" spans="1:79">
      <c r="A301">
        <v>306</v>
      </c>
      <c r="B301">
        <v>157</v>
      </c>
      <c r="C301">
        <v>37</v>
      </c>
      <c r="D301" t="s">
        <v>3466</v>
      </c>
      <c r="E301" t="s">
        <v>527</v>
      </c>
      <c r="F301" t="s">
        <v>503</v>
      </c>
      <c r="G301" s="12" t="s">
        <v>3465</v>
      </c>
      <c r="H301" t="s">
        <v>88</v>
      </c>
      <c r="I301">
        <v>72</v>
      </c>
      <c r="K301">
        <v>130</v>
      </c>
      <c r="L301">
        <v>71</v>
      </c>
      <c r="M301" t="s">
        <v>82</v>
      </c>
      <c r="P301" t="s">
        <v>83</v>
      </c>
      <c r="Q301" t="s">
        <v>82</v>
      </c>
      <c r="R301">
        <v>75.45</v>
      </c>
      <c r="S301">
        <v>171</v>
      </c>
      <c r="T301" s="8">
        <f t="shared" si="8"/>
        <v>25.802811121370681</v>
      </c>
      <c r="U301" s="13" t="str" cm="1">
        <f t="array" ref="U301">IF(T301="","",_xlfn.IFS(T301&lt;18.5,"Bajo peso",T301&lt;25,"Peso normal",T301&lt;30,"Sobrepeso",T301&lt;35,"Obesidad clase I",T301&lt;40,"Obesidad clase II",T301&gt;=40,"Obesidad clase III"))</f>
        <v>Sobrepeso</v>
      </c>
      <c r="V301">
        <v>115</v>
      </c>
      <c r="X301" t="s">
        <v>3463</v>
      </c>
      <c r="Y301">
        <v>1.04</v>
      </c>
      <c r="AA301">
        <v>71</v>
      </c>
      <c r="AB301" s="9">
        <f t="shared" si="9"/>
        <v>70.991968210118955</v>
      </c>
      <c r="AD301" t="s">
        <v>73</v>
      </c>
      <c r="AF301" t="s">
        <v>73</v>
      </c>
      <c r="AH301" t="s">
        <v>3463</v>
      </c>
      <c r="AI301" t="s">
        <v>3463</v>
      </c>
      <c r="AJ301" t="s">
        <v>3463</v>
      </c>
      <c r="AK301" t="s">
        <v>3463</v>
      </c>
      <c r="AL301" t="s">
        <v>3463</v>
      </c>
      <c r="AP301" t="s">
        <v>3463</v>
      </c>
      <c r="AV301" t="s">
        <v>74</v>
      </c>
      <c r="AW301" t="s">
        <v>3915</v>
      </c>
      <c r="AY301" t="s">
        <v>3465</v>
      </c>
      <c r="AZ301" t="s">
        <v>665</v>
      </c>
      <c r="BF301" t="s">
        <v>3921</v>
      </c>
      <c r="BG301" t="s">
        <v>880</v>
      </c>
      <c r="BH301" t="s">
        <v>4068</v>
      </c>
      <c r="BL301" t="s">
        <v>602</v>
      </c>
      <c r="BP301" t="s">
        <v>4342</v>
      </c>
      <c r="BQ301" t="s">
        <v>3463</v>
      </c>
      <c r="BR301" t="s">
        <v>3463</v>
      </c>
      <c r="BS301" t="s">
        <v>3465</v>
      </c>
      <c r="BT301" t="s">
        <v>3465</v>
      </c>
      <c r="BU301" t="s">
        <v>3463</v>
      </c>
      <c r="BV301" t="s">
        <v>3463</v>
      </c>
      <c r="BW301" t="s">
        <v>3463</v>
      </c>
      <c r="BX301" t="s">
        <v>518</v>
      </c>
      <c r="BY301" t="s">
        <v>87</v>
      </c>
      <c r="BZ301" t="s">
        <v>79</v>
      </c>
      <c r="CA301" s="10">
        <v>45909</v>
      </c>
    </row>
    <row r="302" spans="1:79">
      <c r="A302">
        <v>307</v>
      </c>
      <c r="B302">
        <v>158</v>
      </c>
      <c r="C302">
        <v>63</v>
      </c>
      <c r="D302" t="s">
        <v>3462</v>
      </c>
      <c r="E302" t="s">
        <v>445</v>
      </c>
      <c r="F302" t="s">
        <v>71</v>
      </c>
      <c r="G302" s="12" t="s">
        <v>3463</v>
      </c>
      <c r="I302">
        <v>65</v>
      </c>
      <c r="K302">
        <v>132</v>
      </c>
      <c r="L302">
        <v>72</v>
      </c>
      <c r="M302" t="s">
        <v>82</v>
      </c>
      <c r="P302" t="s">
        <v>83</v>
      </c>
      <c r="Q302" t="s">
        <v>82</v>
      </c>
      <c r="R302">
        <v>73.5</v>
      </c>
      <c r="S302">
        <v>163</v>
      </c>
      <c r="T302" s="8">
        <f t="shared" si="8"/>
        <v>27.663818736121041</v>
      </c>
      <c r="U302" s="13" t="str" cm="1">
        <f t="array" ref="U302">IF(T302="","",_xlfn.IFS(T302&lt;18.5,"Bajo peso",T302&lt;25,"Peso normal",T302&lt;30,"Sobrepeso",T302&lt;35,"Obesidad clase I",T302&lt;40,"Obesidad clase II",T302&gt;=40,"Obesidad clase III"))</f>
        <v>Sobrepeso</v>
      </c>
      <c r="V302">
        <v>313</v>
      </c>
      <c r="X302" t="s">
        <v>3465</v>
      </c>
      <c r="Y302">
        <v>1.19</v>
      </c>
      <c r="AA302">
        <v>68</v>
      </c>
      <c r="AB302" s="9">
        <f t="shared" si="9"/>
        <v>68.637194521386149</v>
      </c>
      <c r="AD302" t="s">
        <v>73</v>
      </c>
      <c r="AF302" t="s">
        <v>73</v>
      </c>
      <c r="AG302" t="s">
        <v>3465</v>
      </c>
      <c r="AH302" t="s">
        <v>3465</v>
      </c>
      <c r="AI302" t="s">
        <v>3463</v>
      </c>
      <c r="AJ302" t="s">
        <v>3463</v>
      </c>
      <c r="AK302" t="s">
        <v>3463</v>
      </c>
      <c r="AL302" t="s">
        <v>3465</v>
      </c>
      <c r="AM302" t="s">
        <v>116</v>
      </c>
      <c r="AN302" t="s">
        <v>116</v>
      </c>
      <c r="AO302" t="s">
        <v>3463</v>
      </c>
      <c r="AP302" t="s">
        <v>3465</v>
      </c>
      <c r="AQ302" t="s">
        <v>461</v>
      </c>
      <c r="AR302" t="s">
        <v>3510</v>
      </c>
      <c r="AV302" t="s">
        <v>74</v>
      </c>
      <c r="AW302" t="s">
        <v>3915</v>
      </c>
      <c r="BA302" t="s">
        <v>3920</v>
      </c>
      <c r="BB302" t="s">
        <v>3485</v>
      </c>
      <c r="BF302" t="s">
        <v>3921</v>
      </c>
      <c r="BG302" t="s">
        <v>462</v>
      </c>
      <c r="BH302" t="s">
        <v>4029</v>
      </c>
      <c r="BP302" t="s">
        <v>4329</v>
      </c>
      <c r="BQ302" t="s">
        <v>3463</v>
      </c>
      <c r="BR302" t="s">
        <v>3465</v>
      </c>
      <c r="BS302" t="s">
        <v>3463</v>
      </c>
      <c r="BT302" t="s">
        <v>3463</v>
      </c>
      <c r="BU302" t="s">
        <v>3463</v>
      </c>
      <c r="BV302" t="s">
        <v>3463</v>
      </c>
      <c r="BW302" t="s">
        <v>3463</v>
      </c>
      <c r="BX302" t="s">
        <v>79</v>
      </c>
      <c r="BY302" t="s">
        <v>87</v>
      </c>
      <c r="BZ302" t="s">
        <v>79</v>
      </c>
      <c r="CA302" s="10">
        <v>45909</v>
      </c>
    </row>
    <row r="303" spans="1:79">
      <c r="A303">
        <v>308</v>
      </c>
      <c r="B303">
        <v>158</v>
      </c>
      <c r="C303">
        <v>36</v>
      </c>
      <c r="D303" t="s">
        <v>3466</v>
      </c>
      <c r="F303" t="s">
        <v>503</v>
      </c>
      <c r="G303" s="12" t="s">
        <v>3463</v>
      </c>
      <c r="H303" s="12"/>
      <c r="I303">
        <v>62</v>
      </c>
      <c r="J303">
        <v>67</v>
      </c>
      <c r="K303">
        <v>140</v>
      </c>
      <c r="L303">
        <v>71</v>
      </c>
      <c r="M303" t="s">
        <v>72</v>
      </c>
      <c r="N303">
        <v>131</v>
      </c>
      <c r="O303">
        <v>74</v>
      </c>
      <c r="P303" t="s">
        <v>82</v>
      </c>
      <c r="Q303" t="s">
        <v>82</v>
      </c>
      <c r="R303">
        <v>94.6</v>
      </c>
      <c r="S303">
        <v>164</v>
      </c>
      <c r="T303" s="8">
        <f t="shared" si="8"/>
        <v>35.172516359309931</v>
      </c>
      <c r="U303" s="13" t="str" cm="1">
        <f t="array" ref="U303">IF(T303="","",_xlfn.IFS(T303&lt;18.5,"Bajo peso",T303&lt;25,"Peso normal",T303&lt;30,"Sobrepeso",T303&lt;35,"Obesidad clase I",T303&lt;40,"Obesidad clase II",T303&gt;=40,"Obesidad clase III"))</f>
        <v>Obesidad clase II</v>
      </c>
      <c r="V303">
        <v>90</v>
      </c>
      <c r="X303" t="s">
        <v>3463</v>
      </c>
      <c r="Y303">
        <v>1.23</v>
      </c>
      <c r="AA303">
        <v>58</v>
      </c>
      <c r="AB303" s="9">
        <f t="shared" si="9"/>
        <v>58.406892152331849</v>
      </c>
      <c r="AD303" t="s">
        <v>158</v>
      </c>
      <c r="AF303" t="s">
        <v>158</v>
      </c>
      <c r="AH303" t="s">
        <v>3463</v>
      </c>
      <c r="AI303" t="s">
        <v>3463</v>
      </c>
      <c r="AJ303" t="s">
        <v>3463</v>
      </c>
      <c r="AK303" t="s">
        <v>3463</v>
      </c>
      <c r="AL303" t="s">
        <v>3463</v>
      </c>
      <c r="AP303" t="s">
        <v>3463</v>
      </c>
      <c r="AQ303" t="s">
        <v>881</v>
      </c>
      <c r="AR303" t="s">
        <v>3488</v>
      </c>
      <c r="AW303" t="s">
        <v>3916</v>
      </c>
      <c r="AX303" t="s">
        <v>3465</v>
      </c>
      <c r="AY303" t="s">
        <v>3463</v>
      </c>
      <c r="BF303" t="s">
        <v>3921</v>
      </c>
      <c r="BG303" t="s">
        <v>882</v>
      </c>
      <c r="BH303" t="s">
        <v>4053</v>
      </c>
      <c r="BI303" t="s">
        <v>411</v>
      </c>
      <c r="BL303" t="s">
        <v>755</v>
      </c>
      <c r="BP303" t="s">
        <v>4383</v>
      </c>
      <c r="BQ303" t="s">
        <v>3463</v>
      </c>
      <c r="BR303" t="s">
        <v>3463</v>
      </c>
      <c r="BS303" t="s">
        <v>3465</v>
      </c>
      <c r="BT303" t="s">
        <v>3465</v>
      </c>
      <c r="BU303" t="s">
        <v>3463</v>
      </c>
      <c r="BV303" t="s">
        <v>3463</v>
      </c>
      <c r="BW303" t="s">
        <v>3463</v>
      </c>
      <c r="BX303" t="s">
        <v>79</v>
      </c>
      <c r="BY303" t="s">
        <v>79</v>
      </c>
      <c r="BZ303" t="s">
        <v>79</v>
      </c>
      <c r="CA303" s="10">
        <v>45909</v>
      </c>
    </row>
    <row r="304" spans="1:79">
      <c r="A304">
        <v>309</v>
      </c>
      <c r="B304">
        <v>159</v>
      </c>
      <c r="C304">
        <v>68</v>
      </c>
      <c r="D304" t="s">
        <v>3466</v>
      </c>
      <c r="E304" t="s">
        <v>122</v>
      </c>
      <c r="F304" t="s">
        <v>71</v>
      </c>
      <c r="G304" s="12" t="s">
        <v>3463</v>
      </c>
      <c r="I304">
        <v>90</v>
      </c>
      <c r="K304">
        <v>121</v>
      </c>
      <c r="L304">
        <v>69</v>
      </c>
      <c r="M304" t="s">
        <v>118</v>
      </c>
      <c r="P304" t="s">
        <v>83</v>
      </c>
      <c r="Q304" t="s">
        <v>118</v>
      </c>
      <c r="R304">
        <v>68.5</v>
      </c>
      <c r="S304">
        <v>145</v>
      </c>
      <c r="T304" s="8">
        <f t="shared" si="8"/>
        <v>32.580261593341262</v>
      </c>
      <c r="U304" s="13" t="str" cm="1">
        <f t="array" ref="U304">IF(T304="","",_xlfn.IFS(T304&lt;18.5,"Bajo peso",T304&lt;25,"Peso normal",T304&lt;30,"Sobrepeso",T304&lt;35,"Obesidad clase I",T304&lt;40,"Obesidad clase II",T304&gt;=40,"Obesidad clase III"))</f>
        <v>Obesidad clase I</v>
      </c>
      <c r="V304">
        <v>97</v>
      </c>
      <c r="X304" t="s">
        <v>3463</v>
      </c>
      <c r="Y304">
        <v>0.93</v>
      </c>
      <c r="AA304">
        <v>69</v>
      </c>
      <c r="AB304" s="9">
        <f t="shared" si="9"/>
        <v>66.94812995584266</v>
      </c>
      <c r="AD304" t="s">
        <v>73</v>
      </c>
      <c r="AF304" t="s">
        <v>73</v>
      </c>
      <c r="AG304" t="s">
        <v>3465</v>
      </c>
      <c r="AH304" t="s">
        <v>3465</v>
      </c>
      <c r="AI304" t="s">
        <v>3465</v>
      </c>
      <c r="AJ304" t="s">
        <v>3463</v>
      </c>
      <c r="AK304" t="s">
        <v>3463</v>
      </c>
      <c r="AL304" t="s">
        <v>3463</v>
      </c>
      <c r="AP304" t="s">
        <v>3463</v>
      </c>
      <c r="AQ304" t="s">
        <v>463</v>
      </c>
      <c r="AR304" t="s">
        <v>3511</v>
      </c>
      <c r="AS304" t="s">
        <v>3465</v>
      </c>
      <c r="AT304" t="s">
        <v>3465</v>
      </c>
      <c r="AW304" t="s">
        <v>3916</v>
      </c>
      <c r="AX304" t="s">
        <v>3463</v>
      </c>
      <c r="AY304" t="s">
        <v>3465</v>
      </c>
      <c r="BF304" t="s">
        <v>3921</v>
      </c>
      <c r="BH304" t="s">
        <v>4020</v>
      </c>
      <c r="BP304" t="s">
        <v>4260</v>
      </c>
      <c r="BQ304" t="s">
        <v>3463</v>
      </c>
      <c r="BR304" t="s">
        <v>3463</v>
      </c>
      <c r="BS304" t="s">
        <v>3463</v>
      </c>
      <c r="BT304" t="s">
        <v>3465</v>
      </c>
      <c r="BU304" t="s">
        <v>3463</v>
      </c>
      <c r="BV304" t="s">
        <v>3463</v>
      </c>
      <c r="BW304" t="s">
        <v>3463</v>
      </c>
      <c r="BX304" t="s">
        <v>79</v>
      </c>
      <c r="BY304" t="s">
        <v>87</v>
      </c>
      <c r="BZ304" t="s">
        <v>79</v>
      </c>
      <c r="CA304" s="10">
        <v>45909</v>
      </c>
    </row>
    <row r="305" spans="1:79">
      <c r="A305">
        <v>310</v>
      </c>
      <c r="B305">
        <v>159</v>
      </c>
      <c r="C305">
        <v>38</v>
      </c>
      <c r="D305" t="s">
        <v>3466</v>
      </c>
      <c r="E305" t="s">
        <v>507</v>
      </c>
      <c r="F305" t="s">
        <v>503</v>
      </c>
      <c r="G305" s="12" t="s">
        <v>3463</v>
      </c>
      <c r="H305" s="12"/>
      <c r="I305">
        <v>76</v>
      </c>
      <c r="J305">
        <v>83</v>
      </c>
      <c r="K305">
        <v>159</v>
      </c>
      <c r="L305">
        <v>98</v>
      </c>
      <c r="M305" t="s">
        <v>72</v>
      </c>
      <c r="N305">
        <v>165</v>
      </c>
      <c r="O305">
        <v>106</v>
      </c>
      <c r="P305" t="s">
        <v>72</v>
      </c>
      <c r="Q305" t="s">
        <v>72</v>
      </c>
      <c r="R305">
        <v>67.8</v>
      </c>
      <c r="S305">
        <v>155</v>
      </c>
      <c r="T305" s="8">
        <f t="shared" si="8"/>
        <v>28.220603537981269</v>
      </c>
      <c r="U305" s="13" t="str" cm="1">
        <f t="array" ref="U305">IF(T305="","",_xlfn.IFS(T305&lt;18.5,"Bajo peso",T305&lt;25,"Peso normal",T305&lt;30,"Sobrepeso",T305&lt;35,"Obesidad clase I",T305&lt;40,"Obesidad clase II",T305&gt;=40,"Obesidad clase III"))</f>
        <v>Sobrepeso</v>
      </c>
      <c r="V305">
        <v>118</v>
      </c>
      <c r="X305" t="s">
        <v>3463</v>
      </c>
      <c r="Y305">
        <v>0.94</v>
      </c>
      <c r="AA305">
        <v>79</v>
      </c>
      <c r="AB305" s="9">
        <f t="shared" si="9"/>
        <v>79.65165282767687</v>
      </c>
      <c r="AD305" t="s">
        <v>73</v>
      </c>
      <c r="AF305" t="s">
        <v>73</v>
      </c>
      <c r="AH305" t="s">
        <v>3463</v>
      </c>
      <c r="AI305" t="s">
        <v>3465</v>
      </c>
      <c r="AJ305" t="s">
        <v>3463</v>
      </c>
      <c r="AK305" t="s">
        <v>3463</v>
      </c>
      <c r="AL305" t="s">
        <v>3463</v>
      </c>
      <c r="AP305" t="s">
        <v>3463</v>
      </c>
      <c r="AQ305" t="s">
        <v>520</v>
      </c>
      <c r="AR305" t="s">
        <v>3491</v>
      </c>
      <c r="AS305" t="s">
        <v>3463</v>
      </c>
      <c r="AV305" t="s">
        <v>74</v>
      </c>
      <c r="AW305" t="s">
        <v>3915</v>
      </c>
      <c r="AX305" t="s">
        <v>3463</v>
      </c>
      <c r="AY305" t="s">
        <v>3465</v>
      </c>
      <c r="AZ305" t="s">
        <v>104</v>
      </c>
      <c r="BA305" t="s">
        <v>3920</v>
      </c>
      <c r="BF305" t="s">
        <v>3921</v>
      </c>
      <c r="BG305" t="s">
        <v>883</v>
      </c>
      <c r="BH305" t="s">
        <v>4017</v>
      </c>
      <c r="BI305" t="s">
        <v>884</v>
      </c>
      <c r="BK305" t="s">
        <v>885</v>
      </c>
      <c r="BL305" t="s">
        <v>886</v>
      </c>
      <c r="BP305" t="s">
        <v>4384</v>
      </c>
      <c r="BQ305" t="s">
        <v>3465</v>
      </c>
      <c r="BR305" t="s">
        <v>3465</v>
      </c>
      <c r="BS305" t="s">
        <v>3463</v>
      </c>
      <c r="BT305" t="s">
        <v>3463</v>
      </c>
      <c r="BU305" t="s">
        <v>3463</v>
      </c>
      <c r="BV305" t="s">
        <v>3463</v>
      </c>
      <c r="BW305" t="s">
        <v>3463</v>
      </c>
      <c r="BX305" t="s">
        <v>518</v>
      </c>
      <c r="BY305" t="s">
        <v>79</v>
      </c>
      <c r="BZ305" t="s">
        <v>79</v>
      </c>
      <c r="CA305" s="10">
        <v>45909</v>
      </c>
    </row>
    <row r="306" spans="1:79">
      <c r="A306">
        <v>311</v>
      </c>
      <c r="B306">
        <v>160</v>
      </c>
      <c r="C306">
        <v>32</v>
      </c>
      <c r="D306" t="s">
        <v>3466</v>
      </c>
      <c r="E306" t="s">
        <v>449</v>
      </c>
      <c r="F306" t="s">
        <v>613</v>
      </c>
      <c r="G306" s="12" t="s">
        <v>3463</v>
      </c>
      <c r="H306" s="12"/>
      <c r="I306">
        <v>63</v>
      </c>
      <c r="K306">
        <v>121</v>
      </c>
      <c r="L306">
        <v>85</v>
      </c>
      <c r="M306" t="s">
        <v>82</v>
      </c>
      <c r="P306" t="s">
        <v>83</v>
      </c>
      <c r="Q306" t="s">
        <v>82</v>
      </c>
      <c r="R306">
        <v>77.900000000000006</v>
      </c>
      <c r="S306">
        <v>171</v>
      </c>
      <c r="T306" s="8">
        <f t="shared" si="8"/>
        <v>26.640675763482783</v>
      </c>
      <c r="U306" s="13" t="str" cm="1">
        <f t="array" ref="U306">IF(T306="","",_xlfn.IFS(T306&lt;18.5,"Bajo peso",T306&lt;25,"Peso normal",T306&lt;30,"Sobrepeso",T306&lt;35,"Obesidad clase I",T306&lt;40,"Obesidad clase II",T306&gt;=40,"Obesidad clase III"))</f>
        <v>Sobrepeso</v>
      </c>
      <c r="V306">
        <v>102</v>
      </c>
      <c r="X306" t="s">
        <v>3463</v>
      </c>
      <c r="Y306">
        <v>0.92</v>
      </c>
      <c r="AA306">
        <v>85</v>
      </c>
      <c r="AB306" s="9">
        <f t="shared" si="9"/>
        <v>84.841603722354407</v>
      </c>
      <c r="AD306" t="s">
        <v>73</v>
      </c>
      <c r="AF306" t="s">
        <v>73</v>
      </c>
      <c r="AH306" t="s">
        <v>3463</v>
      </c>
      <c r="AI306" t="s">
        <v>3463</v>
      </c>
      <c r="AJ306" t="s">
        <v>3463</v>
      </c>
      <c r="AK306" t="s">
        <v>3463</v>
      </c>
      <c r="AL306" t="s">
        <v>3465</v>
      </c>
      <c r="AM306" t="s">
        <v>887</v>
      </c>
      <c r="AN306" t="s">
        <v>3687</v>
      </c>
      <c r="AP306" t="s">
        <v>3463</v>
      </c>
      <c r="AQ306" t="s">
        <v>888</v>
      </c>
      <c r="AR306" t="s">
        <v>3505</v>
      </c>
      <c r="AT306" t="s">
        <v>3463</v>
      </c>
      <c r="AV306" t="s">
        <v>74</v>
      </c>
      <c r="AW306" t="s">
        <v>3915</v>
      </c>
      <c r="AX306" t="s">
        <v>3463</v>
      </c>
      <c r="AY306" t="s">
        <v>3465</v>
      </c>
      <c r="AZ306" t="s">
        <v>90</v>
      </c>
      <c r="BF306" t="s">
        <v>3921</v>
      </c>
      <c r="BH306" t="s">
        <v>4020</v>
      </c>
      <c r="BP306" t="s">
        <v>4260</v>
      </c>
      <c r="BQ306" t="s">
        <v>3463</v>
      </c>
      <c r="BR306" t="s">
        <v>3465</v>
      </c>
      <c r="BS306" t="s">
        <v>3465</v>
      </c>
      <c r="BT306" t="s">
        <v>3465</v>
      </c>
      <c r="BU306" t="s">
        <v>3463</v>
      </c>
      <c r="BV306" t="s">
        <v>3463</v>
      </c>
      <c r="BW306" t="s">
        <v>3463</v>
      </c>
      <c r="BX306" t="s">
        <v>79</v>
      </c>
      <c r="BY306" t="s">
        <v>79</v>
      </c>
      <c r="BZ306" t="s">
        <v>79</v>
      </c>
      <c r="CA306" s="10">
        <v>45909</v>
      </c>
    </row>
    <row r="307" spans="1:79">
      <c r="A307">
        <v>312</v>
      </c>
      <c r="B307">
        <v>160</v>
      </c>
      <c r="C307">
        <v>87</v>
      </c>
      <c r="D307" t="s">
        <v>3462</v>
      </c>
      <c r="E307" t="s">
        <v>449</v>
      </c>
      <c r="F307" t="s">
        <v>71</v>
      </c>
      <c r="G307" s="12" t="s">
        <v>3463</v>
      </c>
      <c r="I307">
        <v>68</v>
      </c>
      <c r="J307">
        <v>61</v>
      </c>
      <c r="K307">
        <v>148</v>
      </c>
      <c r="L307">
        <v>67</v>
      </c>
      <c r="M307" t="s">
        <v>72</v>
      </c>
      <c r="N307">
        <v>147</v>
      </c>
      <c r="O307">
        <v>74</v>
      </c>
      <c r="P307" t="s">
        <v>72</v>
      </c>
      <c r="Q307" t="s">
        <v>72</v>
      </c>
      <c r="R307">
        <v>77.099999999999994</v>
      </c>
      <c r="S307">
        <v>165</v>
      </c>
      <c r="T307" s="8">
        <f t="shared" si="8"/>
        <v>28.319559228650139</v>
      </c>
      <c r="U307" s="13" t="str" cm="1">
        <f t="array" ref="U307">IF(T307="","",_xlfn.IFS(T307&lt;18.5,"Bajo peso",T307&lt;25,"Peso normal",T307&lt;30,"Sobrepeso",T307&lt;35,"Obesidad clase I",T307&lt;40,"Obesidad clase II",T307&gt;=40,"Obesidad clase III"))</f>
        <v>Sobrepeso</v>
      </c>
      <c r="V307">
        <v>148</v>
      </c>
      <c r="X307" t="s">
        <v>3463</v>
      </c>
      <c r="Y307">
        <v>1.26</v>
      </c>
      <c r="AA307">
        <v>55</v>
      </c>
      <c r="AB307" s="9">
        <f t="shared" si="9"/>
        <v>55.201012187501775</v>
      </c>
      <c r="AD307" t="s">
        <v>158</v>
      </c>
      <c r="AF307" t="s">
        <v>158</v>
      </c>
      <c r="AH307" t="s">
        <v>3463</v>
      </c>
      <c r="AI307" t="s">
        <v>3465</v>
      </c>
      <c r="AJ307" t="s">
        <v>3463</v>
      </c>
      <c r="AK307" t="s">
        <v>3463</v>
      </c>
      <c r="AL307" t="s">
        <v>3465</v>
      </c>
      <c r="AM307" t="s">
        <v>464</v>
      </c>
      <c r="AN307" t="s">
        <v>3632</v>
      </c>
      <c r="AP307" t="s">
        <v>3463</v>
      </c>
      <c r="AS307" t="s">
        <v>3465</v>
      </c>
      <c r="AV307" t="s">
        <v>74</v>
      </c>
      <c r="AW307" t="s">
        <v>3915</v>
      </c>
      <c r="BA307" t="s">
        <v>3920</v>
      </c>
      <c r="BF307" t="s">
        <v>3921</v>
      </c>
      <c r="BG307" t="s">
        <v>465</v>
      </c>
      <c r="BH307" t="s">
        <v>4015</v>
      </c>
      <c r="BI307" t="s">
        <v>86</v>
      </c>
      <c r="BK307" t="s">
        <v>466</v>
      </c>
      <c r="BL307" t="s">
        <v>467</v>
      </c>
      <c r="BP307" t="s">
        <v>4385</v>
      </c>
      <c r="BQ307" t="s">
        <v>3463</v>
      </c>
      <c r="BR307" t="s">
        <v>3463</v>
      </c>
      <c r="BS307" t="s">
        <v>3463</v>
      </c>
      <c r="BT307" t="s">
        <v>3463</v>
      </c>
      <c r="BU307" t="s">
        <v>3463</v>
      </c>
      <c r="BV307" t="s">
        <v>3463</v>
      </c>
      <c r="BW307" t="s">
        <v>3463</v>
      </c>
      <c r="BX307" t="s">
        <v>79</v>
      </c>
      <c r="BY307" t="s">
        <v>87</v>
      </c>
      <c r="BZ307" t="s">
        <v>79</v>
      </c>
      <c r="CA307" s="10">
        <v>45909</v>
      </c>
    </row>
    <row r="308" spans="1:79">
      <c r="A308">
        <v>313</v>
      </c>
      <c r="B308">
        <v>161</v>
      </c>
      <c r="C308">
        <v>34</v>
      </c>
      <c r="D308" t="s">
        <v>3466</v>
      </c>
      <c r="E308" t="s">
        <v>122</v>
      </c>
      <c r="F308" t="s">
        <v>71</v>
      </c>
      <c r="G308" s="12" t="s">
        <v>3465</v>
      </c>
      <c r="H308" t="s">
        <v>88</v>
      </c>
      <c r="I308">
        <v>75</v>
      </c>
      <c r="K308">
        <v>130</v>
      </c>
      <c r="L308">
        <v>71</v>
      </c>
      <c r="M308" t="s">
        <v>82</v>
      </c>
      <c r="P308" t="s">
        <v>83</v>
      </c>
      <c r="Q308" t="s">
        <v>82</v>
      </c>
      <c r="R308">
        <v>73.5</v>
      </c>
      <c r="S308">
        <v>155</v>
      </c>
      <c r="T308" s="8">
        <f t="shared" si="8"/>
        <v>30.593132154006245</v>
      </c>
      <c r="U308" s="13" t="str" cm="1">
        <f t="array" ref="U308">IF(T308="","",_xlfn.IFS(T308&lt;18.5,"Bajo peso",T308&lt;25,"Peso normal",T308&lt;30,"Sobrepeso",T308&lt;35,"Obesidad clase I",T308&lt;40,"Obesidad clase II",T308&gt;=40,"Obesidad clase III"))</f>
        <v>Obesidad clase I</v>
      </c>
      <c r="V308">
        <v>112</v>
      </c>
      <c r="X308" t="s">
        <v>3463</v>
      </c>
      <c r="Y308">
        <v>1.07</v>
      </c>
      <c r="AA308">
        <v>70</v>
      </c>
      <c r="AB308" s="9">
        <f t="shared" si="9"/>
        <v>69.902339917795686</v>
      </c>
      <c r="AD308" t="s">
        <v>73</v>
      </c>
      <c r="AF308" t="s">
        <v>73</v>
      </c>
      <c r="AH308" t="s">
        <v>3463</v>
      </c>
      <c r="AI308" t="s">
        <v>3465</v>
      </c>
      <c r="AJ308" t="s">
        <v>3463</v>
      </c>
      <c r="AK308" t="s">
        <v>3463</v>
      </c>
      <c r="AL308" t="s">
        <v>3463</v>
      </c>
      <c r="AP308" t="s">
        <v>3463</v>
      </c>
      <c r="AQ308" t="s">
        <v>468</v>
      </c>
      <c r="AR308" t="s">
        <v>3488</v>
      </c>
      <c r="AS308" t="s">
        <v>3465</v>
      </c>
      <c r="AT308" t="s">
        <v>3463</v>
      </c>
      <c r="AV308" t="s">
        <v>126</v>
      </c>
      <c r="AW308" t="s">
        <v>126</v>
      </c>
      <c r="AX308" t="s">
        <v>3463</v>
      </c>
      <c r="AY308" t="s">
        <v>3465</v>
      </c>
      <c r="AZ308" t="s">
        <v>469</v>
      </c>
      <c r="BF308" t="s">
        <v>3921</v>
      </c>
      <c r="BH308" t="s">
        <v>4020</v>
      </c>
      <c r="BP308" t="s">
        <v>4260</v>
      </c>
      <c r="BQ308" t="s">
        <v>3465</v>
      </c>
      <c r="BR308" t="s">
        <v>3463</v>
      </c>
      <c r="BS308" t="s">
        <v>3465</v>
      </c>
      <c r="BT308" t="s">
        <v>3465</v>
      </c>
      <c r="BU308" t="s">
        <v>3463</v>
      </c>
      <c r="BV308" t="s">
        <v>3463</v>
      </c>
      <c r="BW308" t="s">
        <v>3463</v>
      </c>
      <c r="BX308" t="s">
        <v>79</v>
      </c>
      <c r="BY308" t="s">
        <v>87</v>
      </c>
      <c r="BZ308" t="s">
        <v>79</v>
      </c>
      <c r="CA308" s="10">
        <v>45909</v>
      </c>
    </row>
    <row r="309" spans="1:79">
      <c r="A309">
        <v>314</v>
      </c>
      <c r="B309">
        <v>161</v>
      </c>
      <c r="C309">
        <v>32</v>
      </c>
      <c r="D309" t="s">
        <v>3462</v>
      </c>
      <c r="F309" t="s">
        <v>503</v>
      </c>
      <c r="G309" s="12" t="s">
        <v>3465</v>
      </c>
      <c r="H309" t="s">
        <v>88</v>
      </c>
      <c r="I309">
        <v>66</v>
      </c>
      <c r="K309">
        <v>130</v>
      </c>
      <c r="L309">
        <v>69</v>
      </c>
      <c r="M309" t="s">
        <v>82</v>
      </c>
      <c r="P309" t="s">
        <v>83</v>
      </c>
      <c r="Q309" t="s">
        <v>82</v>
      </c>
      <c r="R309">
        <v>78.5</v>
      </c>
      <c r="S309">
        <v>166.5</v>
      </c>
      <c r="T309" s="8">
        <f t="shared" si="8"/>
        <v>28.31660489318147</v>
      </c>
      <c r="U309" s="13" t="str" cm="1">
        <f t="array" ref="U309">IF(T309="","",_xlfn.IFS(T309&lt;18.5,"Bajo peso",T309&lt;25,"Peso normal",T309&lt;30,"Sobrepeso",T309&lt;35,"Obesidad clase I",T309&lt;40,"Obesidad clase II",T309&gt;=40,"Obesidad clase III"))</f>
        <v>Sobrepeso</v>
      </c>
      <c r="V309">
        <v>121</v>
      </c>
      <c r="X309" t="s">
        <v>3463</v>
      </c>
      <c r="Y309">
        <v>0.52</v>
      </c>
      <c r="AA309">
        <v>90</v>
      </c>
      <c r="AB309" s="9">
        <f t="shared" si="9"/>
        <v>137.34230428122038</v>
      </c>
      <c r="AD309" t="s">
        <v>73</v>
      </c>
      <c r="AF309" t="s">
        <v>73</v>
      </c>
      <c r="AH309" t="s">
        <v>3463</v>
      </c>
      <c r="AI309" t="s">
        <v>3463</v>
      </c>
      <c r="AJ309" t="s">
        <v>3463</v>
      </c>
      <c r="AK309" t="s">
        <v>3463</v>
      </c>
      <c r="AL309" t="s">
        <v>3463</v>
      </c>
      <c r="AP309" t="s">
        <v>3463</v>
      </c>
      <c r="AQ309" t="s">
        <v>889</v>
      </c>
      <c r="AR309" t="s">
        <v>3488</v>
      </c>
      <c r="AV309" t="s">
        <v>126</v>
      </c>
      <c r="AW309" t="s">
        <v>126</v>
      </c>
      <c r="BF309" t="s">
        <v>3921</v>
      </c>
      <c r="BH309" t="s">
        <v>4020</v>
      </c>
      <c r="BP309" t="s">
        <v>4260</v>
      </c>
      <c r="BQ309" t="s">
        <v>3465</v>
      </c>
      <c r="BR309" t="s">
        <v>3465</v>
      </c>
      <c r="BS309" t="s">
        <v>3463</v>
      </c>
      <c r="BT309" t="s">
        <v>3465</v>
      </c>
      <c r="BU309" t="s">
        <v>3463</v>
      </c>
      <c r="BV309" t="s">
        <v>3463</v>
      </c>
      <c r="BW309" t="s">
        <v>3463</v>
      </c>
      <c r="BX309" t="s">
        <v>79</v>
      </c>
      <c r="BY309" t="s">
        <v>79</v>
      </c>
      <c r="BZ309" t="s">
        <v>79</v>
      </c>
      <c r="CA309" s="10">
        <v>45909</v>
      </c>
    </row>
    <row r="310" spans="1:79">
      <c r="A310">
        <v>316</v>
      </c>
      <c r="B310">
        <v>162</v>
      </c>
      <c r="C310">
        <v>23</v>
      </c>
      <c r="D310" t="s">
        <v>3462</v>
      </c>
      <c r="F310" t="s">
        <v>503</v>
      </c>
      <c r="G310" s="12" t="s">
        <v>3465</v>
      </c>
      <c r="H310" t="s">
        <v>88</v>
      </c>
      <c r="I310">
        <v>66</v>
      </c>
      <c r="J310">
        <v>71</v>
      </c>
      <c r="K310">
        <v>142</v>
      </c>
      <c r="L310">
        <v>71</v>
      </c>
      <c r="M310" t="s">
        <v>72</v>
      </c>
      <c r="N310">
        <v>125</v>
      </c>
      <c r="O310">
        <v>70</v>
      </c>
      <c r="P310" t="s">
        <v>118</v>
      </c>
      <c r="Q310" t="s">
        <v>118</v>
      </c>
      <c r="R310">
        <v>71.099999999999994</v>
      </c>
      <c r="S310">
        <v>174</v>
      </c>
      <c r="T310" s="8">
        <f t="shared" si="8"/>
        <v>23.483947681331745</v>
      </c>
      <c r="U310" s="13" t="str" cm="1">
        <f t="array" ref="U310">IF(T310="","",_xlfn.IFS(T310&lt;18.5,"Bajo peso",T310&lt;25,"Peso normal",T310&lt;30,"Sobrepeso",T310&lt;35,"Obesidad clase I",T310&lt;40,"Obesidad clase II",T310&gt;=40,"Obesidad clase III"))</f>
        <v>Peso normal</v>
      </c>
      <c r="V310">
        <v>102</v>
      </c>
      <c r="X310" t="s">
        <v>3463</v>
      </c>
      <c r="Y310">
        <v>0.68</v>
      </c>
      <c r="AA310">
        <v>90</v>
      </c>
      <c r="AB310" s="9">
        <f t="shared" si="9"/>
        <v>133.94568143684154</v>
      </c>
      <c r="AD310" t="s">
        <v>73</v>
      </c>
      <c r="AF310" t="s">
        <v>73</v>
      </c>
      <c r="AH310" t="s">
        <v>3463</v>
      </c>
      <c r="AI310" t="s">
        <v>3463</v>
      </c>
      <c r="AJ310" t="s">
        <v>3463</v>
      </c>
      <c r="AK310" t="s">
        <v>3463</v>
      </c>
      <c r="AL310" t="s">
        <v>3463</v>
      </c>
      <c r="AP310" t="s">
        <v>3463</v>
      </c>
      <c r="AQ310" t="s">
        <v>169</v>
      </c>
      <c r="AR310" t="s">
        <v>3493</v>
      </c>
      <c r="AW310" t="s">
        <v>3916</v>
      </c>
      <c r="BF310" t="s">
        <v>3921</v>
      </c>
      <c r="BG310" t="s">
        <v>890</v>
      </c>
      <c r="BH310" t="s">
        <v>4076</v>
      </c>
      <c r="BL310" t="s">
        <v>891</v>
      </c>
      <c r="BP310" t="s">
        <v>4348</v>
      </c>
      <c r="BQ310" t="s">
        <v>3463</v>
      </c>
      <c r="BR310" t="s">
        <v>3463</v>
      </c>
      <c r="BS310" t="s">
        <v>3465</v>
      </c>
      <c r="BT310" t="s">
        <v>3465</v>
      </c>
      <c r="BU310" t="s">
        <v>3463</v>
      </c>
      <c r="BV310" t="s">
        <v>3463</v>
      </c>
      <c r="BW310" t="s">
        <v>3463</v>
      </c>
      <c r="BX310" t="s">
        <v>79</v>
      </c>
      <c r="BY310" t="s">
        <v>79</v>
      </c>
      <c r="BZ310" t="s">
        <v>95</v>
      </c>
      <c r="CA310" s="10">
        <v>45909</v>
      </c>
    </row>
    <row r="311" spans="1:79">
      <c r="A311">
        <v>317</v>
      </c>
      <c r="B311">
        <v>163</v>
      </c>
      <c r="C311">
        <v>72</v>
      </c>
      <c r="D311" t="s">
        <v>3462</v>
      </c>
      <c r="F311" t="s">
        <v>71</v>
      </c>
      <c r="G311" s="12" t="s">
        <v>3465</v>
      </c>
      <c r="H311" s="12" t="s">
        <v>88</v>
      </c>
      <c r="I311">
        <v>77</v>
      </c>
      <c r="J311">
        <v>73</v>
      </c>
      <c r="K311">
        <v>173</v>
      </c>
      <c r="L311">
        <v>100</v>
      </c>
      <c r="M311" t="s">
        <v>72</v>
      </c>
      <c r="N311">
        <v>167</v>
      </c>
      <c r="O311">
        <v>95</v>
      </c>
      <c r="P311" t="s">
        <v>72</v>
      </c>
      <c r="Q311" t="s">
        <v>72</v>
      </c>
      <c r="R311">
        <v>83.1</v>
      </c>
      <c r="S311">
        <v>164</v>
      </c>
      <c r="T311" s="8">
        <f t="shared" si="8"/>
        <v>30.896787626412845</v>
      </c>
      <c r="U311" s="13" t="str" cm="1">
        <f t="array" ref="U311">IF(T311="","",_xlfn.IFS(T311&lt;18.5,"Bajo peso",T311&lt;25,"Peso normal",T311&lt;30,"Sobrepeso",T311&lt;35,"Obesidad clase I",T311&lt;40,"Obesidad clase II",T311&gt;=40,"Obesidad clase III"))</f>
        <v>Obesidad clase I</v>
      </c>
      <c r="V311">
        <v>156</v>
      </c>
      <c r="X311" t="s">
        <v>3463</v>
      </c>
      <c r="Y311">
        <v>0.95</v>
      </c>
      <c r="AA311">
        <v>85</v>
      </c>
      <c r="AB311" s="9">
        <f t="shared" si="9"/>
        <v>85.042982527662105</v>
      </c>
      <c r="AD311" t="s">
        <v>73</v>
      </c>
      <c r="AF311" t="s">
        <v>73</v>
      </c>
      <c r="AH311" t="s">
        <v>3463</v>
      </c>
      <c r="AI311" t="s">
        <v>3463</v>
      </c>
      <c r="AJ311" t="s">
        <v>3465</v>
      </c>
      <c r="AK311" t="s">
        <v>3463</v>
      </c>
      <c r="AL311" t="s">
        <v>3465</v>
      </c>
      <c r="AM311" t="s">
        <v>470</v>
      </c>
      <c r="AN311" t="s">
        <v>3633</v>
      </c>
      <c r="AP311" t="s">
        <v>3463</v>
      </c>
      <c r="AV311" t="s">
        <v>126</v>
      </c>
      <c r="AW311" t="s">
        <v>126</v>
      </c>
      <c r="BF311" t="s">
        <v>3921</v>
      </c>
      <c r="BH311" t="s">
        <v>4020</v>
      </c>
      <c r="BP311" t="s">
        <v>4260</v>
      </c>
      <c r="BQ311" t="s">
        <v>3463</v>
      </c>
      <c r="BR311" t="s">
        <v>3463</v>
      </c>
      <c r="BS311" t="s">
        <v>3463</v>
      </c>
      <c r="BT311" t="s">
        <v>3463</v>
      </c>
      <c r="BU311" t="s">
        <v>3463</v>
      </c>
      <c r="BV311" t="s">
        <v>3463</v>
      </c>
      <c r="BW311" t="s">
        <v>3463</v>
      </c>
      <c r="BX311" t="s">
        <v>79</v>
      </c>
      <c r="BY311" t="s">
        <v>87</v>
      </c>
      <c r="BZ311" t="s">
        <v>79</v>
      </c>
      <c r="CA311" s="10">
        <v>45909</v>
      </c>
    </row>
    <row r="312" spans="1:79">
      <c r="A312">
        <v>318</v>
      </c>
      <c r="B312">
        <v>163</v>
      </c>
      <c r="C312">
        <v>47</v>
      </c>
      <c r="D312" t="s">
        <v>3466</v>
      </c>
      <c r="E312" t="s">
        <v>449</v>
      </c>
      <c r="F312" t="s">
        <v>503</v>
      </c>
      <c r="G312" s="12" t="s">
        <v>3463</v>
      </c>
      <c r="I312">
        <v>80</v>
      </c>
      <c r="J312">
        <v>74</v>
      </c>
      <c r="K312">
        <v>150</v>
      </c>
      <c r="L312">
        <v>86</v>
      </c>
      <c r="M312" t="s">
        <v>72</v>
      </c>
      <c r="N312">
        <v>139</v>
      </c>
      <c r="O312">
        <v>86</v>
      </c>
      <c r="P312" t="s">
        <v>82</v>
      </c>
      <c r="Q312" t="s">
        <v>82</v>
      </c>
      <c r="R312">
        <v>57.3</v>
      </c>
      <c r="S312">
        <v>156</v>
      </c>
      <c r="T312" s="8">
        <f t="shared" si="8"/>
        <v>23.545364891518734</v>
      </c>
      <c r="U312" s="13" t="str" cm="1">
        <f t="array" ref="U312">IF(T312="","",_xlfn.IFS(T312&lt;18.5,"Bajo peso",T312&lt;25,"Peso normal",T312&lt;30,"Sobrepeso",T312&lt;35,"Obesidad clase I",T312&lt;40,"Obesidad clase II",T312&gt;=40,"Obesidad clase III"))</f>
        <v>Peso normal</v>
      </c>
      <c r="V312">
        <v>97</v>
      </c>
      <c r="X312" t="s">
        <v>3463</v>
      </c>
      <c r="Y312">
        <v>0.75</v>
      </c>
      <c r="AA312">
        <v>90</v>
      </c>
      <c r="AB312" s="9">
        <f t="shared" si="9"/>
        <v>98.75648686817955</v>
      </c>
      <c r="AD312" t="s">
        <v>73</v>
      </c>
      <c r="AF312" t="s">
        <v>73</v>
      </c>
      <c r="AH312" t="s">
        <v>3463</v>
      </c>
      <c r="AI312" t="s">
        <v>3463</v>
      </c>
      <c r="AJ312" t="s">
        <v>3463</v>
      </c>
      <c r="AK312" t="s">
        <v>3464</v>
      </c>
      <c r="AL312" t="s">
        <v>3463</v>
      </c>
      <c r="AP312" t="s">
        <v>3463</v>
      </c>
      <c r="AT312" t="s">
        <v>3465</v>
      </c>
      <c r="AU312" t="s">
        <v>80</v>
      </c>
      <c r="AV312" t="s">
        <v>74</v>
      </c>
      <c r="AW312" t="s">
        <v>3915</v>
      </c>
      <c r="AX312" t="s">
        <v>3465</v>
      </c>
      <c r="AY312" t="s">
        <v>3465</v>
      </c>
      <c r="AZ312" t="s">
        <v>104</v>
      </c>
      <c r="BF312" t="s">
        <v>3921</v>
      </c>
      <c r="BH312" t="s">
        <v>4020</v>
      </c>
      <c r="BP312" t="s">
        <v>4260</v>
      </c>
      <c r="BQ312" t="s">
        <v>3463</v>
      </c>
      <c r="BR312" t="s">
        <v>3463</v>
      </c>
      <c r="BS312" t="s">
        <v>3465</v>
      </c>
      <c r="BT312" t="s">
        <v>3465</v>
      </c>
      <c r="BU312" t="s">
        <v>3463</v>
      </c>
      <c r="BV312" t="s">
        <v>3463</v>
      </c>
      <c r="BW312" t="s">
        <v>3463</v>
      </c>
      <c r="BX312" t="s">
        <v>518</v>
      </c>
      <c r="BY312" t="s">
        <v>79</v>
      </c>
      <c r="BZ312" t="s">
        <v>79</v>
      </c>
      <c r="CA312" s="10">
        <v>45909</v>
      </c>
    </row>
    <row r="313" spans="1:79">
      <c r="A313">
        <v>319</v>
      </c>
      <c r="B313">
        <v>164</v>
      </c>
      <c r="C313">
        <v>31</v>
      </c>
      <c r="D313" t="s">
        <v>3462</v>
      </c>
      <c r="F313" t="s">
        <v>503</v>
      </c>
      <c r="G313" s="12" t="s">
        <v>3463</v>
      </c>
      <c r="I313">
        <v>64</v>
      </c>
      <c r="K313">
        <v>133</v>
      </c>
      <c r="L313">
        <v>70</v>
      </c>
      <c r="M313" t="s">
        <v>82</v>
      </c>
      <c r="P313" t="s">
        <v>83</v>
      </c>
      <c r="Q313" t="s">
        <v>82</v>
      </c>
      <c r="R313">
        <v>78.900000000000006</v>
      </c>
      <c r="S313">
        <v>179</v>
      </c>
      <c r="T313" s="8">
        <f t="shared" si="8"/>
        <v>24.624699603632848</v>
      </c>
      <c r="U313" s="13" t="str" cm="1">
        <f t="array" ref="U313">IF(T313="","",_xlfn.IFS(T313&lt;18.5,"Bajo peso",T313&lt;25,"Peso normal",T313&lt;30,"Sobrepeso",T313&lt;35,"Obesidad clase I",T313&lt;40,"Obesidad clase II",T313&gt;=40,"Obesidad clase III"))</f>
        <v>Peso normal</v>
      </c>
      <c r="V313">
        <v>122</v>
      </c>
      <c r="X313" t="s">
        <v>3463</v>
      </c>
      <c r="Y313">
        <v>0.85</v>
      </c>
      <c r="AA313">
        <v>90</v>
      </c>
      <c r="AB313" s="9">
        <f t="shared" si="9"/>
        <v>119.13896731670282</v>
      </c>
      <c r="AD313" t="s">
        <v>73</v>
      </c>
      <c r="AF313" t="s">
        <v>73</v>
      </c>
      <c r="AH313" t="s">
        <v>3463</v>
      </c>
      <c r="AI313" t="s">
        <v>3463</v>
      </c>
      <c r="AJ313" t="s">
        <v>3463</v>
      </c>
      <c r="AK313" t="s">
        <v>3463</v>
      </c>
      <c r="AL313" t="s">
        <v>3465</v>
      </c>
      <c r="AM313" t="s">
        <v>697</v>
      </c>
      <c r="AN313" t="s">
        <v>697</v>
      </c>
      <c r="AP313" t="s">
        <v>3463</v>
      </c>
      <c r="AQ313" t="s">
        <v>169</v>
      </c>
      <c r="AR313" t="s">
        <v>3493</v>
      </c>
      <c r="AV313" t="s">
        <v>126</v>
      </c>
      <c r="AW313" t="s">
        <v>126</v>
      </c>
      <c r="BF313" t="s">
        <v>3921</v>
      </c>
      <c r="BG313" t="s">
        <v>892</v>
      </c>
      <c r="BH313" t="s">
        <v>4076</v>
      </c>
      <c r="BI313" t="s">
        <v>411</v>
      </c>
      <c r="BL313" t="s">
        <v>787</v>
      </c>
      <c r="BP313" t="s">
        <v>4336</v>
      </c>
      <c r="BQ313" t="s">
        <v>3463</v>
      </c>
      <c r="BR313" t="s">
        <v>3465</v>
      </c>
      <c r="BS313" t="s">
        <v>3463</v>
      </c>
      <c r="BT313" t="s">
        <v>3463</v>
      </c>
      <c r="BU313" t="s">
        <v>3463</v>
      </c>
      <c r="BV313" t="s">
        <v>3463</v>
      </c>
      <c r="BW313" t="s">
        <v>3463</v>
      </c>
      <c r="BX313" t="s">
        <v>79</v>
      </c>
      <c r="BY313" t="s">
        <v>79</v>
      </c>
      <c r="BZ313" t="s">
        <v>95</v>
      </c>
      <c r="CA313" s="10">
        <v>45909</v>
      </c>
    </row>
    <row r="314" spans="1:79">
      <c r="A314">
        <v>320</v>
      </c>
      <c r="B314">
        <v>164</v>
      </c>
      <c r="C314">
        <v>64</v>
      </c>
      <c r="D314" t="s">
        <v>3462</v>
      </c>
      <c r="E314" t="s">
        <v>450</v>
      </c>
      <c r="F314" t="s">
        <v>71</v>
      </c>
      <c r="G314" s="12" t="s">
        <v>3463</v>
      </c>
      <c r="I314">
        <v>61</v>
      </c>
      <c r="J314">
        <v>62</v>
      </c>
      <c r="K314">
        <v>159</v>
      </c>
      <c r="L314">
        <v>84</v>
      </c>
      <c r="M314" t="s">
        <v>72</v>
      </c>
      <c r="N314">
        <v>150</v>
      </c>
      <c r="O314">
        <v>84</v>
      </c>
      <c r="P314" t="s">
        <v>72</v>
      </c>
      <c r="Q314" t="s">
        <v>72</v>
      </c>
      <c r="R314">
        <v>70.900000000000006</v>
      </c>
      <c r="S314">
        <v>162</v>
      </c>
      <c r="T314" s="8">
        <f t="shared" si="8"/>
        <v>27.01569882639842</v>
      </c>
      <c r="U314" s="13" t="str" cm="1">
        <f t="array" ref="U314">IF(T314="","",_xlfn.IFS(T314&lt;18.5,"Bajo peso",T314&lt;25,"Peso normal",T314&lt;30,"Sobrepeso",T314&lt;35,"Obesidad clase I",T314&lt;40,"Obesidad clase II",T314&gt;=40,"Obesidad clase III"))</f>
        <v>Sobrepeso</v>
      </c>
      <c r="V314">
        <v>90</v>
      </c>
      <c r="X314" t="s">
        <v>3463</v>
      </c>
      <c r="Y314">
        <v>0.99</v>
      </c>
      <c r="AA314">
        <v>86</v>
      </c>
      <c r="AB314" s="9">
        <f t="shared" si="9"/>
        <v>85.065338866569405</v>
      </c>
      <c r="AD314" t="s">
        <v>73</v>
      </c>
      <c r="AF314" t="s">
        <v>73</v>
      </c>
      <c r="AH314" t="s">
        <v>3463</v>
      </c>
      <c r="AI314" t="s">
        <v>3463</v>
      </c>
      <c r="AJ314" t="s">
        <v>3463</v>
      </c>
      <c r="AK314" t="s">
        <v>3463</v>
      </c>
      <c r="AL314" t="s">
        <v>3465</v>
      </c>
      <c r="AM314" t="s">
        <v>457</v>
      </c>
      <c r="AN314" t="s">
        <v>3617</v>
      </c>
      <c r="AP314" t="s">
        <v>3463</v>
      </c>
      <c r="AQ314" t="s">
        <v>120</v>
      </c>
      <c r="AR314" t="s">
        <v>3491</v>
      </c>
      <c r="AV314" t="s">
        <v>74</v>
      </c>
      <c r="AW314" t="s">
        <v>3915</v>
      </c>
      <c r="BF314" t="s">
        <v>3921</v>
      </c>
      <c r="BH314" t="s">
        <v>4020</v>
      </c>
      <c r="BP314" t="s">
        <v>4260</v>
      </c>
      <c r="BQ314" t="s">
        <v>3463</v>
      </c>
      <c r="BR314" t="s">
        <v>3465</v>
      </c>
      <c r="BS314" t="s">
        <v>3463</v>
      </c>
      <c r="BT314" t="s">
        <v>3463</v>
      </c>
      <c r="BU314" t="s">
        <v>3463</v>
      </c>
      <c r="BV314" t="s">
        <v>3463</v>
      </c>
      <c r="BW314" t="s">
        <v>3463</v>
      </c>
      <c r="BX314" t="s">
        <v>79</v>
      </c>
      <c r="BY314" t="s">
        <v>87</v>
      </c>
      <c r="BZ314" t="s">
        <v>79</v>
      </c>
      <c r="CA314" s="10">
        <v>45909</v>
      </c>
    </row>
    <row r="315" spans="1:79">
      <c r="A315">
        <v>321</v>
      </c>
      <c r="B315">
        <v>165</v>
      </c>
      <c r="C315">
        <v>56</v>
      </c>
      <c r="D315" t="s">
        <v>3466</v>
      </c>
      <c r="E315" t="s">
        <v>471</v>
      </c>
      <c r="F315" t="s">
        <v>71</v>
      </c>
      <c r="G315" s="12" t="s">
        <v>3463</v>
      </c>
      <c r="H315" s="12"/>
      <c r="I315">
        <v>66</v>
      </c>
      <c r="K315">
        <v>122</v>
      </c>
      <c r="L315">
        <v>64</v>
      </c>
      <c r="M315" t="s">
        <v>118</v>
      </c>
      <c r="P315" t="s">
        <v>83</v>
      </c>
      <c r="Q315" t="s">
        <v>118</v>
      </c>
      <c r="R315">
        <v>66</v>
      </c>
      <c r="S315">
        <v>148</v>
      </c>
      <c r="T315" s="8">
        <f t="shared" si="8"/>
        <v>30.131482834185537</v>
      </c>
      <c r="U315" s="13" t="str" cm="1">
        <f t="array" ref="U315">IF(T315="","",_xlfn.IFS(T315&lt;18.5,"Bajo peso",T315&lt;25,"Peso normal",T315&lt;30,"Sobrepeso",T315&lt;35,"Obesidad clase I",T315&lt;40,"Obesidad clase II",T315&gt;=40,"Obesidad clase III"))</f>
        <v>Obesidad clase I</v>
      </c>
      <c r="V315">
        <v>72</v>
      </c>
      <c r="X315" t="s">
        <v>3463</v>
      </c>
      <c r="Y315">
        <v>0.88</v>
      </c>
      <c r="AA315">
        <v>77</v>
      </c>
      <c r="AB315" s="9">
        <f t="shared" si="9"/>
        <v>77.0816270546797</v>
      </c>
      <c r="AD315" t="s">
        <v>73</v>
      </c>
      <c r="AF315" t="s">
        <v>73</v>
      </c>
      <c r="AH315" t="s">
        <v>3463</v>
      </c>
      <c r="AI315" t="s">
        <v>3463</v>
      </c>
      <c r="AJ315" t="s">
        <v>3463</v>
      </c>
      <c r="AK315" t="s">
        <v>3463</v>
      </c>
      <c r="AL315" t="s">
        <v>3465</v>
      </c>
      <c r="AM315" t="s">
        <v>472</v>
      </c>
      <c r="AN315" t="s">
        <v>3617</v>
      </c>
      <c r="AP315" t="s">
        <v>3463</v>
      </c>
      <c r="AQ315" t="s">
        <v>473</v>
      </c>
      <c r="AR315" t="s">
        <v>3512</v>
      </c>
      <c r="AT315" t="s">
        <v>3465</v>
      </c>
      <c r="AU315" t="s">
        <v>80</v>
      </c>
      <c r="AV315" t="s">
        <v>74</v>
      </c>
      <c r="AW315" t="s">
        <v>3915</v>
      </c>
      <c r="AX315" t="s">
        <v>3465</v>
      </c>
      <c r="AY315" t="s">
        <v>3465</v>
      </c>
      <c r="AZ315" t="s">
        <v>247</v>
      </c>
      <c r="BF315" t="s">
        <v>3921</v>
      </c>
      <c r="BH315" t="s">
        <v>4020</v>
      </c>
      <c r="BP315" t="s">
        <v>4260</v>
      </c>
      <c r="BQ315" t="s">
        <v>3463</v>
      </c>
      <c r="BR315" t="s">
        <v>3463</v>
      </c>
      <c r="BS315" t="s">
        <v>3463</v>
      </c>
      <c r="BT315" t="s">
        <v>3463</v>
      </c>
      <c r="BU315" t="s">
        <v>3463</v>
      </c>
      <c r="BV315" t="s">
        <v>3463</v>
      </c>
      <c r="BW315" t="s">
        <v>3463</v>
      </c>
      <c r="BX315" t="s">
        <v>79</v>
      </c>
      <c r="BY315" t="s">
        <v>87</v>
      </c>
      <c r="BZ315" t="s">
        <v>79</v>
      </c>
      <c r="CA315" s="10">
        <v>45909</v>
      </c>
    </row>
    <row r="316" spans="1:79">
      <c r="A316">
        <v>322</v>
      </c>
      <c r="B316">
        <v>165</v>
      </c>
      <c r="C316">
        <v>37</v>
      </c>
      <c r="D316" t="s">
        <v>3466</v>
      </c>
      <c r="F316" t="s">
        <v>503</v>
      </c>
      <c r="G316" s="12" t="s">
        <v>3465</v>
      </c>
      <c r="H316" t="s">
        <v>88</v>
      </c>
      <c r="I316">
        <v>65</v>
      </c>
      <c r="J316">
        <v>69</v>
      </c>
      <c r="K316">
        <v>146</v>
      </c>
      <c r="L316">
        <v>81</v>
      </c>
      <c r="M316" t="s">
        <v>72</v>
      </c>
      <c r="N316">
        <v>145</v>
      </c>
      <c r="O316">
        <v>91</v>
      </c>
      <c r="P316" t="s">
        <v>72</v>
      </c>
      <c r="Q316" t="s">
        <v>72</v>
      </c>
      <c r="R316">
        <v>70.05</v>
      </c>
      <c r="S316">
        <v>159</v>
      </c>
      <c r="T316" s="8">
        <f t="shared" si="8"/>
        <v>27.708555832443334</v>
      </c>
      <c r="U316" s="13" t="str" cm="1">
        <f t="array" ref="U316">IF(T316="","",_xlfn.IFS(T316&lt;18.5,"Bajo peso",T316&lt;25,"Peso normal",T316&lt;30,"Sobrepeso",T316&lt;35,"Obesidad clase I",T316&lt;40,"Obesidad clase II",T316&gt;=40,"Obesidad clase III"))</f>
        <v>Sobrepeso</v>
      </c>
      <c r="V316">
        <v>125</v>
      </c>
      <c r="X316" t="s">
        <v>3463</v>
      </c>
      <c r="Y316">
        <v>1.17</v>
      </c>
      <c r="AA316">
        <v>61</v>
      </c>
      <c r="AB316" s="9">
        <f t="shared" si="9"/>
        <v>61.63482822657928</v>
      </c>
      <c r="AD316" t="s">
        <v>73</v>
      </c>
      <c r="AF316" t="s">
        <v>73</v>
      </c>
      <c r="AH316" t="s">
        <v>3463</v>
      </c>
      <c r="AI316" t="s">
        <v>3463</v>
      </c>
      <c r="AJ316" t="s">
        <v>3463</v>
      </c>
      <c r="AK316" t="s">
        <v>3463</v>
      </c>
      <c r="AL316" t="s">
        <v>3463</v>
      </c>
      <c r="AP316" t="s">
        <v>3464</v>
      </c>
      <c r="AQ316" t="s">
        <v>881</v>
      </c>
      <c r="AR316" t="s">
        <v>3488</v>
      </c>
      <c r="AV316" t="s">
        <v>74</v>
      </c>
      <c r="AW316" t="s">
        <v>3915</v>
      </c>
      <c r="AX316" t="s">
        <v>3463</v>
      </c>
      <c r="AY316" t="s">
        <v>3465</v>
      </c>
      <c r="AZ316" t="s">
        <v>104</v>
      </c>
      <c r="BF316" t="s">
        <v>3921</v>
      </c>
      <c r="BG316" t="s">
        <v>893</v>
      </c>
      <c r="BH316" t="s">
        <v>4021</v>
      </c>
      <c r="BI316" t="s">
        <v>76</v>
      </c>
      <c r="BL316" t="s">
        <v>894</v>
      </c>
      <c r="BP316" t="s">
        <v>4261</v>
      </c>
      <c r="BQ316" t="s">
        <v>3465</v>
      </c>
      <c r="BR316" t="s">
        <v>3465</v>
      </c>
      <c r="BS316" t="s">
        <v>3465</v>
      </c>
      <c r="BT316" t="s">
        <v>3465</v>
      </c>
      <c r="BU316" t="s">
        <v>3463</v>
      </c>
      <c r="BV316" t="s">
        <v>3463</v>
      </c>
      <c r="BW316" t="s">
        <v>3463</v>
      </c>
      <c r="BX316" t="s">
        <v>518</v>
      </c>
      <c r="BY316" t="s">
        <v>79</v>
      </c>
      <c r="BZ316" t="s">
        <v>79</v>
      </c>
      <c r="CA316" s="10">
        <v>45909</v>
      </c>
    </row>
    <row r="317" spans="1:79">
      <c r="A317">
        <v>323</v>
      </c>
      <c r="B317">
        <v>166</v>
      </c>
      <c r="C317">
        <v>66</v>
      </c>
      <c r="D317" t="s">
        <v>3466</v>
      </c>
      <c r="E317" t="s">
        <v>474</v>
      </c>
      <c r="F317" t="s">
        <v>71</v>
      </c>
      <c r="G317" s="12" t="s">
        <v>3465</v>
      </c>
      <c r="H317" t="s">
        <v>88</v>
      </c>
      <c r="I317">
        <v>76</v>
      </c>
      <c r="J317">
        <v>70</v>
      </c>
      <c r="K317">
        <v>178</v>
      </c>
      <c r="L317">
        <v>97</v>
      </c>
      <c r="M317" t="s">
        <v>72</v>
      </c>
      <c r="N317">
        <v>160</v>
      </c>
      <c r="O317">
        <v>91</v>
      </c>
      <c r="P317" t="s">
        <v>72</v>
      </c>
      <c r="Q317" t="s">
        <v>72</v>
      </c>
      <c r="R317">
        <v>65</v>
      </c>
      <c r="S317">
        <v>171</v>
      </c>
      <c r="T317" s="8">
        <f t="shared" si="8"/>
        <v>22.229061933586401</v>
      </c>
      <c r="U317" s="13" t="str" cm="1">
        <f t="array" ref="U317">IF(T317="","",_xlfn.IFS(T317&lt;18.5,"Bajo peso",T317&lt;25,"Peso normal",T317&lt;30,"Sobrepeso",T317&lt;35,"Obesidad clase I",T317&lt;40,"Obesidad clase II",T317&gt;=40,"Obesidad clase III"))</f>
        <v>Peso normal</v>
      </c>
      <c r="V317">
        <v>95</v>
      </c>
      <c r="X317" t="s">
        <v>3463</v>
      </c>
      <c r="Y317">
        <v>0.91</v>
      </c>
      <c r="AA317">
        <v>70</v>
      </c>
      <c r="AB317" s="9">
        <f t="shared" si="9"/>
        <v>69.577742420513289</v>
      </c>
      <c r="AD317" t="s">
        <v>73</v>
      </c>
      <c r="AF317" t="s">
        <v>73</v>
      </c>
      <c r="AG317" t="s">
        <v>3463</v>
      </c>
      <c r="AH317" t="s">
        <v>3465</v>
      </c>
      <c r="AI317" t="s">
        <v>3465</v>
      </c>
      <c r="AJ317" t="s">
        <v>3465</v>
      </c>
      <c r="AK317" t="s">
        <v>3465</v>
      </c>
      <c r="AL317" t="s">
        <v>3463</v>
      </c>
      <c r="AP317" t="s">
        <v>3463</v>
      </c>
      <c r="AS317" t="s">
        <v>3465</v>
      </c>
      <c r="AV317" t="s">
        <v>178</v>
      </c>
      <c r="AW317" t="s">
        <v>3918</v>
      </c>
      <c r="AX317" t="s">
        <v>3463</v>
      </c>
      <c r="AY317" t="s">
        <v>3465</v>
      </c>
      <c r="AZ317" t="s">
        <v>80</v>
      </c>
      <c r="BA317" t="s">
        <v>3920</v>
      </c>
      <c r="BF317" t="s">
        <v>3921</v>
      </c>
      <c r="BH317" t="s">
        <v>4020</v>
      </c>
      <c r="BP317" t="s">
        <v>4260</v>
      </c>
      <c r="BQ317" t="s">
        <v>3463</v>
      </c>
      <c r="BR317" t="s">
        <v>3463</v>
      </c>
      <c r="BS317" t="s">
        <v>3463</v>
      </c>
      <c r="BT317" t="s">
        <v>3463</v>
      </c>
      <c r="BU317" t="s">
        <v>3463</v>
      </c>
      <c r="BV317" t="s">
        <v>3463</v>
      </c>
      <c r="BW317" t="s">
        <v>3463</v>
      </c>
      <c r="BX317" t="s">
        <v>79</v>
      </c>
      <c r="BY317" t="s">
        <v>87</v>
      </c>
      <c r="BZ317" t="s">
        <v>79</v>
      </c>
      <c r="CA317" s="10">
        <v>45909</v>
      </c>
    </row>
    <row r="318" spans="1:79">
      <c r="A318">
        <v>324</v>
      </c>
      <c r="B318">
        <v>166</v>
      </c>
      <c r="C318">
        <v>20</v>
      </c>
      <c r="D318" t="s">
        <v>3466</v>
      </c>
      <c r="E318" t="s">
        <v>449</v>
      </c>
      <c r="F318" t="s">
        <v>503</v>
      </c>
      <c r="G318" s="12" t="s">
        <v>3465</v>
      </c>
      <c r="H318" t="s">
        <v>88</v>
      </c>
      <c r="I318">
        <v>89</v>
      </c>
      <c r="K318">
        <v>121</v>
      </c>
      <c r="L318">
        <v>75</v>
      </c>
      <c r="M318" t="s">
        <v>118</v>
      </c>
      <c r="P318" t="s">
        <v>83</v>
      </c>
      <c r="Q318" t="s">
        <v>118</v>
      </c>
      <c r="R318">
        <v>83</v>
      </c>
      <c r="S318">
        <v>152</v>
      </c>
      <c r="T318" s="8">
        <f t="shared" si="8"/>
        <v>35.924515235457065</v>
      </c>
      <c r="U318" s="13" t="str" cm="1">
        <f t="array" ref="U318">IF(T318="","",_xlfn.IFS(T318&lt;18.5,"Bajo peso",T318&lt;25,"Peso normal",T318&lt;30,"Sobrepeso",T318&lt;35,"Obesidad clase I",T318&lt;40,"Obesidad clase II",T318&gt;=40,"Obesidad clase III"))</f>
        <v>Obesidad clase II</v>
      </c>
      <c r="V318">
        <v>96</v>
      </c>
      <c r="X318" t="s">
        <v>3463</v>
      </c>
      <c r="Y318">
        <v>0.7</v>
      </c>
      <c r="AA318">
        <v>90</v>
      </c>
      <c r="AB318" s="9">
        <f t="shared" si="9"/>
        <v>126.89622572879931</v>
      </c>
      <c r="AD318" t="s">
        <v>73</v>
      </c>
      <c r="AF318" t="s">
        <v>73</v>
      </c>
      <c r="AH318" t="s">
        <v>3463</v>
      </c>
      <c r="AI318" t="s">
        <v>3463</v>
      </c>
      <c r="AJ318" t="s">
        <v>3463</v>
      </c>
      <c r="AK318" t="s">
        <v>3463</v>
      </c>
      <c r="AL318" t="s">
        <v>3463</v>
      </c>
      <c r="AP318" t="s">
        <v>3463</v>
      </c>
      <c r="AQ318" t="s">
        <v>895</v>
      </c>
      <c r="AR318" t="s">
        <v>3505</v>
      </c>
      <c r="AT318" t="s">
        <v>3463</v>
      </c>
      <c r="AV318" t="s">
        <v>74</v>
      </c>
      <c r="AW318" t="s">
        <v>3915</v>
      </c>
      <c r="AY318" t="s">
        <v>3463</v>
      </c>
      <c r="BF318" t="s">
        <v>3921</v>
      </c>
      <c r="BH318" t="s">
        <v>4020</v>
      </c>
      <c r="BP318" t="s">
        <v>4260</v>
      </c>
      <c r="BQ318" t="s">
        <v>3463</v>
      </c>
      <c r="BR318" t="s">
        <v>3463</v>
      </c>
      <c r="BS318" t="s">
        <v>3463</v>
      </c>
      <c r="BT318" t="s">
        <v>3463</v>
      </c>
      <c r="BU318" t="s">
        <v>3463</v>
      </c>
      <c r="BV318" t="s">
        <v>3463</v>
      </c>
      <c r="BW318" t="s">
        <v>3463</v>
      </c>
      <c r="BX318" t="s">
        <v>79</v>
      </c>
      <c r="BY318" t="s">
        <v>79</v>
      </c>
      <c r="BZ318" t="s">
        <v>95</v>
      </c>
      <c r="CA318" s="10">
        <v>45909</v>
      </c>
    </row>
    <row r="319" spans="1:79">
      <c r="A319">
        <v>325</v>
      </c>
      <c r="B319">
        <v>167</v>
      </c>
      <c r="C319">
        <v>49</v>
      </c>
      <c r="D319" t="s">
        <v>3466</v>
      </c>
      <c r="E319" t="s">
        <v>450</v>
      </c>
      <c r="F319" t="s">
        <v>71</v>
      </c>
      <c r="G319" s="12" t="s">
        <v>3465</v>
      </c>
      <c r="H319" t="s">
        <v>88</v>
      </c>
      <c r="I319">
        <v>117</v>
      </c>
      <c r="J319">
        <v>114</v>
      </c>
      <c r="K319">
        <v>143</v>
      </c>
      <c r="L319">
        <v>89</v>
      </c>
      <c r="M319" t="s">
        <v>72</v>
      </c>
      <c r="N319">
        <v>130</v>
      </c>
      <c r="O319">
        <v>84</v>
      </c>
      <c r="P319" t="s">
        <v>82</v>
      </c>
      <c r="Q319" t="s">
        <v>82</v>
      </c>
      <c r="R319">
        <v>68.599999999999994</v>
      </c>
      <c r="S319">
        <v>154</v>
      </c>
      <c r="T319" s="8">
        <f t="shared" si="8"/>
        <v>28.925619834710741</v>
      </c>
      <c r="U319" s="13" t="str" cm="1">
        <f t="array" ref="U319">IF(T319="","",_xlfn.IFS(T319&lt;18.5,"Bajo peso",T319&lt;25,"Peso normal",T319&lt;30,"Sobrepeso",T319&lt;35,"Obesidad clase I",T319&lt;40,"Obesidad clase II",T319&gt;=40,"Obesidad clase III"))</f>
        <v>Sobrepeso</v>
      </c>
      <c r="V319">
        <v>376</v>
      </c>
      <c r="X319" t="s">
        <v>3465</v>
      </c>
      <c r="Y319">
        <v>0.85</v>
      </c>
      <c r="AA319">
        <v>84</v>
      </c>
      <c r="AB319" s="9">
        <f t="shared" si="9"/>
        <v>83.933323875165357</v>
      </c>
      <c r="AD319" t="s">
        <v>73</v>
      </c>
      <c r="AF319" t="s">
        <v>73</v>
      </c>
      <c r="AG319" t="s">
        <v>3465</v>
      </c>
      <c r="AH319" t="s">
        <v>3465</v>
      </c>
      <c r="AI319" t="s">
        <v>3463</v>
      </c>
      <c r="AJ319" t="s">
        <v>3463</v>
      </c>
      <c r="AK319" t="s">
        <v>3465</v>
      </c>
      <c r="AL319" t="s">
        <v>3465</v>
      </c>
      <c r="AM319" t="s">
        <v>475</v>
      </c>
      <c r="AN319" t="s">
        <v>3634</v>
      </c>
      <c r="AP319" t="s">
        <v>3463</v>
      </c>
      <c r="AQ319" t="s">
        <v>476</v>
      </c>
      <c r="AR319" t="s">
        <v>3488</v>
      </c>
      <c r="AT319" t="s">
        <v>3463</v>
      </c>
      <c r="AV319" t="s">
        <v>112</v>
      </c>
      <c r="AW319" t="s">
        <v>3917</v>
      </c>
      <c r="AX319" t="s">
        <v>3463</v>
      </c>
      <c r="AY319" t="s">
        <v>3463</v>
      </c>
      <c r="BF319" t="s">
        <v>3921</v>
      </c>
      <c r="BH319" t="s">
        <v>4020</v>
      </c>
      <c r="BP319" t="s">
        <v>4260</v>
      </c>
      <c r="BQ319" t="s">
        <v>3465</v>
      </c>
      <c r="BR319" t="s">
        <v>3463</v>
      </c>
      <c r="BS319" t="s">
        <v>3465</v>
      </c>
      <c r="BT319" t="s">
        <v>3465</v>
      </c>
      <c r="BU319" t="s">
        <v>3463</v>
      </c>
      <c r="BV319" t="s">
        <v>3463</v>
      </c>
      <c r="BW319" t="s">
        <v>3463</v>
      </c>
      <c r="BX319" t="s">
        <v>79</v>
      </c>
      <c r="BY319" t="s">
        <v>87</v>
      </c>
      <c r="BZ319" t="s">
        <v>79</v>
      </c>
      <c r="CA319" s="10">
        <v>45909</v>
      </c>
    </row>
    <row r="320" spans="1:79">
      <c r="A320">
        <v>326</v>
      </c>
      <c r="B320">
        <v>167</v>
      </c>
      <c r="C320">
        <v>31</v>
      </c>
      <c r="D320" t="s">
        <v>3462</v>
      </c>
      <c r="F320" t="s">
        <v>503</v>
      </c>
      <c r="G320" s="12" t="s">
        <v>3465</v>
      </c>
      <c r="H320" t="s">
        <v>88</v>
      </c>
      <c r="I320">
        <v>76</v>
      </c>
      <c r="K320">
        <v>124</v>
      </c>
      <c r="L320">
        <v>73</v>
      </c>
      <c r="M320" t="s">
        <v>118</v>
      </c>
      <c r="P320" t="s">
        <v>83</v>
      </c>
      <c r="Q320" t="s">
        <v>118</v>
      </c>
      <c r="R320">
        <v>65.5</v>
      </c>
      <c r="S320">
        <v>157</v>
      </c>
      <c r="T320" s="8">
        <f t="shared" si="8"/>
        <v>26.573086129254737</v>
      </c>
      <c r="U320" s="13" t="str" cm="1">
        <f t="array" ref="U320">IF(T320="","",_xlfn.IFS(T320&lt;18.5,"Bajo peso",T320&lt;25,"Peso normal",T320&lt;30,"Sobrepeso",T320&lt;35,"Obesidad clase I",T320&lt;40,"Obesidad clase II",T320&gt;=40,"Obesidad clase III"))</f>
        <v>Sobrepeso</v>
      </c>
      <c r="V320">
        <v>112</v>
      </c>
      <c r="X320" t="s">
        <v>3463</v>
      </c>
      <c r="Y320">
        <v>1.1100000000000001</v>
      </c>
      <c r="AA320">
        <v>90</v>
      </c>
      <c r="AB320" s="9">
        <f t="shared" si="9"/>
        <v>91.045931978495304</v>
      </c>
      <c r="AD320" t="s">
        <v>73</v>
      </c>
      <c r="AF320" t="s">
        <v>73</v>
      </c>
      <c r="AH320" t="s">
        <v>3463</v>
      </c>
      <c r="AI320" t="s">
        <v>3463</v>
      </c>
      <c r="AJ320" t="s">
        <v>3463</v>
      </c>
      <c r="AK320" t="s">
        <v>3463</v>
      </c>
      <c r="AL320" t="s">
        <v>3463</v>
      </c>
      <c r="AP320" t="s">
        <v>3463</v>
      </c>
      <c r="AV320" t="s">
        <v>74</v>
      </c>
      <c r="AW320" t="s">
        <v>3915</v>
      </c>
      <c r="BF320" t="s">
        <v>3921</v>
      </c>
      <c r="BG320" t="s">
        <v>896</v>
      </c>
      <c r="BH320" t="s">
        <v>4113</v>
      </c>
      <c r="BK320" t="s">
        <v>68</v>
      </c>
      <c r="BL320" t="s">
        <v>897</v>
      </c>
      <c r="BP320" t="s">
        <v>4310</v>
      </c>
      <c r="BQ320" t="s">
        <v>3465</v>
      </c>
      <c r="BR320" t="s">
        <v>3465</v>
      </c>
      <c r="BS320" t="s">
        <v>3463</v>
      </c>
      <c r="BT320" t="s">
        <v>3465</v>
      </c>
      <c r="BU320" t="s">
        <v>3463</v>
      </c>
      <c r="BV320" t="s">
        <v>3463</v>
      </c>
      <c r="BW320" t="s">
        <v>3463</v>
      </c>
      <c r="BX320" t="s">
        <v>79</v>
      </c>
      <c r="BY320" t="s">
        <v>79</v>
      </c>
      <c r="BZ320" t="s">
        <v>95</v>
      </c>
      <c r="CA320" s="10">
        <v>45909</v>
      </c>
    </row>
    <row r="321" spans="1:79">
      <c r="A321">
        <v>327</v>
      </c>
      <c r="B321">
        <v>168</v>
      </c>
      <c r="C321">
        <v>42</v>
      </c>
      <c r="D321" t="s">
        <v>3466</v>
      </c>
      <c r="E321" t="s">
        <v>449</v>
      </c>
      <c r="F321" t="s">
        <v>503</v>
      </c>
      <c r="G321" s="12" t="s">
        <v>3465</v>
      </c>
      <c r="H321" t="s">
        <v>88</v>
      </c>
      <c r="I321">
        <v>80</v>
      </c>
      <c r="J321">
        <v>77</v>
      </c>
      <c r="K321">
        <v>172</v>
      </c>
      <c r="L321">
        <v>90</v>
      </c>
      <c r="M321" t="s">
        <v>72</v>
      </c>
      <c r="N321">
        <v>163</v>
      </c>
      <c r="O321">
        <v>81</v>
      </c>
      <c r="P321" t="s">
        <v>72</v>
      </c>
      <c r="Q321" t="s">
        <v>72</v>
      </c>
      <c r="R321">
        <v>104.85</v>
      </c>
      <c r="S321">
        <v>153</v>
      </c>
      <c r="T321" s="8">
        <f t="shared" si="8"/>
        <v>44.790465205690118</v>
      </c>
      <c r="U321" s="13" t="str" cm="1">
        <f t="array" ref="U321">IF(T321="","",_xlfn.IFS(T321&lt;18.5,"Bajo peso",T321&lt;25,"Peso normal",T321&lt;30,"Sobrepeso",T321&lt;35,"Obesidad clase I",T321&lt;40,"Obesidad clase II",T321&gt;=40,"Obesidad clase III"))</f>
        <v>Obesidad clase III</v>
      </c>
      <c r="V321">
        <v>108</v>
      </c>
      <c r="X321" t="s">
        <v>3463</v>
      </c>
      <c r="Y321">
        <v>0.95</v>
      </c>
      <c r="AA321">
        <v>77</v>
      </c>
      <c r="AB321" s="9">
        <f t="shared" si="9"/>
        <v>76.714217543474518</v>
      </c>
      <c r="AD321" t="s">
        <v>73</v>
      </c>
      <c r="AF321" t="s">
        <v>73</v>
      </c>
      <c r="AH321" t="s">
        <v>3463</v>
      </c>
      <c r="AI321" t="s">
        <v>3463</v>
      </c>
      <c r="AJ321" t="s">
        <v>3463</v>
      </c>
      <c r="AK321" t="s">
        <v>3463</v>
      </c>
      <c r="AL321" t="s">
        <v>3465</v>
      </c>
      <c r="AM321" t="s">
        <v>898</v>
      </c>
      <c r="AN321" t="s">
        <v>3688</v>
      </c>
      <c r="AP321" t="s">
        <v>3463</v>
      </c>
      <c r="AQ321" t="s">
        <v>899</v>
      </c>
      <c r="AR321" t="s">
        <v>3491</v>
      </c>
      <c r="AT321" t="s">
        <v>3465</v>
      </c>
      <c r="AU321" t="s">
        <v>80</v>
      </c>
      <c r="AV321" t="s">
        <v>178</v>
      </c>
      <c r="AW321" t="s">
        <v>3918</v>
      </c>
      <c r="AX321" t="s">
        <v>3463</v>
      </c>
      <c r="AY321" t="s">
        <v>3465</v>
      </c>
      <c r="AZ321" t="s">
        <v>900</v>
      </c>
      <c r="BC321" t="s">
        <v>128</v>
      </c>
      <c r="BE321" t="s">
        <v>901</v>
      </c>
      <c r="BF321" t="s">
        <v>901</v>
      </c>
      <c r="BH321" t="s">
        <v>4050</v>
      </c>
      <c r="BI321" t="s">
        <v>734</v>
      </c>
      <c r="BK321" t="s">
        <v>902</v>
      </c>
      <c r="BL321" t="s">
        <v>903</v>
      </c>
      <c r="BP321" t="s">
        <v>4270</v>
      </c>
      <c r="BQ321" t="s">
        <v>3463</v>
      </c>
      <c r="BR321" t="s">
        <v>3465</v>
      </c>
      <c r="BS321" t="s">
        <v>3465</v>
      </c>
      <c r="BT321" t="s">
        <v>3465</v>
      </c>
      <c r="BU321" t="s">
        <v>3463</v>
      </c>
      <c r="BV321" t="s">
        <v>3463</v>
      </c>
      <c r="BW321" t="s">
        <v>3463</v>
      </c>
      <c r="BX321" t="s">
        <v>654</v>
      </c>
      <c r="BY321" t="s">
        <v>79</v>
      </c>
      <c r="BZ321" t="s">
        <v>79</v>
      </c>
      <c r="CA321" s="10">
        <v>45909</v>
      </c>
    </row>
    <row r="322" spans="1:79">
      <c r="A322">
        <v>328</v>
      </c>
      <c r="B322">
        <v>168</v>
      </c>
      <c r="C322">
        <v>60</v>
      </c>
      <c r="D322" t="s">
        <v>3466</v>
      </c>
      <c r="E322" t="s">
        <v>450</v>
      </c>
      <c r="F322" t="s">
        <v>71</v>
      </c>
      <c r="G322" s="12" t="s">
        <v>3465</v>
      </c>
      <c r="H322" s="12" t="s">
        <v>88</v>
      </c>
      <c r="I322">
        <v>66</v>
      </c>
      <c r="J322">
        <v>64</v>
      </c>
      <c r="K322">
        <v>161</v>
      </c>
      <c r="L322">
        <v>82</v>
      </c>
      <c r="M322" t="s">
        <v>72</v>
      </c>
      <c r="N322">
        <v>155</v>
      </c>
      <c r="O322">
        <v>85</v>
      </c>
      <c r="P322" t="s">
        <v>72</v>
      </c>
      <c r="Q322" t="s">
        <v>72</v>
      </c>
      <c r="R322">
        <v>88.2</v>
      </c>
      <c r="S322">
        <v>152</v>
      </c>
      <c r="T322" s="8">
        <f t="shared" ref="T322:T385" si="10">IFERROR(R322/(S322^2)*10000,"")</f>
        <v>38.175207756232687</v>
      </c>
      <c r="U322" s="13" t="str" cm="1">
        <f t="array" ref="U322">IF(T322="","",_xlfn.IFS(T322&lt;18.5,"Bajo peso",T322&lt;25,"Peso normal",T322&lt;30,"Sobrepeso",T322&lt;35,"Obesidad clase I",T322&lt;40,"Obesidad clase II",T322&gt;=40,"Obesidad clase III"))</f>
        <v>Obesidad clase II</v>
      </c>
      <c r="V322">
        <v>138</v>
      </c>
      <c r="X322" t="s">
        <v>3463</v>
      </c>
      <c r="Y322">
        <v>0.95</v>
      </c>
      <c r="AA322">
        <v>68</v>
      </c>
      <c r="AB322" s="9">
        <f t="shared" ref="AB322:AB385" si="11">IF(OR(C322="",D322="",Y322=""),"",142*POWER(MIN(Y322/IF(D322="Mujer",0.7,0.9),1),IF(D322="Mujer",-0.241,-0.302))*POWER(MAX(Y322/IF(D322="Mujer",0.7,0.9),1),-1.2)*POWER(0.9938,C322)*IF(D322="Mujer",1.012,1))</f>
        <v>68.589513606636814</v>
      </c>
      <c r="AD322" t="s">
        <v>73</v>
      </c>
      <c r="AF322" t="s">
        <v>73</v>
      </c>
      <c r="AG322" t="s">
        <v>3465</v>
      </c>
      <c r="AH322" t="s">
        <v>3465</v>
      </c>
      <c r="AI322" t="s">
        <v>3465</v>
      </c>
      <c r="AJ322" t="s">
        <v>3463</v>
      </c>
      <c r="AK322" t="s">
        <v>3463</v>
      </c>
      <c r="AL322" t="s">
        <v>3465</v>
      </c>
      <c r="AM322" t="s">
        <v>477</v>
      </c>
      <c r="AN322" t="s">
        <v>3635</v>
      </c>
      <c r="AP322" t="s">
        <v>3463</v>
      </c>
      <c r="AS322" t="s">
        <v>3465</v>
      </c>
      <c r="AT322" t="s">
        <v>3465</v>
      </c>
      <c r="AU322" t="s">
        <v>80</v>
      </c>
      <c r="AV322" t="s">
        <v>112</v>
      </c>
      <c r="AW322" t="s">
        <v>3917</v>
      </c>
      <c r="AX322" t="s">
        <v>3465</v>
      </c>
      <c r="AY322" t="s">
        <v>3465</v>
      </c>
      <c r="AZ322" t="s">
        <v>247</v>
      </c>
      <c r="BA322" t="s">
        <v>3920</v>
      </c>
      <c r="BB322" t="s">
        <v>3485</v>
      </c>
      <c r="BC322" t="s">
        <v>128</v>
      </c>
      <c r="BF322" t="s">
        <v>3921</v>
      </c>
      <c r="BG322" t="s">
        <v>478</v>
      </c>
      <c r="BH322" t="s">
        <v>4042</v>
      </c>
      <c r="BI322" t="s">
        <v>479</v>
      </c>
      <c r="BP322" t="s">
        <v>4386</v>
      </c>
      <c r="BQ322" t="s">
        <v>3463</v>
      </c>
      <c r="BR322" t="s">
        <v>3463</v>
      </c>
      <c r="BS322" t="s">
        <v>3463</v>
      </c>
      <c r="BT322" t="s">
        <v>3463</v>
      </c>
      <c r="BU322" t="s">
        <v>3463</v>
      </c>
      <c r="BV322" t="s">
        <v>3463</v>
      </c>
      <c r="BW322" t="s">
        <v>3463</v>
      </c>
      <c r="BX322" t="s">
        <v>79</v>
      </c>
      <c r="BY322" t="s">
        <v>87</v>
      </c>
      <c r="BZ322" t="s">
        <v>79</v>
      </c>
      <c r="CA322" s="10">
        <v>45909</v>
      </c>
    </row>
    <row r="323" spans="1:79">
      <c r="A323">
        <v>329</v>
      </c>
      <c r="B323">
        <v>169</v>
      </c>
      <c r="C323">
        <v>79</v>
      </c>
      <c r="D323" t="s">
        <v>3466</v>
      </c>
      <c r="E323" t="s">
        <v>450</v>
      </c>
      <c r="F323" t="s">
        <v>71</v>
      </c>
      <c r="G323" s="12" t="s">
        <v>3463</v>
      </c>
      <c r="H323" s="12"/>
      <c r="I323">
        <v>64</v>
      </c>
      <c r="J323">
        <v>65</v>
      </c>
      <c r="K323">
        <v>168</v>
      </c>
      <c r="L323">
        <v>77</v>
      </c>
      <c r="M323" t="s">
        <v>72</v>
      </c>
      <c r="N323">
        <v>159</v>
      </c>
      <c r="O323">
        <v>77</v>
      </c>
      <c r="P323" t="s">
        <v>72</v>
      </c>
      <c r="Q323" t="s">
        <v>72</v>
      </c>
      <c r="R323">
        <v>57</v>
      </c>
      <c r="S323">
        <v>145</v>
      </c>
      <c r="T323" s="8">
        <f t="shared" si="10"/>
        <v>27.110582639714625</v>
      </c>
      <c r="U323" s="13" t="str" cm="1">
        <f t="array" ref="U323">IF(T323="","",_xlfn.IFS(T323&lt;18.5,"Bajo peso",T323&lt;25,"Peso normal",T323&lt;30,"Sobrepeso",T323&lt;35,"Obesidad clase I",T323&lt;40,"Obesidad clase II",T323&gt;=40,"Obesidad clase III"))</f>
        <v>Sobrepeso</v>
      </c>
      <c r="AB323" s="9" t="str">
        <f t="shared" si="11"/>
        <v/>
      </c>
      <c r="AH323" t="s">
        <v>3463</v>
      </c>
      <c r="AI323" t="s">
        <v>3465</v>
      </c>
      <c r="AJ323" t="s">
        <v>3464</v>
      </c>
      <c r="AK323" t="s">
        <v>3465</v>
      </c>
      <c r="AL323" t="s">
        <v>3465</v>
      </c>
      <c r="AM323" t="s">
        <v>110</v>
      </c>
      <c r="AN323" t="s">
        <v>110</v>
      </c>
      <c r="AP323" t="s">
        <v>3463</v>
      </c>
      <c r="AS323" t="s">
        <v>3465</v>
      </c>
      <c r="AT323" t="s">
        <v>3465</v>
      </c>
      <c r="AU323" t="s">
        <v>80</v>
      </c>
      <c r="AV323" t="s">
        <v>112</v>
      </c>
      <c r="AW323" t="s">
        <v>3917</v>
      </c>
      <c r="AX323" t="s">
        <v>3463</v>
      </c>
      <c r="AY323" t="s">
        <v>3463</v>
      </c>
      <c r="AZ323" t="s">
        <v>480</v>
      </c>
      <c r="BF323" t="s">
        <v>3921</v>
      </c>
      <c r="BH323" t="s">
        <v>4020</v>
      </c>
      <c r="BP323" t="s">
        <v>4260</v>
      </c>
      <c r="BQ323" t="s">
        <v>3465</v>
      </c>
      <c r="BR323" t="s">
        <v>3463</v>
      </c>
      <c r="BS323" t="s">
        <v>3463</v>
      </c>
      <c r="BT323" t="s">
        <v>3463</v>
      </c>
      <c r="BU323" t="s">
        <v>3463</v>
      </c>
      <c r="BV323" t="s">
        <v>3463</v>
      </c>
      <c r="BW323" t="s">
        <v>3463</v>
      </c>
      <c r="BX323" t="s">
        <v>79</v>
      </c>
      <c r="BY323" t="s">
        <v>87</v>
      </c>
      <c r="BZ323" t="s">
        <v>79</v>
      </c>
      <c r="CA323" s="10">
        <v>45909</v>
      </c>
    </row>
    <row r="324" spans="1:79">
      <c r="A324">
        <v>330</v>
      </c>
      <c r="B324">
        <v>169</v>
      </c>
      <c r="C324">
        <v>63</v>
      </c>
      <c r="D324" t="s">
        <v>3462</v>
      </c>
      <c r="F324" t="s">
        <v>503</v>
      </c>
      <c r="G324" s="12" t="s">
        <v>3463</v>
      </c>
      <c r="H324" s="12"/>
      <c r="I324">
        <v>60</v>
      </c>
      <c r="J324">
        <v>55</v>
      </c>
      <c r="K324">
        <v>171</v>
      </c>
      <c r="L324">
        <v>87</v>
      </c>
      <c r="M324" t="s">
        <v>72</v>
      </c>
      <c r="N324">
        <v>164</v>
      </c>
      <c r="O324">
        <v>81</v>
      </c>
      <c r="P324" t="s">
        <v>72</v>
      </c>
      <c r="Q324" t="s">
        <v>72</v>
      </c>
      <c r="R324">
        <v>63.8</v>
      </c>
      <c r="S324">
        <v>167</v>
      </c>
      <c r="T324" s="8">
        <f t="shared" si="10"/>
        <v>22.87640288285704</v>
      </c>
      <c r="U324" s="13" t="str" cm="1">
        <f t="array" ref="U324">IF(T324="","",_xlfn.IFS(T324&lt;18.5,"Bajo peso",T324&lt;25,"Peso normal",T324&lt;30,"Sobrepeso",T324&lt;35,"Obesidad clase I",T324&lt;40,"Obesidad clase II",T324&gt;=40,"Obesidad clase III"))</f>
        <v>Peso normal</v>
      </c>
      <c r="V324">
        <v>101</v>
      </c>
      <c r="X324" t="s">
        <v>3463</v>
      </c>
      <c r="Y324">
        <v>0.71</v>
      </c>
      <c r="AA324">
        <v>90</v>
      </c>
      <c r="AB324" s="9">
        <f t="shared" si="11"/>
        <v>103.09226530284481</v>
      </c>
      <c r="AD324" t="s">
        <v>73</v>
      </c>
      <c r="AF324" t="s">
        <v>73</v>
      </c>
      <c r="AH324" t="s">
        <v>3463</v>
      </c>
      <c r="AI324" t="s">
        <v>3463</v>
      </c>
      <c r="AJ324" t="s">
        <v>3463</v>
      </c>
      <c r="AK324" t="s">
        <v>3463</v>
      </c>
      <c r="AL324" t="s">
        <v>3465</v>
      </c>
      <c r="AM324" t="s">
        <v>904</v>
      </c>
      <c r="AN324" t="s">
        <v>3689</v>
      </c>
      <c r="AP324" t="s">
        <v>3463</v>
      </c>
      <c r="AQ324" t="s">
        <v>905</v>
      </c>
      <c r="AR324" t="s">
        <v>3535</v>
      </c>
      <c r="AV324" t="s">
        <v>178</v>
      </c>
      <c r="AW324" t="s">
        <v>3918</v>
      </c>
      <c r="BE324" t="s">
        <v>906</v>
      </c>
      <c r="BF324" t="s">
        <v>3938</v>
      </c>
      <c r="BH324" t="s">
        <v>4021</v>
      </c>
      <c r="BI324" t="s">
        <v>734</v>
      </c>
      <c r="BK324" t="s">
        <v>907</v>
      </c>
      <c r="BL324" t="s">
        <v>908</v>
      </c>
      <c r="BP324" t="s">
        <v>4387</v>
      </c>
      <c r="BQ324" t="s">
        <v>3465</v>
      </c>
      <c r="BR324" t="s">
        <v>3463</v>
      </c>
      <c r="BS324" t="s">
        <v>3463</v>
      </c>
      <c r="BT324" t="s">
        <v>3463</v>
      </c>
      <c r="BU324" t="s">
        <v>3463</v>
      </c>
      <c r="BV324" t="s">
        <v>3463</v>
      </c>
      <c r="BW324" t="s">
        <v>3463</v>
      </c>
      <c r="BX324" t="s">
        <v>79</v>
      </c>
      <c r="BY324" t="s">
        <v>79</v>
      </c>
      <c r="BZ324" t="s">
        <v>79</v>
      </c>
      <c r="CA324" s="10">
        <v>45909</v>
      </c>
    </row>
    <row r="325" spans="1:79">
      <c r="A325">
        <v>331</v>
      </c>
      <c r="B325">
        <v>170</v>
      </c>
      <c r="C325">
        <v>33</v>
      </c>
      <c r="D325" t="s">
        <v>3466</v>
      </c>
      <c r="E325" t="s">
        <v>449</v>
      </c>
      <c r="F325" t="s">
        <v>503</v>
      </c>
      <c r="G325" s="12" t="s">
        <v>3463</v>
      </c>
      <c r="H325" s="12"/>
      <c r="I325">
        <v>81</v>
      </c>
      <c r="K325">
        <v>120</v>
      </c>
      <c r="L325">
        <v>72</v>
      </c>
      <c r="M325" t="s">
        <v>118</v>
      </c>
      <c r="P325" t="s">
        <v>83</v>
      </c>
      <c r="Q325" t="s">
        <v>118</v>
      </c>
      <c r="R325">
        <v>47.6</v>
      </c>
      <c r="S325">
        <v>149.5</v>
      </c>
      <c r="T325" s="8">
        <f t="shared" si="10"/>
        <v>21.29730092504558</v>
      </c>
      <c r="U325" s="13" t="str" cm="1">
        <f t="array" ref="U325">IF(T325="","",_xlfn.IFS(T325&lt;18.5,"Bajo peso",T325&lt;25,"Peso normal",T325&lt;30,"Sobrepeso",T325&lt;35,"Obesidad clase I",T325&lt;40,"Obesidad clase II",T325&gt;=40,"Obesidad clase III"))</f>
        <v>Peso normal</v>
      </c>
      <c r="V325">
        <v>110</v>
      </c>
      <c r="X325" t="s">
        <v>3463</v>
      </c>
      <c r="Y325">
        <v>0.47</v>
      </c>
      <c r="AA325">
        <v>90</v>
      </c>
      <c r="AB325" s="9">
        <f t="shared" si="11"/>
        <v>128.83345399478392</v>
      </c>
      <c r="AD325" t="s">
        <v>73</v>
      </c>
      <c r="AF325" t="s">
        <v>73</v>
      </c>
      <c r="AH325" t="s">
        <v>3463</v>
      </c>
      <c r="AI325" t="s">
        <v>3463</v>
      </c>
      <c r="AJ325" t="s">
        <v>3463</v>
      </c>
      <c r="AK325" t="s">
        <v>3463</v>
      </c>
      <c r="AL325" t="s">
        <v>3465</v>
      </c>
      <c r="AM325" t="s">
        <v>909</v>
      </c>
      <c r="AN325" t="s">
        <v>3690</v>
      </c>
      <c r="AP325" t="s">
        <v>3463</v>
      </c>
      <c r="AT325" t="s">
        <v>3463</v>
      </c>
      <c r="AV325" t="s">
        <v>112</v>
      </c>
      <c r="AW325" t="s">
        <v>3917</v>
      </c>
      <c r="AX325" t="s">
        <v>3465</v>
      </c>
      <c r="AY325" t="s">
        <v>3463</v>
      </c>
      <c r="BF325" t="s">
        <v>3921</v>
      </c>
      <c r="BH325" t="s">
        <v>4020</v>
      </c>
      <c r="BP325" t="s">
        <v>4260</v>
      </c>
      <c r="BQ325" t="s">
        <v>3463</v>
      </c>
      <c r="BR325" t="s">
        <v>3463</v>
      </c>
      <c r="BS325" t="s">
        <v>3463</v>
      </c>
      <c r="BT325" t="s">
        <v>3465</v>
      </c>
      <c r="BU325" t="s">
        <v>3463</v>
      </c>
      <c r="BV325" t="s">
        <v>3463</v>
      </c>
      <c r="BW325" t="s">
        <v>3463</v>
      </c>
      <c r="BX325" t="s">
        <v>79</v>
      </c>
      <c r="BY325" t="s">
        <v>79</v>
      </c>
      <c r="BZ325" t="s">
        <v>79</v>
      </c>
      <c r="CA325" s="10">
        <v>45909</v>
      </c>
    </row>
    <row r="326" spans="1:79">
      <c r="A326">
        <v>332</v>
      </c>
      <c r="B326">
        <v>170</v>
      </c>
      <c r="D326" t="s">
        <v>3466</v>
      </c>
      <c r="E326" t="s">
        <v>122</v>
      </c>
      <c r="F326" t="s">
        <v>71</v>
      </c>
      <c r="G326" s="12" t="s">
        <v>3465</v>
      </c>
      <c r="H326" s="12" t="s">
        <v>88</v>
      </c>
      <c r="I326">
        <v>75</v>
      </c>
      <c r="K326">
        <v>139</v>
      </c>
      <c r="L326">
        <v>74</v>
      </c>
      <c r="M326" t="s">
        <v>82</v>
      </c>
      <c r="P326" t="s">
        <v>83</v>
      </c>
      <c r="Q326" t="s">
        <v>82</v>
      </c>
      <c r="R326">
        <v>55.4</v>
      </c>
      <c r="S326">
        <v>161</v>
      </c>
      <c r="T326" s="8">
        <f t="shared" si="10"/>
        <v>21.372632228694879</v>
      </c>
      <c r="U326" s="13" t="str" cm="1">
        <f t="array" ref="U326">IF(T326="","",_xlfn.IFS(T326&lt;18.5,"Bajo peso",T326&lt;25,"Peso normal",T326&lt;30,"Sobrepeso",T326&lt;35,"Obesidad clase I",T326&lt;40,"Obesidad clase II",T326&gt;=40,"Obesidad clase III"))</f>
        <v>Peso normal</v>
      </c>
      <c r="V326">
        <v>90</v>
      </c>
      <c r="X326" t="s">
        <v>3463</v>
      </c>
      <c r="Y326">
        <v>1.2</v>
      </c>
      <c r="AA326">
        <v>58</v>
      </c>
      <c r="AB326" s="9" t="str">
        <f t="shared" si="11"/>
        <v/>
      </c>
      <c r="AD326" t="s">
        <v>158</v>
      </c>
      <c r="AF326" t="s">
        <v>158</v>
      </c>
      <c r="AH326" t="s">
        <v>3463</v>
      </c>
      <c r="AI326" t="s">
        <v>3463</v>
      </c>
      <c r="AJ326" t="s">
        <v>3463</v>
      </c>
      <c r="AK326" t="s">
        <v>3465</v>
      </c>
      <c r="AL326" t="s">
        <v>3465</v>
      </c>
      <c r="AM326" t="s">
        <v>481</v>
      </c>
      <c r="AN326" t="s">
        <v>3636</v>
      </c>
      <c r="AP326" t="s">
        <v>3463</v>
      </c>
      <c r="AQ326" t="s">
        <v>482</v>
      </c>
      <c r="AR326" t="s">
        <v>3513</v>
      </c>
      <c r="AT326" t="s">
        <v>3463</v>
      </c>
      <c r="AW326" t="s">
        <v>3916</v>
      </c>
      <c r="AX326" t="s">
        <v>3463</v>
      </c>
      <c r="AY326" t="s">
        <v>3465</v>
      </c>
      <c r="BF326" t="s">
        <v>3921</v>
      </c>
      <c r="BH326" t="s">
        <v>4020</v>
      </c>
      <c r="BP326" t="s">
        <v>4260</v>
      </c>
      <c r="BQ326" t="s">
        <v>3465</v>
      </c>
      <c r="BR326" t="s">
        <v>3463</v>
      </c>
      <c r="BS326" t="s">
        <v>3463</v>
      </c>
      <c r="BT326" t="s">
        <v>3465</v>
      </c>
      <c r="BU326" t="s">
        <v>3463</v>
      </c>
      <c r="BV326" t="s">
        <v>3463</v>
      </c>
      <c r="BW326" t="s">
        <v>3463</v>
      </c>
      <c r="BX326" t="s">
        <v>79</v>
      </c>
      <c r="BY326" t="s">
        <v>87</v>
      </c>
      <c r="BZ326" t="s">
        <v>79</v>
      </c>
      <c r="CA326" s="10">
        <v>45909</v>
      </c>
    </row>
    <row r="327" spans="1:79">
      <c r="A327">
        <v>333</v>
      </c>
      <c r="B327">
        <v>171</v>
      </c>
      <c r="C327">
        <v>64</v>
      </c>
      <c r="D327" t="s">
        <v>3466</v>
      </c>
      <c r="F327" t="s">
        <v>503</v>
      </c>
      <c r="G327" s="12" t="s">
        <v>3463</v>
      </c>
      <c r="I327">
        <v>68</v>
      </c>
      <c r="J327">
        <v>64</v>
      </c>
      <c r="K327">
        <v>160</v>
      </c>
      <c r="L327">
        <v>83</v>
      </c>
      <c r="M327" t="s">
        <v>72</v>
      </c>
      <c r="N327">
        <v>149</v>
      </c>
      <c r="O327">
        <v>63</v>
      </c>
      <c r="P327" t="s">
        <v>72</v>
      </c>
      <c r="Q327" t="s">
        <v>72</v>
      </c>
      <c r="R327">
        <v>53.35</v>
      </c>
      <c r="S327">
        <v>149</v>
      </c>
      <c r="T327" s="8">
        <f t="shared" si="10"/>
        <v>24.030449078870319</v>
      </c>
      <c r="U327" s="13" t="str" cm="1">
        <f t="array" ref="U327">IF(T327="","",_xlfn.IFS(T327&lt;18.5,"Bajo peso",T327&lt;25,"Peso normal",T327&lt;30,"Sobrepeso",T327&lt;35,"Obesidad clase I",T327&lt;40,"Obesidad clase II",T327&gt;=40,"Obesidad clase III"))</f>
        <v>Peso normal</v>
      </c>
      <c r="V327">
        <v>96</v>
      </c>
      <c r="X327" t="s">
        <v>3463</v>
      </c>
      <c r="Y327">
        <v>0.68</v>
      </c>
      <c r="AA327">
        <v>90</v>
      </c>
      <c r="AB327" s="9">
        <f t="shared" si="11"/>
        <v>97.193752699536873</v>
      </c>
      <c r="AD327" t="s">
        <v>73</v>
      </c>
      <c r="AF327" t="s">
        <v>73</v>
      </c>
      <c r="AH327" t="s">
        <v>3463</v>
      </c>
      <c r="AI327" t="s">
        <v>3463</v>
      </c>
      <c r="AJ327" t="s">
        <v>3463</v>
      </c>
      <c r="AK327" t="s">
        <v>3463</v>
      </c>
      <c r="AL327" t="s">
        <v>3465</v>
      </c>
      <c r="AM327" t="s">
        <v>110</v>
      </c>
      <c r="AN327" t="s">
        <v>110</v>
      </c>
      <c r="AP327" t="s">
        <v>3463</v>
      </c>
      <c r="AQ327" t="s">
        <v>177</v>
      </c>
      <c r="AR327" t="s">
        <v>3488</v>
      </c>
      <c r="AT327" t="s">
        <v>3465</v>
      </c>
      <c r="AU327" t="s">
        <v>80</v>
      </c>
      <c r="AV327" t="s">
        <v>126</v>
      </c>
      <c r="AW327" t="s">
        <v>126</v>
      </c>
      <c r="AX327" t="s">
        <v>3463</v>
      </c>
      <c r="AY327" t="s">
        <v>3465</v>
      </c>
      <c r="AZ327" t="s">
        <v>90</v>
      </c>
      <c r="BF327" t="s">
        <v>3921</v>
      </c>
      <c r="BH327" t="s">
        <v>4020</v>
      </c>
      <c r="BP327" t="s">
        <v>4260</v>
      </c>
      <c r="BQ327" t="s">
        <v>3465</v>
      </c>
      <c r="BR327" t="s">
        <v>3465</v>
      </c>
      <c r="BS327" t="s">
        <v>3465</v>
      </c>
      <c r="BT327" t="s">
        <v>3465</v>
      </c>
      <c r="BU327" t="s">
        <v>3463</v>
      </c>
      <c r="BV327" t="s">
        <v>3463</v>
      </c>
      <c r="BW327" t="s">
        <v>3463</v>
      </c>
      <c r="BX327" t="s">
        <v>79</v>
      </c>
      <c r="BY327" t="s">
        <v>79</v>
      </c>
      <c r="BZ327" t="s">
        <v>79</v>
      </c>
      <c r="CA327" s="10">
        <v>45909</v>
      </c>
    </row>
    <row r="328" spans="1:79">
      <c r="A328">
        <v>334</v>
      </c>
      <c r="B328">
        <v>171</v>
      </c>
      <c r="C328">
        <v>57</v>
      </c>
      <c r="D328" t="s">
        <v>3466</v>
      </c>
      <c r="E328" t="s">
        <v>445</v>
      </c>
      <c r="F328" t="s">
        <v>71</v>
      </c>
      <c r="G328" s="12" t="s">
        <v>3465</v>
      </c>
      <c r="H328" s="12" t="s">
        <v>88</v>
      </c>
      <c r="I328">
        <v>85</v>
      </c>
      <c r="J328">
        <v>80</v>
      </c>
      <c r="K328">
        <v>146</v>
      </c>
      <c r="L328">
        <v>72</v>
      </c>
      <c r="M328" t="s">
        <v>72</v>
      </c>
      <c r="N328">
        <v>131</v>
      </c>
      <c r="O328">
        <v>69</v>
      </c>
      <c r="P328" t="s">
        <v>82</v>
      </c>
      <c r="Q328" t="s">
        <v>82</v>
      </c>
      <c r="R328">
        <v>80.599999999999994</v>
      </c>
      <c r="S328">
        <v>154</v>
      </c>
      <c r="T328" s="8">
        <f t="shared" si="10"/>
        <v>33.985495024456064</v>
      </c>
      <c r="U328" s="13" t="str" cm="1">
        <f t="array" ref="U328">IF(T328="","",_xlfn.IFS(T328&lt;18.5,"Bajo peso",T328&lt;25,"Peso normal",T328&lt;30,"Sobrepeso",T328&lt;35,"Obesidad clase I",T328&lt;40,"Obesidad clase II",T328&gt;=40,"Obesidad clase III"))</f>
        <v>Obesidad clase I</v>
      </c>
      <c r="V328">
        <v>88</v>
      </c>
      <c r="X328" t="s">
        <v>3463</v>
      </c>
      <c r="Y328">
        <v>0.93</v>
      </c>
      <c r="AA328">
        <v>71</v>
      </c>
      <c r="AB328" s="9">
        <f t="shared" si="11"/>
        <v>71.68850670452359</v>
      </c>
      <c r="AD328" t="s">
        <v>73</v>
      </c>
      <c r="AF328" t="s">
        <v>73</v>
      </c>
      <c r="AG328" t="s">
        <v>3465</v>
      </c>
      <c r="AH328" t="s">
        <v>3465</v>
      </c>
      <c r="AI328" t="s">
        <v>3465</v>
      </c>
      <c r="AJ328" t="s">
        <v>3463</v>
      </c>
      <c r="AK328" t="s">
        <v>3463</v>
      </c>
      <c r="AL328" t="s">
        <v>3463</v>
      </c>
      <c r="AO328" t="s">
        <v>3465</v>
      </c>
      <c r="AP328" t="s">
        <v>3465</v>
      </c>
      <c r="AQ328" t="s">
        <v>458</v>
      </c>
      <c r="AR328" t="s">
        <v>3488</v>
      </c>
      <c r="AS328" t="s">
        <v>3465</v>
      </c>
      <c r="AT328" t="s">
        <v>3465</v>
      </c>
      <c r="AU328" t="s">
        <v>3471</v>
      </c>
      <c r="AV328" t="s">
        <v>126</v>
      </c>
      <c r="AW328" t="s">
        <v>126</v>
      </c>
      <c r="AX328" t="s">
        <v>3465</v>
      </c>
      <c r="AY328" t="s">
        <v>3465</v>
      </c>
      <c r="AZ328" t="s">
        <v>247</v>
      </c>
      <c r="BF328" t="s">
        <v>3921</v>
      </c>
      <c r="BH328" t="s">
        <v>4020</v>
      </c>
      <c r="BP328" t="s">
        <v>4260</v>
      </c>
      <c r="BQ328" t="s">
        <v>3463</v>
      </c>
      <c r="BR328" t="s">
        <v>3463</v>
      </c>
      <c r="BS328" t="s">
        <v>3465</v>
      </c>
      <c r="BT328" t="s">
        <v>3465</v>
      </c>
      <c r="BU328" t="s">
        <v>3463</v>
      </c>
      <c r="BV328" t="s">
        <v>3463</v>
      </c>
      <c r="BW328" t="s">
        <v>3463</v>
      </c>
      <c r="BX328" t="s">
        <v>79</v>
      </c>
      <c r="BY328" t="s">
        <v>87</v>
      </c>
      <c r="BZ328" t="s">
        <v>79</v>
      </c>
      <c r="CA328" s="10">
        <v>45909</v>
      </c>
    </row>
    <row r="329" spans="1:79">
      <c r="A329">
        <v>335</v>
      </c>
      <c r="B329">
        <v>172</v>
      </c>
      <c r="C329">
        <v>42</v>
      </c>
      <c r="D329" t="s">
        <v>3466</v>
      </c>
      <c r="E329" t="s">
        <v>483</v>
      </c>
      <c r="F329" t="s">
        <v>71</v>
      </c>
      <c r="G329" s="12" t="s">
        <v>3463</v>
      </c>
      <c r="I329">
        <v>60</v>
      </c>
      <c r="J329">
        <v>61</v>
      </c>
      <c r="K329">
        <v>155</v>
      </c>
      <c r="L329">
        <v>75</v>
      </c>
      <c r="M329" t="s">
        <v>72</v>
      </c>
      <c r="N329">
        <v>136</v>
      </c>
      <c r="O329">
        <v>76</v>
      </c>
      <c r="P329" t="s">
        <v>82</v>
      </c>
      <c r="Q329" t="s">
        <v>82</v>
      </c>
      <c r="R329">
        <v>68.5</v>
      </c>
      <c r="S329">
        <v>156</v>
      </c>
      <c r="T329" s="8">
        <f t="shared" si="10"/>
        <v>28.147600262984881</v>
      </c>
      <c r="U329" s="13" t="str" cm="1">
        <f t="array" ref="U329">IF(T329="","",_xlfn.IFS(T329&lt;18.5,"Bajo peso",T329&lt;25,"Peso normal",T329&lt;30,"Sobrepeso",T329&lt;35,"Obesidad clase I",T329&lt;40,"Obesidad clase II",T329&gt;=40,"Obesidad clase III"))</f>
        <v>Sobrepeso</v>
      </c>
      <c r="V329">
        <v>100</v>
      </c>
      <c r="X329" t="s">
        <v>3463</v>
      </c>
      <c r="Y329">
        <v>0.71</v>
      </c>
      <c r="AA329">
        <v>90</v>
      </c>
      <c r="AB329" s="9">
        <f t="shared" si="11"/>
        <v>108.80132082585551</v>
      </c>
      <c r="AD329" t="s">
        <v>73</v>
      </c>
      <c r="AF329" t="s">
        <v>73</v>
      </c>
      <c r="AH329" t="s">
        <v>3463</v>
      </c>
      <c r="AI329" t="s">
        <v>3463</v>
      </c>
      <c r="AJ329" t="s">
        <v>3463</v>
      </c>
      <c r="AK329" t="s">
        <v>3465</v>
      </c>
      <c r="AL329" t="s">
        <v>3465</v>
      </c>
      <c r="AM329" t="s">
        <v>484</v>
      </c>
      <c r="AN329" t="s">
        <v>1815</v>
      </c>
      <c r="AO329" t="s">
        <v>3465</v>
      </c>
      <c r="AP329" t="s">
        <v>3465</v>
      </c>
      <c r="AQ329" t="s">
        <v>485</v>
      </c>
      <c r="AR329" t="s">
        <v>3489</v>
      </c>
      <c r="AV329" t="s">
        <v>74</v>
      </c>
      <c r="AW329" t="s">
        <v>3915</v>
      </c>
      <c r="AX329" t="s">
        <v>3465</v>
      </c>
      <c r="AZ329" t="s">
        <v>486</v>
      </c>
      <c r="BF329" t="s">
        <v>3921</v>
      </c>
      <c r="BH329" t="s">
        <v>4020</v>
      </c>
      <c r="BP329" t="s">
        <v>4260</v>
      </c>
      <c r="BQ329" t="s">
        <v>3463</v>
      </c>
      <c r="BR329" t="s">
        <v>3463</v>
      </c>
      <c r="BS329" t="s">
        <v>3465</v>
      </c>
      <c r="BT329" t="s">
        <v>3465</v>
      </c>
      <c r="BU329" t="s">
        <v>3463</v>
      </c>
      <c r="BV329" t="s">
        <v>3463</v>
      </c>
      <c r="BW329" t="s">
        <v>3463</v>
      </c>
      <c r="BX329" t="s">
        <v>79</v>
      </c>
      <c r="BY329" t="s">
        <v>487</v>
      </c>
      <c r="BZ329" t="s">
        <v>79</v>
      </c>
      <c r="CA329" s="10">
        <v>45909</v>
      </c>
    </row>
    <row r="330" spans="1:79">
      <c r="A330">
        <v>336</v>
      </c>
      <c r="B330">
        <v>172</v>
      </c>
      <c r="C330">
        <v>49</v>
      </c>
      <c r="D330" t="s">
        <v>3466</v>
      </c>
      <c r="F330" t="s">
        <v>503</v>
      </c>
      <c r="G330" s="12" t="s">
        <v>3463</v>
      </c>
      <c r="I330">
        <v>64</v>
      </c>
      <c r="J330">
        <v>62</v>
      </c>
      <c r="K330">
        <v>143</v>
      </c>
      <c r="L330">
        <v>89</v>
      </c>
      <c r="M330" t="s">
        <v>72</v>
      </c>
      <c r="N330">
        <v>159</v>
      </c>
      <c r="O330">
        <v>89</v>
      </c>
      <c r="P330" t="s">
        <v>72</v>
      </c>
      <c r="Q330" t="s">
        <v>72</v>
      </c>
      <c r="R330">
        <v>90</v>
      </c>
      <c r="S330">
        <v>155</v>
      </c>
      <c r="T330" s="8">
        <f t="shared" si="10"/>
        <v>37.460978147762745</v>
      </c>
      <c r="U330" s="13" t="str" cm="1">
        <f t="array" ref="U330">IF(T330="","",_xlfn.IFS(T330&lt;18.5,"Bajo peso",T330&lt;25,"Peso normal",T330&lt;30,"Sobrepeso",T330&lt;35,"Obesidad clase I",T330&lt;40,"Obesidad clase II",T330&gt;=40,"Obesidad clase III"))</f>
        <v>Obesidad clase II</v>
      </c>
      <c r="V330">
        <v>110</v>
      </c>
      <c r="X330" t="s">
        <v>3463</v>
      </c>
      <c r="Y330">
        <v>0.75</v>
      </c>
      <c r="AA330">
        <v>90</v>
      </c>
      <c r="AB330" s="9">
        <f t="shared" si="11"/>
        <v>97.535702630369315</v>
      </c>
      <c r="AD330" t="s">
        <v>73</v>
      </c>
      <c r="AF330" t="s">
        <v>73</v>
      </c>
      <c r="AH330" t="s">
        <v>3463</v>
      </c>
      <c r="AI330" t="s">
        <v>3463</v>
      </c>
      <c r="AJ330" t="s">
        <v>3463</v>
      </c>
      <c r="AK330" t="s">
        <v>3463</v>
      </c>
      <c r="AL330" t="s">
        <v>3465</v>
      </c>
      <c r="AM330" t="s">
        <v>910</v>
      </c>
      <c r="AN330" t="s">
        <v>3691</v>
      </c>
      <c r="AP330" t="s">
        <v>3463</v>
      </c>
      <c r="AQ330" t="s">
        <v>159</v>
      </c>
      <c r="AR330" t="s">
        <v>3491</v>
      </c>
      <c r="AV330" t="s">
        <v>74</v>
      </c>
      <c r="AW330" t="s">
        <v>3915</v>
      </c>
      <c r="AX330" t="s">
        <v>3463</v>
      </c>
      <c r="AY330" t="s">
        <v>3465</v>
      </c>
      <c r="AZ330" t="s">
        <v>90</v>
      </c>
      <c r="BF330" t="s">
        <v>3921</v>
      </c>
      <c r="BG330" t="s">
        <v>911</v>
      </c>
      <c r="BH330" t="s">
        <v>4021</v>
      </c>
      <c r="BL330" t="s">
        <v>912</v>
      </c>
      <c r="BP330" t="s">
        <v>4261</v>
      </c>
      <c r="BQ330" t="s">
        <v>3463</v>
      </c>
      <c r="BR330" t="s">
        <v>3465</v>
      </c>
      <c r="BS330" t="s">
        <v>3465</v>
      </c>
      <c r="BT330" t="s">
        <v>3465</v>
      </c>
      <c r="BU330" t="s">
        <v>3463</v>
      </c>
      <c r="BV330" t="s">
        <v>3463</v>
      </c>
      <c r="BW330" t="s">
        <v>3463</v>
      </c>
      <c r="BX330" t="s">
        <v>79</v>
      </c>
      <c r="BY330" t="s">
        <v>79</v>
      </c>
      <c r="BZ330" t="s">
        <v>79</v>
      </c>
      <c r="CA330" s="10">
        <v>45909</v>
      </c>
    </row>
    <row r="331" spans="1:79">
      <c r="A331">
        <v>337</v>
      </c>
      <c r="B331">
        <v>173</v>
      </c>
      <c r="C331">
        <v>60</v>
      </c>
      <c r="D331" t="s">
        <v>3466</v>
      </c>
      <c r="E331" t="s">
        <v>488</v>
      </c>
      <c r="F331" t="s">
        <v>71</v>
      </c>
      <c r="G331" s="12" t="s">
        <v>3463</v>
      </c>
      <c r="I331">
        <v>72</v>
      </c>
      <c r="J331">
        <v>69</v>
      </c>
      <c r="K331">
        <v>151</v>
      </c>
      <c r="L331">
        <v>82</v>
      </c>
      <c r="M331" t="s">
        <v>72</v>
      </c>
      <c r="N331">
        <v>136</v>
      </c>
      <c r="O331">
        <v>75</v>
      </c>
      <c r="P331" t="s">
        <v>82</v>
      </c>
      <c r="Q331" t="s">
        <v>82</v>
      </c>
      <c r="R331">
        <v>61</v>
      </c>
      <c r="S331">
        <v>148</v>
      </c>
      <c r="T331" s="8">
        <f t="shared" si="10"/>
        <v>27.848794740686632</v>
      </c>
      <c r="U331" s="13" t="str" cm="1">
        <f t="array" ref="U331">IF(T331="","",_xlfn.IFS(T331&lt;18.5,"Bajo peso",T331&lt;25,"Peso normal",T331&lt;30,"Sobrepeso",T331&lt;35,"Obesidad clase I",T331&lt;40,"Obesidad clase II",T331&gt;=40,"Obesidad clase III"))</f>
        <v>Sobrepeso</v>
      </c>
      <c r="V331">
        <v>103</v>
      </c>
      <c r="X331" t="s">
        <v>3463</v>
      </c>
      <c r="Y331">
        <v>0.89</v>
      </c>
      <c r="AA331">
        <v>74</v>
      </c>
      <c r="AB331" s="9">
        <f t="shared" si="11"/>
        <v>74.175083093499936</v>
      </c>
      <c r="AD331" t="s">
        <v>73</v>
      </c>
      <c r="AF331" t="s">
        <v>73</v>
      </c>
      <c r="AG331" t="s">
        <v>3465</v>
      </c>
      <c r="AH331" t="s">
        <v>3465</v>
      </c>
      <c r="AI331" t="s">
        <v>3463</v>
      </c>
      <c r="AJ331" t="s">
        <v>3463</v>
      </c>
      <c r="AK331" t="s">
        <v>3463</v>
      </c>
      <c r="AL331" t="s">
        <v>3465</v>
      </c>
      <c r="AM331" t="s">
        <v>489</v>
      </c>
      <c r="AN331" t="s">
        <v>3637</v>
      </c>
      <c r="AP331" t="s">
        <v>3463</v>
      </c>
      <c r="AT331" t="s">
        <v>3465</v>
      </c>
      <c r="AU331" t="s">
        <v>3471</v>
      </c>
      <c r="AV331" t="s">
        <v>178</v>
      </c>
      <c r="AW331" t="s">
        <v>3918</v>
      </c>
      <c r="AX331" t="s">
        <v>3465</v>
      </c>
      <c r="AY331" t="s">
        <v>3465</v>
      </c>
      <c r="AZ331" t="s">
        <v>490</v>
      </c>
      <c r="BF331" t="s">
        <v>3921</v>
      </c>
      <c r="BH331" t="s">
        <v>4020</v>
      </c>
      <c r="BP331" t="s">
        <v>4260</v>
      </c>
      <c r="BQ331" t="s">
        <v>3465</v>
      </c>
      <c r="BR331" t="s">
        <v>3463</v>
      </c>
      <c r="BS331" t="s">
        <v>3463</v>
      </c>
      <c r="BT331" t="s">
        <v>3463</v>
      </c>
      <c r="BU331" t="s">
        <v>3463</v>
      </c>
      <c r="BV331" t="s">
        <v>3463</v>
      </c>
      <c r="BW331" t="s">
        <v>3463</v>
      </c>
      <c r="BX331" t="s">
        <v>79</v>
      </c>
      <c r="BY331" t="s">
        <v>87</v>
      </c>
      <c r="BZ331" t="s">
        <v>79</v>
      </c>
      <c r="CA331" s="10">
        <v>45909</v>
      </c>
    </row>
    <row r="332" spans="1:79">
      <c r="A332">
        <v>338</v>
      </c>
      <c r="B332">
        <v>173</v>
      </c>
      <c r="C332">
        <v>31</v>
      </c>
      <c r="D332" t="s">
        <v>3466</v>
      </c>
      <c r="F332" t="s">
        <v>503</v>
      </c>
      <c r="G332" s="12" t="s">
        <v>3465</v>
      </c>
      <c r="H332" s="12" t="s">
        <v>88</v>
      </c>
      <c r="I332">
        <v>76</v>
      </c>
      <c r="K332">
        <v>132</v>
      </c>
      <c r="L332">
        <v>76</v>
      </c>
      <c r="M332" t="s">
        <v>82</v>
      </c>
      <c r="P332" t="s">
        <v>83</v>
      </c>
      <c r="Q332" t="s">
        <v>82</v>
      </c>
      <c r="R332">
        <v>66.400000000000006</v>
      </c>
      <c r="S332">
        <v>152</v>
      </c>
      <c r="T332" s="8">
        <f t="shared" si="10"/>
        <v>28.739612188365651</v>
      </c>
      <c r="U332" s="13" t="str" cm="1">
        <f t="array" ref="U332">IF(T332="","",_xlfn.IFS(T332&lt;18.5,"Bajo peso",T332&lt;25,"Peso normal",T332&lt;30,"Sobrepeso",T332&lt;35,"Obesidad clase I",T332&lt;40,"Obesidad clase II",T332&gt;=40,"Obesidad clase III"))</f>
        <v>Sobrepeso</v>
      </c>
      <c r="V332">
        <v>84</v>
      </c>
      <c r="X332" t="s">
        <v>3463</v>
      </c>
      <c r="Y332">
        <v>0.61</v>
      </c>
      <c r="AA332">
        <v>90</v>
      </c>
      <c r="AB332" s="9">
        <f t="shared" si="11"/>
        <v>122.50159940945224</v>
      </c>
      <c r="AD332" t="s">
        <v>73</v>
      </c>
      <c r="AF332" t="s">
        <v>73</v>
      </c>
      <c r="AH332" t="s">
        <v>3463</v>
      </c>
      <c r="AI332" t="s">
        <v>3463</v>
      </c>
      <c r="AJ332" t="s">
        <v>3463</v>
      </c>
      <c r="AK332" t="s">
        <v>3463</v>
      </c>
      <c r="AL332" t="s">
        <v>3463</v>
      </c>
      <c r="AO332" t="s">
        <v>3465</v>
      </c>
      <c r="AP332" t="s">
        <v>3465</v>
      </c>
      <c r="AQ332" t="s">
        <v>913</v>
      </c>
      <c r="AR332" t="s">
        <v>3522</v>
      </c>
      <c r="AT332" t="s">
        <v>3463</v>
      </c>
      <c r="AV332" t="s">
        <v>126</v>
      </c>
      <c r="AW332" t="s">
        <v>126</v>
      </c>
      <c r="AX332" t="s">
        <v>3463</v>
      </c>
      <c r="AY332" t="s">
        <v>3463</v>
      </c>
      <c r="BF332" t="s">
        <v>3921</v>
      </c>
      <c r="BH332" t="s">
        <v>4020</v>
      </c>
      <c r="BP332" t="s">
        <v>4260</v>
      </c>
      <c r="BQ332" t="s">
        <v>3463</v>
      </c>
      <c r="BR332" t="s">
        <v>3463</v>
      </c>
      <c r="BS332" t="s">
        <v>3465</v>
      </c>
      <c r="BT332" t="s">
        <v>3465</v>
      </c>
      <c r="BU332" t="s">
        <v>3463</v>
      </c>
      <c r="BV332" t="s">
        <v>3463</v>
      </c>
      <c r="BW332" t="s">
        <v>3463</v>
      </c>
      <c r="BX332" t="s">
        <v>79</v>
      </c>
      <c r="BY332" t="s">
        <v>79</v>
      </c>
      <c r="BZ332" t="s">
        <v>79</v>
      </c>
      <c r="CA332" s="10">
        <v>45909</v>
      </c>
    </row>
    <row r="333" spans="1:79">
      <c r="A333">
        <v>339</v>
      </c>
      <c r="B333">
        <v>174</v>
      </c>
      <c r="C333">
        <v>35</v>
      </c>
      <c r="D333" t="s">
        <v>3462</v>
      </c>
      <c r="F333" t="s">
        <v>503</v>
      </c>
      <c r="G333" s="12" t="s">
        <v>3465</v>
      </c>
      <c r="H333" s="12" t="s">
        <v>88</v>
      </c>
      <c r="I333">
        <v>66</v>
      </c>
      <c r="J333">
        <v>63</v>
      </c>
      <c r="K333">
        <v>154</v>
      </c>
      <c r="L333">
        <v>77</v>
      </c>
      <c r="M333" t="s">
        <v>72</v>
      </c>
      <c r="N333">
        <v>147</v>
      </c>
      <c r="O333">
        <v>82</v>
      </c>
      <c r="P333" t="s">
        <v>72</v>
      </c>
      <c r="Q333" t="s">
        <v>72</v>
      </c>
      <c r="R333">
        <v>79.400000000000006</v>
      </c>
      <c r="S333">
        <v>177</v>
      </c>
      <c r="T333" s="8">
        <f t="shared" si="10"/>
        <v>25.343930543585817</v>
      </c>
      <c r="U333" s="13" t="str" cm="1">
        <f t="array" ref="U333">IF(T333="","",_xlfn.IFS(T333&lt;18.5,"Bajo peso",T333&lt;25,"Peso normal",T333&lt;30,"Sobrepeso",T333&lt;35,"Obesidad clase I",T333&lt;40,"Obesidad clase II",T333&gt;=40,"Obesidad clase III"))</f>
        <v>Sobrepeso</v>
      </c>
      <c r="V333">
        <v>131</v>
      </c>
      <c r="X333" t="s">
        <v>3463</v>
      </c>
      <c r="Y333">
        <v>0.81</v>
      </c>
      <c r="AA333">
        <v>90</v>
      </c>
      <c r="AB333" s="9">
        <f t="shared" si="11"/>
        <v>117.915756300864</v>
      </c>
      <c r="AD333" t="s">
        <v>73</v>
      </c>
      <c r="AF333" t="s">
        <v>73</v>
      </c>
      <c r="AH333" t="s">
        <v>3463</v>
      </c>
      <c r="AI333" t="s">
        <v>3463</v>
      </c>
      <c r="AJ333" t="s">
        <v>3463</v>
      </c>
      <c r="AK333" t="s">
        <v>3463</v>
      </c>
      <c r="AL333" t="s">
        <v>3465</v>
      </c>
      <c r="AM333" t="s">
        <v>914</v>
      </c>
      <c r="AN333" t="s">
        <v>3617</v>
      </c>
      <c r="AP333" t="s">
        <v>3463</v>
      </c>
      <c r="AV333" t="s">
        <v>74</v>
      </c>
      <c r="AW333" t="s">
        <v>3915</v>
      </c>
      <c r="BF333" t="s">
        <v>3921</v>
      </c>
      <c r="BH333" t="s">
        <v>4020</v>
      </c>
      <c r="BP333" t="s">
        <v>4260</v>
      </c>
      <c r="BQ333" t="s">
        <v>3463</v>
      </c>
      <c r="BR333" t="s">
        <v>3465</v>
      </c>
      <c r="BS333" t="s">
        <v>3465</v>
      </c>
      <c r="BT333" t="s">
        <v>3465</v>
      </c>
      <c r="BU333" t="s">
        <v>3463</v>
      </c>
      <c r="BV333" t="s">
        <v>3463</v>
      </c>
      <c r="BW333" t="s">
        <v>3463</v>
      </c>
      <c r="BX333" t="s">
        <v>79</v>
      </c>
      <c r="BY333" t="s">
        <v>79</v>
      </c>
      <c r="BZ333" t="s">
        <v>79</v>
      </c>
      <c r="CA333" s="10">
        <v>45909</v>
      </c>
    </row>
    <row r="334" spans="1:79">
      <c r="A334">
        <v>340</v>
      </c>
      <c r="B334">
        <v>174</v>
      </c>
      <c r="C334">
        <v>21</v>
      </c>
      <c r="D334" t="s">
        <v>3462</v>
      </c>
      <c r="E334" t="s">
        <v>491</v>
      </c>
      <c r="F334" t="s">
        <v>71</v>
      </c>
      <c r="G334" s="12" t="s">
        <v>3463</v>
      </c>
      <c r="I334">
        <v>85</v>
      </c>
      <c r="J334">
        <v>83</v>
      </c>
      <c r="K334">
        <v>145</v>
      </c>
      <c r="L334">
        <v>80</v>
      </c>
      <c r="M334" t="s">
        <v>72</v>
      </c>
      <c r="N334">
        <v>140</v>
      </c>
      <c r="O334">
        <v>79</v>
      </c>
      <c r="P334" t="s">
        <v>72</v>
      </c>
      <c r="Q334" t="s">
        <v>72</v>
      </c>
      <c r="R334">
        <v>82.6</v>
      </c>
      <c r="S334">
        <v>169</v>
      </c>
      <c r="T334" s="8">
        <f t="shared" si="10"/>
        <v>28.920556002941073</v>
      </c>
      <c r="U334" s="13" t="str" cm="1">
        <f t="array" ref="U334">IF(T334="","",_xlfn.IFS(T334&lt;18.5,"Bajo peso",T334&lt;25,"Peso normal",T334&lt;30,"Sobrepeso",T334&lt;35,"Obesidad clase I",T334&lt;40,"Obesidad clase II",T334&gt;=40,"Obesidad clase III"))</f>
        <v>Sobrepeso</v>
      </c>
      <c r="V334">
        <v>84</v>
      </c>
      <c r="X334" t="s">
        <v>3463</v>
      </c>
      <c r="Y334">
        <v>1.05</v>
      </c>
      <c r="AA334">
        <v>90</v>
      </c>
      <c r="AB334" s="9">
        <f t="shared" si="11"/>
        <v>103.56929915614455</v>
      </c>
      <c r="AD334" t="s">
        <v>73</v>
      </c>
      <c r="AF334" t="s">
        <v>73</v>
      </c>
      <c r="AI334" t="s">
        <v>3463</v>
      </c>
      <c r="AJ334" t="s">
        <v>3465</v>
      </c>
      <c r="AK334" t="s">
        <v>3463</v>
      </c>
      <c r="AL334" t="s">
        <v>3463</v>
      </c>
      <c r="AP334" t="s">
        <v>3463</v>
      </c>
      <c r="AQ334" t="s">
        <v>492</v>
      </c>
      <c r="AR334" t="s">
        <v>3514</v>
      </c>
      <c r="AV334" t="s">
        <v>74</v>
      </c>
      <c r="AW334" t="s">
        <v>3915</v>
      </c>
      <c r="BF334" t="s">
        <v>3921</v>
      </c>
      <c r="BH334" t="s">
        <v>4020</v>
      </c>
      <c r="BP334" t="s">
        <v>4260</v>
      </c>
      <c r="BQ334" t="s">
        <v>3465</v>
      </c>
      <c r="BR334" t="s">
        <v>3465</v>
      </c>
      <c r="BS334" t="s">
        <v>3465</v>
      </c>
      <c r="BT334" t="s">
        <v>3465</v>
      </c>
      <c r="BU334" t="s">
        <v>3463</v>
      </c>
      <c r="BV334" t="s">
        <v>3463</v>
      </c>
      <c r="BW334" t="s">
        <v>3463</v>
      </c>
      <c r="BX334" t="s">
        <v>79</v>
      </c>
      <c r="BY334" t="s">
        <v>87</v>
      </c>
      <c r="BZ334" t="s">
        <v>79</v>
      </c>
      <c r="CA334" s="10">
        <v>45909</v>
      </c>
    </row>
    <row r="335" spans="1:79">
      <c r="A335">
        <v>341</v>
      </c>
      <c r="B335">
        <v>175</v>
      </c>
      <c r="C335">
        <v>50</v>
      </c>
      <c r="D335" t="s">
        <v>3466</v>
      </c>
      <c r="E335" t="s">
        <v>122</v>
      </c>
      <c r="F335" t="s">
        <v>71</v>
      </c>
      <c r="G335" s="12" t="s">
        <v>3465</v>
      </c>
      <c r="H335" t="s">
        <v>88</v>
      </c>
      <c r="I335">
        <v>75</v>
      </c>
      <c r="J335">
        <v>75</v>
      </c>
      <c r="K335">
        <v>164</v>
      </c>
      <c r="L335">
        <v>96</v>
      </c>
      <c r="M335" t="s">
        <v>72</v>
      </c>
      <c r="N335">
        <v>161</v>
      </c>
      <c r="O335">
        <v>99</v>
      </c>
      <c r="P335" t="s">
        <v>72</v>
      </c>
      <c r="Q335" t="s">
        <v>72</v>
      </c>
      <c r="R335">
        <v>96.1</v>
      </c>
      <c r="S335">
        <v>156</v>
      </c>
      <c r="T335" s="8">
        <f t="shared" si="10"/>
        <v>39.48882314266929</v>
      </c>
      <c r="U335" s="13" t="str" cm="1">
        <f t="array" ref="U335">IF(T335="","",_xlfn.IFS(T335&lt;18.5,"Bajo peso",T335&lt;25,"Peso normal",T335&lt;30,"Sobrepeso",T335&lt;35,"Obesidad clase I",T335&lt;40,"Obesidad clase II",T335&gt;=40,"Obesidad clase III"))</f>
        <v>Obesidad clase II</v>
      </c>
      <c r="V335">
        <v>125</v>
      </c>
      <c r="X335" t="s">
        <v>3463</v>
      </c>
      <c r="Y335">
        <v>0.84</v>
      </c>
      <c r="AA335">
        <v>85</v>
      </c>
      <c r="AB335" s="9">
        <f t="shared" si="11"/>
        <v>84.605964764552439</v>
      </c>
      <c r="AD335" t="s">
        <v>73</v>
      </c>
      <c r="AF335" t="s">
        <v>73</v>
      </c>
      <c r="AH335" t="s">
        <v>3463</v>
      </c>
      <c r="AI335" t="s">
        <v>3463</v>
      </c>
      <c r="AJ335" t="s">
        <v>3463</v>
      </c>
      <c r="AK335" t="s">
        <v>3463</v>
      </c>
      <c r="AL335" t="s">
        <v>3465</v>
      </c>
      <c r="AM335" t="s">
        <v>493</v>
      </c>
      <c r="AN335" t="s">
        <v>3638</v>
      </c>
      <c r="AO335" t="s">
        <v>3465</v>
      </c>
      <c r="AP335" t="s">
        <v>3465</v>
      </c>
      <c r="AQ335" t="s">
        <v>494</v>
      </c>
      <c r="AR335" t="s">
        <v>3488</v>
      </c>
      <c r="AT335" t="s">
        <v>3465</v>
      </c>
      <c r="AV335" t="s">
        <v>126</v>
      </c>
      <c r="AW335" t="s">
        <v>126</v>
      </c>
      <c r="AX335" t="s">
        <v>3463</v>
      </c>
      <c r="AY335" t="s">
        <v>3465</v>
      </c>
      <c r="BF335" t="s">
        <v>3921</v>
      </c>
      <c r="BH335" t="s">
        <v>4020</v>
      </c>
      <c r="BP335" t="s">
        <v>4260</v>
      </c>
      <c r="BQ335" t="s">
        <v>3463</v>
      </c>
      <c r="BR335" t="s">
        <v>3463</v>
      </c>
      <c r="BS335" t="s">
        <v>3463</v>
      </c>
      <c r="BT335" t="s">
        <v>3463</v>
      </c>
      <c r="BU335" t="s">
        <v>3463</v>
      </c>
      <c r="BV335" t="s">
        <v>3463</v>
      </c>
      <c r="BW335" t="s">
        <v>3463</v>
      </c>
      <c r="BX335" t="s">
        <v>79</v>
      </c>
      <c r="BY335" t="s">
        <v>87</v>
      </c>
      <c r="BZ335" t="s">
        <v>79</v>
      </c>
      <c r="CA335" s="10">
        <v>45909</v>
      </c>
    </row>
    <row r="336" spans="1:79">
      <c r="A336">
        <v>342</v>
      </c>
      <c r="B336">
        <v>175</v>
      </c>
      <c r="C336">
        <v>77</v>
      </c>
      <c r="D336" t="s">
        <v>3466</v>
      </c>
      <c r="E336" t="s">
        <v>449</v>
      </c>
      <c r="F336" t="s">
        <v>503</v>
      </c>
      <c r="G336" s="12" t="s">
        <v>3463</v>
      </c>
      <c r="H336" s="12"/>
      <c r="I336">
        <v>73</v>
      </c>
      <c r="J336">
        <v>71</v>
      </c>
      <c r="K336">
        <v>215</v>
      </c>
      <c r="L336">
        <v>84</v>
      </c>
      <c r="M336" t="s">
        <v>96</v>
      </c>
      <c r="N336">
        <v>215</v>
      </c>
      <c r="O336">
        <v>85</v>
      </c>
      <c r="P336" t="s">
        <v>96</v>
      </c>
      <c r="Q336" t="s">
        <v>96</v>
      </c>
      <c r="R336">
        <v>79.5</v>
      </c>
      <c r="S336">
        <v>149</v>
      </c>
      <c r="T336" s="8">
        <f t="shared" si="10"/>
        <v>35.809197783883612</v>
      </c>
      <c r="U336" s="13" t="str" cm="1">
        <f t="array" ref="U336">IF(T336="","",_xlfn.IFS(T336&lt;18.5,"Bajo peso",T336&lt;25,"Peso normal",T336&lt;30,"Sobrepeso",T336&lt;35,"Obesidad clase I",T336&lt;40,"Obesidad clase II",T336&gt;=40,"Obesidad clase III"))</f>
        <v>Obesidad clase II</v>
      </c>
      <c r="V336">
        <v>110</v>
      </c>
      <c r="X336" t="s">
        <v>3463</v>
      </c>
      <c r="Y336">
        <v>1.33</v>
      </c>
      <c r="AA336">
        <v>41</v>
      </c>
      <c r="AB336" s="9">
        <f t="shared" si="11"/>
        <v>41.208513748480343</v>
      </c>
      <c r="AD336" t="s">
        <v>218</v>
      </c>
      <c r="AF336" t="s">
        <v>218</v>
      </c>
      <c r="AG336" t="s">
        <v>3465</v>
      </c>
      <c r="AH336" t="s">
        <v>3465</v>
      </c>
      <c r="AI336" t="s">
        <v>3465</v>
      </c>
      <c r="AJ336" t="s">
        <v>3465</v>
      </c>
      <c r="AK336" t="s">
        <v>3463</v>
      </c>
      <c r="AL336" t="s">
        <v>3465</v>
      </c>
      <c r="AM336" t="s">
        <v>915</v>
      </c>
      <c r="AN336" t="s">
        <v>3692</v>
      </c>
      <c r="AO336" t="s">
        <v>3465</v>
      </c>
      <c r="AP336" t="s">
        <v>3465</v>
      </c>
      <c r="AQ336" t="s">
        <v>868</v>
      </c>
      <c r="AR336" t="s">
        <v>3491</v>
      </c>
      <c r="AS336" t="s">
        <v>3465</v>
      </c>
      <c r="AT336" t="s">
        <v>3463</v>
      </c>
      <c r="AV336" t="s">
        <v>178</v>
      </c>
      <c r="AW336" t="s">
        <v>3918</v>
      </c>
      <c r="AX336" t="s">
        <v>3463</v>
      </c>
      <c r="AY336" t="s">
        <v>3463</v>
      </c>
      <c r="BA336" t="s">
        <v>3920</v>
      </c>
      <c r="BE336" t="s">
        <v>916</v>
      </c>
      <c r="BF336" t="s">
        <v>3939</v>
      </c>
      <c r="BG336" t="s">
        <v>917</v>
      </c>
      <c r="BH336" t="s">
        <v>4114</v>
      </c>
      <c r="BI336" t="s">
        <v>411</v>
      </c>
      <c r="BK336" t="s">
        <v>918</v>
      </c>
      <c r="BL336" t="s">
        <v>919</v>
      </c>
      <c r="BP336" t="s">
        <v>4388</v>
      </c>
      <c r="BQ336" t="s">
        <v>3463</v>
      </c>
      <c r="BR336" t="s">
        <v>3465</v>
      </c>
      <c r="BS336" t="s">
        <v>3463</v>
      </c>
      <c r="BT336" t="s">
        <v>3463</v>
      </c>
      <c r="BU336" t="s">
        <v>3463</v>
      </c>
      <c r="BV336" t="s">
        <v>3463</v>
      </c>
      <c r="BW336" t="s">
        <v>3463</v>
      </c>
      <c r="BX336" t="s">
        <v>79</v>
      </c>
      <c r="BY336" t="s">
        <v>79</v>
      </c>
      <c r="BZ336" t="s">
        <v>79</v>
      </c>
      <c r="CA336" s="10">
        <v>45909</v>
      </c>
    </row>
    <row r="337" spans="1:79">
      <c r="A337">
        <v>343</v>
      </c>
      <c r="B337">
        <v>176</v>
      </c>
      <c r="C337">
        <v>53</v>
      </c>
      <c r="D337" t="s">
        <v>3466</v>
      </c>
      <c r="E337" t="s">
        <v>495</v>
      </c>
      <c r="F337" t="s">
        <v>71</v>
      </c>
      <c r="G337" s="12" t="s">
        <v>3465</v>
      </c>
      <c r="H337" s="12" t="s">
        <v>88</v>
      </c>
      <c r="I337">
        <v>70</v>
      </c>
      <c r="K337">
        <v>134</v>
      </c>
      <c r="L337">
        <v>78</v>
      </c>
      <c r="M337" t="s">
        <v>82</v>
      </c>
      <c r="P337" t="s">
        <v>83</v>
      </c>
      <c r="Q337" t="s">
        <v>82</v>
      </c>
      <c r="R337">
        <v>77.5</v>
      </c>
      <c r="S337">
        <v>156</v>
      </c>
      <c r="T337" s="8">
        <f t="shared" si="10"/>
        <v>31.845825115055884</v>
      </c>
      <c r="U337" s="13" t="str" cm="1">
        <f t="array" ref="U337">IF(T337="","",_xlfn.IFS(T337&lt;18.5,"Bajo peso",T337&lt;25,"Peso normal",T337&lt;30,"Sobrepeso",T337&lt;35,"Obesidad clase I",T337&lt;40,"Obesidad clase II",T337&gt;=40,"Obesidad clase III"))</f>
        <v>Obesidad clase I</v>
      </c>
      <c r="V337">
        <v>99</v>
      </c>
      <c r="X337" t="s">
        <v>3463</v>
      </c>
      <c r="Y337">
        <v>0.94</v>
      </c>
      <c r="AA337">
        <v>72</v>
      </c>
      <c r="AB337" s="9">
        <f t="shared" si="11"/>
        <v>72.557060237262391</v>
      </c>
      <c r="AD337" t="s">
        <v>73</v>
      </c>
      <c r="AF337" t="s">
        <v>73</v>
      </c>
      <c r="AH337" t="s">
        <v>3463</v>
      </c>
      <c r="AI337" t="s">
        <v>3463</v>
      </c>
      <c r="AJ337" t="s">
        <v>3465</v>
      </c>
      <c r="AK337" t="s">
        <v>3463</v>
      </c>
      <c r="AL337" t="s">
        <v>3463</v>
      </c>
      <c r="AO337" t="s">
        <v>3463</v>
      </c>
      <c r="AP337" t="s">
        <v>3465</v>
      </c>
      <c r="AT337" t="s">
        <v>3465</v>
      </c>
      <c r="AU337" t="s">
        <v>80</v>
      </c>
      <c r="AV337" t="s">
        <v>74</v>
      </c>
      <c r="AW337" t="s">
        <v>3915</v>
      </c>
      <c r="AX337" t="s">
        <v>3463</v>
      </c>
      <c r="AY337" t="s">
        <v>3465</v>
      </c>
      <c r="AZ337" t="s">
        <v>247</v>
      </c>
      <c r="BF337" t="s">
        <v>3921</v>
      </c>
      <c r="BH337" t="s">
        <v>4020</v>
      </c>
      <c r="BP337" t="s">
        <v>4260</v>
      </c>
      <c r="BQ337" t="s">
        <v>3463</v>
      </c>
      <c r="BR337" t="s">
        <v>3465</v>
      </c>
      <c r="BT337" t="s">
        <v>3463</v>
      </c>
      <c r="BU337" t="s">
        <v>3463</v>
      </c>
      <c r="BV337" t="s">
        <v>3463</v>
      </c>
      <c r="BW337" t="s">
        <v>3463</v>
      </c>
      <c r="BX337" t="s">
        <v>79</v>
      </c>
      <c r="BY337" t="s">
        <v>87</v>
      </c>
      <c r="BZ337" t="s">
        <v>79</v>
      </c>
      <c r="CA337" s="10">
        <v>45909</v>
      </c>
    </row>
    <row r="338" spans="1:79">
      <c r="A338">
        <v>344</v>
      </c>
      <c r="B338">
        <v>176</v>
      </c>
      <c r="C338">
        <v>64</v>
      </c>
      <c r="D338" t="s">
        <v>3466</v>
      </c>
      <c r="F338" t="s">
        <v>503</v>
      </c>
      <c r="G338" s="12" t="s">
        <v>3463</v>
      </c>
      <c r="H338" s="12"/>
      <c r="I338">
        <v>84</v>
      </c>
      <c r="J338">
        <v>84</v>
      </c>
      <c r="K338">
        <v>153</v>
      </c>
      <c r="L338">
        <v>84</v>
      </c>
      <c r="M338" t="s">
        <v>72</v>
      </c>
      <c r="N338">
        <v>141</v>
      </c>
      <c r="O338">
        <v>82</v>
      </c>
      <c r="P338" t="s">
        <v>72</v>
      </c>
      <c r="Q338" t="s">
        <v>72</v>
      </c>
      <c r="R338">
        <v>86.3</v>
      </c>
      <c r="S338">
        <v>158</v>
      </c>
      <c r="T338" s="8">
        <f t="shared" si="10"/>
        <v>34.569780483896807</v>
      </c>
      <c r="U338" s="13" t="str" cm="1">
        <f t="array" ref="U338">IF(T338="","",_xlfn.IFS(T338&lt;18.5,"Bajo peso",T338&lt;25,"Peso normal",T338&lt;30,"Sobrepeso",T338&lt;35,"Obesidad clase I",T338&lt;40,"Obesidad clase II",T338&gt;=40,"Obesidad clase III"))</f>
        <v>Obesidad clase I</v>
      </c>
      <c r="V338">
        <v>89</v>
      </c>
      <c r="X338" t="s">
        <v>3463</v>
      </c>
      <c r="Y338">
        <v>1.06</v>
      </c>
      <c r="AA338">
        <v>59</v>
      </c>
      <c r="AB338" s="9">
        <f t="shared" si="11"/>
        <v>58.661745416214018</v>
      </c>
      <c r="AD338" t="s">
        <v>158</v>
      </c>
      <c r="AF338" t="s">
        <v>158</v>
      </c>
      <c r="AH338" t="s">
        <v>3463</v>
      </c>
      <c r="AI338" t="s">
        <v>3465</v>
      </c>
      <c r="AJ338" t="s">
        <v>3463</v>
      </c>
      <c r="AK338" t="s">
        <v>3463</v>
      </c>
      <c r="AL338" t="s">
        <v>3463</v>
      </c>
      <c r="AP338" t="s">
        <v>3463</v>
      </c>
      <c r="AQ338" t="s">
        <v>169</v>
      </c>
      <c r="AR338" t="s">
        <v>3493</v>
      </c>
      <c r="AS338" t="s">
        <v>3465</v>
      </c>
      <c r="AT338" t="s">
        <v>3465</v>
      </c>
      <c r="AU338" t="s">
        <v>80</v>
      </c>
      <c r="AV338" t="s">
        <v>74</v>
      </c>
      <c r="AW338" t="s">
        <v>3915</v>
      </c>
      <c r="AX338" t="s">
        <v>3463</v>
      </c>
      <c r="AY338" t="s">
        <v>3465</v>
      </c>
      <c r="AZ338" t="s">
        <v>90</v>
      </c>
      <c r="BA338" t="s">
        <v>3920</v>
      </c>
      <c r="BE338" t="s">
        <v>920</v>
      </c>
      <c r="BF338" t="s">
        <v>3940</v>
      </c>
      <c r="BH338" t="s">
        <v>4027</v>
      </c>
      <c r="BI338" t="s">
        <v>921</v>
      </c>
      <c r="BK338" t="s">
        <v>922</v>
      </c>
      <c r="BL338" t="s">
        <v>923</v>
      </c>
      <c r="BP338" t="s">
        <v>4389</v>
      </c>
      <c r="BQ338" t="s">
        <v>3463</v>
      </c>
      <c r="BR338" t="s">
        <v>3465</v>
      </c>
      <c r="BS338" t="s">
        <v>3463</v>
      </c>
      <c r="BT338" t="s">
        <v>3465</v>
      </c>
      <c r="BU338" t="s">
        <v>3463</v>
      </c>
      <c r="BV338" t="s">
        <v>3463</v>
      </c>
      <c r="BW338" t="s">
        <v>3463</v>
      </c>
      <c r="BX338" t="s">
        <v>518</v>
      </c>
      <c r="BY338" t="s">
        <v>79</v>
      </c>
      <c r="BZ338" t="s">
        <v>79</v>
      </c>
      <c r="CA338" s="10">
        <v>45909</v>
      </c>
    </row>
    <row r="339" spans="1:79">
      <c r="A339">
        <v>345</v>
      </c>
      <c r="B339">
        <v>177</v>
      </c>
      <c r="C339">
        <v>45</v>
      </c>
      <c r="D339" t="s">
        <v>3466</v>
      </c>
      <c r="E339" t="s">
        <v>122</v>
      </c>
      <c r="F339" t="s">
        <v>71</v>
      </c>
      <c r="G339" s="12" t="s">
        <v>3465</v>
      </c>
      <c r="H339" s="12" t="s">
        <v>88</v>
      </c>
      <c r="I339">
        <v>77</v>
      </c>
      <c r="J339">
        <v>76</v>
      </c>
      <c r="K339">
        <v>153</v>
      </c>
      <c r="L339">
        <v>87</v>
      </c>
      <c r="M339" t="s">
        <v>72</v>
      </c>
      <c r="N339">
        <v>136</v>
      </c>
      <c r="O339">
        <v>76</v>
      </c>
      <c r="P339" t="s">
        <v>82</v>
      </c>
      <c r="Q339" t="s">
        <v>82</v>
      </c>
      <c r="R339">
        <v>86.8</v>
      </c>
      <c r="S339">
        <v>161</v>
      </c>
      <c r="T339" s="8">
        <f t="shared" si="10"/>
        <v>33.48636240885768</v>
      </c>
      <c r="U339" s="13" t="str" cm="1">
        <f t="array" ref="U339">IF(T339="","",_xlfn.IFS(T339&lt;18.5,"Bajo peso",T339&lt;25,"Peso normal",T339&lt;30,"Sobrepeso",T339&lt;35,"Obesidad clase I",T339&lt;40,"Obesidad clase II",T339&gt;=40,"Obesidad clase III"))</f>
        <v>Obesidad clase I</v>
      </c>
      <c r="V339">
        <v>77</v>
      </c>
      <c r="X339" t="s">
        <v>3463</v>
      </c>
      <c r="Y339">
        <v>0.54</v>
      </c>
      <c r="AA339">
        <v>90</v>
      </c>
      <c r="AB339" s="9">
        <f t="shared" si="11"/>
        <v>115.63391955472169</v>
      </c>
      <c r="AD339" t="s">
        <v>73</v>
      </c>
      <c r="AF339" t="s">
        <v>73</v>
      </c>
      <c r="AH339" t="s">
        <v>3463</v>
      </c>
      <c r="AI339" t="s">
        <v>3463</v>
      </c>
      <c r="AJ339" t="s">
        <v>3463</v>
      </c>
      <c r="AK339" t="s">
        <v>3465</v>
      </c>
      <c r="AL339" t="s">
        <v>3463</v>
      </c>
      <c r="AO339" t="s">
        <v>3463</v>
      </c>
      <c r="AP339" t="s">
        <v>3465</v>
      </c>
      <c r="AQ339" t="s">
        <v>496</v>
      </c>
      <c r="AR339" t="s">
        <v>3513</v>
      </c>
      <c r="AT339" t="s">
        <v>3463</v>
      </c>
      <c r="AV339" t="s">
        <v>126</v>
      </c>
      <c r="AW339" t="s">
        <v>126</v>
      </c>
      <c r="AX339" t="s">
        <v>3465</v>
      </c>
      <c r="AY339" t="s">
        <v>3463</v>
      </c>
      <c r="BF339" t="s">
        <v>3921</v>
      </c>
      <c r="BH339" t="s">
        <v>4020</v>
      </c>
      <c r="BP339" t="s">
        <v>4260</v>
      </c>
      <c r="BQ339" t="s">
        <v>3465</v>
      </c>
      <c r="BR339" t="s">
        <v>3463</v>
      </c>
      <c r="BS339" t="s">
        <v>3463</v>
      </c>
      <c r="BT339" t="s">
        <v>3465</v>
      </c>
      <c r="BU339" t="s">
        <v>3463</v>
      </c>
      <c r="BV339" t="s">
        <v>3463</v>
      </c>
      <c r="BW339" t="s">
        <v>3463</v>
      </c>
      <c r="BX339" t="s">
        <v>79</v>
      </c>
      <c r="BY339" t="s">
        <v>87</v>
      </c>
      <c r="BZ339" t="s">
        <v>79</v>
      </c>
      <c r="CA339" s="10">
        <v>45909</v>
      </c>
    </row>
    <row r="340" spans="1:79">
      <c r="A340">
        <v>346</v>
      </c>
      <c r="B340">
        <v>177</v>
      </c>
      <c r="C340">
        <v>28</v>
      </c>
      <c r="D340" t="s">
        <v>3462</v>
      </c>
      <c r="F340" t="s">
        <v>503</v>
      </c>
      <c r="G340" s="12" t="s">
        <v>3465</v>
      </c>
      <c r="H340" t="s">
        <v>88</v>
      </c>
      <c r="I340">
        <v>60</v>
      </c>
      <c r="K340">
        <v>122</v>
      </c>
      <c r="L340">
        <v>75</v>
      </c>
      <c r="M340" t="s">
        <v>118</v>
      </c>
      <c r="P340" t="s">
        <v>83</v>
      </c>
      <c r="Q340" t="s">
        <v>118</v>
      </c>
      <c r="R340">
        <v>83.5</v>
      </c>
      <c r="S340">
        <v>179</v>
      </c>
      <c r="T340" s="8">
        <f t="shared" si="10"/>
        <v>26.060360163540466</v>
      </c>
      <c r="U340" s="13" t="str" cm="1">
        <f t="array" ref="U340">IF(T340="","",_xlfn.IFS(T340&lt;18.5,"Bajo peso",T340&lt;25,"Peso normal",T340&lt;30,"Sobrepeso",T340&lt;35,"Obesidad clase I",T340&lt;40,"Obesidad clase II",T340&gt;=40,"Obesidad clase III"))</f>
        <v>Sobrepeso</v>
      </c>
      <c r="V340">
        <v>3</v>
      </c>
      <c r="X340" t="s">
        <v>3463</v>
      </c>
      <c r="Y340">
        <v>0.77</v>
      </c>
      <c r="AA340">
        <v>90</v>
      </c>
      <c r="AB340" s="9">
        <f t="shared" si="11"/>
        <v>125.06079084596884</v>
      </c>
      <c r="AD340" t="s">
        <v>73</v>
      </c>
      <c r="AF340" t="s">
        <v>73</v>
      </c>
      <c r="AH340" t="s">
        <v>3463</v>
      </c>
      <c r="AI340" t="s">
        <v>3463</v>
      </c>
      <c r="AJ340" t="s">
        <v>3463</v>
      </c>
      <c r="AK340" t="s">
        <v>3463</v>
      </c>
      <c r="AL340" t="s">
        <v>3463</v>
      </c>
      <c r="AP340" t="s">
        <v>3463</v>
      </c>
      <c r="AQ340" t="s">
        <v>136</v>
      </c>
      <c r="AR340" t="s">
        <v>3488</v>
      </c>
      <c r="AV340" t="s">
        <v>126</v>
      </c>
      <c r="AW340" t="s">
        <v>126</v>
      </c>
      <c r="BF340" t="s">
        <v>3921</v>
      </c>
      <c r="BH340" t="s">
        <v>4020</v>
      </c>
      <c r="BP340" t="s">
        <v>4260</v>
      </c>
      <c r="BQ340" t="s">
        <v>3465</v>
      </c>
      <c r="BR340" t="s">
        <v>3465</v>
      </c>
      <c r="BS340" t="s">
        <v>3463</v>
      </c>
      <c r="BT340" t="s">
        <v>3465</v>
      </c>
      <c r="BU340" t="s">
        <v>3463</v>
      </c>
      <c r="BV340" t="s">
        <v>3463</v>
      </c>
      <c r="BW340" t="s">
        <v>3463</v>
      </c>
      <c r="BX340" t="s">
        <v>79</v>
      </c>
      <c r="BY340" t="s">
        <v>79</v>
      </c>
      <c r="BZ340" t="s">
        <v>79</v>
      </c>
      <c r="CA340" s="10">
        <v>45909</v>
      </c>
    </row>
    <row r="341" spans="1:79">
      <c r="A341">
        <v>347</v>
      </c>
      <c r="B341">
        <v>178</v>
      </c>
      <c r="C341">
        <v>42</v>
      </c>
      <c r="D341" t="s">
        <v>3466</v>
      </c>
      <c r="E341" t="s">
        <v>497</v>
      </c>
      <c r="F341" t="s">
        <v>71</v>
      </c>
      <c r="G341" s="12" t="s">
        <v>3463</v>
      </c>
      <c r="I341">
        <v>69</v>
      </c>
      <c r="K341">
        <v>111</v>
      </c>
      <c r="L341">
        <v>82</v>
      </c>
      <c r="M341" t="s">
        <v>82</v>
      </c>
      <c r="P341" t="s">
        <v>83</v>
      </c>
      <c r="Q341" t="s">
        <v>82</v>
      </c>
      <c r="R341">
        <v>77.7</v>
      </c>
      <c r="S341">
        <v>154</v>
      </c>
      <c r="T341" s="8">
        <f t="shared" si="10"/>
        <v>32.762691853600948</v>
      </c>
      <c r="U341" s="13" t="str" cm="1">
        <f t="array" ref="U341">IF(T341="","",_xlfn.IFS(T341&lt;18.5,"Bajo peso",T341&lt;25,"Peso normal",T341&lt;30,"Sobrepeso",T341&lt;35,"Obesidad clase I",T341&lt;40,"Obesidad clase II",T341&gt;=40,"Obesidad clase III"))</f>
        <v>Obesidad clase I</v>
      </c>
      <c r="V341">
        <v>95</v>
      </c>
      <c r="X341" t="s">
        <v>3463</v>
      </c>
      <c r="Y341">
        <v>1.02</v>
      </c>
      <c r="AA341">
        <v>71</v>
      </c>
      <c r="AB341" s="9">
        <f t="shared" si="11"/>
        <v>70.440751399612225</v>
      </c>
      <c r="AD341" t="s">
        <v>73</v>
      </c>
      <c r="AF341" t="s">
        <v>73</v>
      </c>
      <c r="AH341" t="s">
        <v>3463</v>
      </c>
      <c r="AI341" t="s">
        <v>3463</v>
      </c>
      <c r="AJ341" t="s">
        <v>3463</v>
      </c>
      <c r="AK341" t="s">
        <v>3463</v>
      </c>
      <c r="AL341" t="s">
        <v>3463</v>
      </c>
      <c r="AP341" t="s">
        <v>3463</v>
      </c>
      <c r="AQ341" t="s">
        <v>296</v>
      </c>
      <c r="AR341" t="s">
        <v>3493</v>
      </c>
      <c r="AT341" t="s">
        <v>3465</v>
      </c>
      <c r="AV341" t="s">
        <v>112</v>
      </c>
      <c r="AW341" t="s">
        <v>3917</v>
      </c>
      <c r="AX341" t="s">
        <v>3463</v>
      </c>
      <c r="AY341" t="s">
        <v>3465</v>
      </c>
      <c r="BF341" t="s">
        <v>3921</v>
      </c>
      <c r="BH341" t="s">
        <v>4020</v>
      </c>
      <c r="BP341" t="s">
        <v>4260</v>
      </c>
      <c r="BQ341" t="s">
        <v>3463</v>
      </c>
      <c r="BR341" t="s">
        <v>3463</v>
      </c>
      <c r="BS341" t="s">
        <v>3465</v>
      </c>
      <c r="BT341" t="s">
        <v>3465</v>
      </c>
      <c r="BU341" t="s">
        <v>3463</v>
      </c>
      <c r="BV341" t="s">
        <v>3463</v>
      </c>
      <c r="BW341" t="s">
        <v>3463</v>
      </c>
      <c r="BX341" t="s">
        <v>79</v>
      </c>
      <c r="BY341" t="s">
        <v>87</v>
      </c>
      <c r="BZ341" t="s">
        <v>79</v>
      </c>
      <c r="CA341" s="10">
        <v>45909</v>
      </c>
    </row>
    <row r="342" spans="1:79">
      <c r="A342">
        <v>348</v>
      </c>
      <c r="B342">
        <v>178</v>
      </c>
      <c r="C342">
        <v>23</v>
      </c>
      <c r="D342" t="s">
        <v>3466</v>
      </c>
      <c r="F342" t="s">
        <v>503</v>
      </c>
      <c r="G342" s="12" t="s">
        <v>3463</v>
      </c>
      <c r="I342">
        <v>87</v>
      </c>
      <c r="J342">
        <v>88</v>
      </c>
      <c r="K342">
        <v>146</v>
      </c>
      <c r="L342">
        <v>85</v>
      </c>
      <c r="M342" t="s">
        <v>72</v>
      </c>
      <c r="N342">
        <v>149</v>
      </c>
      <c r="O342">
        <v>73</v>
      </c>
      <c r="P342" t="s">
        <v>72</v>
      </c>
      <c r="Q342" t="s">
        <v>72</v>
      </c>
      <c r="R342">
        <v>83.5</v>
      </c>
      <c r="S342">
        <v>158.5</v>
      </c>
      <c r="T342" s="8">
        <f t="shared" si="10"/>
        <v>33.237468777677158</v>
      </c>
      <c r="U342" s="13" t="str" cm="1">
        <f t="array" ref="U342">IF(T342="","",_xlfn.IFS(T342&lt;18.5,"Bajo peso",T342&lt;25,"Peso normal",T342&lt;30,"Sobrepeso",T342&lt;35,"Obesidad clase I",T342&lt;40,"Obesidad clase II",T342&gt;=40,"Obesidad clase III"))</f>
        <v>Obesidad clase I</v>
      </c>
      <c r="V342">
        <v>100</v>
      </c>
      <c r="X342" t="s">
        <v>3463</v>
      </c>
      <c r="Y342">
        <v>0.69</v>
      </c>
      <c r="AA342">
        <v>90</v>
      </c>
      <c r="AB342" s="9">
        <f t="shared" si="11"/>
        <v>124.98321127380899</v>
      </c>
      <c r="AD342" t="s">
        <v>73</v>
      </c>
      <c r="AF342" t="s">
        <v>73</v>
      </c>
      <c r="AH342" t="s">
        <v>3463</v>
      </c>
      <c r="AI342" t="s">
        <v>3463</v>
      </c>
      <c r="AJ342" t="s">
        <v>3463</v>
      </c>
      <c r="AK342" t="s">
        <v>3463</v>
      </c>
      <c r="AL342" t="s">
        <v>3463</v>
      </c>
      <c r="AP342" t="s">
        <v>3463</v>
      </c>
      <c r="AQ342" t="s">
        <v>159</v>
      </c>
      <c r="AR342" t="s">
        <v>3491</v>
      </c>
      <c r="AV342" t="s">
        <v>74</v>
      </c>
      <c r="AW342" t="s">
        <v>3915</v>
      </c>
      <c r="AX342" t="s">
        <v>3463</v>
      </c>
      <c r="AY342" t="s">
        <v>3463</v>
      </c>
      <c r="AZ342" t="s">
        <v>924</v>
      </c>
      <c r="BF342" t="s">
        <v>3921</v>
      </c>
      <c r="BH342" t="s">
        <v>4020</v>
      </c>
      <c r="BP342" t="s">
        <v>4260</v>
      </c>
      <c r="BQ342" t="s">
        <v>3463</v>
      </c>
      <c r="BR342" t="s">
        <v>3465</v>
      </c>
      <c r="BS342" t="s">
        <v>3465</v>
      </c>
      <c r="BT342" t="s">
        <v>3465</v>
      </c>
      <c r="BU342" t="s">
        <v>3463</v>
      </c>
      <c r="BV342" t="s">
        <v>3463</v>
      </c>
      <c r="BW342" t="s">
        <v>3463</v>
      </c>
      <c r="BX342" t="s">
        <v>79</v>
      </c>
      <c r="BY342" t="s">
        <v>79</v>
      </c>
      <c r="BZ342" t="s">
        <v>79</v>
      </c>
      <c r="CA342" s="10">
        <v>45909</v>
      </c>
    </row>
    <row r="343" spans="1:79">
      <c r="A343">
        <v>349</v>
      </c>
      <c r="B343">
        <v>179</v>
      </c>
      <c r="C343">
        <v>47</v>
      </c>
      <c r="D343" t="s">
        <v>3466</v>
      </c>
      <c r="F343" t="s">
        <v>71</v>
      </c>
      <c r="G343" s="12" t="s">
        <v>3463</v>
      </c>
      <c r="I343">
        <v>78</v>
      </c>
      <c r="K343">
        <v>132</v>
      </c>
      <c r="L343">
        <v>74</v>
      </c>
      <c r="M343" t="s">
        <v>82</v>
      </c>
      <c r="P343" t="s">
        <v>83</v>
      </c>
      <c r="Q343" t="s">
        <v>82</v>
      </c>
      <c r="R343">
        <v>71.2</v>
      </c>
      <c r="S343">
        <v>164</v>
      </c>
      <c r="T343" s="8">
        <f t="shared" si="10"/>
        <v>26.472337894110648</v>
      </c>
      <c r="U343" s="13" t="str" cm="1">
        <f t="array" ref="U343">IF(T343="","",_xlfn.IFS(T343&lt;18.5,"Bajo peso",T343&lt;25,"Peso normal",T343&lt;30,"Sobrepeso",T343&lt;35,"Obesidad clase I",T343&lt;40,"Obesidad clase II",T343&gt;=40,"Obesidad clase III"))</f>
        <v>Sobrepeso</v>
      </c>
      <c r="V343">
        <v>107</v>
      </c>
      <c r="X343" t="s">
        <v>3463</v>
      </c>
      <c r="Y343">
        <v>0.8</v>
      </c>
      <c r="AA343">
        <v>90</v>
      </c>
      <c r="AB343" s="9">
        <f t="shared" si="11"/>
        <v>91.39683648165483</v>
      </c>
      <c r="AD343" t="s">
        <v>73</v>
      </c>
      <c r="AF343" t="s">
        <v>73</v>
      </c>
      <c r="AH343" t="s">
        <v>3463</v>
      </c>
      <c r="AI343" t="s">
        <v>3463</v>
      </c>
      <c r="AJ343" t="s">
        <v>3463</v>
      </c>
      <c r="AK343" t="s">
        <v>3463</v>
      </c>
      <c r="AL343" t="s">
        <v>3465</v>
      </c>
      <c r="AM343" t="s">
        <v>498</v>
      </c>
      <c r="AN343" t="s">
        <v>3639</v>
      </c>
      <c r="AP343" t="s">
        <v>3463</v>
      </c>
      <c r="AQ343" t="s">
        <v>399</v>
      </c>
      <c r="AR343" t="s">
        <v>3505</v>
      </c>
      <c r="AT343" t="s">
        <v>3465</v>
      </c>
      <c r="AU343" t="s">
        <v>80</v>
      </c>
      <c r="AV343" t="s">
        <v>126</v>
      </c>
      <c r="AW343" t="s">
        <v>126</v>
      </c>
      <c r="AX343" t="s">
        <v>3463</v>
      </c>
      <c r="AY343" t="s">
        <v>3463</v>
      </c>
      <c r="AZ343" t="s">
        <v>247</v>
      </c>
      <c r="BF343" t="s">
        <v>3921</v>
      </c>
      <c r="BH343" t="s">
        <v>4020</v>
      </c>
      <c r="BP343" t="s">
        <v>4260</v>
      </c>
      <c r="BQ343" t="s">
        <v>3465</v>
      </c>
      <c r="BR343" t="s">
        <v>3463</v>
      </c>
      <c r="BS343" t="s">
        <v>3463</v>
      </c>
      <c r="BT343" t="s">
        <v>3463</v>
      </c>
      <c r="BU343" t="s">
        <v>3463</v>
      </c>
      <c r="BV343" t="s">
        <v>3463</v>
      </c>
      <c r="BW343" t="s">
        <v>3463</v>
      </c>
      <c r="BX343" t="s">
        <v>79</v>
      </c>
      <c r="BY343" t="s">
        <v>87</v>
      </c>
      <c r="BZ343" t="s">
        <v>79</v>
      </c>
      <c r="CA343" s="10">
        <v>45909</v>
      </c>
    </row>
    <row r="344" spans="1:79">
      <c r="A344">
        <v>350</v>
      </c>
      <c r="B344">
        <v>179</v>
      </c>
      <c r="C344">
        <v>77</v>
      </c>
      <c r="D344" t="s">
        <v>3462</v>
      </c>
      <c r="F344" t="s">
        <v>503</v>
      </c>
      <c r="G344" s="12" t="s">
        <v>3465</v>
      </c>
      <c r="H344" t="s">
        <v>88</v>
      </c>
      <c r="I344">
        <v>82</v>
      </c>
      <c r="K344">
        <v>133</v>
      </c>
      <c r="L344">
        <v>71</v>
      </c>
      <c r="M344" t="s">
        <v>82</v>
      </c>
      <c r="P344" t="s">
        <v>83</v>
      </c>
      <c r="Q344" t="s">
        <v>82</v>
      </c>
      <c r="R344">
        <v>81</v>
      </c>
      <c r="S344">
        <v>164</v>
      </c>
      <c r="T344" s="8">
        <f t="shared" si="10"/>
        <v>30.116002379535992</v>
      </c>
      <c r="U344" s="13" t="str" cm="1">
        <f t="array" ref="U344">IF(T344="","",_xlfn.IFS(T344&lt;18.5,"Bajo peso",T344&lt;25,"Peso normal",T344&lt;30,"Sobrepeso",T344&lt;35,"Obesidad clase I",T344&lt;40,"Obesidad clase II",T344&gt;=40,"Obesidad clase III"))</f>
        <v>Obesidad clase I</v>
      </c>
      <c r="V344">
        <v>117</v>
      </c>
      <c r="X344" t="s">
        <v>3463</v>
      </c>
      <c r="Y344">
        <v>1.64</v>
      </c>
      <c r="AA344">
        <v>43</v>
      </c>
      <c r="AB344" s="9">
        <f t="shared" si="11"/>
        <v>42.814330141393143</v>
      </c>
      <c r="AD344" t="s">
        <v>218</v>
      </c>
      <c r="AF344" t="s">
        <v>218</v>
      </c>
      <c r="AG344" t="s">
        <v>3465</v>
      </c>
      <c r="AH344" t="s">
        <v>3465</v>
      </c>
      <c r="AI344" t="s">
        <v>3465</v>
      </c>
      <c r="AJ344" t="s">
        <v>3463</v>
      </c>
      <c r="AK344" t="s">
        <v>3463</v>
      </c>
      <c r="AL344" t="s">
        <v>3463</v>
      </c>
      <c r="AO344" t="s">
        <v>3463</v>
      </c>
      <c r="AP344" t="s">
        <v>3465</v>
      </c>
      <c r="AQ344" t="s">
        <v>925</v>
      </c>
      <c r="AR344" t="s">
        <v>3488</v>
      </c>
      <c r="AS344" t="s">
        <v>3465</v>
      </c>
      <c r="AV344" t="s">
        <v>126</v>
      </c>
      <c r="AW344" t="s">
        <v>126</v>
      </c>
      <c r="BA344" t="s">
        <v>3920</v>
      </c>
      <c r="BB344" t="s">
        <v>3485</v>
      </c>
      <c r="BF344" t="s">
        <v>3921</v>
      </c>
      <c r="BG344" t="s">
        <v>926</v>
      </c>
      <c r="BH344" t="s">
        <v>4029</v>
      </c>
      <c r="BI344" t="s">
        <v>411</v>
      </c>
      <c r="BL344" t="s">
        <v>927</v>
      </c>
      <c r="BP344" t="s">
        <v>4330</v>
      </c>
      <c r="BQ344" t="s">
        <v>3463</v>
      </c>
      <c r="BR344" t="s">
        <v>3465</v>
      </c>
      <c r="BS344" t="s">
        <v>3463</v>
      </c>
      <c r="BT344" t="s">
        <v>3463</v>
      </c>
      <c r="BU344" t="s">
        <v>3463</v>
      </c>
      <c r="BV344" t="s">
        <v>3463</v>
      </c>
      <c r="BW344" t="s">
        <v>3463</v>
      </c>
      <c r="BX344" t="s">
        <v>79</v>
      </c>
      <c r="BY344" t="s">
        <v>79</v>
      </c>
      <c r="BZ344" t="s">
        <v>79</v>
      </c>
      <c r="CA344" s="10">
        <v>45909</v>
      </c>
    </row>
    <row r="345" spans="1:79">
      <c r="A345">
        <v>351</v>
      </c>
      <c r="B345">
        <v>180</v>
      </c>
      <c r="C345">
        <v>55</v>
      </c>
      <c r="D345" t="s">
        <v>3466</v>
      </c>
      <c r="F345" t="s">
        <v>503</v>
      </c>
      <c r="G345" s="12" t="s">
        <v>3465</v>
      </c>
      <c r="H345" t="s">
        <v>88</v>
      </c>
      <c r="I345">
        <v>81</v>
      </c>
      <c r="K345">
        <v>133</v>
      </c>
      <c r="L345">
        <v>74</v>
      </c>
      <c r="M345" t="s">
        <v>82</v>
      </c>
      <c r="P345" t="s">
        <v>83</v>
      </c>
      <c r="Q345" t="s">
        <v>82</v>
      </c>
      <c r="R345">
        <v>78.8</v>
      </c>
      <c r="S345">
        <v>153</v>
      </c>
      <c r="T345" s="8">
        <f t="shared" si="10"/>
        <v>33.662266649579223</v>
      </c>
      <c r="U345" s="13" t="str" cm="1">
        <f t="array" ref="U345">IF(T345="","",_xlfn.IFS(T345&lt;18.5,"Bajo peso",T345&lt;25,"Peso normal",T345&lt;30,"Sobrepeso",T345&lt;35,"Obesidad clase I",T345&lt;40,"Obesidad clase II",T345&gt;=40,"Obesidad clase III"))</f>
        <v>Obesidad clase I</v>
      </c>
      <c r="V345">
        <v>98</v>
      </c>
      <c r="X345" t="s">
        <v>3463</v>
      </c>
      <c r="Y345">
        <v>0.6</v>
      </c>
      <c r="AA345">
        <v>90</v>
      </c>
      <c r="AB345" s="9">
        <f t="shared" si="11"/>
        <v>105.93698673031706</v>
      </c>
      <c r="AD345" t="s">
        <v>73</v>
      </c>
      <c r="AF345" t="s">
        <v>73</v>
      </c>
      <c r="AH345" t="s">
        <v>3463</v>
      </c>
      <c r="AI345" t="s">
        <v>3463</v>
      </c>
      <c r="AJ345" t="s">
        <v>3463</v>
      </c>
      <c r="AK345" t="s">
        <v>3463</v>
      </c>
      <c r="AL345" t="s">
        <v>3465</v>
      </c>
      <c r="AM345" t="s">
        <v>928</v>
      </c>
      <c r="AN345" t="s">
        <v>3693</v>
      </c>
      <c r="AP345" t="s">
        <v>3463</v>
      </c>
      <c r="AT345" t="s">
        <v>3465</v>
      </c>
      <c r="AU345" t="s">
        <v>125</v>
      </c>
      <c r="AV345" t="s">
        <v>126</v>
      </c>
      <c r="AW345" t="s">
        <v>126</v>
      </c>
      <c r="AX345" t="s">
        <v>3465</v>
      </c>
      <c r="AY345" t="s">
        <v>3465</v>
      </c>
      <c r="AZ345" t="s">
        <v>90</v>
      </c>
      <c r="BC345" t="s">
        <v>128</v>
      </c>
      <c r="BE345" t="s">
        <v>929</v>
      </c>
      <c r="BF345" t="s">
        <v>3930</v>
      </c>
      <c r="BH345" t="s">
        <v>4076</v>
      </c>
      <c r="BI345" t="s">
        <v>411</v>
      </c>
      <c r="BK345" t="s">
        <v>930</v>
      </c>
      <c r="BL345" t="s">
        <v>931</v>
      </c>
      <c r="BP345" t="s">
        <v>4336</v>
      </c>
      <c r="BQ345" t="s">
        <v>3463</v>
      </c>
      <c r="BR345" t="s">
        <v>3463</v>
      </c>
      <c r="BS345" t="s">
        <v>3463</v>
      </c>
      <c r="BT345" t="s">
        <v>3463</v>
      </c>
      <c r="BU345" t="s">
        <v>3463</v>
      </c>
      <c r="BV345" t="s">
        <v>3463</v>
      </c>
      <c r="BW345" t="s">
        <v>3463</v>
      </c>
      <c r="BX345" t="s">
        <v>518</v>
      </c>
      <c r="BY345" t="s">
        <v>79</v>
      </c>
      <c r="BZ345" t="s">
        <v>95</v>
      </c>
      <c r="CA345" s="10">
        <v>45909</v>
      </c>
    </row>
    <row r="346" spans="1:79">
      <c r="A346">
        <v>352</v>
      </c>
      <c r="B346">
        <v>180</v>
      </c>
      <c r="C346">
        <v>22</v>
      </c>
      <c r="D346" t="s">
        <v>3466</v>
      </c>
      <c r="E346" t="s">
        <v>499</v>
      </c>
      <c r="F346" t="s">
        <v>71</v>
      </c>
      <c r="G346" s="12" t="s">
        <v>3463</v>
      </c>
      <c r="I346">
        <v>75</v>
      </c>
      <c r="K346">
        <v>127</v>
      </c>
      <c r="L346">
        <v>64</v>
      </c>
      <c r="M346" t="s">
        <v>118</v>
      </c>
      <c r="P346" t="s">
        <v>83</v>
      </c>
      <c r="Q346" t="s">
        <v>118</v>
      </c>
      <c r="R346">
        <v>58.8</v>
      </c>
      <c r="S346">
        <v>154</v>
      </c>
      <c r="T346" s="8">
        <f t="shared" si="10"/>
        <v>24.793388429752063</v>
      </c>
      <c r="U346" s="13" t="str" cm="1">
        <f t="array" ref="U346">IF(T346="","",_xlfn.IFS(T346&lt;18.5,"Bajo peso",T346&lt;25,"Peso normal",T346&lt;30,"Sobrepeso",T346&lt;35,"Obesidad clase I",T346&lt;40,"Obesidad clase II",T346&gt;=40,"Obesidad clase III"))</f>
        <v>Peso normal</v>
      </c>
      <c r="V346">
        <v>97</v>
      </c>
      <c r="X346" t="s">
        <v>3463</v>
      </c>
      <c r="Y346">
        <v>1.03</v>
      </c>
      <c r="AA346">
        <v>79</v>
      </c>
      <c r="AB346" s="9">
        <f t="shared" si="11"/>
        <v>78.842369560732152</v>
      </c>
      <c r="AD346" t="s">
        <v>73</v>
      </c>
      <c r="AF346" t="s">
        <v>73</v>
      </c>
      <c r="AH346" t="s">
        <v>3463</v>
      </c>
      <c r="AI346" t="s">
        <v>3463</v>
      </c>
      <c r="AJ346" t="s">
        <v>3465</v>
      </c>
      <c r="AK346" t="s">
        <v>3463</v>
      </c>
      <c r="AL346" t="s">
        <v>3465</v>
      </c>
      <c r="AQ346" t="s">
        <v>500</v>
      </c>
      <c r="AR346" t="s">
        <v>3488</v>
      </c>
      <c r="AT346" t="s">
        <v>3463</v>
      </c>
      <c r="AW346" t="s">
        <v>3916</v>
      </c>
      <c r="AY346" t="s">
        <v>3463</v>
      </c>
      <c r="BF346" t="s">
        <v>3921</v>
      </c>
      <c r="BH346" t="s">
        <v>4020</v>
      </c>
      <c r="BP346" t="s">
        <v>4260</v>
      </c>
      <c r="BQ346" t="s">
        <v>3463</v>
      </c>
      <c r="BR346" t="s">
        <v>3465</v>
      </c>
      <c r="BS346" t="s">
        <v>3465</v>
      </c>
      <c r="BT346" t="s">
        <v>3465</v>
      </c>
      <c r="BU346" t="s">
        <v>3463</v>
      </c>
      <c r="BV346" t="s">
        <v>3463</v>
      </c>
      <c r="BW346" t="s">
        <v>3463</v>
      </c>
      <c r="BX346" t="s">
        <v>79</v>
      </c>
      <c r="BY346" t="s">
        <v>87</v>
      </c>
      <c r="BZ346" t="s">
        <v>79</v>
      </c>
      <c r="CA346" s="10">
        <v>45909</v>
      </c>
    </row>
    <row r="347" spans="1:79">
      <c r="A347">
        <v>353</v>
      </c>
      <c r="B347">
        <v>181</v>
      </c>
      <c r="C347">
        <v>64</v>
      </c>
      <c r="D347" t="s">
        <v>3462</v>
      </c>
      <c r="E347" t="s">
        <v>501</v>
      </c>
      <c r="F347" t="s">
        <v>71</v>
      </c>
      <c r="G347" s="12" t="s">
        <v>3465</v>
      </c>
      <c r="H347" s="12" t="s">
        <v>88</v>
      </c>
      <c r="I347">
        <v>68</v>
      </c>
      <c r="K347">
        <v>130</v>
      </c>
      <c r="L347">
        <v>77</v>
      </c>
      <c r="M347" t="s">
        <v>82</v>
      </c>
      <c r="P347" t="s">
        <v>83</v>
      </c>
      <c r="Q347" t="s">
        <v>82</v>
      </c>
      <c r="R347">
        <v>79.400000000000006</v>
      </c>
      <c r="S347">
        <v>159</v>
      </c>
      <c r="T347" s="8">
        <f t="shared" si="10"/>
        <v>31.406985483169183</v>
      </c>
      <c r="U347" s="13" t="str" cm="1">
        <f t="array" ref="U347">IF(T347="","",_xlfn.IFS(T347&lt;18.5,"Bajo peso",T347&lt;25,"Peso normal",T347&lt;30,"Sobrepeso",T347&lt;35,"Obesidad clase I",T347&lt;40,"Obesidad clase II",T347&gt;=40,"Obesidad clase III"))</f>
        <v>Obesidad clase I</v>
      </c>
      <c r="V347">
        <v>106</v>
      </c>
      <c r="X347" t="s">
        <v>3463</v>
      </c>
      <c r="Y347">
        <v>0.85</v>
      </c>
      <c r="AA347">
        <v>90</v>
      </c>
      <c r="AB347" s="9">
        <f t="shared" si="11"/>
        <v>97.033250700439552</v>
      </c>
      <c r="AD347" t="s">
        <v>73</v>
      </c>
      <c r="AF347" t="s">
        <v>73</v>
      </c>
      <c r="AH347" t="s">
        <v>3463</v>
      </c>
      <c r="AI347" t="s">
        <v>3463</v>
      </c>
      <c r="AJ347" t="s">
        <v>3463</v>
      </c>
      <c r="AK347" t="s">
        <v>3463</v>
      </c>
      <c r="AL347" t="s">
        <v>3465</v>
      </c>
      <c r="AM347" t="s">
        <v>110</v>
      </c>
      <c r="AN347" t="s">
        <v>110</v>
      </c>
      <c r="AP347" t="s">
        <v>3463</v>
      </c>
      <c r="AV347" t="s">
        <v>74</v>
      </c>
      <c r="AW347" t="s">
        <v>3915</v>
      </c>
      <c r="BF347" t="s">
        <v>3921</v>
      </c>
      <c r="BH347" t="s">
        <v>4020</v>
      </c>
      <c r="BP347" t="s">
        <v>4260</v>
      </c>
      <c r="BQ347" t="s">
        <v>3463</v>
      </c>
      <c r="BR347" t="s">
        <v>3463</v>
      </c>
      <c r="BS347" t="s">
        <v>3463</v>
      </c>
      <c r="BT347" t="s">
        <v>3463</v>
      </c>
      <c r="BU347" t="s">
        <v>3463</v>
      </c>
      <c r="BV347" t="s">
        <v>3463</v>
      </c>
      <c r="BW347" t="s">
        <v>3463</v>
      </c>
      <c r="BX347" t="s">
        <v>79</v>
      </c>
      <c r="BY347" t="s">
        <v>87</v>
      </c>
      <c r="BZ347" t="s">
        <v>79</v>
      </c>
      <c r="CA347" s="10">
        <v>45909</v>
      </c>
    </row>
    <row r="348" spans="1:79">
      <c r="A348">
        <v>354</v>
      </c>
      <c r="B348">
        <v>181</v>
      </c>
      <c r="C348">
        <v>29</v>
      </c>
      <c r="D348" t="s">
        <v>3466</v>
      </c>
      <c r="E348" t="s">
        <v>507</v>
      </c>
      <c r="F348" t="s">
        <v>503</v>
      </c>
      <c r="G348" s="12" t="s">
        <v>3465</v>
      </c>
      <c r="H348" t="s">
        <v>88</v>
      </c>
      <c r="I348">
        <v>74</v>
      </c>
      <c r="K348">
        <v>123</v>
      </c>
      <c r="L348">
        <v>63</v>
      </c>
      <c r="M348" t="s">
        <v>118</v>
      </c>
      <c r="P348" t="s">
        <v>83</v>
      </c>
      <c r="Q348" t="s">
        <v>118</v>
      </c>
      <c r="R348">
        <v>61</v>
      </c>
      <c r="S348">
        <v>151</v>
      </c>
      <c r="T348" s="8">
        <f t="shared" si="10"/>
        <v>26.753212578395683</v>
      </c>
      <c r="U348" s="13" t="str" cm="1">
        <f t="array" ref="U348">IF(T348="","",_xlfn.IFS(T348&lt;18.5,"Bajo peso",T348&lt;25,"Peso normal",T348&lt;30,"Sobrepeso",T348&lt;35,"Obesidad clase I",T348&lt;40,"Obesidad clase II",T348&gt;=40,"Obesidad clase III"))</f>
        <v>Sobrepeso</v>
      </c>
      <c r="V348">
        <v>110</v>
      </c>
      <c r="X348" t="s">
        <v>3463</v>
      </c>
      <c r="Y348">
        <v>0.73</v>
      </c>
      <c r="AA348">
        <v>90</v>
      </c>
      <c r="AB348" s="9">
        <f t="shared" si="11"/>
        <v>114.09585117991038</v>
      </c>
      <c r="AD348" t="s">
        <v>73</v>
      </c>
      <c r="AF348" t="s">
        <v>73</v>
      </c>
      <c r="AH348" t="s">
        <v>3463</v>
      </c>
      <c r="AI348" t="s">
        <v>3463</v>
      </c>
      <c r="AJ348" t="s">
        <v>3463</v>
      </c>
      <c r="AK348" t="s">
        <v>3465</v>
      </c>
      <c r="AL348" t="s">
        <v>3465</v>
      </c>
      <c r="AM348" t="s">
        <v>932</v>
      </c>
      <c r="AN348" t="s">
        <v>3628</v>
      </c>
      <c r="AP348" t="s">
        <v>3463</v>
      </c>
      <c r="AQ348" t="s">
        <v>536</v>
      </c>
      <c r="AR348" t="s">
        <v>3505</v>
      </c>
      <c r="AV348" t="s">
        <v>126</v>
      </c>
      <c r="AW348" t="s">
        <v>126</v>
      </c>
      <c r="AX348" t="s">
        <v>3463</v>
      </c>
      <c r="AY348" t="s">
        <v>3465</v>
      </c>
      <c r="AZ348" t="s">
        <v>90</v>
      </c>
      <c r="BF348" t="s">
        <v>3921</v>
      </c>
      <c r="BH348" t="s">
        <v>4076</v>
      </c>
      <c r="BI348" t="s">
        <v>411</v>
      </c>
      <c r="BK348" t="s">
        <v>933</v>
      </c>
      <c r="BL348" t="s">
        <v>934</v>
      </c>
      <c r="BP348" t="s">
        <v>4336</v>
      </c>
      <c r="BQ348" t="s">
        <v>3463</v>
      </c>
      <c r="BR348" t="s">
        <v>3463</v>
      </c>
      <c r="BS348" t="s">
        <v>3463</v>
      </c>
      <c r="BT348" t="s">
        <v>3463</v>
      </c>
      <c r="BU348" t="s">
        <v>3463</v>
      </c>
      <c r="BV348" t="s">
        <v>3463</v>
      </c>
      <c r="BW348" t="s">
        <v>3463</v>
      </c>
      <c r="BX348" t="s">
        <v>79</v>
      </c>
      <c r="BY348" t="s">
        <v>79</v>
      </c>
      <c r="BZ348" t="s">
        <v>95</v>
      </c>
      <c r="CA348" s="10">
        <v>45909</v>
      </c>
    </row>
    <row r="349" spans="1:79">
      <c r="A349">
        <v>355</v>
      </c>
      <c r="B349">
        <v>182</v>
      </c>
      <c r="C349">
        <v>43</v>
      </c>
      <c r="D349" t="s">
        <v>3466</v>
      </c>
      <c r="F349" t="s">
        <v>503</v>
      </c>
      <c r="G349" s="12" t="s">
        <v>3463</v>
      </c>
      <c r="H349" s="12"/>
      <c r="I349">
        <v>83</v>
      </c>
      <c r="J349">
        <v>80</v>
      </c>
      <c r="K349">
        <v>150</v>
      </c>
      <c r="L349">
        <v>78</v>
      </c>
      <c r="M349" t="s">
        <v>72</v>
      </c>
      <c r="N349">
        <v>135</v>
      </c>
      <c r="O349">
        <v>72</v>
      </c>
      <c r="P349" t="s">
        <v>82</v>
      </c>
      <c r="Q349" t="s">
        <v>82</v>
      </c>
      <c r="R349">
        <v>88.6</v>
      </c>
      <c r="S349">
        <v>160</v>
      </c>
      <c r="T349" s="8">
        <f t="shared" si="10"/>
        <v>34.609374999999993</v>
      </c>
      <c r="U349" s="13" t="str" cm="1">
        <f t="array" ref="U349">IF(T349="","",_xlfn.IFS(T349&lt;18.5,"Bajo peso",T349&lt;25,"Peso normal",T349&lt;30,"Sobrepeso",T349&lt;35,"Obesidad clase I",T349&lt;40,"Obesidad clase II",T349&gt;=40,"Obesidad clase III"))</f>
        <v>Obesidad clase I</v>
      </c>
      <c r="V349">
        <v>101</v>
      </c>
      <c r="X349" t="s">
        <v>3463</v>
      </c>
      <c r="Y349">
        <v>0.66</v>
      </c>
      <c r="AA349">
        <v>90</v>
      </c>
      <c r="AB349" s="9">
        <f t="shared" si="11"/>
        <v>111.55372316553986</v>
      </c>
      <c r="AD349" t="s">
        <v>73</v>
      </c>
      <c r="AF349" t="s">
        <v>73</v>
      </c>
      <c r="AH349" t="s">
        <v>3463</v>
      </c>
      <c r="AI349" t="s">
        <v>3463</v>
      </c>
      <c r="AJ349" t="s">
        <v>3463</v>
      </c>
      <c r="AK349" t="s">
        <v>3465</v>
      </c>
      <c r="AL349" t="s">
        <v>3465</v>
      </c>
      <c r="AM349" t="s">
        <v>935</v>
      </c>
      <c r="AN349" t="s">
        <v>3694</v>
      </c>
      <c r="AP349" t="s">
        <v>3463</v>
      </c>
      <c r="AQ349" t="s">
        <v>936</v>
      </c>
      <c r="AR349" t="s">
        <v>3493</v>
      </c>
      <c r="AT349" t="s">
        <v>3465</v>
      </c>
      <c r="AU349" t="s">
        <v>80</v>
      </c>
      <c r="AV349" t="s">
        <v>178</v>
      </c>
      <c r="AW349" t="s">
        <v>3918</v>
      </c>
      <c r="AX349" t="s">
        <v>3465</v>
      </c>
      <c r="AY349" t="s">
        <v>3465</v>
      </c>
      <c r="AZ349" t="s">
        <v>90</v>
      </c>
      <c r="BE349" t="s">
        <v>3484</v>
      </c>
      <c r="BF349" t="s">
        <v>3941</v>
      </c>
      <c r="BG349" t="s">
        <v>634</v>
      </c>
      <c r="BH349" t="s">
        <v>4021</v>
      </c>
      <c r="BI349" t="s">
        <v>76</v>
      </c>
      <c r="BL349" t="s">
        <v>937</v>
      </c>
      <c r="BP349" t="s">
        <v>4261</v>
      </c>
      <c r="BQ349" t="s">
        <v>3463</v>
      </c>
      <c r="BR349" t="s">
        <v>3463</v>
      </c>
      <c r="BS349" t="s">
        <v>3465</v>
      </c>
      <c r="BT349" t="s">
        <v>3465</v>
      </c>
      <c r="BU349" t="s">
        <v>3463</v>
      </c>
      <c r="BV349" t="s">
        <v>3463</v>
      </c>
      <c r="BW349" t="s">
        <v>3463</v>
      </c>
      <c r="BX349" t="s">
        <v>79</v>
      </c>
      <c r="BY349" t="s">
        <v>79</v>
      </c>
      <c r="BZ349" t="s">
        <v>79</v>
      </c>
      <c r="CA349" s="10">
        <v>45909</v>
      </c>
    </row>
    <row r="350" spans="1:79">
      <c r="A350">
        <v>356</v>
      </c>
      <c r="B350">
        <v>183</v>
      </c>
      <c r="C350">
        <v>65</v>
      </c>
      <c r="D350" t="s">
        <v>3466</v>
      </c>
      <c r="E350" t="s">
        <v>507</v>
      </c>
      <c r="F350" t="s">
        <v>503</v>
      </c>
      <c r="G350" s="12" t="s">
        <v>3465</v>
      </c>
      <c r="H350" t="s">
        <v>88</v>
      </c>
      <c r="I350">
        <v>73</v>
      </c>
      <c r="J350">
        <v>75</v>
      </c>
      <c r="K350">
        <v>151</v>
      </c>
      <c r="L350">
        <v>84</v>
      </c>
      <c r="M350" t="s">
        <v>72</v>
      </c>
      <c r="N350">
        <v>149</v>
      </c>
      <c r="O350">
        <v>84</v>
      </c>
      <c r="P350" t="s">
        <v>72</v>
      </c>
      <c r="Q350" t="s">
        <v>72</v>
      </c>
      <c r="R350">
        <v>73.900000000000006</v>
      </c>
      <c r="S350">
        <v>150</v>
      </c>
      <c r="T350" s="8">
        <f t="shared" si="10"/>
        <v>32.844444444444449</v>
      </c>
      <c r="U350" s="13" t="str" cm="1">
        <f t="array" ref="U350">IF(T350="","",_xlfn.IFS(T350&lt;18.5,"Bajo peso",T350&lt;25,"Peso normal",T350&lt;30,"Sobrepeso",T350&lt;35,"Obesidad clase I",T350&lt;40,"Obesidad clase II",T350&gt;=40,"Obesidad clase III"))</f>
        <v>Obesidad clase I</v>
      </c>
      <c r="V350">
        <v>104</v>
      </c>
      <c r="X350" t="s">
        <v>3463</v>
      </c>
      <c r="Y350">
        <v>0.78</v>
      </c>
      <c r="AA350">
        <v>84</v>
      </c>
      <c r="AB350" s="9">
        <f t="shared" si="11"/>
        <v>84.237891597572712</v>
      </c>
      <c r="AD350" t="s">
        <v>73</v>
      </c>
      <c r="AF350" t="s">
        <v>73</v>
      </c>
      <c r="AH350" t="s">
        <v>3463</v>
      </c>
      <c r="AI350" t="s">
        <v>3465</v>
      </c>
      <c r="AJ350" t="s">
        <v>3463</v>
      </c>
      <c r="AK350" t="s">
        <v>3465</v>
      </c>
      <c r="AL350" t="s">
        <v>3465</v>
      </c>
      <c r="AM350" t="s">
        <v>116</v>
      </c>
      <c r="AN350" t="s">
        <v>116</v>
      </c>
      <c r="AP350" t="s">
        <v>3463</v>
      </c>
      <c r="AQ350" t="s">
        <v>520</v>
      </c>
      <c r="AR350" t="s">
        <v>3491</v>
      </c>
      <c r="AS350" t="s">
        <v>3465</v>
      </c>
      <c r="AT350" t="s">
        <v>3465</v>
      </c>
      <c r="AU350" t="s">
        <v>80</v>
      </c>
      <c r="AV350" t="s">
        <v>74</v>
      </c>
      <c r="AW350" t="s">
        <v>3915</v>
      </c>
      <c r="AX350" t="s">
        <v>3463</v>
      </c>
      <c r="AY350" t="s">
        <v>3465</v>
      </c>
      <c r="AZ350" t="s">
        <v>90</v>
      </c>
      <c r="BF350" t="s">
        <v>3921</v>
      </c>
      <c r="BH350" t="s">
        <v>4020</v>
      </c>
      <c r="BP350" t="s">
        <v>4260</v>
      </c>
      <c r="BQ350" t="s">
        <v>3463</v>
      </c>
      <c r="BR350" t="s">
        <v>3463</v>
      </c>
      <c r="BS350" t="s">
        <v>3463</v>
      </c>
      <c r="BT350" t="s">
        <v>3465</v>
      </c>
      <c r="BU350" t="s">
        <v>3463</v>
      </c>
      <c r="BV350" t="s">
        <v>3463</v>
      </c>
      <c r="BW350" t="s">
        <v>3463</v>
      </c>
      <c r="BX350" t="s">
        <v>518</v>
      </c>
      <c r="BY350" t="s">
        <v>87</v>
      </c>
      <c r="BZ350" t="s">
        <v>79</v>
      </c>
      <c r="CA350" s="10">
        <v>45909</v>
      </c>
    </row>
    <row r="351" spans="1:79">
      <c r="A351">
        <v>357</v>
      </c>
      <c r="B351">
        <v>184</v>
      </c>
      <c r="C351">
        <v>33</v>
      </c>
      <c r="D351" t="s">
        <v>3462</v>
      </c>
      <c r="F351" t="s">
        <v>503</v>
      </c>
      <c r="G351" s="12" t="s">
        <v>3465</v>
      </c>
      <c r="H351" t="s">
        <v>88</v>
      </c>
      <c r="I351">
        <v>62</v>
      </c>
      <c r="J351">
        <v>72</v>
      </c>
      <c r="K351">
        <v>158</v>
      </c>
      <c r="L351">
        <v>94</v>
      </c>
      <c r="M351" t="s">
        <v>72</v>
      </c>
      <c r="N351">
        <v>152</v>
      </c>
      <c r="O351">
        <v>98</v>
      </c>
      <c r="P351" t="s">
        <v>72</v>
      </c>
      <c r="Q351" t="s">
        <v>72</v>
      </c>
      <c r="R351">
        <v>76.099999999999994</v>
      </c>
      <c r="S351">
        <v>172</v>
      </c>
      <c r="T351" s="8">
        <f t="shared" si="10"/>
        <v>25.723363980530014</v>
      </c>
      <c r="U351" s="13" t="str" cm="1">
        <f t="array" ref="U351">IF(T351="","",_xlfn.IFS(T351&lt;18.5,"Bajo peso",T351&lt;25,"Peso normal",T351&lt;30,"Sobrepeso",T351&lt;35,"Obesidad clase I",T351&lt;40,"Obesidad clase II",T351&gt;=40,"Obesidad clase III"))</f>
        <v>Sobrepeso</v>
      </c>
      <c r="V351">
        <v>120</v>
      </c>
      <c r="X351" t="s">
        <v>3463</v>
      </c>
      <c r="Y351">
        <v>0.83</v>
      </c>
      <c r="AA351">
        <v>90</v>
      </c>
      <c r="AB351" s="9">
        <f t="shared" si="11"/>
        <v>118.51538941537385</v>
      </c>
      <c r="AD351" t="s">
        <v>73</v>
      </c>
      <c r="AF351" t="s">
        <v>73</v>
      </c>
      <c r="AH351" t="s">
        <v>3463</v>
      </c>
      <c r="AI351" t="s">
        <v>3463</v>
      </c>
      <c r="AJ351" t="s">
        <v>3463</v>
      </c>
      <c r="AK351" t="s">
        <v>3463</v>
      </c>
      <c r="AL351" t="s">
        <v>3463</v>
      </c>
      <c r="AP351" t="s">
        <v>3463</v>
      </c>
      <c r="AQ351" t="s">
        <v>159</v>
      </c>
      <c r="AR351" t="s">
        <v>3491</v>
      </c>
      <c r="AV351" t="s">
        <v>178</v>
      </c>
      <c r="AW351" t="s">
        <v>3918</v>
      </c>
      <c r="BF351" t="s">
        <v>3921</v>
      </c>
      <c r="BH351" t="s">
        <v>4020</v>
      </c>
      <c r="BP351" t="s">
        <v>4260</v>
      </c>
      <c r="BQ351" t="s">
        <v>3465</v>
      </c>
      <c r="BR351" t="s">
        <v>3465</v>
      </c>
      <c r="BS351" t="s">
        <v>3465</v>
      </c>
      <c r="BT351" t="s">
        <v>3465</v>
      </c>
      <c r="BU351" t="s">
        <v>3463</v>
      </c>
      <c r="BV351" t="s">
        <v>3463</v>
      </c>
      <c r="BW351" t="s">
        <v>3463</v>
      </c>
      <c r="BX351" t="s">
        <v>79</v>
      </c>
      <c r="BY351" t="s">
        <v>79</v>
      </c>
      <c r="BZ351" t="s">
        <v>79</v>
      </c>
      <c r="CA351" s="10">
        <v>45909</v>
      </c>
    </row>
    <row r="352" spans="1:79">
      <c r="A352">
        <v>358</v>
      </c>
      <c r="B352">
        <v>185</v>
      </c>
      <c r="C352">
        <v>57</v>
      </c>
      <c r="D352" t="s">
        <v>3466</v>
      </c>
      <c r="F352" t="s">
        <v>613</v>
      </c>
      <c r="G352" s="12" t="s">
        <v>3463</v>
      </c>
      <c r="H352" s="12"/>
      <c r="I352">
        <v>58</v>
      </c>
      <c r="K352">
        <v>139</v>
      </c>
      <c r="L352">
        <v>78</v>
      </c>
      <c r="M352" t="s">
        <v>82</v>
      </c>
      <c r="P352" t="s">
        <v>83</v>
      </c>
      <c r="Q352" t="s">
        <v>82</v>
      </c>
      <c r="R352">
        <v>62.9</v>
      </c>
      <c r="S352">
        <v>157</v>
      </c>
      <c r="T352" s="8">
        <f t="shared" si="10"/>
        <v>25.518276603513325</v>
      </c>
      <c r="U352" s="13" t="str" cm="1">
        <f t="array" ref="U352">IF(T352="","",_xlfn.IFS(T352&lt;18.5,"Bajo peso",T352&lt;25,"Peso normal",T352&lt;30,"Sobrepeso",T352&lt;35,"Obesidad clase I",T352&lt;40,"Obesidad clase II",T352&gt;=40,"Obesidad clase III"))</f>
        <v>Sobrepeso</v>
      </c>
      <c r="V352">
        <v>110</v>
      </c>
      <c r="X352" t="s">
        <v>3463</v>
      </c>
      <c r="Y352">
        <v>1.08</v>
      </c>
      <c r="AA352">
        <v>60</v>
      </c>
      <c r="AB352" s="9">
        <f t="shared" si="11"/>
        <v>59.912930922067609</v>
      </c>
      <c r="AD352" t="s">
        <v>73</v>
      </c>
      <c r="AF352" t="s">
        <v>73</v>
      </c>
      <c r="AH352" t="s">
        <v>3463</v>
      </c>
      <c r="AI352" t="s">
        <v>3463</v>
      </c>
      <c r="AJ352" t="s">
        <v>3465</v>
      </c>
      <c r="AK352" t="s">
        <v>3463</v>
      </c>
      <c r="AL352" t="s">
        <v>3463</v>
      </c>
      <c r="AP352" t="s">
        <v>3463</v>
      </c>
      <c r="AQ352" t="s">
        <v>889</v>
      </c>
      <c r="AR352" t="s">
        <v>3488</v>
      </c>
      <c r="AT352" t="s">
        <v>3463</v>
      </c>
      <c r="AW352" t="s">
        <v>3916</v>
      </c>
      <c r="AX352" t="s">
        <v>3463</v>
      </c>
      <c r="AY352" t="s">
        <v>3463</v>
      </c>
      <c r="BD352" t="s">
        <v>105</v>
      </c>
      <c r="BF352" t="s">
        <v>3921</v>
      </c>
      <c r="BH352" t="s">
        <v>4029</v>
      </c>
      <c r="BI352" t="s">
        <v>938</v>
      </c>
      <c r="BP352" t="s">
        <v>4260</v>
      </c>
      <c r="BQ352" t="s">
        <v>3465</v>
      </c>
      <c r="BR352" t="s">
        <v>3465</v>
      </c>
      <c r="BS352" t="s">
        <v>3463</v>
      </c>
      <c r="BT352" t="s">
        <v>3463</v>
      </c>
      <c r="BU352" t="s">
        <v>3463</v>
      </c>
      <c r="BV352" t="s">
        <v>3463</v>
      </c>
      <c r="BW352" t="s">
        <v>3463</v>
      </c>
      <c r="BX352" t="s">
        <v>79</v>
      </c>
      <c r="BY352" t="s">
        <v>87</v>
      </c>
      <c r="BZ352" t="s">
        <v>79</v>
      </c>
      <c r="CA352" s="10">
        <v>45909</v>
      </c>
    </row>
    <row r="353" spans="1:79">
      <c r="A353">
        <v>359</v>
      </c>
      <c r="B353">
        <v>186</v>
      </c>
      <c r="C353">
        <v>40</v>
      </c>
      <c r="D353" t="s">
        <v>3466</v>
      </c>
      <c r="F353" t="s">
        <v>503</v>
      </c>
      <c r="G353" s="12" t="s">
        <v>3465</v>
      </c>
      <c r="H353" s="12" t="s">
        <v>88</v>
      </c>
      <c r="I353">
        <v>66</v>
      </c>
      <c r="K353">
        <v>125</v>
      </c>
      <c r="L353">
        <v>71</v>
      </c>
      <c r="M353" t="s">
        <v>118</v>
      </c>
      <c r="P353" t="s">
        <v>83</v>
      </c>
      <c r="Q353" t="s">
        <v>118</v>
      </c>
      <c r="R353">
        <v>54.8</v>
      </c>
      <c r="S353">
        <v>150</v>
      </c>
      <c r="T353" s="8">
        <f t="shared" si="10"/>
        <v>24.355555555555554</v>
      </c>
      <c r="U353" s="13" t="str" cm="1">
        <f t="array" ref="U353">IF(T353="","",_xlfn.IFS(T353&lt;18.5,"Bajo peso",T353&lt;25,"Peso normal",T353&lt;30,"Sobrepeso",T353&lt;35,"Obesidad clase I",T353&lt;40,"Obesidad clase II",T353&gt;=40,"Obesidad clase III"))</f>
        <v>Peso normal</v>
      </c>
      <c r="V353">
        <v>95</v>
      </c>
      <c r="X353" t="s">
        <v>3463</v>
      </c>
      <c r="Y353">
        <v>0.74</v>
      </c>
      <c r="AA353">
        <v>90</v>
      </c>
      <c r="AB353" s="9">
        <f t="shared" si="11"/>
        <v>104.82578844077074</v>
      </c>
      <c r="AD353" t="s">
        <v>73</v>
      </c>
      <c r="AF353" t="s">
        <v>73</v>
      </c>
      <c r="AH353" t="s">
        <v>3463</v>
      </c>
      <c r="AI353" t="s">
        <v>3463</v>
      </c>
      <c r="AJ353" t="s">
        <v>3463</v>
      </c>
      <c r="AK353" t="s">
        <v>3465</v>
      </c>
      <c r="AL353" t="s">
        <v>3463</v>
      </c>
      <c r="AP353" t="s">
        <v>3463</v>
      </c>
      <c r="AT353" t="s">
        <v>3463</v>
      </c>
      <c r="AV353" t="s">
        <v>74</v>
      </c>
      <c r="AW353" t="s">
        <v>3915</v>
      </c>
      <c r="AX353" t="s">
        <v>3463</v>
      </c>
      <c r="AY353" t="s">
        <v>3465</v>
      </c>
      <c r="AZ353" t="s">
        <v>939</v>
      </c>
      <c r="BF353" t="s">
        <v>3921</v>
      </c>
      <c r="BH353" t="s">
        <v>4020</v>
      </c>
      <c r="BP353" t="s">
        <v>4260</v>
      </c>
      <c r="BQ353" t="s">
        <v>3463</v>
      </c>
      <c r="BR353" t="s">
        <v>3465</v>
      </c>
      <c r="BS353" t="s">
        <v>3463</v>
      </c>
      <c r="BT353" t="s">
        <v>3465</v>
      </c>
      <c r="BU353" t="s">
        <v>3463</v>
      </c>
      <c r="BV353" t="s">
        <v>3463</v>
      </c>
      <c r="BW353" t="s">
        <v>3463</v>
      </c>
      <c r="BX353" t="s">
        <v>79</v>
      </c>
      <c r="BY353" t="s">
        <v>87</v>
      </c>
      <c r="BZ353" t="s">
        <v>79</v>
      </c>
      <c r="CA353" s="10">
        <v>45909</v>
      </c>
    </row>
    <row r="354" spans="1:79">
      <c r="A354">
        <v>360</v>
      </c>
      <c r="B354">
        <v>187</v>
      </c>
      <c r="D354" t="s">
        <v>3462</v>
      </c>
      <c r="F354" t="s">
        <v>295</v>
      </c>
      <c r="G354" s="12" t="s">
        <v>3465</v>
      </c>
      <c r="H354" t="s">
        <v>88</v>
      </c>
      <c r="I354">
        <v>79</v>
      </c>
      <c r="J354">
        <v>83</v>
      </c>
      <c r="K354">
        <v>163</v>
      </c>
      <c r="L354">
        <v>91</v>
      </c>
      <c r="M354" t="s">
        <v>72</v>
      </c>
      <c r="N354">
        <v>158</v>
      </c>
      <c r="O354">
        <v>92</v>
      </c>
      <c r="P354" t="s">
        <v>72</v>
      </c>
      <c r="Q354" t="s">
        <v>72</v>
      </c>
      <c r="R354">
        <v>105</v>
      </c>
      <c r="S354">
        <v>180.5</v>
      </c>
      <c r="T354" s="8">
        <f t="shared" si="10"/>
        <v>32.22811365781417</v>
      </c>
      <c r="U354" s="13" t="str" cm="1">
        <f t="array" ref="U354">IF(T354="","",_xlfn.IFS(T354&lt;18.5,"Bajo peso",T354&lt;25,"Peso normal",T354&lt;30,"Sobrepeso",T354&lt;35,"Obesidad clase I",T354&lt;40,"Obesidad clase II",T354&gt;=40,"Obesidad clase III"))</f>
        <v>Obesidad clase I</v>
      </c>
      <c r="V354">
        <v>91</v>
      </c>
      <c r="X354" t="s">
        <v>3463</v>
      </c>
      <c r="Y354">
        <v>0.96</v>
      </c>
      <c r="AA354">
        <v>90</v>
      </c>
      <c r="AB354" s="9" t="str">
        <f t="shared" si="11"/>
        <v/>
      </c>
      <c r="AD354" t="s">
        <v>73</v>
      </c>
      <c r="AF354" t="s">
        <v>73</v>
      </c>
      <c r="AH354" t="s">
        <v>3463</v>
      </c>
      <c r="AI354" t="s">
        <v>3465</v>
      </c>
      <c r="AJ354" t="s">
        <v>3463</v>
      </c>
      <c r="AK354" t="s">
        <v>3463</v>
      </c>
      <c r="AL354" t="s">
        <v>3463</v>
      </c>
      <c r="AP354" t="s">
        <v>3463</v>
      </c>
      <c r="AQ354" t="s">
        <v>270</v>
      </c>
      <c r="AR354" t="s">
        <v>3488</v>
      </c>
      <c r="AS354" t="s">
        <v>3465</v>
      </c>
      <c r="AV354" t="s">
        <v>112</v>
      </c>
      <c r="AW354" t="s">
        <v>3917</v>
      </c>
      <c r="BF354" t="s">
        <v>3921</v>
      </c>
      <c r="BH354" t="s">
        <v>4020</v>
      </c>
      <c r="BP354" t="s">
        <v>4260</v>
      </c>
      <c r="BQ354" t="s">
        <v>3463</v>
      </c>
      <c r="BR354" t="s">
        <v>3465</v>
      </c>
      <c r="BS354" t="s">
        <v>3465</v>
      </c>
      <c r="BT354" t="s">
        <v>3465</v>
      </c>
      <c r="BU354" t="s">
        <v>3463</v>
      </c>
      <c r="BV354" t="s">
        <v>3463</v>
      </c>
      <c r="BW354" t="s">
        <v>3463</v>
      </c>
      <c r="BX354" t="s">
        <v>79</v>
      </c>
      <c r="BY354" t="s">
        <v>79</v>
      </c>
      <c r="BZ354" t="s">
        <v>79</v>
      </c>
      <c r="CA354" s="10">
        <v>45909</v>
      </c>
    </row>
    <row r="355" spans="1:79">
      <c r="A355">
        <v>361</v>
      </c>
      <c r="B355">
        <v>188</v>
      </c>
      <c r="C355">
        <v>31</v>
      </c>
      <c r="D355" t="s">
        <v>3466</v>
      </c>
      <c r="E355" t="s">
        <v>950</v>
      </c>
      <c r="F355" t="s">
        <v>503</v>
      </c>
      <c r="G355" s="12" t="s">
        <v>3463</v>
      </c>
      <c r="H355" s="12"/>
      <c r="I355">
        <v>93</v>
      </c>
      <c r="J355">
        <v>88</v>
      </c>
      <c r="K355">
        <v>172</v>
      </c>
      <c r="L355">
        <v>94</v>
      </c>
      <c r="M355" t="s">
        <v>72</v>
      </c>
      <c r="N355">
        <v>164</v>
      </c>
      <c r="O355">
        <v>97</v>
      </c>
      <c r="P355" t="s">
        <v>72</v>
      </c>
      <c r="Q355" t="s">
        <v>72</v>
      </c>
      <c r="R355">
        <v>75.25</v>
      </c>
      <c r="S355">
        <v>156</v>
      </c>
      <c r="T355" s="8">
        <f t="shared" si="10"/>
        <v>30.921268902038133</v>
      </c>
      <c r="U355" s="13" t="str" cm="1">
        <f t="array" ref="U355">IF(T355="","",_xlfn.IFS(T355&lt;18.5,"Bajo peso",T355&lt;25,"Peso normal",T355&lt;30,"Sobrepeso",T355&lt;35,"Obesidad clase I",T355&lt;40,"Obesidad clase II",T355&gt;=40,"Obesidad clase III"))</f>
        <v>Obesidad clase I</v>
      </c>
      <c r="V355">
        <v>77</v>
      </c>
      <c r="X355" t="s">
        <v>3463</v>
      </c>
      <c r="Y355">
        <v>0.82</v>
      </c>
      <c r="AA355">
        <v>90</v>
      </c>
      <c r="AB355" s="9">
        <f t="shared" si="11"/>
        <v>98.011863550076143</v>
      </c>
      <c r="AD355" t="s">
        <v>73</v>
      </c>
      <c r="AF355" t="s">
        <v>73</v>
      </c>
      <c r="AH355" t="s">
        <v>3463</v>
      </c>
      <c r="AI355" t="s">
        <v>3463</v>
      </c>
      <c r="AJ355" t="s">
        <v>3463</v>
      </c>
      <c r="AK355" t="s">
        <v>3463</v>
      </c>
      <c r="AL355" t="s">
        <v>3463</v>
      </c>
      <c r="AP355" t="s">
        <v>3463</v>
      </c>
      <c r="AQ355" t="s">
        <v>120</v>
      </c>
      <c r="AR355" t="s">
        <v>3491</v>
      </c>
      <c r="AT355" t="s">
        <v>3463</v>
      </c>
      <c r="AV355" t="s">
        <v>178</v>
      </c>
      <c r="AW355" t="s">
        <v>3918</v>
      </c>
      <c r="AX355" t="s">
        <v>3463</v>
      </c>
      <c r="AY355" t="s">
        <v>3465</v>
      </c>
      <c r="AZ355" t="s">
        <v>951</v>
      </c>
      <c r="BF355" t="s">
        <v>3921</v>
      </c>
      <c r="BH355" t="s">
        <v>4020</v>
      </c>
      <c r="BP355" t="s">
        <v>4260</v>
      </c>
      <c r="BQ355" t="s">
        <v>3463</v>
      </c>
      <c r="BR355" t="s">
        <v>3465</v>
      </c>
      <c r="BS355" t="s">
        <v>3463</v>
      </c>
      <c r="BT355" t="s">
        <v>3463</v>
      </c>
      <c r="BU355" t="s">
        <v>3463</v>
      </c>
      <c r="BV355" t="s">
        <v>3463</v>
      </c>
      <c r="BW355" t="s">
        <v>3463</v>
      </c>
      <c r="BX355" t="s">
        <v>79</v>
      </c>
      <c r="BY355" t="s">
        <v>87</v>
      </c>
      <c r="BZ355" t="s">
        <v>79</v>
      </c>
      <c r="CA355" s="10">
        <v>45909</v>
      </c>
    </row>
    <row r="356" spans="1:79">
      <c r="A356">
        <v>362</v>
      </c>
      <c r="B356">
        <v>189</v>
      </c>
      <c r="C356">
        <v>51</v>
      </c>
      <c r="D356" t="s">
        <v>3462</v>
      </c>
      <c r="E356" t="s">
        <v>940</v>
      </c>
      <c r="F356" t="s">
        <v>503</v>
      </c>
      <c r="G356" s="12" t="s">
        <v>3463</v>
      </c>
      <c r="I356">
        <v>61</v>
      </c>
      <c r="K356">
        <v>131</v>
      </c>
      <c r="L356">
        <v>79</v>
      </c>
      <c r="M356" t="s">
        <v>82</v>
      </c>
      <c r="P356" t="s">
        <v>83</v>
      </c>
      <c r="Q356" t="s">
        <v>82</v>
      </c>
      <c r="R356">
        <v>78.8</v>
      </c>
      <c r="S356">
        <v>170.3</v>
      </c>
      <c r="T356" s="8">
        <f t="shared" si="10"/>
        <v>27.170455646472369</v>
      </c>
      <c r="U356" s="13" t="str" cm="1">
        <f t="array" ref="U356">IF(T356="","",_xlfn.IFS(T356&lt;18.5,"Bajo peso",T356&lt;25,"Peso normal",T356&lt;30,"Sobrepeso",T356&lt;35,"Obesidad clase I",T356&lt;40,"Obesidad clase II",T356&gt;=40,"Obesidad clase III"))</f>
        <v>Sobrepeso</v>
      </c>
      <c r="V356">
        <v>81</v>
      </c>
      <c r="X356" t="s">
        <v>3463</v>
      </c>
      <c r="Y356">
        <v>0.89</v>
      </c>
      <c r="AA356">
        <v>90</v>
      </c>
      <c r="AB356" s="9">
        <f t="shared" si="11"/>
        <v>103.75341807529121</v>
      </c>
      <c r="AD356" t="s">
        <v>73</v>
      </c>
      <c r="AF356" t="s">
        <v>73</v>
      </c>
      <c r="AG356" t="s">
        <v>3463</v>
      </c>
      <c r="AH356" t="s">
        <v>3465</v>
      </c>
      <c r="AI356" t="s">
        <v>3463</v>
      </c>
      <c r="AJ356" t="s">
        <v>3463</v>
      </c>
      <c r="AK356" t="s">
        <v>3465</v>
      </c>
      <c r="AL356" t="s">
        <v>3465</v>
      </c>
      <c r="AM356" t="s">
        <v>941</v>
      </c>
      <c r="AN356" t="s">
        <v>3617</v>
      </c>
      <c r="AO356" t="s">
        <v>3463</v>
      </c>
      <c r="AP356" t="s">
        <v>3465</v>
      </c>
      <c r="AQ356" t="s">
        <v>942</v>
      </c>
      <c r="AR356" t="s">
        <v>3536</v>
      </c>
      <c r="AV356" t="s">
        <v>126</v>
      </c>
      <c r="AW356" t="s">
        <v>126</v>
      </c>
      <c r="BF356" t="s">
        <v>3921</v>
      </c>
      <c r="BH356" t="s">
        <v>4020</v>
      </c>
      <c r="BP356" t="s">
        <v>4260</v>
      </c>
      <c r="BQ356" t="s">
        <v>3463</v>
      </c>
      <c r="BR356" t="s">
        <v>3463</v>
      </c>
      <c r="BS356" t="s">
        <v>3463</v>
      </c>
      <c r="BT356" t="s">
        <v>3463</v>
      </c>
      <c r="BU356" t="s">
        <v>3463</v>
      </c>
      <c r="BV356" t="s">
        <v>3463</v>
      </c>
      <c r="BW356" t="s">
        <v>3463</v>
      </c>
      <c r="BX356" t="s">
        <v>79</v>
      </c>
      <c r="BY356" t="s">
        <v>87</v>
      </c>
      <c r="BZ356" t="s">
        <v>79</v>
      </c>
      <c r="CA356" s="10">
        <v>45909</v>
      </c>
    </row>
    <row r="357" spans="1:79">
      <c r="A357">
        <v>363</v>
      </c>
      <c r="B357">
        <v>190</v>
      </c>
      <c r="C357">
        <v>70</v>
      </c>
      <c r="D357" t="s">
        <v>3466</v>
      </c>
      <c r="E357" t="s">
        <v>943</v>
      </c>
      <c r="F357" t="s">
        <v>295</v>
      </c>
      <c r="G357" s="12" t="s">
        <v>3465</v>
      </c>
      <c r="H357" s="12" t="s">
        <v>88</v>
      </c>
      <c r="I357">
        <v>86</v>
      </c>
      <c r="J357">
        <v>88</v>
      </c>
      <c r="K357">
        <v>172</v>
      </c>
      <c r="L357">
        <v>95</v>
      </c>
      <c r="M357" t="s">
        <v>72</v>
      </c>
      <c r="N357">
        <v>141</v>
      </c>
      <c r="O357">
        <v>91</v>
      </c>
      <c r="P357" t="s">
        <v>72</v>
      </c>
      <c r="Q357" t="s">
        <v>72</v>
      </c>
      <c r="R357">
        <v>95.8</v>
      </c>
      <c r="S357">
        <v>149</v>
      </c>
      <c r="T357" s="8">
        <f t="shared" si="10"/>
        <v>43.151209404981756</v>
      </c>
      <c r="U357" s="13" t="str" cm="1">
        <f t="array" ref="U357">IF(T357="","",_xlfn.IFS(T357&lt;18.5,"Bajo peso",T357&lt;25,"Peso normal",T357&lt;30,"Sobrepeso",T357&lt;35,"Obesidad clase I",T357&lt;40,"Obesidad clase II",T357&gt;=40,"Obesidad clase III"))</f>
        <v>Obesidad clase III</v>
      </c>
      <c r="V357">
        <v>105</v>
      </c>
      <c r="X357" t="s">
        <v>3463</v>
      </c>
      <c r="Y357">
        <v>1.23</v>
      </c>
      <c r="AA357">
        <v>55</v>
      </c>
      <c r="AB357" s="9">
        <f t="shared" si="11"/>
        <v>47.274815200502886</v>
      </c>
      <c r="AD357" t="s">
        <v>158</v>
      </c>
      <c r="AF357" t="s">
        <v>158</v>
      </c>
      <c r="AH357" t="s">
        <v>3463</v>
      </c>
      <c r="AI357" t="s">
        <v>3465</v>
      </c>
      <c r="AJ357" t="s">
        <v>3463</v>
      </c>
      <c r="AK357" t="s">
        <v>3463</v>
      </c>
      <c r="AL357" t="s">
        <v>3463</v>
      </c>
      <c r="AP357" t="s">
        <v>3463</v>
      </c>
      <c r="AS357" t="s">
        <v>3465</v>
      </c>
      <c r="AT357" t="s">
        <v>3463</v>
      </c>
      <c r="AV357" t="s">
        <v>178</v>
      </c>
      <c r="AW357" t="s">
        <v>3918</v>
      </c>
      <c r="AX357" t="s">
        <v>3463</v>
      </c>
      <c r="AY357" t="s">
        <v>3465</v>
      </c>
      <c r="AZ357" t="s">
        <v>90</v>
      </c>
      <c r="BA357" t="s">
        <v>3920</v>
      </c>
      <c r="BC357" t="s">
        <v>128</v>
      </c>
      <c r="BD357" t="s">
        <v>105</v>
      </c>
      <c r="BF357" t="s">
        <v>3921</v>
      </c>
      <c r="BG357" t="s">
        <v>944</v>
      </c>
      <c r="BH357" t="s">
        <v>4021</v>
      </c>
      <c r="BI357" t="s">
        <v>945</v>
      </c>
      <c r="BK357" t="s">
        <v>946</v>
      </c>
      <c r="BL357" t="s">
        <v>947</v>
      </c>
      <c r="BP357" t="s">
        <v>4390</v>
      </c>
      <c r="BQ357" t="s">
        <v>3463</v>
      </c>
      <c r="BR357" t="s">
        <v>3465</v>
      </c>
      <c r="BS357" t="s">
        <v>3463</v>
      </c>
      <c r="BT357" t="s">
        <v>3463</v>
      </c>
      <c r="BU357" t="s">
        <v>3463</v>
      </c>
      <c r="BV357" t="s">
        <v>3463</v>
      </c>
      <c r="BW357" t="s">
        <v>3463</v>
      </c>
      <c r="BX357" t="s">
        <v>79</v>
      </c>
      <c r="BY357" t="s">
        <v>87</v>
      </c>
      <c r="BZ357" t="s">
        <v>79</v>
      </c>
      <c r="CA357" s="10">
        <v>45909</v>
      </c>
    </row>
    <row r="358" spans="1:79">
      <c r="A358">
        <v>364</v>
      </c>
      <c r="B358">
        <v>191</v>
      </c>
      <c r="C358">
        <v>29</v>
      </c>
      <c r="D358" t="s">
        <v>3462</v>
      </c>
      <c r="F358" t="s">
        <v>613</v>
      </c>
      <c r="G358" s="12" t="s">
        <v>3463</v>
      </c>
      <c r="H358" s="12"/>
      <c r="I358">
        <v>80</v>
      </c>
      <c r="K358">
        <v>147</v>
      </c>
      <c r="L358">
        <v>79</v>
      </c>
      <c r="M358" t="s">
        <v>72</v>
      </c>
      <c r="P358" t="s">
        <v>83</v>
      </c>
      <c r="Q358" t="s">
        <v>72</v>
      </c>
      <c r="R358">
        <v>79.5</v>
      </c>
      <c r="S358">
        <v>171</v>
      </c>
      <c r="T358" s="8">
        <f t="shared" si="10"/>
        <v>27.187852672617215</v>
      </c>
      <c r="U358" s="13" t="str" cm="1">
        <f t="array" ref="U358">IF(T358="","",_xlfn.IFS(T358&lt;18.5,"Bajo peso",T358&lt;25,"Peso normal",T358&lt;30,"Sobrepeso",T358&lt;35,"Obesidad clase I",T358&lt;40,"Obesidad clase II",T358&gt;=40,"Obesidad clase III"))</f>
        <v>Sobrepeso</v>
      </c>
      <c r="V358">
        <v>129</v>
      </c>
      <c r="X358" t="s">
        <v>3463</v>
      </c>
      <c r="Y358">
        <v>0.9</v>
      </c>
      <c r="AA358">
        <v>90</v>
      </c>
      <c r="AB358" s="9">
        <f t="shared" si="11"/>
        <v>118.56571490163172</v>
      </c>
      <c r="AD358" t="s">
        <v>73</v>
      </c>
      <c r="AF358" t="s">
        <v>73</v>
      </c>
      <c r="AH358" t="s">
        <v>3463</v>
      </c>
      <c r="AI358" t="s">
        <v>3463</v>
      </c>
      <c r="AJ358" t="s">
        <v>3463</v>
      </c>
      <c r="AK358" t="s">
        <v>3463</v>
      </c>
      <c r="AL358" t="s">
        <v>3463</v>
      </c>
      <c r="AP358" t="s">
        <v>3463</v>
      </c>
      <c r="AV358" t="s">
        <v>126</v>
      </c>
      <c r="AW358" t="s">
        <v>126</v>
      </c>
      <c r="BF358" t="s">
        <v>3921</v>
      </c>
      <c r="BH358" t="s">
        <v>4020</v>
      </c>
      <c r="BP358" t="s">
        <v>4260</v>
      </c>
      <c r="BQ358" t="s">
        <v>3463</v>
      </c>
      <c r="BR358" t="s">
        <v>3465</v>
      </c>
      <c r="BS358" t="s">
        <v>3463</v>
      </c>
      <c r="BT358" t="s">
        <v>3463</v>
      </c>
      <c r="BU358" t="s">
        <v>3463</v>
      </c>
      <c r="BV358" t="s">
        <v>3463</v>
      </c>
      <c r="BW358" t="s">
        <v>3463</v>
      </c>
      <c r="BX358" t="s">
        <v>79</v>
      </c>
      <c r="BY358" t="s">
        <v>87</v>
      </c>
      <c r="BZ358" t="s">
        <v>79</v>
      </c>
      <c r="CA358" s="10">
        <v>45909</v>
      </c>
    </row>
    <row r="359" spans="1:79">
      <c r="A359">
        <v>365</v>
      </c>
      <c r="B359">
        <v>192</v>
      </c>
      <c r="C359">
        <v>43</v>
      </c>
      <c r="D359" t="s">
        <v>3462</v>
      </c>
      <c r="E359" t="s">
        <v>952</v>
      </c>
      <c r="F359" t="s">
        <v>613</v>
      </c>
      <c r="G359" s="12" t="s">
        <v>3463</v>
      </c>
      <c r="I359">
        <v>73</v>
      </c>
      <c r="K359">
        <v>119</v>
      </c>
      <c r="L359">
        <v>64</v>
      </c>
      <c r="M359" t="s">
        <v>80</v>
      </c>
      <c r="P359" t="s">
        <v>83</v>
      </c>
      <c r="Q359" t="s">
        <v>80</v>
      </c>
      <c r="R359">
        <v>71.95</v>
      </c>
      <c r="S359">
        <v>167</v>
      </c>
      <c r="T359" s="8">
        <f t="shared" si="10"/>
        <v>25.798701997203199</v>
      </c>
      <c r="U359" s="13" t="str" cm="1">
        <f t="array" ref="U359">IF(T359="","",_xlfn.IFS(T359&lt;18.5,"Bajo peso",T359&lt;25,"Peso normal",T359&lt;30,"Sobrepeso",T359&lt;35,"Obesidad clase I",T359&lt;40,"Obesidad clase II",T359&gt;=40,"Obesidad clase III"))</f>
        <v>Sobrepeso</v>
      </c>
      <c r="V359">
        <v>147</v>
      </c>
      <c r="X359" t="s">
        <v>3463</v>
      </c>
      <c r="Y359">
        <v>0.82</v>
      </c>
      <c r="AA359">
        <v>90</v>
      </c>
      <c r="AB359" s="9">
        <f t="shared" si="11"/>
        <v>111.77752069424876</v>
      </c>
      <c r="AD359" t="s">
        <v>73</v>
      </c>
      <c r="AF359" t="s">
        <v>73</v>
      </c>
      <c r="AH359" t="s">
        <v>3463</v>
      </c>
      <c r="AI359" t="s">
        <v>3463</v>
      </c>
      <c r="AJ359" t="s">
        <v>3463</v>
      </c>
      <c r="AK359" t="s">
        <v>3463</v>
      </c>
      <c r="AP359" t="s">
        <v>3463</v>
      </c>
      <c r="AV359" t="s">
        <v>126</v>
      </c>
      <c r="AW359" t="s">
        <v>126</v>
      </c>
      <c r="BF359" t="s">
        <v>3921</v>
      </c>
      <c r="BH359" t="s">
        <v>4015</v>
      </c>
      <c r="BI359" t="s">
        <v>86</v>
      </c>
      <c r="BK359" t="s">
        <v>953</v>
      </c>
      <c r="BP359" t="s">
        <v>4391</v>
      </c>
      <c r="BQ359" t="s">
        <v>3465</v>
      </c>
      <c r="BR359" t="s">
        <v>3465</v>
      </c>
      <c r="BS359" t="s">
        <v>3463</v>
      </c>
      <c r="BT359" t="s">
        <v>3465</v>
      </c>
      <c r="BU359" t="s">
        <v>3463</v>
      </c>
      <c r="BV359" t="s">
        <v>3463</v>
      </c>
      <c r="BW359" t="s">
        <v>3463</v>
      </c>
      <c r="BX359" t="s">
        <v>79</v>
      </c>
      <c r="BY359" t="s">
        <v>87</v>
      </c>
      <c r="BZ359" t="s">
        <v>79</v>
      </c>
      <c r="CA359" s="10">
        <v>45909</v>
      </c>
    </row>
    <row r="360" spans="1:79">
      <c r="A360">
        <v>366</v>
      </c>
      <c r="B360">
        <v>193</v>
      </c>
      <c r="C360">
        <v>34</v>
      </c>
      <c r="D360" t="s">
        <v>3462</v>
      </c>
      <c r="E360" t="s">
        <v>943</v>
      </c>
      <c r="F360" t="s">
        <v>613</v>
      </c>
      <c r="G360" s="12" t="s">
        <v>3465</v>
      </c>
      <c r="H360" s="12" t="s">
        <v>88</v>
      </c>
      <c r="I360">
        <v>48</v>
      </c>
      <c r="K360">
        <v>146</v>
      </c>
      <c r="L360">
        <v>80</v>
      </c>
      <c r="M360" t="s">
        <v>72</v>
      </c>
      <c r="P360" t="s">
        <v>83</v>
      </c>
      <c r="Q360" t="s">
        <v>72</v>
      </c>
      <c r="R360">
        <v>79.599999999999994</v>
      </c>
      <c r="S360">
        <v>168</v>
      </c>
      <c r="T360" s="8">
        <f t="shared" si="10"/>
        <v>28.202947845804989</v>
      </c>
      <c r="U360" s="13" t="str" cm="1">
        <f t="array" ref="U360">IF(T360="","",_xlfn.IFS(T360&lt;18.5,"Bajo peso",T360&lt;25,"Peso normal",T360&lt;30,"Sobrepeso",T360&lt;35,"Obesidad clase I",T360&lt;40,"Obesidad clase II",T360&gt;=40,"Obesidad clase III"))</f>
        <v>Sobrepeso</v>
      </c>
      <c r="V360">
        <v>101</v>
      </c>
      <c r="X360" t="s">
        <v>3463</v>
      </c>
      <c r="Y360">
        <v>0.92</v>
      </c>
      <c r="AA360">
        <v>90</v>
      </c>
      <c r="AB360" s="9">
        <f t="shared" si="11"/>
        <v>111.94371226087173</v>
      </c>
      <c r="AD360" t="s">
        <v>73</v>
      </c>
      <c r="AF360" t="s">
        <v>73</v>
      </c>
      <c r="AH360" t="s">
        <v>3463</v>
      </c>
      <c r="AI360" t="s">
        <v>3463</v>
      </c>
      <c r="AJ360" t="s">
        <v>3463</v>
      </c>
      <c r="AK360" t="s">
        <v>3463</v>
      </c>
      <c r="AL360" t="s">
        <v>3463</v>
      </c>
      <c r="AP360" t="s">
        <v>3463</v>
      </c>
      <c r="AQ360" t="s">
        <v>159</v>
      </c>
      <c r="AR360" t="s">
        <v>3491</v>
      </c>
      <c r="AV360" t="s">
        <v>126</v>
      </c>
      <c r="AW360" t="s">
        <v>126</v>
      </c>
      <c r="BF360" t="s">
        <v>3921</v>
      </c>
      <c r="BH360" t="s">
        <v>4020</v>
      </c>
      <c r="BP360" t="s">
        <v>4260</v>
      </c>
      <c r="BQ360" t="s">
        <v>3463</v>
      </c>
      <c r="BR360" t="s">
        <v>3465</v>
      </c>
      <c r="BS360" t="s">
        <v>3463</v>
      </c>
      <c r="BT360" t="s">
        <v>3463</v>
      </c>
      <c r="BU360" t="s">
        <v>3463</v>
      </c>
      <c r="BV360" t="s">
        <v>3463</v>
      </c>
      <c r="BW360" t="s">
        <v>3463</v>
      </c>
      <c r="BX360" t="s">
        <v>79</v>
      </c>
      <c r="BY360" t="s">
        <v>87</v>
      </c>
      <c r="BZ360" t="s">
        <v>79</v>
      </c>
      <c r="CA360" s="10">
        <v>45909</v>
      </c>
    </row>
    <row r="361" spans="1:79">
      <c r="A361">
        <v>367</v>
      </c>
      <c r="B361">
        <v>194</v>
      </c>
      <c r="C361">
        <v>57</v>
      </c>
      <c r="D361" t="s">
        <v>3466</v>
      </c>
      <c r="F361" t="s">
        <v>503</v>
      </c>
      <c r="G361" s="12" t="s">
        <v>3465</v>
      </c>
      <c r="H361" s="12" t="s">
        <v>88</v>
      </c>
      <c r="I361">
        <v>72</v>
      </c>
      <c r="K361">
        <v>134</v>
      </c>
      <c r="L361">
        <v>73</v>
      </c>
      <c r="M361" t="s">
        <v>82</v>
      </c>
      <c r="P361" t="s">
        <v>83</v>
      </c>
      <c r="Q361" t="s">
        <v>82</v>
      </c>
      <c r="R361">
        <v>53.7</v>
      </c>
      <c r="S361">
        <v>151.5</v>
      </c>
      <c r="T361" s="8">
        <f t="shared" si="10"/>
        <v>23.396399045845182</v>
      </c>
      <c r="U361" s="13" t="str" cm="1">
        <f t="array" ref="U361">IF(T361="","",_xlfn.IFS(T361&lt;18.5,"Bajo peso",T361&lt;25,"Peso normal",T361&lt;30,"Sobrepeso",T361&lt;35,"Obesidad clase I",T361&lt;40,"Obesidad clase II",T361&gt;=40,"Obesidad clase III"))</f>
        <v>Peso normal</v>
      </c>
      <c r="V361">
        <v>93</v>
      </c>
      <c r="X361" t="s">
        <v>3463</v>
      </c>
      <c r="Y361">
        <v>1.1399999999999999</v>
      </c>
      <c r="AA361">
        <v>56</v>
      </c>
      <c r="AB361" s="9">
        <f t="shared" si="11"/>
        <v>56.149158333230226</v>
      </c>
      <c r="AD361" t="s">
        <v>158</v>
      </c>
      <c r="AF361" t="s">
        <v>158</v>
      </c>
      <c r="AH361" t="s">
        <v>3463</v>
      </c>
      <c r="AI361" t="s">
        <v>3463</v>
      </c>
      <c r="AJ361" t="s">
        <v>3463</v>
      </c>
      <c r="AK361" t="s">
        <v>3463</v>
      </c>
      <c r="AL361" t="s">
        <v>3465</v>
      </c>
      <c r="AM361" t="s">
        <v>948</v>
      </c>
      <c r="AN361" t="s">
        <v>3664</v>
      </c>
      <c r="AP361" t="s">
        <v>3463</v>
      </c>
      <c r="AQ361" t="s">
        <v>159</v>
      </c>
      <c r="AR361" t="s">
        <v>3491</v>
      </c>
      <c r="AT361" t="s">
        <v>3465</v>
      </c>
      <c r="AU361" t="s">
        <v>125</v>
      </c>
      <c r="AV361" t="s">
        <v>74</v>
      </c>
      <c r="AW361" t="s">
        <v>3915</v>
      </c>
      <c r="AX361" t="s">
        <v>3463</v>
      </c>
      <c r="AY361" t="s">
        <v>3465</v>
      </c>
      <c r="AZ361" t="s">
        <v>90</v>
      </c>
      <c r="BD361" t="s">
        <v>105</v>
      </c>
      <c r="BF361" t="s">
        <v>3921</v>
      </c>
      <c r="BG361" t="s">
        <v>946</v>
      </c>
      <c r="BH361" t="s">
        <v>4029</v>
      </c>
      <c r="BI361" t="s">
        <v>949</v>
      </c>
      <c r="BP361" t="s">
        <v>4260</v>
      </c>
      <c r="BQ361" t="s">
        <v>3463</v>
      </c>
      <c r="BR361" t="s">
        <v>3463</v>
      </c>
      <c r="BS361" t="s">
        <v>3463</v>
      </c>
      <c r="BT361" t="s">
        <v>3465</v>
      </c>
      <c r="BU361" t="s">
        <v>3463</v>
      </c>
      <c r="BV361" t="s">
        <v>3463</v>
      </c>
      <c r="BW361" t="s">
        <v>3463</v>
      </c>
      <c r="BX361" t="s">
        <v>79</v>
      </c>
      <c r="BY361" t="s">
        <v>87</v>
      </c>
      <c r="BZ361" t="s">
        <v>79</v>
      </c>
      <c r="CA361" s="10">
        <v>45909</v>
      </c>
    </row>
    <row r="362" spans="1:79">
      <c r="A362">
        <v>368</v>
      </c>
      <c r="B362">
        <v>195</v>
      </c>
      <c r="D362" t="s">
        <v>3462</v>
      </c>
      <c r="F362" t="s">
        <v>613</v>
      </c>
      <c r="G362" s="12" t="s">
        <v>3463</v>
      </c>
      <c r="J362">
        <v>85</v>
      </c>
      <c r="K362">
        <v>184</v>
      </c>
      <c r="L362">
        <v>107</v>
      </c>
      <c r="M362" t="s">
        <v>96</v>
      </c>
      <c r="N362">
        <v>161</v>
      </c>
      <c r="O362">
        <v>96</v>
      </c>
      <c r="P362" t="s">
        <v>72</v>
      </c>
      <c r="Q362" t="s">
        <v>72</v>
      </c>
      <c r="R362">
        <v>92.6</v>
      </c>
      <c r="S362">
        <v>152</v>
      </c>
      <c r="T362" s="8">
        <f t="shared" si="10"/>
        <v>40.07963988919667</v>
      </c>
      <c r="U362" s="13" t="str" cm="1">
        <f t="array" ref="U362">IF(T362="","",_xlfn.IFS(T362&lt;18.5,"Bajo peso",T362&lt;25,"Peso normal",T362&lt;30,"Sobrepeso",T362&lt;35,"Obesidad clase I",T362&lt;40,"Obesidad clase II",T362&gt;=40,"Obesidad clase III"))</f>
        <v>Obesidad clase III</v>
      </c>
      <c r="V362">
        <v>160</v>
      </c>
      <c r="X362" t="s">
        <v>3463</v>
      </c>
      <c r="Y362">
        <v>0.66</v>
      </c>
      <c r="AA362">
        <v>90</v>
      </c>
      <c r="AB362" s="9" t="str">
        <f t="shared" si="11"/>
        <v/>
      </c>
      <c r="AD362" t="s">
        <v>73</v>
      </c>
      <c r="AF362" t="s">
        <v>73</v>
      </c>
      <c r="AH362" t="s">
        <v>3463</v>
      </c>
      <c r="AI362" t="s">
        <v>3465</v>
      </c>
      <c r="AJ362" t="s">
        <v>3463</v>
      </c>
      <c r="AK362" t="s">
        <v>3463</v>
      </c>
      <c r="AL362" t="s">
        <v>3463</v>
      </c>
      <c r="AP362" t="s">
        <v>3463</v>
      </c>
      <c r="AS362" t="s">
        <v>3465</v>
      </c>
      <c r="AV362" t="s">
        <v>126</v>
      </c>
      <c r="AW362" t="s">
        <v>126</v>
      </c>
      <c r="BF362" t="s">
        <v>3921</v>
      </c>
      <c r="BH362" t="s">
        <v>4020</v>
      </c>
      <c r="BP362" t="s">
        <v>4260</v>
      </c>
      <c r="BQ362" t="s">
        <v>3463</v>
      </c>
      <c r="BR362" t="s">
        <v>3463</v>
      </c>
      <c r="BS362" t="s">
        <v>3463</v>
      </c>
      <c r="BT362" t="s">
        <v>3463</v>
      </c>
      <c r="BU362" t="s">
        <v>3463</v>
      </c>
      <c r="BV362" t="s">
        <v>3463</v>
      </c>
      <c r="BW362" t="s">
        <v>3463</v>
      </c>
      <c r="BX362" t="s">
        <v>79</v>
      </c>
      <c r="BY362" t="s">
        <v>87</v>
      </c>
      <c r="BZ362" t="s">
        <v>79</v>
      </c>
      <c r="CA362" s="10">
        <v>45909</v>
      </c>
    </row>
    <row r="363" spans="1:79">
      <c r="A363">
        <v>369</v>
      </c>
      <c r="B363">
        <v>196</v>
      </c>
      <c r="C363">
        <v>32</v>
      </c>
      <c r="D363" t="s">
        <v>3466</v>
      </c>
      <c r="F363" t="s">
        <v>613</v>
      </c>
      <c r="G363" s="12" t="s">
        <v>3465</v>
      </c>
      <c r="H363" t="s">
        <v>88</v>
      </c>
      <c r="I363">
        <v>72</v>
      </c>
      <c r="K363">
        <v>142</v>
      </c>
      <c r="L363">
        <v>71</v>
      </c>
      <c r="M363" t="s">
        <v>72</v>
      </c>
      <c r="P363" t="s">
        <v>83</v>
      </c>
      <c r="Q363" t="s">
        <v>72</v>
      </c>
      <c r="R363">
        <v>89.5</v>
      </c>
      <c r="S363">
        <v>154</v>
      </c>
      <c r="T363" s="8">
        <f t="shared" si="10"/>
        <v>37.738235790183843</v>
      </c>
      <c r="U363" s="13" t="str" cm="1">
        <f t="array" ref="U363">IF(T363="","",_xlfn.IFS(T363&lt;18.5,"Bajo peso",T363&lt;25,"Peso normal",T363&lt;30,"Sobrepeso",T363&lt;35,"Obesidad clase I",T363&lt;40,"Obesidad clase II",T363&gt;=40,"Obesidad clase III"))</f>
        <v>Obesidad clase II</v>
      </c>
      <c r="V363">
        <v>108</v>
      </c>
      <c r="X363" t="s">
        <v>3463</v>
      </c>
      <c r="Y363">
        <v>1.1000000000000001</v>
      </c>
      <c r="AA363">
        <v>68</v>
      </c>
      <c r="AB363" s="9">
        <f t="shared" si="11"/>
        <v>68.467274455028601</v>
      </c>
      <c r="AD363" t="s">
        <v>73</v>
      </c>
      <c r="AF363" t="s">
        <v>73</v>
      </c>
      <c r="AH363" t="s">
        <v>3463</v>
      </c>
      <c r="AI363" t="s">
        <v>3463</v>
      </c>
      <c r="AJ363" t="s">
        <v>3463</v>
      </c>
      <c r="AK363" t="s">
        <v>3463</v>
      </c>
      <c r="AL363" t="s">
        <v>3463</v>
      </c>
      <c r="AP363" t="s">
        <v>3463</v>
      </c>
      <c r="AQ363" t="s">
        <v>169</v>
      </c>
      <c r="AR363" t="s">
        <v>3493</v>
      </c>
      <c r="AT363" t="s">
        <v>3463</v>
      </c>
      <c r="AV363" t="s">
        <v>178</v>
      </c>
      <c r="AW363" t="s">
        <v>3918</v>
      </c>
      <c r="AX363" t="s">
        <v>3463</v>
      </c>
      <c r="AY363" t="s">
        <v>3465</v>
      </c>
      <c r="AZ363" t="s">
        <v>954</v>
      </c>
      <c r="BF363" t="s">
        <v>3921</v>
      </c>
      <c r="BH363" t="s">
        <v>4020</v>
      </c>
      <c r="BP363" t="s">
        <v>4260</v>
      </c>
      <c r="BQ363" t="s">
        <v>3463</v>
      </c>
      <c r="BR363" t="s">
        <v>3465</v>
      </c>
      <c r="BS363" t="s">
        <v>3465</v>
      </c>
      <c r="BT363" t="s">
        <v>3465</v>
      </c>
      <c r="BU363" t="s">
        <v>3463</v>
      </c>
      <c r="BV363" t="s">
        <v>3463</v>
      </c>
      <c r="BW363" t="s">
        <v>3463</v>
      </c>
      <c r="BX363" t="s">
        <v>79</v>
      </c>
      <c r="BY363" t="s">
        <v>87</v>
      </c>
      <c r="BZ363" t="s">
        <v>79</v>
      </c>
      <c r="CA363" s="10">
        <v>45909</v>
      </c>
    </row>
    <row r="364" spans="1:79">
      <c r="A364">
        <v>370</v>
      </c>
      <c r="B364">
        <v>197</v>
      </c>
      <c r="C364">
        <v>32</v>
      </c>
      <c r="D364" t="s">
        <v>3466</v>
      </c>
      <c r="E364" t="s">
        <v>950</v>
      </c>
      <c r="F364" t="s">
        <v>503</v>
      </c>
      <c r="G364" s="12" t="s">
        <v>3465</v>
      </c>
      <c r="H364" t="s">
        <v>88</v>
      </c>
      <c r="I364">
        <v>65</v>
      </c>
      <c r="K364">
        <v>147</v>
      </c>
      <c r="L364">
        <v>88</v>
      </c>
      <c r="M364" t="s">
        <v>72</v>
      </c>
      <c r="P364" t="s">
        <v>83</v>
      </c>
      <c r="Q364" t="s">
        <v>72</v>
      </c>
      <c r="R364">
        <v>83.85</v>
      </c>
      <c r="S364">
        <v>156.4</v>
      </c>
      <c r="T364" s="8">
        <f t="shared" si="10"/>
        <v>34.279112512346202</v>
      </c>
      <c r="U364" s="13" t="str" cm="1">
        <f t="array" ref="U364">IF(T364="","",_xlfn.IFS(T364&lt;18.5,"Bajo peso",T364&lt;25,"Peso normal",T364&lt;30,"Sobrepeso",T364&lt;35,"Obesidad clase I",T364&lt;40,"Obesidad clase II",T364&gt;=40,"Obesidad clase III"))</f>
        <v>Obesidad clase I</v>
      </c>
      <c r="V364">
        <v>92</v>
      </c>
      <c r="X364" t="s">
        <v>3463</v>
      </c>
      <c r="Y364">
        <v>0.59</v>
      </c>
      <c r="AA364">
        <v>90</v>
      </c>
      <c r="AB364" s="9">
        <f t="shared" si="11"/>
        <v>122.72411439869475</v>
      </c>
      <c r="AD364" t="s">
        <v>73</v>
      </c>
      <c r="AF364" t="s">
        <v>73</v>
      </c>
      <c r="AH364" t="s">
        <v>3463</v>
      </c>
      <c r="AI364" t="s">
        <v>3463</v>
      </c>
      <c r="AJ364" t="s">
        <v>3465</v>
      </c>
      <c r="AK364" t="s">
        <v>3463</v>
      </c>
      <c r="AL364" t="s">
        <v>3463</v>
      </c>
      <c r="AP364" t="s">
        <v>3463</v>
      </c>
      <c r="AQ364" t="s">
        <v>955</v>
      </c>
      <c r="AR364" t="s">
        <v>3512</v>
      </c>
      <c r="AT364" t="s">
        <v>3463</v>
      </c>
      <c r="AV364" t="s">
        <v>74</v>
      </c>
      <c r="AW364" t="s">
        <v>3915</v>
      </c>
      <c r="AX364" t="s">
        <v>3463</v>
      </c>
      <c r="AY364" t="s">
        <v>3465</v>
      </c>
      <c r="AZ364" t="s">
        <v>90</v>
      </c>
      <c r="BF364" t="s">
        <v>3921</v>
      </c>
      <c r="BH364" t="s">
        <v>4020</v>
      </c>
      <c r="BP364" t="s">
        <v>4260</v>
      </c>
      <c r="BQ364" t="s">
        <v>3463</v>
      </c>
      <c r="BR364" t="s">
        <v>3463</v>
      </c>
      <c r="BS364" t="s">
        <v>3463</v>
      </c>
      <c r="BT364" t="s">
        <v>3465</v>
      </c>
      <c r="BU364" t="s">
        <v>3463</v>
      </c>
      <c r="BV364" t="s">
        <v>3463</v>
      </c>
      <c r="BW364" t="s">
        <v>3463</v>
      </c>
      <c r="BX364" t="s">
        <v>79</v>
      </c>
      <c r="BY364" t="s">
        <v>87</v>
      </c>
      <c r="BZ364" t="s">
        <v>79</v>
      </c>
      <c r="CA364" s="10">
        <v>45909</v>
      </c>
    </row>
    <row r="365" spans="1:79">
      <c r="A365">
        <v>371</v>
      </c>
      <c r="B365">
        <v>198</v>
      </c>
      <c r="C365">
        <v>25</v>
      </c>
      <c r="D365" t="s">
        <v>3466</v>
      </c>
      <c r="E365" t="s">
        <v>943</v>
      </c>
      <c r="F365" t="s">
        <v>503</v>
      </c>
      <c r="G365" s="12" t="s">
        <v>3465</v>
      </c>
      <c r="H365" s="12" t="s">
        <v>88</v>
      </c>
      <c r="I365">
        <v>63</v>
      </c>
      <c r="K365">
        <v>118</v>
      </c>
      <c r="L365">
        <v>65</v>
      </c>
      <c r="M365" t="s">
        <v>80</v>
      </c>
      <c r="P365" t="s">
        <v>83</v>
      </c>
      <c r="Q365" t="s">
        <v>80</v>
      </c>
      <c r="R365">
        <v>65.8</v>
      </c>
      <c r="S365">
        <v>161</v>
      </c>
      <c r="T365" s="8">
        <f t="shared" si="10"/>
        <v>25.384823116392113</v>
      </c>
      <c r="U365" s="13" t="str" cm="1">
        <f t="array" ref="U365">IF(T365="","",_xlfn.IFS(T365&lt;18.5,"Bajo peso",T365&lt;25,"Peso normal",T365&lt;30,"Sobrepeso",T365&lt;35,"Obesidad clase I",T365&lt;40,"Obesidad clase II",T365&gt;=40,"Obesidad clase III"))</f>
        <v>Sobrepeso</v>
      </c>
      <c r="V365">
        <v>101</v>
      </c>
      <c r="X365" t="s">
        <v>3463</v>
      </c>
      <c r="Y365">
        <v>1.1200000000000001</v>
      </c>
      <c r="AA365">
        <v>70</v>
      </c>
      <c r="AB365" s="9">
        <f t="shared" si="11"/>
        <v>69.984149313078916</v>
      </c>
      <c r="AD365" t="s">
        <v>73</v>
      </c>
      <c r="AF365" t="s">
        <v>73</v>
      </c>
      <c r="AH365" t="s">
        <v>3463</v>
      </c>
      <c r="AI365" t="s">
        <v>3463</v>
      </c>
      <c r="AJ365" t="s">
        <v>3463</v>
      </c>
      <c r="AK365" t="s">
        <v>3463</v>
      </c>
      <c r="AL365" t="s">
        <v>3463</v>
      </c>
      <c r="AP365" t="s">
        <v>3465</v>
      </c>
      <c r="AQ365" t="s">
        <v>159</v>
      </c>
      <c r="AR365" t="s">
        <v>3491</v>
      </c>
      <c r="AW365" t="s">
        <v>3916</v>
      </c>
      <c r="AX365" t="s">
        <v>3463</v>
      </c>
      <c r="AY365" t="s">
        <v>3465</v>
      </c>
      <c r="AZ365" t="s">
        <v>152</v>
      </c>
      <c r="BF365" t="s">
        <v>3921</v>
      </c>
      <c r="BH365" t="s">
        <v>4020</v>
      </c>
      <c r="BP365" t="s">
        <v>4260</v>
      </c>
      <c r="BQ365" t="s">
        <v>3463</v>
      </c>
      <c r="BR365" t="s">
        <v>3463</v>
      </c>
      <c r="BS365" t="s">
        <v>3465</v>
      </c>
      <c r="BT365" t="s">
        <v>3465</v>
      </c>
      <c r="BU365" t="s">
        <v>3463</v>
      </c>
      <c r="BV365" t="s">
        <v>3463</v>
      </c>
      <c r="BW365" t="s">
        <v>3463</v>
      </c>
      <c r="BX365" t="s">
        <v>79</v>
      </c>
      <c r="BY365" t="s">
        <v>87</v>
      </c>
      <c r="BZ365" t="s">
        <v>79</v>
      </c>
      <c r="CA365" s="10">
        <v>45909</v>
      </c>
    </row>
    <row r="366" spans="1:79">
      <c r="A366">
        <v>372</v>
      </c>
      <c r="B366">
        <v>199</v>
      </c>
      <c r="C366">
        <v>49</v>
      </c>
      <c r="D366" t="s">
        <v>3462</v>
      </c>
      <c r="E366" t="s">
        <v>943</v>
      </c>
      <c r="F366" t="s">
        <v>503</v>
      </c>
      <c r="G366" s="12" t="s">
        <v>3463</v>
      </c>
      <c r="I366">
        <v>85</v>
      </c>
      <c r="K366">
        <v>157</v>
      </c>
      <c r="L366">
        <v>97</v>
      </c>
      <c r="M366" t="s">
        <v>72</v>
      </c>
      <c r="P366" t="s">
        <v>83</v>
      </c>
      <c r="Q366" t="s">
        <v>72</v>
      </c>
      <c r="R366">
        <v>86.6</v>
      </c>
      <c r="S366">
        <v>167</v>
      </c>
      <c r="T366" s="8">
        <f t="shared" si="10"/>
        <v>31.051669116856107</v>
      </c>
      <c r="U366" s="13" t="str" cm="1">
        <f t="array" ref="U366">IF(T366="","",_xlfn.IFS(T366&lt;18.5,"Bajo peso",T366&lt;25,"Peso normal",T366&lt;30,"Sobrepeso",T366&lt;35,"Obesidad clase I",T366&lt;40,"Obesidad clase II",T366&gt;=40,"Obesidad clase III"))</f>
        <v>Obesidad clase I</v>
      </c>
      <c r="V366">
        <v>109</v>
      </c>
      <c r="X366" t="s">
        <v>3463</v>
      </c>
      <c r="Y366">
        <v>1.3</v>
      </c>
      <c r="AA366">
        <v>67</v>
      </c>
      <c r="AB366" s="9">
        <f t="shared" si="11"/>
        <v>67.343853091967759</v>
      </c>
      <c r="AD366" t="s">
        <v>73</v>
      </c>
      <c r="AF366" t="s">
        <v>73</v>
      </c>
      <c r="AH366" t="s">
        <v>3463</v>
      </c>
      <c r="AI366" t="s">
        <v>3463</v>
      </c>
      <c r="AJ366" t="s">
        <v>3463</v>
      </c>
      <c r="AK366" t="s">
        <v>3463</v>
      </c>
      <c r="AL366" t="s">
        <v>3463</v>
      </c>
      <c r="AP366" t="s">
        <v>3463</v>
      </c>
      <c r="AV366" t="s">
        <v>126</v>
      </c>
      <c r="AW366" t="s">
        <v>126</v>
      </c>
      <c r="BF366" t="s">
        <v>3921</v>
      </c>
      <c r="BH366" t="s">
        <v>4020</v>
      </c>
      <c r="BP366" t="s">
        <v>4260</v>
      </c>
      <c r="BQ366" t="s">
        <v>3463</v>
      </c>
      <c r="BR366" t="s">
        <v>3465</v>
      </c>
      <c r="BS366" t="s">
        <v>3463</v>
      </c>
      <c r="BT366" t="s">
        <v>3463</v>
      </c>
      <c r="BU366" t="s">
        <v>3463</v>
      </c>
      <c r="BV366" t="s">
        <v>3463</v>
      </c>
      <c r="BW366" t="s">
        <v>3463</v>
      </c>
      <c r="BX366" t="s">
        <v>79</v>
      </c>
      <c r="BY366" t="s">
        <v>87</v>
      </c>
      <c r="BZ366" t="s">
        <v>79</v>
      </c>
      <c r="CA366" s="10">
        <v>45909</v>
      </c>
    </row>
    <row r="367" spans="1:79">
      <c r="A367">
        <v>373</v>
      </c>
      <c r="B367">
        <v>200</v>
      </c>
      <c r="D367" t="s">
        <v>3466</v>
      </c>
      <c r="F367" t="s">
        <v>613</v>
      </c>
      <c r="G367" s="12" t="s">
        <v>3465</v>
      </c>
      <c r="H367" t="s">
        <v>88</v>
      </c>
      <c r="I367">
        <v>78</v>
      </c>
      <c r="K367">
        <v>141</v>
      </c>
      <c r="L367">
        <v>77</v>
      </c>
      <c r="M367" t="s">
        <v>72</v>
      </c>
      <c r="P367" t="s">
        <v>83</v>
      </c>
      <c r="Q367" t="s">
        <v>72</v>
      </c>
      <c r="R367">
        <v>63.7</v>
      </c>
      <c r="S367">
        <v>157</v>
      </c>
      <c r="T367" s="8">
        <f t="shared" si="10"/>
        <v>25.84283338066453</v>
      </c>
      <c r="U367" s="13" t="str" cm="1">
        <f t="array" ref="U367">IF(T367="","",_xlfn.IFS(T367&lt;18.5,"Bajo peso",T367&lt;25,"Peso normal",T367&lt;30,"Sobrepeso",T367&lt;35,"Obesidad clase I",T367&lt;40,"Obesidad clase II",T367&gt;=40,"Obesidad clase III"))</f>
        <v>Sobrepeso</v>
      </c>
      <c r="V367">
        <v>90</v>
      </c>
      <c r="X367" t="s">
        <v>3463</v>
      </c>
      <c r="Y367">
        <v>0.91</v>
      </c>
      <c r="AA367">
        <v>83</v>
      </c>
      <c r="AB367" s="9" t="str">
        <f t="shared" si="11"/>
        <v/>
      </c>
      <c r="AD367" t="s">
        <v>73</v>
      </c>
      <c r="AF367" t="s">
        <v>73</v>
      </c>
      <c r="AH367" t="s">
        <v>3463</v>
      </c>
      <c r="AI367" t="s">
        <v>3463</v>
      </c>
      <c r="AJ367" t="s">
        <v>3463</v>
      </c>
      <c r="AK367" t="s">
        <v>3463</v>
      </c>
      <c r="AL367" t="s">
        <v>3463</v>
      </c>
      <c r="AP367" t="s">
        <v>3463</v>
      </c>
      <c r="AT367" t="s">
        <v>3463</v>
      </c>
      <c r="AV367" t="s">
        <v>74</v>
      </c>
      <c r="AW367" t="s">
        <v>3915</v>
      </c>
      <c r="AX367" t="s">
        <v>3463</v>
      </c>
      <c r="AY367" t="s">
        <v>3465</v>
      </c>
      <c r="BF367" t="s">
        <v>3921</v>
      </c>
      <c r="BH367" t="s">
        <v>4020</v>
      </c>
      <c r="BP367" t="s">
        <v>4260</v>
      </c>
      <c r="BQ367" t="s">
        <v>3465</v>
      </c>
      <c r="BR367" t="s">
        <v>3463</v>
      </c>
      <c r="BS367" t="s">
        <v>3465</v>
      </c>
      <c r="BT367" t="s">
        <v>3465</v>
      </c>
      <c r="BU367" t="s">
        <v>3463</v>
      </c>
      <c r="BV367" t="s">
        <v>3463</v>
      </c>
      <c r="BW367" t="s">
        <v>3463</v>
      </c>
      <c r="BX367" t="s">
        <v>79</v>
      </c>
      <c r="BY367" t="s">
        <v>87</v>
      </c>
      <c r="BZ367" t="s">
        <v>79</v>
      </c>
      <c r="CA367" s="10">
        <v>45909</v>
      </c>
    </row>
    <row r="368" spans="1:79">
      <c r="A368">
        <v>374</v>
      </c>
      <c r="B368">
        <v>201</v>
      </c>
      <c r="C368">
        <v>26</v>
      </c>
      <c r="D368" t="s">
        <v>3462</v>
      </c>
      <c r="F368" t="s">
        <v>613</v>
      </c>
      <c r="G368" s="12" t="s">
        <v>3463</v>
      </c>
      <c r="H368" s="12"/>
      <c r="I368">
        <v>70</v>
      </c>
      <c r="K368">
        <v>159</v>
      </c>
      <c r="L368">
        <v>85</v>
      </c>
      <c r="M368" t="s">
        <v>72</v>
      </c>
      <c r="P368" t="s">
        <v>83</v>
      </c>
      <c r="Q368" t="s">
        <v>72</v>
      </c>
      <c r="R368">
        <v>76.099999999999994</v>
      </c>
      <c r="S368">
        <v>167.4</v>
      </c>
      <c r="T368" s="8">
        <f t="shared" si="10"/>
        <v>27.156497075948263</v>
      </c>
      <c r="U368" s="13" t="str" cm="1">
        <f t="array" ref="U368">IF(T368="","",_xlfn.IFS(T368&lt;18.5,"Bajo peso",T368&lt;25,"Peso normal",T368&lt;30,"Sobrepeso",T368&lt;35,"Obesidad clase I",T368&lt;40,"Obesidad clase II",T368&gt;=40,"Obesidad clase III"))</f>
        <v>Sobrepeso</v>
      </c>
      <c r="V368">
        <v>111</v>
      </c>
      <c r="X368" t="s">
        <v>3463</v>
      </c>
      <c r="Y368">
        <v>1.1000000000000001</v>
      </c>
      <c r="AA368">
        <v>90</v>
      </c>
      <c r="AB368" s="9">
        <f t="shared" si="11"/>
        <v>94.947150652744313</v>
      </c>
      <c r="AD368" t="s">
        <v>73</v>
      </c>
      <c r="AF368" t="s">
        <v>73</v>
      </c>
      <c r="AH368" t="s">
        <v>3463</v>
      </c>
      <c r="AI368" t="s">
        <v>3463</v>
      </c>
      <c r="AJ368" t="s">
        <v>3463</v>
      </c>
      <c r="AK368" t="s">
        <v>3463</v>
      </c>
      <c r="AL368" t="s">
        <v>3463</v>
      </c>
      <c r="AP368" t="s">
        <v>3463</v>
      </c>
      <c r="AW368" t="s">
        <v>3916</v>
      </c>
      <c r="BF368" t="s">
        <v>3921</v>
      </c>
      <c r="BH368" t="s">
        <v>4020</v>
      </c>
      <c r="BP368" t="s">
        <v>4260</v>
      </c>
      <c r="BQ368" t="s">
        <v>3463</v>
      </c>
      <c r="BR368" t="s">
        <v>3465</v>
      </c>
      <c r="BS368" t="s">
        <v>3463</v>
      </c>
      <c r="BT368" t="s">
        <v>3465</v>
      </c>
      <c r="BU368" t="s">
        <v>3463</v>
      </c>
      <c r="BV368" t="s">
        <v>3463</v>
      </c>
      <c r="BW368" t="s">
        <v>3463</v>
      </c>
      <c r="BX368" t="s">
        <v>79</v>
      </c>
      <c r="BY368" t="s">
        <v>87</v>
      </c>
      <c r="BZ368" t="s">
        <v>79</v>
      </c>
      <c r="CA368" s="10">
        <v>45909</v>
      </c>
    </row>
    <row r="369" spans="1:79">
      <c r="A369">
        <v>375</v>
      </c>
      <c r="B369">
        <v>202</v>
      </c>
      <c r="C369">
        <v>35</v>
      </c>
      <c r="D369" t="s">
        <v>3462</v>
      </c>
      <c r="F369" t="s">
        <v>503</v>
      </c>
      <c r="G369" s="12" t="s">
        <v>3465</v>
      </c>
      <c r="H369" s="12" t="s">
        <v>88</v>
      </c>
      <c r="I369">
        <v>63</v>
      </c>
      <c r="J369">
        <v>66</v>
      </c>
      <c r="K369">
        <v>159</v>
      </c>
      <c r="L369">
        <v>78</v>
      </c>
      <c r="M369" t="s">
        <v>72</v>
      </c>
      <c r="N369">
        <v>147</v>
      </c>
      <c r="O369">
        <v>83</v>
      </c>
      <c r="P369" t="s">
        <v>72</v>
      </c>
      <c r="Q369" t="s">
        <v>72</v>
      </c>
      <c r="R369">
        <v>98.2</v>
      </c>
      <c r="S369">
        <v>188</v>
      </c>
      <c r="T369" s="8">
        <f t="shared" si="10"/>
        <v>27.784065187867814</v>
      </c>
      <c r="U369" s="13" t="str" cm="1">
        <f t="array" ref="U369">IF(T369="","",_xlfn.IFS(T369&lt;18.5,"Bajo peso",T369&lt;25,"Peso normal",T369&lt;30,"Sobrepeso",T369&lt;35,"Obesidad clase I",T369&lt;40,"Obesidad clase II",T369&gt;=40,"Obesidad clase III"))</f>
        <v>Sobrepeso</v>
      </c>
      <c r="AB369" s="9" t="str">
        <f t="shared" si="11"/>
        <v/>
      </c>
      <c r="AH369" t="s">
        <v>3463</v>
      </c>
      <c r="AI369" t="s">
        <v>3463</v>
      </c>
      <c r="AJ369" t="s">
        <v>3463</v>
      </c>
      <c r="AK369" t="s">
        <v>3463</v>
      </c>
      <c r="AL369" t="s">
        <v>3463</v>
      </c>
      <c r="AP369" t="s">
        <v>3463</v>
      </c>
      <c r="AQ369" t="s">
        <v>959</v>
      </c>
      <c r="AR369" t="s">
        <v>3522</v>
      </c>
      <c r="AV369" t="s">
        <v>126</v>
      </c>
      <c r="AW369" t="s">
        <v>126</v>
      </c>
      <c r="BF369" t="s">
        <v>3921</v>
      </c>
      <c r="BH369" t="s">
        <v>4020</v>
      </c>
      <c r="BP369" t="s">
        <v>4260</v>
      </c>
      <c r="BQ369" t="s">
        <v>3465</v>
      </c>
      <c r="BR369" t="s">
        <v>3463</v>
      </c>
      <c r="BS369" t="s">
        <v>3465</v>
      </c>
      <c r="BT369" t="s">
        <v>3465</v>
      </c>
      <c r="BU369" t="s">
        <v>3463</v>
      </c>
      <c r="BV369" t="s">
        <v>3463</v>
      </c>
      <c r="BW369" t="s">
        <v>3463</v>
      </c>
      <c r="BX369" t="s">
        <v>79</v>
      </c>
      <c r="BY369" t="s">
        <v>87</v>
      </c>
      <c r="BZ369" t="s">
        <v>79</v>
      </c>
      <c r="CA369" s="10">
        <v>45909</v>
      </c>
    </row>
    <row r="370" spans="1:79">
      <c r="A370">
        <v>376</v>
      </c>
      <c r="B370">
        <v>203</v>
      </c>
      <c r="C370">
        <v>59</v>
      </c>
      <c r="D370" t="s">
        <v>3462</v>
      </c>
      <c r="F370" t="s">
        <v>503</v>
      </c>
      <c r="G370" s="12" t="s">
        <v>3465</v>
      </c>
      <c r="H370" s="12" t="s">
        <v>88</v>
      </c>
      <c r="I370">
        <v>66</v>
      </c>
      <c r="J370">
        <v>62</v>
      </c>
      <c r="K370">
        <v>159</v>
      </c>
      <c r="L370">
        <v>66</v>
      </c>
      <c r="M370" t="s">
        <v>72</v>
      </c>
      <c r="N370">
        <v>152</v>
      </c>
      <c r="O370">
        <v>79</v>
      </c>
      <c r="P370" t="s">
        <v>72</v>
      </c>
      <c r="Q370" t="s">
        <v>72</v>
      </c>
      <c r="R370">
        <v>80.900000000000006</v>
      </c>
      <c r="S370">
        <v>166</v>
      </c>
      <c r="T370" s="8">
        <f t="shared" si="10"/>
        <v>29.358397445202495</v>
      </c>
      <c r="U370" s="13" t="str" cm="1">
        <f t="array" ref="U370">IF(T370="","",_xlfn.IFS(T370&lt;18.5,"Bajo peso",T370&lt;25,"Peso normal",T370&lt;30,"Sobrepeso",T370&lt;35,"Obesidad clase I",T370&lt;40,"Obesidad clase II",T370&gt;=40,"Obesidad clase III"))</f>
        <v>Sobrepeso</v>
      </c>
      <c r="V370">
        <v>116</v>
      </c>
      <c r="X370" t="s">
        <v>3463</v>
      </c>
      <c r="Y370">
        <v>1.04</v>
      </c>
      <c r="AA370">
        <v>83</v>
      </c>
      <c r="AB370" s="9">
        <f t="shared" si="11"/>
        <v>82.714167059830913</v>
      </c>
      <c r="AD370" t="s">
        <v>73</v>
      </c>
      <c r="AF370" t="s">
        <v>73</v>
      </c>
      <c r="AG370" t="s">
        <v>3463</v>
      </c>
      <c r="AH370" t="s">
        <v>3465</v>
      </c>
      <c r="AI370" t="s">
        <v>3465</v>
      </c>
      <c r="AJ370" t="s">
        <v>3465</v>
      </c>
      <c r="AK370" t="s">
        <v>3463</v>
      </c>
      <c r="AL370" t="s">
        <v>3463</v>
      </c>
      <c r="AP370" t="s">
        <v>3463</v>
      </c>
      <c r="AS370" t="s">
        <v>3465</v>
      </c>
      <c r="AV370" t="s">
        <v>178</v>
      </c>
      <c r="AW370" t="s">
        <v>3918</v>
      </c>
      <c r="BF370" t="s">
        <v>3921</v>
      </c>
      <c r="BH370" t="s">
        <v>4020</v>
      </c>
      <c r="BP370" t="s">
        <v>4260</v>
      </c>
      <c r="BQ370" t="s">
        <v>3463</v>
      </c>
      <c r="BR370" t="s">
        <v>3465</v>
      </c>
      <c r="BS370" t="s">
        <v>3463</v>
      </c>
      <c r="BT370" t="s">
        <v>3463</v>
      </c>
      <c r="BU370" t="s">
        <v>3463</v>
      </c>
      <c r="BV370" t="s">
        <v>3463</v>
      </c>
      <c r="BW370" t="s">
        <v>3463</v>
      </c>
      <c r="BX370" t="s">
        <v>79</v>
      </c>
      <c r="BY370" t="s">
        <v>87</v>
      </c>
      <c r="BZ370" t="s">
        <v>79</v>
      </c>
      <c r="CA370" s="10">
        <v>45909</v>
      </c>
    </row>
    <row r="371" spans="1:79">
      <c r="A371">
        <v>377</v>
      </c>
      <c r="B371">
        <v>204</v>
      </c>
      <c r="C371">
        <v>36</v>
      </c>
      <c r="D371" t="s">
        <v>3466</v>
      </c>
      <c r="E371" t="s">
        <v>956</v>
      </c>
      <c r="F371" t="s">
        <v>503</v>
      </c>
      <c r="G371" s="12" t="s">
        <v>3463</v>
      </c>
      <c r="H371" s="12"/>
      <c r="I371">
        <v>65</v>
      </c>
      <c r="K371">
        <v>121</v>
      </c>
      <c r="L371">
        <v>69</v>
      </c>
      <c r="M371" t="s">
        <v>118</v>
      </c>
      <c r="P371" t="s">
        <v>83</v>
      </c>
      <c r="Q371" t="s">
        <v>118</v>
      </c>
      <c r="R371">
        <v>63.7</v>
      </c>
      <c r="S371">
        <v>167</v>
      </c>
      <c r="T371" s="8">
        <f t="shared" si="10"/>
        <v>22.840546452006166</v>
      </c>
      <c r="U371" s="13" t="str" cm="1">
        <f t="array" ref="U371">IF(T371="","",_xlfn.IFS(T371&lt;18.5,"Bajo peso",T371&lt;25,"Peso normal",T371&lt;30,"Sobrepeso",T371&lt;35,"Obesidad clase I",T371&lt;40,"Obesidad clase II",T371&gt;=40,"Obesidad clase III"))</f>
        <v>Peso normal</v>
      </c>
      <c r="AB371" s="9" t="str">
        <f t="shared" si="11"/>
        <v/>
      </c>
      <c r="AH371" t="s">
        <v>3463</v>
      </c>
      <c r="AI371" t="s">
        <v>3463</v>
      </c>
      <c r="AJ371" t="s">
        <v>3463</v>
      </c>
      <c r="AK371" t="s">
        <v>3463</v>
      </c>
      <c r="AL371" t="s">
        <v>3463</v>
      </c>
      <c r="AO371" t="s">
        <v>3463</v>
      </c>
      <c r="AP371" t="s">
        <v>3465</v>
      </c>
      <c r="AQ371" t="s">
        <v>957</v>
      </c>
      <c r="AR371" t="s">
        <v>3522</v>
      </c>
      <c r="AT371" t="s">
        <v>3463</v>
      </c>
      <c r="AW371" t="s">
        <v>3916</v>
      </c>
      <c r="AX371" t="s">
        <v>3463</v>
      </c>
      <c r="AY371" t="s">
        <v>3465</v>
      </c>
      <c r="AZ371" t="s">
        <v>958</v>
      </c>
      <c r="BF371" t="s">
        <v>3921</v>
      </c>
      <c r="BH371" t="s">
        <v>4020</v>
      </c>
      <c r="BP371" t="s">
        <v>4260</v>
      </c>
      <c r="BQ371" t="s">
        <v>3463</v>
      </c>
      <c r="BR371" t="s">
        <v>3463</v>
      </c>
      <c r="BT371" t="s">
        <v>3465</v>
      </c>
      <c r="BU371" t="s">
        <v>3463</v>
      </c>
      <c r="BV371" t="s">
        <v>3463</v>
      </c>
      <c r="BW371" t="s">
        <v>3463</v>
      </c>
      <c r="BX371" t="s">
        <v>79</v>
      </c>
      <c r="BY371" t="s">
        <v>87</v>
      </c>
      <c r="BZ371" t="s">
        <v>79</v>
      </c>
      <c r="CA371" s="10">
        <v>45909</v>
      </c>
    </row>
    <row r="372" spans="1:79">
      <c r="A372">
        <v>378</v>
      </c>
      <c r="B372">
        <v>205</v>
      </c>
      <c r="C372">
        <v>36</v>
      </c>
      <c r="D372" t="s">
        <v>3462</v>
      </c>
      <c r="F372" t="s">
        <v>503</v>
      </c>
      <c r="G372" s="12" t="s">
        <v>3465</v>
      </c>
      <c r="H372" s="12" t="s">
        <v>88</v>
      </c>
      <c r="I372">
        <v>64</v>
      </c>
      <c r="K372">
        <v>131</v>
      </c>
      <c r="L372">
        <v>79</v>
      </c>
      <c r="M372" t="s">
        <v>82</v>
      </c>
      <c r="P372" t="s">
        <v>83</v>
      </c>
      <c r="Q372" t="s">
        <v>82</v>
      </c>
      <c r="R372">
        <v>94.1</v>
      </c>
      <c r="S372">
        <v>168</v>
      </c>
      <c r="T372" s="8">
        <f t="shared" si="10"/>
        <v>33.340419501133788</v>
      </c>
      <c r="U372" s="13" t="str" cm="1">
        <f t="array" ref="U372">IF(T372="","",_xlfn.IFS(T372&lt;18.5,"Bajo peso",T372&lt;25,"Peso normal",T372&lt;30,"Sobrepeso",T372&lt;35,"Obesidad clase I",T372&lt;40,"Obesidad clase II",T372&gt;=40,"Obesidad clase III"))</f>
        <v>Obesidad clase I</v>
      </c>
      <c r="V372">
        <v>95</v>
      </c>
      <c r="X372" t="s">
        <v>3463</v>
      </c>
      <c r="Y372">
        <v>1.23</v>
      </c>
      <c r="AA372">
        <v>78</v>
      </c>
      <c r="AB372" s="9">
        <f t="shared" si="11"/>
        <v>78.02916306415014</v>
      </c>
      <c r="AD372" t="s">
        <v>73</v>
      </c>
      <c r="AF372" t="s">
        <v>73</v>
      </c>
      <c r="AH372" t="s">
        <v>3463</v>
      </c>
      <c r="AI372" t="s">
        <v>3463</v>
      </c>
      <c r="AJ372" t="s">
        <v>3463</v>
      </c>
      <c r="AK372" t="s">
        <v>3463</v>
      </c>
      <c r="AL372" t="s">
        <v>3463</v>
      </c>
      <c r="AP372" t="s">
        <v>3463</v>
      </c>
      <c r="AV372" t="s">
        <v>74</v>
      </c>
      <c r="AW372" t="s">
        <v>3915</v>
      </c>
      <c r="BF372" t="s">
        <v>3921</v>
      </c>
      <c r="BH372" t="s">
        <v>4020</v>
      </c>
      <c r="BP372" t="s">
        <v>4260</v>
      </c>
      <c r="BQ372" t="s">
        <v>3463</v>
      </c>
      <c r="BR372" t="s">
        <v>3463</v>
      </c>
      <c r="BS372" t="s">
        <v>3463</v>
      </c>
      <c r="BT372" t="s">
        <v>3463</v>
      </c>
      <c r="BU372" t="s">
        <v>3463</v>
      </c>
      <c r="BV372" t="s">
        <v>3463</v>
      </c>
      <c r="BW372" t="s">
        <v>3463</v>
      </c>
      <c r="BX372" t="s">
        <v>79</v>
      </c>
      <c r="BY372" t="s">
        <v>87</v>
      </c>
      <c r="BZ372" t="s">
        <v>79</v>
      </c>
      <c r="CA372" s="10">
        <v>45909</v>
      </c>
    </row>
    <row r="373" spans="1:79">
      <c r="A373">
        <v>379</v>
      </c>
      <c r="B373">
        <v>206</v>
      </c>
      <c r="C373">
        <v>53</v>
      </c>
      <c r="D373" t="s">
        <v>3466</v>
      </c>
      <c r="F373" t="s">
        <v>613</v>
      </c>
      <c r="G373" s="12" t="s">
        <v>3465</v>
      </c>
      <c r="H373" t="s">
        <v>88</v>
      </c>
      <c r="I373">
        <v>66</v>
      </c>
      <c r="K373">
        <v>141</v>
      </c>
      <c r="L373">
        <v>75</v>
      </c>
      <c r="M373" t="s">
        <v>72</v>
      </c>
      <c r="P373" t="s">
        <v>83</v>
      </c>
      <c r="Q373" t="s">
        <v>72</v>
      </c>
      <c r="R373">
        <v>76.3</v>
      </c>
      <c r="S373">
        <v>158</v>
      </c>
      <c r="T373" s="8">
        <f t="shared" si="10"/>
        <v>30.564012177535648</v>
      </c>
      <c r="U373" s="13" t="str" cm="1">
        <f t="array" ref="U373">IF(T373="","",_xlfn.IFS(T373&lt;18.5,"Bajo peso",T373&lt;25,"Peso normal",T373&lt;30,"Sobrepeso",T373&lt;35,"Obesidad clase I",T373&lt;40,"Obesidad clase II",T373&gt;=40,"Obesidad clase III"))</f>
        <v>Obesidad clase I</v>
      </c>
      <c r="V373">
        <v>90</v>
      </c>
      <c r="X373" t="s">
        <v>3463</v>
      </c>
      <c r="Y373">
        <v>1.1599999999999999</v>
      </c>
      <c r="AA373">
        <v>52</v>
      </c>
      <c r="AB373" s="9">
        <f t="shared" si="11"/>
        <v>56.374605468705404</v>
      </c>
      <c r="AD373" t="s">
        <v>158</v>
      </c>
      <c r="AF373" t="s">
        <v>158</v>
      </c>
      <c r="AH373" t="s">
        <v>3463</v>
      </c>
      <c r="AI373" t="s">
        <v>3463</v>
      </c>
      <c r="AJ373" t="s">
        <v>3463</v>
      </c>
      <c r="AK373" t="s">
        <v>3463</v>
      </c>
      <c r="AL373" t="s">
        <v>3463</v>
      </c>
      <c r="AP373" t="s">
        <v>3463</v>
      </c>
      <c r="AQ373" t="s">
        <v>169</v>
      </c>
      <c r="AR373" t="s">
        <v>3493</v>
      </c>
      <c r="AT373" t="s">
        <v>3465</v>
      </c>
      <c r="AU373" t="s">
        <v>80</v>
      </c>
      <c r="AV373" t="s">
        <v>74</v>
      </c>
      <c r="AW373" t="s">
        <v>3915</v>
      </c>
      <c r="AX373" t="s">
        <v>3465</v>
      </c>
      <c r="AY373" t="s">
        <v>3465</v>
      </c>
      <c r="BF373" t="s">
        <v>3921</v>
      </c>
      <c r="BH373" t="s">
        <v>4020</v>
      </c>
      <c r="BP373" t="s">
        <v>4260</v>
      </c>
      <c r="BQ373" t="s">
        <v>3463</v>
      </c>
      <c r="BR373" t="s">
        <v>3463</v>
      </c>
      <c r="BS373" t="s">
        <v>3463</v>
      </c>
      <c r="BT373" t="s">
        <v>3465</v>
      </c>
      <c r="BU373" t="s">
        <v>3463</v>
      </c>
      <c r="BV373" t="s">
        <v>3463</v>
      </c>
      <c r="BW373" t="s">
        <v>3463</v>
      </c>
      <c r="BX373" t="s">
        <v>79</v>
      </c>
      <c r="BY373" t="s">
        <v>87</v>
      </c>
      <c r="BZ373" t="s">
        <v>79</v>
      </c>
      <c r="CA373" s="10">
        <v>45909</v>
      </c>
    </row>
    <row r="374" spans="1:79">
      <c r="A374">
        <v>380</v>
      </c>
      <c r="B374">
        <v>207</v>
      </c>
      <c r="C374">
        <v>27</v>
      </c>
      <c r="D374" t="s">
        <v>3466</v>
      </c>
      <c r="F374" t="s">
        <v>503</v>
      </c>
      <c r="G374" s="12" t="s">
        <v>3465</v>
      </c>
      <c r="H374" s="12" t="s">
        <v>88</v>
      </c>
      <c r="I374">
        <v>80</v>
      </c>
      <c r="K374">
        <v>146</v>
      </c>
      <c r="L374">
        <v>86</v>
      </c>
      <c r="M374" t="s">
        <v>72</v>
      </c>
      <c r="P374" t="s">
        <v>83</v>
      </c>
      <c r="Q374" t="s">
        <v>72</v>
      </c>
      <c r="R374">
        <v>80.099999999999994</v>
      </c>
      <c r="S374">
        <v>149</v>
      </c>
      <c r="T374" s="8">
        <f t="shared" si="10"/>
        <v>36.079455880365749</v>
      </c>
      <c r="U374" s="13" t="str" cm="1">
        <f t="array" ref="U374">IF(T374="","",_xlfn.IFS(T374&lt;18.5,"Bajo peso",T374&lt;25,"Peso normal",T374&lt;30,"Sobrepeso",T374&lt;35,"Obesidad clase I",T374&lt;40,"Obesidad clase II",T374&gt;=40,"Obesidad clase III"))</f>
        <v>Obesidad clase II</v>
      </c>
      <c r="V374">
        <v>113</v>
      </c>
      <c r="X374" t="s">
        <v>3463</v>
      </c>
      <c r="Y374">
        <v>1.17</v>
      </c>
      <c r="AA374">
        <v>66</v>
      </c>
      <c r="AB374" s="9">
        <f t="shared" si="11"/>
        <v>65.58979384354619</v>
      </c>
      <c r="AD374" t="s">
        <v>73</v>
      </c>
      <c r="AF374" t="s">
        <v>73</v>
      </c>
      <c r="AH374" t="s">
        <v>3463</v>
      </c>
      <c r="AI374" t="s">
        <v>3463</v>
      </c>
      <c r="AJ374" t="s">
        <v>3463</v>
      </c>
      <c r="AK374" t="s">
        <v>3463</v>
      </c>
      <c r="AL374" t="s">
        <v>3463</v>
      </c>
      <c r="AP374" t="s">
        <v>3463</v>
      </c>
      <c r="AV374" t="s">
        <v>74</v>
      </c>
      <c r="AW374" t="s">
        <v>3915</v>
      </c>
      <c r="AX374" t="s">
        <v>3463</v>
      </c>
      <c r="AY374" t="s">
        <v>3465</v>
      </c>
      <c r="AZ374" t="s">
        <v>104</v>
      </c>
      <c r="BF374" t="s">
        <v>3921</v>
      </c>
      <c r="BH374" t="s">
        <v>4020</v>
      </c>
      <c r="BP374" t="s">
        <v>4260</v>
      </c>
      <c r="BQ374" t="s">
        <v>3463</v>
      </c>
      <c r="BR374" t="s">
        <v>3465</v>
      </c>
      <c r="BS374" t="s">
        <v>3463</v>
      </c>
      <c r="BT374" t="s">
        <v>3465</v>
      </c>
      <c r="BU374" t="s">
        <v>3463</v>
      </c>
      <c r="BV374" t="s">
        <v>3463</v>
      </c>
      <c r="BW374" t="s">
        <v>3463</v>
      </c>
      <c r="BX374" t="s">
        <v>79</v>
      </c>
      <c r="BY374" t="s">
        <v>87</v>
      </c>
      <c r="BZ374" t="s">
        <v>79</v>
      </c>
      <c r="CA374" s="10">
        <v>45909</v>
      </c>
    </row>
    <row r="375" spans="1:79">
      <c r="A375">
        <v>381</v>
      </c>
      <c r="B375">
        <v>208</v>
      </c>
      <c r="C375">
        <v>46</v>
      </c>
      <c r="D375" t="s">
        <v>3462</v>
      </c>
      <c r="E375" t="s">
        <v>943</v>
      </c>
      <c r="F375" t="s">
        <v>503</v>
      </c>
      <c r="G375" s="12" t="s">
        <v>3465</v>
      </c>
      <c r="H375" s="12" t="s">
        <v>88</v>
      </c>
      <c r="I375">
        <v>80</v>
      </c>
      <c r="K375">
        <v>138</v>
      </c>
      <c r="L375">
        <v>85</v>
      </c>
      <c r="M375" t="s">
        <v>82</v>
      </c>
      <c r="P375" t="s">
        <v>83</v>
      </c>
      <c r="Q375" t="s">
        <v>82</v>
      </c>
      <c r="R375">
        <v>78.599999999999994</v>
      </c>
      <c r="S375">
        <v>166</v>
      </c>
      <c r="T375" s="8">
        <f t="shared" si="10"/>
        <v>28.523733488169544</v>
      </c>
      <c r="U375" s="13" t="str" cm="1">
        <f t="array" ref="U375">IF(T375="","",_xlfn.IFS(T375&lt;18.5,"Bajo peso",T375&lt;25,"Peso normal",T375&lt;30,"Sobrepeso",T375&lt;35,"Obesidad clase I",T375&lt;40,"Obesidad clase II",T375&gt;=40,"Obesidad clase III"))</f>
        <v>Sobrepeso</v>
      </c>
      <c r="V375">
        <v>88</v>
      </c>
      <c r="X375" t="s">
        <v>3463</v>
      </c>
      <c r="Y375">
        <v>1.17</v>
      </c>
      <c r="AA375">
        <v>78</v>
      </c>
      <c r="AB375" s="9">
        <f t="shared" si="11"/>
        <v>77.859206347305857</v>
      </c>
      <c r="AD375" t="s">
        <v>73</v>
      </c>
      <c r="AF375" t="s">
        <v>73</v>
      </c>
      <c r="AH375" t="s">
        <v>3463</v>
      </c>
      <c r="AI375" t="s">
        <v>3465</v>
      </c>
      <c r="AJ375" t="s">
        <v>3463</v>
      </c>
      <c r="AK375" t="s">
        <v>3463</v>
      </c>
      <c r="AL375" t="s">
        <v>3463</v>
      </c>
      <c r="AP375" t="s">
        <v>3463</v>
      </c>
      <c r="AQ375" t="s">
        <v>159</v>
      </c>
      <c r="AR375" t="s">
        <v>3491</v>
      </c>
      <c r="AS375" t="s">
        <v>3465</v>
      </c>
      <c r="AW375" t="s">
        <v>3916</v>
      </c>
      <c r="BF375" t="s">
        <v>3921</v>
      </c>
      <c r="BH375" t="s">
        <v>4020</v>
      </c>
      <c r="BP375" t="s">
        <v>4260</v>
      </c>
      <c r="BQ375" t="s">
        <v>3463</v>
      </c>
      <c r="BR375" t="s">
        <v>3465</v>
      </c>
      <c r="BS375" t="s">
        <v>3463</v>
      </c>
      <c r="BT375" t="s">
        <v>3463</v>
      </c>
      <c r="BU375" t="s">
        <v>3463</v>
      </c>
      <c r="BV375" t="s">
        <v>3463</v>
      </c>
      <c r="BW375" t="s">
        <v>3463</v>
      </c>
      <c r="BX375" t="s">
        <v>79</v>
      </c>
      <c r="BY375" t="s">
        <v>87</v>
      </c>
      <c r="BZ375" t="s">
        <v>79</v>
      </c>
      <c r="CA375" s="10">
        <v>45909</v>
      </c>
    </row>
    <row r="376" spans="1:79">
      <c r="A376">
        <v>382</v>
      </c>
      <c r="B376">
        <v>209</v>
      </c>
      <c r="C376">
        <v>36</v>
      </c>
      <c r="D376" t="s">
        <v>3466</v>
      </c>
      <c r="E376" t="s">
        <v>950</v>
      </c>
      <c r="F376" t="s">
        <v>503</v>
      </c>
      <c r="G376" s="12" t="s">
        <v>3465</v>
      </c>
      <c r="H376" t="s">
        <v>88</v>
      </c>
      <c r="I376">
        <v>84</v>
      </c>
      <c r="K376">
        <v>139</v>
      </c>
      <c r="L376">
        <v>76</v>
      </c>
      <c r="M376" t="s">
        <v>82</v>
      </c>
      <c r="P376" t="s">
        <v>83</v>
      </c>
      <c r="Q376" t="s">
        <v>82</v>
      </c>
      <c r="R376">
        <v>89.6</v>
      </c>
      <c r="S376">
        <v>155.6</v>
      </c>
      <c r="T376" s="8">
        <f t="shared" si="10"/>
        <v>37.007421309666206</v>
      </c>
      <c r="U376" s="13" t="str" cm="1">
        <f t="array" ref="U376">IF(T376="","",_xlfn.IFS(T376&lt;18.5,"Bajo peso",T376&lt;25,"Peso normal",T376&lt;30,"Sobrepeso",T376&lt;35,"Obesidad clase I",T376&lt;40,"Obesidad clase II",T376&gt;=40,"Obesidad clase III"))</f>
        <v>Obesidad clase II</v>
      </c>
      <c r="V376">
        <v>115</v>
      </c>
      <c r="X376" t="s">
        <v>3463</v>
      </c>
      <c r="Y376">
        <v>0.98</v>
      </c>
      <c r="AA376">
        <v>77</v>
      </c>
      <c r="AB376" s="9">
        <f t="shared" si="11"/>
        <v>76.714761786708834</v>
      </c>
      <c r="AD376" t="s">
        <v>73</v>
      </c>
      <c r="AF376" t="s">
        <v>73</v>
      </c>
      <c r="AH376" t="s">
        <v>3463</v>
      </c>
      <c r="AI376" t="s">
        <v>3465</v>
      </c>
      <c r="AJ376" t="s">
        <v>3463</v>
      </c>
      <c r="AK376" t="s">
        <v>3463</v>
      </c>
      <c r="AL376" t="s">
        <v>3463</v>
      </c>
      <c r="AP376" t="s">
        <v>3463</v>
      </c>
      <c r="AQ376" t="s">
        <v>120</v>
      </c>
      <c r="AR376" t="s">
        <v>3491</v>
      </c>
      <c r="AS376" t="s">
        <v>3463</v>
      </c>
      <c r="AT376" t="s">
        <v>3463</v>
      </c>
      <c r="AV376" t="s">
        <v>74</v>
      </c>
      <c r="AW376" t="s">
        <v>3915</v>
      </c>
      <c r="AY376" t="s">
        <v>3465</v>
      </c>
      <c r="AZ376" t="s">
        <v>288</v>
      </c>
      <c r="BF376" t="s">
        <v>3921</v>
      </c>
      <c r="BH376" t="s">
        <v>4020</v>
      </c>
      <c r="BP376" t="s">
        <v>4260</v>
      </c>
      <c r="BQ376" t="s">
        <v>3465</v>
      </c>
      <c r="BR376" t="s">
        <v>3465</v>
      </c>
      <c r="BS376" t="s">
        <v>3463</v>
      </c>
      <c r="BT376" t="s">
        <v>3463</v>
      </c>
      <c r="BU376" t="s">
        <v>3463</v>
      </c>
      <c r="BV376" t="s">
        <v>3463</v>
      </c>
      <c r="BW376" t="s">
        <v>3463</v>
      </c>
      <c r="BX376" t="s">
        <v>79</v>
      </c>
      <c r="BY376" t="s">
        <v>87</v>
      </c>
      <c r="BZ376" t="s">
        <v>79</v>
      </c>
      <c r="CA376" s="10">
        <v>45909</v>
      </c>
    </row>
    <row r="377" spans="1:79">
      <c r="A377">
        <v>383</v>
      </c>
      <c r="B377">
        <v>210</v>
      </c>
      <c r="C377">
        <v>44</v>
      </c>
      <c r="D377" t="s">
        <v>3466</v>
      </c>
      <c r="F377" t="s">
        <v>503</v>
      </c>
      <c r="G377" s="12" t="s">
        <v>3463</v>
      </c>
      <c r="H377" s="12"/>
      <c r="I377">
        <v>76</v>
      </c>
      <c r="K377">
        <v>121</v>
      </c>
      <c r="L377">
        <v>80</v>
      </c>
      <c r="M377" t="s">
        <v>82</v>
      </c>
      <c r="P377" t="s">
        <v>83</v>
      </c>
      <c r="Q377" t="s">
        <v>82</v>
      </c>
      <c r="R377">
        <v>57.1</v>
      </c>
      <c r="S377">
        <v>158</v>
      </c>
      <c r="T377" s="8">
        <f t="shared" si="10"/>
        <v>22.872937029322227</v>
      </c>
      <c r="U377" s="13" t="str" cm="1">
        <f t="array" ref="U377">IF(T377="","",_xlfn.IFS(T377&lt;18.5,"Bajo peso",T377&lt;25,"Peso normal",T377&lt;30,"Sobrepeso",T377&lt;35,"Obesidad clase I",T377&lt;40,"Obesidad clase II",T377&gt;=40,"Obesidad clase III"))</f>
        <v>Peso normal</v>
      </c>
      <c r="V377">
        <v>88</v>
      </c>
      <c r="X377" t="s">
        <v>3463</v>
      </c>
      <c r="Y377">
        <v>1.04</v>
      </c>
      <c r="AA377">
        <v>68</v>
      </c>
      <c r="AB377" s="9">
        <f t="shared" si="11"/>
        <v>67.967635826009058</v>
      </c>
      <c r="AD377" t="s">
        <v>73</v>
      </c>
      <c r="AF377" t="s">
        <v>73</v>
      </c>
      <c r="AH377" t="s">
        <v>3463</v>
      </c>
      <c r="AI377" t="s">
        <v>3463</v>
      </c>
      <c r="AJ377" t="s">
        <v>3463</v>
      </c>
      <c r="AK377" t="s">
        <v>3463</v>
      </c>
      <c r="AL377" t="s">
        <v>3463</v>
      </c>
      <c r="AO377" t="s">
        <v>3463</v>
      </c>
      <c r="AP377" t="s">
        <v>3465</v>
      </c>
      <c r="AQ377" t="s">
        <v>169</v>
      </c>
      <c r="AR377" t="s">
        <v>3493</v>
      </c>
      <c r="AT377" t="s">
        <v>3463</v>
      </c>
      <c r="AV377" t="s">
        <v>126</v>
      </c>
      <c r="AW377" t="s">
        <v>126</v>
      </c>
      <c r="AX377" t="s">
        <v>3463</v>
      </c>
      <c r="AY377" t="s">
        <v>3463</v>
      </c>
      <c r="AZ377" t="s">
        <v>827</v>
      </c>
      <c r="BF377" t="s">
        <v>3921</v>
      </c>
      <c r="BH377" t="s">
        <v>4020</v>
      </c>
      <c r="BP377" t="s">
        <v>4260</v>
      </c>
      <c r="BQ377" t="s">
        <v>3463</v>
      </c>
      <c r="BR377" t="s">
        <v>3463</v>
      </c>
      <c r="BS377" t="s">
        <v>3465</v>
      </c>
      <c r="BT377" t="s">
        <v>3465</v>
      </c>
      <c r="BU377" t="s">
        <v>3463</v>
      </c>
      <c r="BV377" t="s">
        <v>3463</v>
      </c>
      <c r="BW377" t="s">
        <v>3463</v>
      </c>
      <c r="BX377" t="s">
        <v>79</v>
      </c>
      <c r="BY377" t="s">
        <v>87</v>
      </c>
      <c r="BZ377" t="s">
        <v>79</v>
      </c>
      <c r="CA377" s="10">
        <v>45909</v>
      </c>
    </row>
    <row r="378" spans="1:79">
      <c r="A378">
        <v>384</v>
      </c>
      <c r="B378">
        <v>211</v>
      </c>
      <c r="C378">
        <v>51</v>
      </c>
      <c r="D378" t="s">
        <v>3462</v>
      </c>
      <c r="F378" t="s">
        <v>503</v>
      </c>
      <c r="G378" s="12" t="s">
        <v>3465</v>
      </c>
      <c r="H378" t="s">
        <v>88</v>
      </c>
      <c r="I378">
        <v>66</v>
      </c>
      <c r="J378">
        <v>63</v>
      </c>
      <c r="K378">
        <v>155</v>
      </c>
      <c r="L378">
        <v>99</v>
      </c>
      <c r="M378" t="s">
        <v>72</v>
      </c>
      <c r="N378">
        <v>162</v>
      </c>
      <c r="O378">
        <v>105</v>
      </c>
      <c r="P378" t="s">
        <v>72</v>
      </c>
      <c r="Q378" t="s">
        <v>72</v>
      </c>
      <c r="R378">
        <v>92</v>
      </c>
      <c r="S378">
        <v>176</v>
      </c>
      <c r="T378" s="8">
        <f t="shared" si="10"/>
        <v>29.700413223140497</v>
      </c>
      <c r="U378" s="13" t="str" cm="1">
        <f t="array" ref="U378">IF(T378="","",_xlfn.IFS(T378&lt;18.5,"Bajo peso",T378&lt;25,"Peso normal",T378&lt;30,"Sobrepeso",T378&lt;35,"Obesidad clase I",T378&lt;40,"Obesidad clase II",T378&gt;=40,"Obesidad clase III"))</f>
        <v>Sobrepeso</v>
      </c>
      <c r="V378">
        <v>107</v>
      </c>
      <c r="X378" t="s">
        <v>3463</v>
      </c>
      <c r="Y378">
        <v>1.26</v>
      </c>
      <c r="AA378">
        <v>69</v>
      </c>
      <c r="AB378" s="9">
        <f t="shared" si="11"/>
        <v>69.053121357773193</v>
      </c>
      <c r="AD378" t="s">
        <v>73</v>
      </c>
      <c r="AF378" t="s">
        <v>73</v>
      </c>
      <c r="AH378" t="s">
        <v>3463</v>
      </c>
      <c r="AI378" t="s">
        <v>3465</v>
      </c>
      <c r="AJ378" t="s">
        <v>3465</v>
      </c>
      <c r="AK378" t="s">
        <v>3463</v>
      </c>
      <c r="AL378" t="s">
        <v>3463</v>
      </c>
      <c r="AP378" t="s">
        <v>3463</v>
      </c>
      <c r="AS378" t="s">
        <v>3465</v>
      </c>
      <c r="AW378" t="s">
        <v>3916</v>
      </c>
      <c r="BF378" t="s">
        <v>3921</v>
      </c>
      <c r="BH378" t="s">
        <v>4020</v>
      </c>
      <c r="BP378" t="s">
        <v>4260</v>
      </c>
      <c r="BQ378" t="s">
        <v>3463</v>
      </c>
      <c r="BR378" t="s">
        <v>3465</v>
      </c>
      <c r="BS378" t="s">
        <v>3463</v>
      </c>
      <c r="BT378" t="s">
        <v>3463</v>
      </c>
      <c r="BU378" t="s">
        <v>3463</v>
      </c>
      <c r="BV378" t="s">
        <v>3463</v>
      </c>
      <c r="BW378" t="s">
        <v>3463</v>
      </c>
      <c r="BX378" t="s">
        <v>79</v>
      </c>
      <c r="BY378" t="s">
        <v>87</v>
      </c>
      <c r="BZ378" t="s">
        <v>95</v>
      </c>
      <c r="CA378" s="10">
        <v>45909</v>
      </c>
    </row>
    <row r="379" spans="1:79">
      <c r="A379">
        <v>385</v>
      </c>
      <c r="B379">
        <v>212</v>
      </c>
      <c r="C379">
        <v>38</v>
      </c>
      <c r="D379" t="s">
        <v>3462</v>
      </c>
      <c r="E379" t="s">
        <v>940</v>
      </c>
      <c r="F379" t="s">
        <v>503</v>
      </c>
      <c r="G379" s="12" t="s">
        <v>3463</v>
      </c>
      <c r="H379" s="12"/>
      <c r="I379">
        <v>65</v>
      </c>
      <c r="K379">
        <v>146</v>
      </c>
      <c r="L379">
        <v>87</v>
      </c>
      <c r="M379" t="s">
        <v>72</v>
      </c>
      <c r="P379" t="s">
        <v>83</v>
      </c>
      <c r="Q379" t="s">
        <v>72</v>
      </c>
      <c r="R379">
        <v>93.75</v>
      </c>
      <c r="S379">
        <v>191</v>
      </c>
      <c r="T379" s="8">
        <f t="shared" si="10"/>
        <v>25.698308708642855</v>
      </c>
      <c r="U379" s="13" t="str" cm="1">
        <f t="array" ref="U379">IF(T379="","",_xlfn.IFS(T379&lt;18.5,"Bajo peso",T379&lt;25,"Peso normal",T379&lt;30,"Sobrepeso",T379&lt;35,"Obesidad clase I",T379&lt;40,"Obesidad clase II",T379&gt;=40,"Obesidad clase III"))</f>
        <v>Sobrepeso</v>
      </c>
      <c r="V379">
        <v>86</v>
      </c>
      <c r="X379" t="s">
        <v>3463</v>
      </c>
      <c r="Y379">
        <v>1.07</v>
      </c>
      <c r="AA379">
        <v>90</v>
      </c>
      <c r="AB379" s="9">
        <f t="shared" si="11"/>
        <v>91.092062206002836</v>
      </c>
      <c r="AD379" t="s">
        <v>73</v>
      </c>
      <c r="AF379" t="s">
        <v>73</v>
      </c>
      <c r="AH379" t="s">
        <v>3463</v>
      </c>
      <c r="AI379" t="s">
        <v>3463</v>
      </c>
      <c r="AJ379" t="s">
        <v>3463</v>
      </c>
      <c r="AK379" t="s">
        <v>3463</v>
      </c>
      <c r="AL379" t="s">
        <v>3463</v>
      </c>
      <c r="AQ379" t="s">
        <v>960</v>
      </c>
      <c r="AR379" t="s">
        <v>3537</v>
      </c>
      <c r="AV379" t="s">
        <v>126</v>
      </c>
      <c r="AW379" t="s">
        <v>126</v>
      </c>
      <c r="BF379" t="s">
        <v>3921</v>
      </c>
      <c r="BH379" t="s">
        <v>4020</v>
      </c>
      <c r="BP379" t="s">
        <v>4260</v>
      </c>
      <c r="BQ379" t="s">
        <v>3465</v>
      </c>
      <c r="BR379" t="s">
        <v>3465</v>
      </c>
      <c r="BS379" t="s">
        <v>3465</v>
      </c>
      <c r="BT379" t="s">
        <v>3465</v>
      </c>
      <c r="BU379" t="s">
        <v>3463</v>
      </c>
      <c r="BV379" t="s">
        <v>3463</v>
      </c>
      <c r="BW379" t="s">
        <v>3463</v>
      </c>
      <c r="BX379" t="s">
        <v>79</v>
      </c>
      <c r="BY379" t="s">
        <v>87</v>
      </c>
      <c r="BZ379" t="s">
        <v>79</v>
      </c>
      <c r="CA379" s="10">
        <v>45909</v>
      </c>
    </row>
    <row r="380" spans="1:79">
      <c r="A380">
        <v>386</v>
      </c>
      <c r="B380">
        <v>213</v>
      </c>
      <c r="C380">
        <v>51</v>
      </c>
      <c r="D380" t="s">
        <v>3466</v>
      </c>
      <c r="E380" t="s">
        <v>961</v>
      </c>
      <c r="F380" t="s">
        <v>503</v>
      </c>
      <c r="G380" s="12" t="s">
        <v>3463</v>
      </c>
      <c r="H380" s="12"/>
      <c r="M380" t="s">
        <v>83</v>
      </c>
      <c r="P380" t="s">
        <v>83</v>
      </c>
      <c r="Q380" t="s">
        <v>83</v>
      </c>
      <c r="T380" s="8" t="str">
        <f t="shared" si="10"/>
        <v/>
      </c>
      <c r="U380" s="13" t="str" cm="1">
        <f t="array" ref="U380">IF(T380="","",_xlfn.IFS(T380&lt;18.5,"Bajo peso",T380&lt;25,"Peso normal",T380&lt;30,"Sobrepeso",T380&lt;35,"Obesidad clase I",T380&lt;40,"Obesidad clase II",T380&gt;=40,"Obesidad clase III"))</f>
        <v/>
      </c>
      <c r="AB380" s="9" t="str">
        <f t="shared" si="11"/>
        <v/>
      </c>
      <c r="AH380" t="s">
        <v>3463</v>
      </c>
      <c r="AI380" t="s">
        <v>3463</v>
      </c>
      <c r="AJ380" t="s">
        <v>3463</v>
      </c>
      <c r="AK380" t="s">
        <v>3463</v>
      </c>
      <c r="AL380" t="s">
        <v>3465</v>
      </c>
      <c r="AM380" t="s">
        <v>941</v>
      </c>
      <c r="AN380" t="s">
        <v>3617</v>
      </c>
      <c r="AP380" t="s">
        <v>3463</v>
      </c>
      <c r="AQ380" t="s">
        <v>962</v>
      </c>
      <c r="AR380" t="s">
        <v>3488</v>
      </c>
      <c r="AT380" t="s">
        <v>3465</v>
      </c>
      <c r="AU380" t="s">
        <v>80</v>
      </c>
      <c r="AV380" t="s">
        <v>126</v>
      </c>
      <c r="AW380" t="s">
        <v>126</v>
      </c>
      <c r="AY380" t="s">
        <v>3465</v>
      </c>
      <c r="AZ380" t="s">
        <v>90</v>
      </c>
      <c r="BA380" t="s">
        <v>3920</v>
      </c>
      <c r="BF380" t="s">
        <v>3921</v>
      </c>
      <c r="BG380" t="s">
        <v>963</v>
      </c>
      <c r="BH380" t="s">
        <v>4021</v>
      </c>
      <c r="BI380" t="s">
        <v>76</v>
      </c>
      <c r="BP380" t="s">
        <v>4261</v>
      </c>
      <c r="BQ380" t="s">
        <v>3463</v>
      </c>
      <c r="BR380" t="s">
        <v>3465</v>
      </c>
      <c r="BS380" t="s">
        <v>3465</v>
      </c>
      <c r="BT380" t="s">
        <v>3465</v>
      </c>
      <c r="BU380" t="s">
        <v>3463</v>
      </c>
      <c r="BV380" t="s">
        <v>3463</v>
      </c>
      <c r="BW380" t="s">
        <v>3463</v>
      </c>
      <c r="BX380" t="s">
        <v>79</v>
      </c>
      <c r="BY380" t="s">
        <v>87</v>
      </c>
      <c r="BZ380" t="s">
        <v>79</v>
      </c>
      <c r="CA380" s="10">
        <v>45909</v>
      </c>
    </row>
    <row r="381" spans="1:79">
      <c r="A381">
        <v>387</v>
      </c>
      <c r="B381">
        <v>214</v>
      </c>
      <c r="C381">
        <v>34</v>
      </c>
      <c r="D381" t="s">
        <v>3466</v>
      </c>
      <c r="E381" t="s">
        <v>950</v>
      </c>
      <c r="F381" t="s">
        <v>503</v>
      </c>
      <c r="G381" s="12" t="s">
        <v>3465</v>
      </c>
      <c r="H381" s="12" t="s">
        <v>88</v>
      </c>
      <c r="I381">
        <v>88</v>
      </c>
      <c r="K381">
        <v>131</v>
      </c>
      <c r="L381">
        <v>75</v>
      </c>
      <c r="M381" t="s">
        <v>82</v>
      </c>
      <c r="P381" t="s">
        <v>83</v>
      </c>
      <c r="Q381" t="s">
        <v>82</v>
      </c>
      <c r="R381">
        <v>82.1</v>
      </c>
      <c r="S381">
        <v>162</v>
      </c>
      <c r="T381" s="8">
        <f t="shared" si="10"/>
        <v>31.283340954122846</v>
      </c>
      <c r="U381" s="13" t="str" cm="1">
        <f t="array" ref="U381">IF(T381="","",_xlfn.IFS(T381&lt;18.5,"Bajo peso",T381&lt;25,"Peso normal",T381&lt;30,"Sobrepeso",T381&lt;35,"Obesidad clase I",T381&lt;40,"Obesidad clase II",T381&gt;=40,"Obesidad clase III"))</f>
        <v>Obesidad clase I</v>
      </c>
      <c r="V381">
        <v>91</v>
      </c>
      <c r="X381" t="s">
        <v>3463</v>
      </c>
      <c r="Y381">
        <v>0.96</v>
      </c>
      <c r="AA381">
        <v>82</v>
      </c>
      <c r="AB381" s="9">
        <f t="shared" si="11"/>
        <v>79.620842218366619</v>
      </c>
      <c r="AD381" t="s">
        <v>73</v>
      </c>
      <c r="AF381" t="s">
        <v>73</v>
      </c>
      <c r="AH381" t="s">
        <v>3463</v>
      </c>
      <c r="AI381" t="s">
        <v>3463</v>
      </c>
      <c r="AJ381" t="s">
        <v>3463</v>
      </c>
      <c r="AK381" t="s">
        <v>3463</v>
      </c>
      <c r="AL381" t="s">
        <v>3463</v>
      </c>
      <c r="AP381" t="s">
        <v>3463</v>
      </c>
      <c r="AT381" t="s">
        <v>3463</v>
      </c>
      <c r="AV381" t="s">
        <v>126</v>
      </c>
      <c r="AW381" t="s">
        <v>126</v>
      </c>
      <c r="AX381" t="s">
        <v>3463</v>
      </c>
      <c r="AY381" t="s">
        <v>3465</v>
      </c>
      <c r="AZ381" t="s">
        <v>90</v>
      </c>
      <c r="BF381" t="s">
        <v>3921</v>
      </c>
      <c r="BH381" t="s">
        <v>4020</v>
      </c>
      <c r="BP381" t="s">
        <v>4260</v>
      </c>
      <c r="BQ381" t="s">
        <v>3463</v>
      </c>
      <c r="BR381" t="s">
        <v>3465</v>
      </c>
      <c r="BS381" t="s">
        <v>3465</v>
      </c>
      <c r="BT381" t="s">
        <v>3465</v>
      </c>
      <c r="BU381" t="s">
        <v>3463</v>
      </c>
      <c r="BV381" t="s">
        <v>3463</v>
      </c>
      <c r="BW381" t="s">
        <v>3463</v>
      </c>
      <c r="BX381" t="s">
        <v>79</v>
      </c>
      <c r="BY381" t="s">
        <v>87</v>
      </c>
      <c r="BZ381" t="s">
        <v>79</v>
      </c>
      <c r="CA381" s="10">
        <v>45909</v>
      </c>
    </row>
    <row r="382" spans="1:79">
      <c r="A382">
        <v>388</v>
      </c>
      <c r="B382">
        <v>215</v>
      </c>
      <c r="C382">
        <v>27</v>
      </c>
      <c r="D382" t="s">
        <v>3462</v>
      </c>
      <c r="E382" t="s">
        <v>964</v>
      </c>
      <c r="F382" t="s">
        <v>71</v>
      </c>
      <c r="G382" s="12" t="s">
        <v>3463</v>
      </c>
      <c r="H382" s="12"/>
      <c r="I382">
        <v>66</v>
      </c>
      <c r="K382">
        <v>132</v>
      </c>
      <c r="L382">
        <v>71</v>
      </c>
      <c r="M382" t="s">
        <v>82</v>
      </c>
      <c r="P382" t="s">
        <v>83</v>
      </c>
      <c r="Q382" t="s">
        <v>82</v>
      </c>
      <c r="R382">
        <v>76.8</v>
      </c>
      <c r="S382">
        <v>171</v>
      </c>
      <c r="T382" s="8">
        <f t="shared" si="10"/>
        <v>26.264491638452856</v>
      </c>
      <c r="U382" s="13" t="str" cm="1">
        <f t="array" ref="U382">IF(T382="","",_xlfn.IFS(T382&lt;18.5,"Bajo peso",T382&lt;25,"Peso normal",T382&lt;30,"Sobrepeso",T382&lt;35,"Obesidad clase I",T382&lt;40,"Obesidad clase II",T382&gt;=40,"Obesidad clase III"))</f>
        <v>Sobrepeso</v>
      </c>
      <c r="V382">
        <v>84</v>
      </c>
      <c r="X382" t="s">
        <v>3463</v>
      </c>
      <c r="Y382">
        <v>1.24</v>
      </c>
      <c r="AA382">
        <v>82</v>
      </c>
      <c r="AB382" s="9">
        <f t="shared" si="11"/>
        <v>81.723343915677674</v>
      </c>
      <c r="AD382" t="s">
        <v>73</v>
      </c>
      <c r="AF382" t="s">
        <v>73</v>
      </c>
      <c r="AH382" t="s">
        <v>3463</v>
      </c>
      <c r="AI382" t="s">
        <v>3463</v>
      </c>
      <c r="AJ382" t="s">
        <v>3463</v>
      </c>
      <c r="AK382" t="s">
        <v>3463</v>
      </c>
      <c r="AL382" t="s">
        <v>3463</v>
      </c>
      <c r="AP382" t="s">
        <v>3463</v>
      </c>
      <c r="AV382" t="s">
        <v>126</v>
      </c>
      <c r="AW382" t="s">
        <v>126</v>
      </c>
      <c r="BF382" t="s">
        <v>3921</v>
      </c>
      <c r="BH382" t="s">
        <v>4020</v>
      </c>
      <c r="BP382" t="s">
        <v>4260</v>
      </c>
      <c r="BQ382" t="s">
        <v>3463</v>
      </c>
      <c r="BR382" t="s">
        <v>3465</v>
      </c>
      <c r="BS382" t="s">
        <v>3463</v>
      </c>
      <c r="BT382" t="s">
        <v>3463</v>
      </c>
      <c r="BU382" t="s">
        <v>3463</v>
      </c>
      <c r="BV382" t="s">
        <v>3463</v>
      </c>
      <c r="BW382" t="s">
        <v>3463</v>
      </c>
      <c r="BX382" t="s">
        <v>79</v>
      </c>
      <c r="BY382" t="s">
        <v>87</v>
      </c>
      <c r="BZ382" t="s">
        <v>79</v>
      </c>
      <c r="CA382" s="10">
        <v>45909</v>
      </c>
    </row>
    <row r="383" spans="1:79">
      <c r="A383">
        <v>389</v>
      </c>
      <c r="B383">
        <v>216</v>
      </c>
      <c r="C383">
        <v>69</v>
      </c>
      <c r="D383" t="s">
        <v>3462</v>
      </c>
      <c r="E383" t="s">
        <v>122</v>
      </c>
      <c r="F383" t="s">
        <v>71</v>
      </c>
      <c r="G383" s="12" t="s">
        <v>3463</v>
      </c>
      <c r="H383" s="12"/>
      <c r="I383">
        <v>80</v>
      </c>
      <c r="J383">
        <v>80</v>
      </c>
      <c r="K383">
        <v>149</v>
      </c>
      <c r="L383">
        <v>85</v>
      </c>
      <c r="M383" t="s">
        <v>72</v>
      </c>
      <c r="N383">
        <v>151</v>
      </c>
      <c r="O383">
        <v>86</v>
      </c>
      <c r="P383" t="s">
        <v>72</v>
      </c>
      <c r="Q383" t="s">
        <v>72</v>
      </c>
      <c r="R383">
        <v>98.5</v>
      </c>
      <c r="S383">
        <v>175</v>
      </c>
      <c r="T383" s="8">
        <f t="shared" si="10"/>
        <v>32.163265306122447</v>
      </c>
      <c r="U383" s="13" t="str" cm="1">
        <f t="array" ref="U383">IF(T383="","",_xlfn.IFS(T383&lt;18.5,"Bajo peso",T383&lt;25,"Peso normal",T383&lt;30,"Sobrepeso",T383&lt;35,"Obesidad clase I",T383&lt;40,"Obesidad clase II",T383&gt;=40,"Obesidad clase III"))</f>
        <v>Obesidad clase I</v>
      </c>
      <c r="V383">
        <v>107</v>
      </c>
      <c r="X383" t="s">
        <v>3463</v>
      </c>
      <c r="Y383">
        <v>1.1100000000000001</v>
      </c>
      <c r="AA383">
        <v>72</v>
      </c>
      <c r="AB383" s="9">
        <f t="shared" si="11"/>
        <v>71.882348454796968</v>
      </c>
      <c r="AD383" t="s">
        <v>73</v>
      </c>
      <c r="AF383" t="s">
        <v>73</v>
      </c>
      <c r="AG383" t="s">
        <v>3465</v>
      </c>
      <c r="AH383" t="s">
        <v>3465</v>
      </c>
      <c r="AI383" t="s">
        <v>3465</v>
      </c>
      <c r="AJ383" t="s">
        <v>3463</v>
      </c>
      <c r="AK383" t="s">
        <v>3463</v>
      </c>
      <c r="AL383" t="s">
        <v>3463</v>
      </c>
      <c r="AP383" t="s">
        <v>3463</v>
      </c>
      <c r="AQ383" t="s">
        <v>965</v>
      </c>
      <c r="AR383" t="s">
        <v>3538</v>
      </c>
      <c r="AS383" t="s">
        <v>3465</v>
      </c>
      <c r="AV383" t="s">
        <v>112</v>
      </c>
      <c r="AW383" t="s">
        <v>3917</v>
      </c>
      <c r="BA383" t="s">
        <v>3920</v>
      </c>
      <c r="BB383" t="s">
        <v>3485</v>
      </c>
      <c r="BF383" t="s">
        <v>3921</v>
      </c>
      <c r="BG383" t="s">
        <v>966</v>
      </c>
      <c r="BH383" t="s">
        <v>4021</v>
      </c>
      <c r="BI383" t="s">
        <v>967</v>
      </c>
      <c r="BP383" t="s">
        <v>4392</v>
      </c>
      <c r="BQ383" t="s">
        <v>3463</v>
      </c>
      <c r="BR383" t="s">
        <v>3463</v>
      </c>
      <c r="BS383" t="s">
        <v>3463</v>
      </c>
      <c r="BT383" t="s">
        <v>3463</v>
      </c>
      <c r="BU383" t="s">
        <v>3463</v>
      </c>
      <c r="BV383" t="s">
        <v>3463</v>
      </c>
      <c r="BW383" t="s">
        <v>3463</v>
      </c>
      <c r="BX383" t="s">
        <v>79</v>
      </c>
      <c r="BY383" t="s">
        <v>87</v>
      </c>
      <c r="BZ383" t="s">
        <v>79</v>
      </c>
      <c r="CA383" s="10">
        <v>45909</v>
      </c>
    </row>
    <row r="384" spans="1:79">
      <c r="A384">
        <v>390</v>
      </c>
      <c r="B384">
        <v>3</v>
      </c>
      <c r="C384">
        <v>57</v>
      </c>
      <c r="D384" t="s">
        <v>3462</v>
      </c>
      <c r="E384" t="s">
        <v>968</v>
      </c>
      <c r="F384" t="s">
        <v>969</v>
      </c>
      <c r="G384" s="12" t="s">
        <v>3465</v>
      </c>
      <c r="H384" t="s">
        <v>88</v>
      </c>
      <c r="I384">
        <v>66</v>
      </c>
      <c r="K384">
        <v>130</v>
      </c>
      <c r="L384">
        <v>80</v>
      </c>
      <c r="M384" t="s">
        <v>82</v>
      </c>
      <c r="P384" t="s">
        <v>83</v>
      </c>
      <c r="Q384" t="s">
        <v>82</v>
      </c>
      <c r="R384">
        <v>54.5</v>
      </c>
      <c r="S384">
        <v>157</v>
      </c>
      <c r="T384" s="8">
        <f t="shared" si="10"/>
        <v>22.110430443425699</v>
      </c>
      <c r="U384" s="13" t="str" cm="1">
        <f t="array" ref="U384">IF(T384="","",_xlfn.IFS(T384&lt;18.5,"Bajo peso",T384&lt;25,"Peso normal",T384&lt;30,"Sobrepeso",T384&lt;35,"Obesidad clase I",T384&lt;40,"Obesidad clase II",T384&gt;=40,"Obesidad clase III"))</f>
        <v>Peso normal</v>
      </c>
      <c r="V384">
        <v>120</v>
      </c>
      <c r="X384" t="s">
        <v>3463</v>
      </c>
      <c r="Y384">
        <v>0.79</v>
      </c>
      <c r="AA384">
        <v>90</v>
      </c>
      <c r="AB384" s="9">
        <f t="shared" si="11"/>
        <v>103.61646411238981</v>
      </c>
      <c r="AD384" t="s">
        <v>73</v>
      </c>
      <c r="AF384" t="s">
        <v>73</v>
      </c>
      <c r="AH384" t="s">
        <v>3463</v>
      </c>
      <c r="AI384" t="s">
        <v>3463</v>
      </c>
      <c r="AJ384" t="s">
        <v>3463</v>
      </c>
      <c r="AK384" t="s">
        <v>3463</v>
      </c>
      <c r="AL384" t="s">
        <v>3464</v>
      </c>
      <c r="AP384" t="s">
        <v>3463</v>
      </c>
      <c r="AV384" t="s">
        <v>126</v>
      </c>
      <c r="AW384" t="s">
        <v>126</v>
      </c>
      <c r="BF384" t="s">
        <v>3921</v>
      </c>
      <c r="BG384" t="s">
        <v>970</v>
      </c>
      <c r="BH384" t="s">
        <v>4115</v>
      </c>
      <c r="BI384" t="s">
        <v>971</v>
      </c>
      <c r="BK384" t="s">
        <v>972</v>
      </c>
      <c r="BL384" t="s">
        <v>973</v>
      </c>
      <c r="BP384" t="s">
        <v>4393</v>
      </c>
      <c r="BQ384" t="s">
        <v>3463</v>
      </c>
      <c r="BR384" t="s">
        <v>3465</v>
      </c>
      <c r="BS384" t="s">
        <v>3463</v>
      </c>
      <c r="BT384" t="s">
        <v>3463</v>
      </c>
      <c r="BU384" t="s">
        <v>3463</v>
      </c>
      <c r="BV384" t="s">
        <v>3463</v>
      </c>
      <c r="BW384" t="s">
        <v>3463</v>
      </c>
      <c r="BX384" t="s">
        <v>79</v>
      </c>
      <c r="BY384" t="s">
        <v>87</v>
      </c>
      <c r="BZ384" t="s">
        <v>79</v>
      </c>
      <c r="CA384" s="10">
        <v>45910</v>
      </c>
    </row>
    <row r="385" spans="1:79">
      <c r="A385">
        <v>391</v>
      </c>
      <c r="B385">
        <v>4</v>
      </c>
      <c r="C385">
        <v>40</v>
      </c>
      <c r="D385" t="s">
        <v>3462</v>
      </c>
      <c r="E385" t="s">
        <v>974</v>
      </c>
      <c r="F385" t="s">
        <v>969</v>
      </c>
      <c r="G385" s="12" t="s">
        <v>3465</v>
      </c>
      <c r="H385" s="12" t="s">
        <v>88</v>
      </c>
      <c r="I385">
        <v>45</v>
      </c>
      <c r="J385">
        <v>45</v>
      </c>
      <c r="K385">
        <v>146</v>
      </c>
      <c r="L385">
        <v>93</v>
      </c>
      <c r="M385" t="s">
        <v>72</v>
      </c>
      <c r="N385">
        <v>138</v>
      </c>
      <c r="O385">
        <v>96</v>
      </c>
      <c r="P385" t="s">
        <v>72</v>
      </c>
      <c r="Q385" t="s">
        <v>72</v>
      </c>
      <c r="R385">
        <v>86.4</v>
      </c>
      <c r="S385">
        <v>158</v>
      </c>
      <c r="T385" s="8">
        <f t="shared" si="10"/>
        <v>34.609838166960422</v>
      </c>
      <c r="U385" s="13" t="str" cm="1">
        <f t="array" ref="U385">IF(T385="","",_xlfn.IFS(T385&lt;18.5,"Bajo peso",T385&lt;25,"Peso normal",T385&lt;30,"Sobrepeso",T385&lt;35,"Obesidad clase I",T385&lt;40,"Obesidad clase II",T385&gt;=40,"Obesidad clase III"))</f>
        <v>Obesidad clase I</v>
      </c>
      <c r="V385">
        <v>91</v>
      </c>
      <c r="X385" t="s">
        <v>3463</v>
      </c>
      <c r="Y385">
        <v>0.66</v>
      </c>
      <c r="AA385">
        <v>90</v>
      </c>
      <c r="AB385" s="9">
        <f t="shared" si="11"/>
        <v>121.59816189130254</v>
      </c>
      <c r="AD385" t="s">
        <v>73</v>
      </c>
      <c r="AF385" t="s">
        <v>73</v>
      </c>
      <c r="AH385" t="s">
        <v>3463</v>
      </c>
      <c r="AI385" t="s">
        <v>3465</v>
      </c>
      <c r="AJ385" t="s">
        <v>3463</v>
      </c>
      <c r="AK385" t="s">
        <v>3463</v>
      </c>
      <c r="AL385" t="s">
        <v>3463</v>
      </c>
      <c r="AO385" t="s">
        <v>3463</v>
      </c>
      <c r="AP385" t="s">
        <v>3465</v>
      </c>
      <c r="AQ385" t="s">
        <v>975</v>
      </c>
      <c r="AR385" t="s">
        <v>3510</v>
      </c>
      <c r="AS385" t="s">
        <v>3463</v>
      </c>
      <c r="AV385" t="s">
        <v>74</v>
      </c>
      <c r="AW385" t="s">
        <v>3915</v>
      </c>
      <c r="BF385" t="s">
        <v>3921</v>
      </c>
      <c r="BG385" t="s">
        <v>976</v>
      </c>
      <c r="BH385" t="s">
        <v>4017</v>
      </c>
      <c r="BI385" t="s">
        <v>734</v>
      </c>
      <c r="BK385" t="s">
        <v>977</v>
      </c>
      <c r="BL385" t="s">
        <v>978</v>
      </c>
      <c r="BP385" t="s">
        <v>4394</v>
      </c>
      <c r="BQ385" t="s">
        <v>3463</v>
      </c>
      <c r="BR385" t="s">
        <v>3465</v>
      </c>
      <c r="BS385" t="s">
        <v>3463</v>
      </c>
      <c r="BT385" t="s">
        <v>3463</v>
      </c>
      <c r="BU385" t="s">
        <v>3463</v>
      </c>
      <c r="BV385" t="s">
        <v>3463</v>
      </c>
      <c r="BW385" t="s">
        <v>3463</v>
      </c>
      <c r="BX385" t="s">
        <v>79</v>
      </c>
      <c r="BY385" t="s">
        <v>87</v>
      </c>
      <c r="BZ385" t="s">
        <v>79</v>
      </c>
      <c r="CA385" s="10">
        <v>45910</v>
      </c>
    </row>
    <row r="386" spans="1:79">
      <c r="A386">
        <v>392</v>
      </c>
      <c r="B386">
        <v>5</v>
      </c>
      <c r="C386">
        <v>62</v>
      </c>
      <c r="D386" t="s">
        <v>3466</v>
      </c>
      <c r="E386" t="s">
        <v>979</v>
      </c>
      <c r="F386" t="s">
        <v>969</v>
      </c>
      <c r="G386" s="12" t="s">
        <v>3465</v>
      </c>
      <c r="H386" t="s">
        <v>88</v>
      </c>
      <c r="I386">
        <v>101</v>
      </c>
      <c r="K386">
        <v>138</v>
      </c>
      <c r="L386">
        <v>91</v>
      </c>
      <c r="M386" t="s">
        <v>72</v>
      </c>
      <c r="P386" t="s">
        <v>83</v>
      </c>
      <c r="Q386" t="s">
        <v>72</v>
      </c>
      <c r="R386">
        <v>67.45</v>
      </c>
      <c r="S386">
        <v>150</v>
      </c>
      <c r="T386" s="8">
        <f t="shared" ref="T386:T449" si="12">IFERROR(R386/(S386^2)*10000,"")</f>
        <v>29.977777777777781</v>
      </c>
      <c r="U386" s="13" t="str" cm="1">
        <f t="array" ref="U386">IF(T386="","",_xlfn.IFS(T386&lt;18.5,"Bajo peso",T386&lt;25,"Peso normal",T386&lt;30,"Sobrepeso",T386&lt;35,"Obesidad clase I",T386&lt;40,"Obesidad clase II",T386&gt;=40,"Obesidad clase III"))</f>
        <v>Sobrepeso</v>
      </c>
      <c r="V386">
        <v>89</v>
      </c>
      <c r="X386" t="s">
        <v>3463</v>
      </c>
      <c r="Y386">
        <v>0.57999999999999996</v>
      </c>
      <c r="AA386">
        <v>90</v>
      </c>
      <c r="AB386" s="9">
        <f t="shared" ref="AB386:AB449" si="13">IF(OR(C386="",D386="",Y386=""),"",142*POWER(MIN(Y386/IF(D386="Mujer",0.7,0.9),1),IF(D386="Mujer",-0.241,-0.302))*POWER(MAX(Y386/IF(D386="Mujer",0.7,0.9),1),-1.2)*POWER(0.9938,C386)*IF(D386="Mujer",1.012,1))</f>
        <v>102.25601583822566</v>
      </c>
      <c r="AD386" t="s">
        <v>73</v>
      </c>
      <c r="AF386" t="s">
        <v>73</v>
      </c>
      <c r="AH386" t="s">
        <v>3463</v>
      </c>
      <c r="AI386" t="s">
        <v>3465</v>
      </c>
      <c r="AJ386" t="s">
        <v>3463</v>
      </c>
      <c r="AK386" t="s">
        <v>3463</v>
      </c>
      <c r="AL386" t="s">
        <v>3465</v>
      </c>
      <c r="AM386" t="s">
        <v>980</v>
      </c>
      <c r="AN386" t="s">
        <v>3695</v>
      </c>
      <c r="AP386" t="s">
        <v>3463</v>
      </c>
      <c r="AQ386" t="s">
        <v>981</v>
      </c>
      <c r="AR386" t="s">
        <v>3506</v>
      </c>
      <c r="AS386" t="s">
        <v>3465</v>
      </c>
      <c r="AV386" t="s">
        <v>112</v>
      </c>
      <c r="AW386" t="s">
        <v>3917</v>
      </c>
      <c r="BA386" t="s">
        <v>3920</v>
      </c>
      <c r="BE386" t="s">
        <v>982</v>
      </c>
      <c r="BF386" t="s">
        <v>982</v>
      </c>
      <c r="BG386" t="s">
        <v>983</v>
      </c>
      <c r="BH386" t="s">
        <v>4116</v>
      </c>
      <c r="BK386" t="s">
        <v>984</v>
      </c>
      <c r="BL386" t="s">
        <v>985</v>
      </c>
      <c r="BP386" t="s">
        <v>4395</v>
      </c>
      <c r="BQ386" t="s">
        <v>3463</v>
      </c>
      <c r="BR386" t="s">
        <v>3463</v>
      </c>
      <c r="BS386" t="s">
        <v>3463</v>
      </c>
      <c r="BT386" t="s">
        <v>3463</v>
      </c>
      <c r="BU386" t="s">
        <v>3463</v>
      </c>
      <c r="BV386" t="s">
        <v>3463</v>
      </c>
      <c r="BW386" t="s">
        <v>3463</v>
      </c>
      <c r="BX386" t="s">
        <v>79</v>
      </c>
      <c r="BY386" t="s">
        <v>87</v>
      </c>
      <c r="BZ386" t="s">
        <v>79</v>
      </c>
      <c r="CA386" s="10">
        <v>45910</v>
      </c>
    </row>
    <row r="387" spans="1:79">
      <c r="A387">
        <v>393</v>
      </c>
      <c r="B387">
        <v>6</v>
      </c>
      <c r="C387">
        <v>63</v>
      </c>
      <c r="D387" t="s">
        <v>3466</v>
      </c>
      <c r="F387" t="s">
        <v>969</v>
      </c>
      <c r="G387" s="12" t="s">
        <v>3465</v>
      </c>
      <c r="H387" t="s">
        <v>88</v>
      </c>
      <c r="I387">
        <v>60</v>
      </c>
      <c r="J387">
        <v>54</v>
      </c>
      <c r="K387">
        <v>161</v>
      </c>
      <c r="L387">
        <v>78</v>
      </c>
      <c r="M387" t="s">
        <v>72</v>
      </c>
      <c r="N387">
        <v>158</v>
      </c>
      <c r="O387">
        <v>62</v>
      </c>
      <c r="P387" t="s">
        <v>72</v>
      </c>
      <c r="Q387" t="s">
        <v>72</v>
      </c>
      <c r="R387">
        <v>81</v>
      </c>
      <c r="S387">
        <v>154.5</v>
      </c>
      <c r="T387" s="8">
        <f t="shared" si="12"/>
        <v>33.933452728815162</v>
      </c>
      <c r="U387" s="13" t="str" cm="1">
        <f t="array" ref="U387">IF(T387="","",_xlfn.IFS(T387&lt;18.5,"Bajo peso",T387&lt;25,"Peso normal",T387&lt;30,"Sobrepeso",T387&lt;35,"Obesidad clase I",T387&lt;40,"Obesidad clase II",T387&gt;=40,"Obesidad clase III"))</f>
        <v>Obesidad clase I</v>
      </c>
      <c r="V387">
        <v>125</v>
      </c>
      <c r="X387" t="s">
        <v>3463</v>
      </c>
      <c r="Y387">
        <v>0.83</v>
      </c>
      <c r="AA387">
        <v>79</v>
      </c>
      <c r="AB387" s="9">
        <f t="shared" si="13"/>
        <v>79.164289049218823</v>
      </c>
      <c r="AD387" t="s">
        <v>73</v>
      </c>
      <c r="AF387" t="s">
        <v>73</v>
      </c>
      <c r="AW387" t="s">
        <v>3916</v>
      </c>
      <c r="BA387" t="s">
        <v>3920</v>
      </c>
      <c r="BB387" t="s">
        <v>3485</v>
      </c>
      <c r="BE387" t="s">
        <v>986</v>
      </c>
      <c r="BF387" t="s">
        <v>3942</v>
      </c>
      <c r="BG387" t="s">
        <v>987</v>
      </c>
      <c r="BH387" t="s">
        <v>4117</v>
      </c>
      <c r="BI387" t="s">
        <v>988</v>
      </c>
      <c r="BK387" t="s">
        <v>989</v>
      </c>
      <c r="BL387" t="s">
        <v>990</v>
      </c>
      <c r="BP387" t="s">
        <v>4396</v>
      </c>
      <c r="BQ387" t="s">
        <v>3463</v>
      </c>
      <c r="BR387" t="s">
        <v>3463</v>
      </c>
      <c r="BX387" t="s">
        <v>79</v>
      </c>
      <c r="BY387" t="s">
        <v>87</v>
      </c>
      <c r="BZ387" t="s">
        <v>79</v>
      </c>
      <c r="CA387" s="10">
        <v>45910</v>
      </c>
    </row>
    <row r="388" spans="1:79">
      <c r="A388">
        <v>394</v>
      </c>
      <c r="B388">
        <v>7</v>
      </c>
      <c r="C388">
        <v>48</v>
      </c>
      <c r="D388" t="s">
        <v>3466</v>
      </c>
      <c r="F388" t="s">
        <v>969</v>
      </c>
      <c r="G388" s="12" t="s">
        <v>3465</v>
      </c>
      <c r="H388" s="12" t="s">
        <v>88</v>
      </c>
      <c r="I388">
        <v>81</v>
      </c>
      <c r="K388">
        <v>114</v>
      </c>
      <c r="L388">
        <v>81</v>
      </c>
      <c r="M388" t="s">
        <v>82</v>
      </c>
      <c r="P388" t="s">
        <v>83</v>
      </c>
      <c r="Q388" t="s">
        <v>82</v>
      </c>
      <c r="R388">
        <v>79.900000000000006</v>
      </c>
      <c r="S388">
        <v>146.5</v>
      </c>
      <c r="T388" s="8">
        <f t="shared" si="12"/>
        <v>37.228156414169064</v>
      </c>
      <c r="U388" s="13" t="str" cm="1">
        <f t="array" ref="U388">IF(T388="","",_xlfn.IFS(T388&lt;18.5,"Bajo peso",T388&lt;25,"Peso normal",T388&lt;30,"Sobrepeso",T388&lt;35,"Obesidad clase I",T388&lt;40,"Obesidad clase II",T388&gt;=40,"Obesidad clase III"))</f>
        <v>Obesidad clase II</v>
      </c>
      <c r="V388">
        <v>105</v>
      </c>
      <c r="X388" t="s">
        <v>3463</v>
      </c>
      <c r="Y388">
        <v>0.77</v>
      </c>
      <c r="AA388">
        <v>90</v>
      </c>
      <c r="AB388" s="9">
        <f t="shared" si="13"/>
        <v>95.093157999134107</v>
      </c>
      <c r="AD388" t="s">
        <v>73</v>
      </c>
      <c r="AF388" t="s">
        <v>73</v>
      </c>
      <c r="AG388" t="s">
        <v>3465</v>
      </c>
      <c r="AH388" t="s">
        <v>3465</v>
      </c>
      <c r="AI388" t="s">
        <v>3463</v>
      </c>
      <c r="AJ388" t="s">
        <v>3465</v>
      </c>
      <c r="AK388" t="s">
        <v>3463</v>
      </c>
      <c r="AL388" t="s">
        <v>3465</v>
      </c>
      <c r="AM388" t="s">
        <v>116</v>
      </c>
      <c r="AN388" t="s">
        <v>116</v>
      </c>
      <c r="AO388" t="s">
        <v>3463</v>
      </c>
      <c r="AP388" t="s">
        <v>3465</v>
      </c>
      <c r="AQ388" t="s">
        <v>991</v>
      </c>
      <c r="AR388" t="s">
        <v>3528</v>
      </c>
      <c r="AT388" t="s">
        <v>3465</v>
      </c>
      <c r="AU388" t="s">
        <v>80</v>
      </c>
      <c r="AW388" t="s">
        <v>3916</v>
      </c>
      <c r="AX388" t="s">
        <v>3463</v>
      </c>
      <c r="AY388" t="s">
        <v>3465</v>
      </c>
      <c r="AZ388" t="s">
        <v>90</v>
      </c>
      <c r="BE388" t="s">
        <v>992</v>
      </c>
      <c r="BF388" t="s">
        <v>992</v>
      </c>
      <c r="BH388" t="s">
        <v>4068</v>
      </c>
      <c r="BK388" t="s">
        <v>993</v>
      </c>
      <c r="BL388" t="s">
        <v>994</v>
      </c>
      <c r="BP388" t="s">
        <v>4392</v>
      </c>
      <c r="BQ388" t="s">
        <v>3463</v>
      </c>
      <c r="BR388" t="s">
        <v>3463</v>
      </c>
      <c r="BS388" t="s">
        <v>3463</v>
      </c>
      <c r="BT388" t="s">
        <v>3463</v>
      </c>
      <c r="BU388" t="s">
        <v>3463</v>
      </c>
      <c r="BV388" t="s">
        <v>3463</v>
      </c>
      <c r="BW388" t="s">
        <v>3463</v>
      </c>
      <c r="BX388" t="s">
        <v>79</v>
      </c>
      <c r="BY388" t="s">
        <v>87</v>
      </c>
      <c r="BZ388" t="s">
        <v>79</v>
      </c>
      <c r="CA388" s="10">
        <v>45910</v>
      </c>
    </row>
    <row r="389" spans="1:79">
      <c r="A389">
        <v>395</v>
      </c>
      <c r="B389">
        <v>8</v>
      </c>
      <c r="C389">
        <v>52</v>
      </c>
      <c r="D389" t="s">
        <v>3466</v>
      </c>
      <c r="F389" t="s">
        <v>969</v>
      </c>
      <c r="G389" s="12" t="s">
        <v>3465</v>
      </c>
      <c r="H389" t="s">
        <v>88</v>
      </c>
      <c r="I389">
        <v>93</v>
      </c>
      <c r="J389">
        <v>96</v>
      </c>
      <c r="K389">
        <v>172</v>
      </c>
      <c r="L389">
        <v>105</v>
      </c>
      <c r="M389" t="s">
        <v>72</v>
      </c>
      <c r="N389">
        <v>176</v>
      </c>
      <c r="O389">
        <v>105</v>
      </c>
      <c r="P389" t="s">
        <v>72</v>
      </c>
      <c r="Q389" t="s">
        <v>72</v>
      </c>
      <c r="R389">
        <v>97.6</v>
      </c>
      <c r="S389">
        <v>156</v>
      </c>
      <c r="T389" s="8">
        <f t="shared" si="12"/>
        <v>40.105193951347793</v>
      </c>
      <c r="U389" s="13" t="str" cm="1">
        <f t="array" ref="U389">IF(T389="","",_xlfn.IFS(T389&lt;18.5,"Bajo peso",T389&lt;25,"Peso normal",T389&lt;30,"Sobrepeso",T389&lt;35,"Obesidad clase I",T389&lt;40,"Obesidad clase II",T389&gt;=40,"Obesidad clase III"))</f>
        <v>Obesidad clase III</v>
      </c>
      <c r="V389">
        <v>78</v>
      </c>
      <c r="X389" t="s">
        <v>3463</v>
      </c>
      <c r="Y389">
        <v>0.84</v>
      </c>
      <c r="AA389">
        <v>82</v>
      </c>
      <c r="AB389" s="9">
        <f t="shared" si="13"/>
        <v>83.560103054757548</v>
      </c>
      <c r="AD389" t="s">
        <v>73</v>
      </c>
      <c r="AF389" t="s">
        <v>73</v>
      </c>
      <c r="AH389" t="s">
        <v>3463</v>
      </c>
      <c r="AI389" t="s">
        <v>3465</v>
      </c>
      <c r="AJ389" t="s">
        <v>3463</v>
      </c>
      <c r="AK389" t="s">
        <v>3463</v>
      </c>
      <c r="AL389" t="s">
        <v>3465</v>
      </c>
      <c r="AM389" t="s">
        <v>995</v>
      </c>
      <c r="AN389" t="s">
        <v>3635</v>
      </c>
      <c r="AP389" t="s">
        <v>3463</v>
      </c>
      <c r="AQ389" t="s">
        <v>996</v>
      </c>
      <c r="AR389" t="s">
        <v>3493</v>
      </c>
      <c r="AS389" t="s">
        <v>3465</v>
      </c>
      <c r="AT389" t="s">
        <v>3465</v>
      </c>
      <c r="AU389" t="s">
        <v>125</v>
      </c>
      <c r="AW389" t="s">
        <v>3916</v>
      </c>
      <c r="AX389" t="s">
        <v>3465</v>
      </c>
      <c r="AY389" t="s">
        <v>3465</v>
      </c>
      <c r="BA389" t="s">
        <v>3920</v>
      </c>
      <c r="BF389" t="s">
        <v>3921</v>
      </c>
      <c r="BG389" t="s">
        <v>997</v>
      </c>
      <c r="BH389" t="s">
        <v>4118</v>
      </c>
      <c r="BI389" t="s">
        <v>411</v>
      </c>
      <c r="BK389" t="s">
        <v>998</v>
      </c>
      <c r="BL389" t="s">
        <v>999</v>
      </c>
      <c r="BP389" t="s">
        <v>4330</v>
      </c>
      <c r="BQ389" t="s">
        <v>3465</v>
      </c>
      <c r="BR389" t="s">
        <v>3465</v>
      </c>
      <c r="BS389" t="s">
        <v>3463</v>
      </c>
      <c r="BT389" t="s">
        <v>3463</v>
      </c>
      <c r="BU389" t="s">
        <v>3463</v>
      </c>
      <c r="BV389" t="s">
        <v>3463</v>
      </c>
      <c r="BW389" t="s">
        <v>3463</v>
      </c>
      <c r="BX389" t="s">
        <v>79</v>
      </c>
      <c r="BY389" t="s">
        <v>87</v>
      </c>
      <c r="BZ389" t="s">
        <v>79</v>
      </c>
      <c r="CA389" s="10">
        <v>45910</v>
      </c>
    </row>
    <row r="390" spans="1:79">
      <c r="A390">
        <v>396</v>
      </c>
      <c r="B390">
        <v>9</v>
      </c>
      <c r="C390">
        <v>60</v>
      </c>
      <c r="D390" t="s">
        <v>3462</v>
      </c>
      <c r="E390" t="s">
        <v>1000</v>
      </c>
      <c r="F390" t="s">
        <v>969</v>
      </c>
      <c r="G390" s="12" t="s">
        <v>3463</v>
      </c>
      <c r="I390">
        <v>64</v>
      </c>
      <c r="J390">
        <v>63</v>
      </c>
      <c r="K390">
        <v>145</v>
      </c>
      <c r="L390">
        <v>89</v>
      </c>
      <c r="M390" t="s">
        <v>72</v>
      </c>
      <c r="N390">
        <v>140</v>
      </c>
      <c r="O390">
        <v>85</v>
      </c>
      <c r="P390" t="s">
        <v>72</v>
      </c>
      <c r="Q390" t="s">
        <v>72</v>
      </c>
      <c r="R390">
        <v>75.8</v>
      </c>
      <c r="S390">
        <v>165.5</v>
      </c>
      <c r="T390" s="8">
        <f t="shared" si="12"/>
        <v>27.674081105502871</v>
      </c>
      <c r="U390" s="13" t="str" cm="1">
        <f t="array" ref="U390">IF(T390="","",_xlfn.IFS(T390&lt;18.5,"Bajo peso",T390&lt;25,"Peso normal",T390&lt;30,"Sobrepeso",T390&lt;35,"Obesidad clase I",T390&lt;40,"Obesidad clase II",T390&gt;=40,"Obesidad clase III"))</f>
        <v>Sobrepeso</v>
      </c>
      <c r="V390">
        <v>97</v>
      </c>
      <c r="X390" t="s">
        <v>3463</v>
      </c>
      <c r="Y390">
        <v>0.83</v>
      </c>
      <c r="AA390">
        <v>90</v>
      </c>
      <c r="AB390" s="9">
        <f t="shared" si="13"/>
        <v>100.19534451562006</v>
      </c>
      <c r="AD390" t="s">
        <v>73</v>
      </c>
      <c r="AF390" t="s">
        <v>73</v>
      </c>
      <c r="AH390" t="s">
        <v>3463</v>
      </c>
      <c r="AI390" t="s">
        <v>3465</v>
      </c>
      <c r="AJ390" t="s">
        <v>3465</v>
      </c>
      <c r="AK390" t="s">
        <v>3463</v>
      </c>
      <c r="AL390" t="s">
        <v>3465</v>
      </c>
      <c r="AM390" t="s">
        <v>1001</v>
      </c>
      <c r="AN390" t="s">
        <v>3696</v>
      </c>
      <c r="AO390" t="s">
        <v>3463</v>
      </c>
      <c r="AP390" t="s">
        <v>3463</v>
      </c>
      <c r="AQ390" t="s">
        <v>1002</v>
      </c>
      <c r="AR390" t="s">
        <v>3493</v>
      </c>
      <c r="AS390" t="s">
        <v>3463</v>
      </c>
      <c r="AV390" t="s">
        <v>74</v>
      </c>
      <c r="AW390" t="s">
        <v>3915</v>
      </c>
      <c r="BF390" t="s">
        <v>3921</v>
      </c>
      <c r="BH390" t="s">
        <v>4020</v>
      </c>
      <c r="BP390" t="s">
        <v>4260</v>
      </c>
      <c r="BQ390" t="s">
        <v>3463</v>
      </c>
      <c r="BR390" t="s">
        <v>3465</v>
      </c>
      <c r="BS390" t="s">
        <v>3463</v>
      </c>
      <c r="BT390" t="s">
        <v>3463</v>
      </c>
      <c r="BU390" t="s">
        <v>3463</v>
      </c>
      <c r="BV390" t="s">
        <v>3463</v>
      </c>
      <c r="BW390" t="s">
        <v>3463</v>
      </c>
      <c r="BX390" t="s">
        <v>79</v>
      </c>
      <c r="BY390" t="s">
        <v>87</v>
      </c>
      <c r="BZ390" t="s">
        <v>79</v>
      </c>
      <c r="CA390" s="10">
        <v>45910</v>
      </c>
    </row>
    <row r="391" spans="1:79">
      <c r="A391">
        <v>397</v>
      </c>
      <c r="B391">
        <v>10</v>
      </c>
      <c r="C391">
        <v>65</v>
      </c>
      <c r="D391" t="s">
        <v>3462</v>
      </c>
      <c r="E391" t="s">
        <v>1003</v>
      </c>
      <c r="F391" t="s">
        <v>969</v>
      </c>
      <c r="G391" s="12" t="s">
        <v>3463</v>
      </c>
      <c r="H391" s="12"/>
      <c r="I391">
        <v>79</v>
      </c>
      <c r="J391">
        <v>71</v>
      </c>
      <c r="K391">
        <v>163</v>
      </c>
      <c r="L391">
        <v>92</v>
      </c>
      <c r="M391" t="s">
        <v>72</v>
      </c>
      <c r="N391">
        <v>156</v>
      </c>
      <c r="O391">
        <v>91</v>
      </c>
      <c r="P391" t="s">
        <v>72</v>
      </c>
      <c r="Q391" t="s">
        <v>72</v>
      </c>
      <c r="R391">
        <v>88.2</v>
      </c>
      <c r="S391">
        <v>162</v>
      </c>
      <c r="T391" s="8">
        <f t="shared" si="12"/>
        <v>33.607681755829908</v>
      </c>
      <c r="U391" s="13" t="str" cm="1">
        <f t="array" ref="U391">IF(T391="","",_xlfn.IFS(T391&lt;18.5,"Bajo peso",T391&lt;25,"Peso normal",T391&lt;30,"Sobrepeso",T391&lt;35,"Obesidad clase I",T391&lt;40,"Obesidad clase II",T391&gt;=40,"Obesidad clase III"))</f>
        <v>Obesidad clase I</v>
      </c>
      <c r="V391">
        <v>92</v>
      </c>
      <c r="X391" t="s">
        <v>3463</v>
      </c>
      <c r="Y391">
        <v>0.62</v>
      </c>
      <c r="AA391">
        <v>90</v>
      </c>
      <c r="AB391" s="9">
        <f t="shared" si="13"/>
        <v>106.07225425917079</v>
      </c>
      <c r="AD391" t="s">
        <v>73</v>
      </c>
      <c r="AF391" t="s">
        <v>73</v>
      </c>
      <c r="AH391" t="s">
        <v>3463</v>
      </c>
      <c r="AI391" t="s">
        <v>3465</v>
      </c>
      <c r="AJ391" t="s">
        <v>3463</v>
      </c>
      <c r="AK391" t="s">
        <v>3463</v>
      </c>
      <c r="AL391" t="s">
        <v>3465</v>
      </c>
      <c r="AM391" t="s">
        <v>1004</v>
      </c>
      <c r="AN391" t="s">
        <v>110</v>
      </c>
      <c r="AP391" t="s">
        <v>3463</v>
      </c>
      <c r="AQ391" t="s">
        <v>120</v>
      </c>
      <c r="AR391" t="s">
        <v>3491</v>
      </c>
      <c r="AS391" t="s">
        <v>3465</v>
      </c>
      <c r="AV391" t="s">
        <v>112</v>
      </c>
      <c r="AW391" t="s">
        <v>3917</v>
      </c>
      <c r="BF391" t="s">
        <v>3921</v>
      </c>
      <c r="BH391" t="s">
        <v>4020</v>
      </c>
      <c r="BP391" t="s">
        <v>4260</v>
      </c>
      <c r="BQ391" t="s">
        <v>3463</v>
      </c>
      <c r="BR391" t="s">
        <v>3463</v>
      </c>
      <c r="BS391" t="s">
        <v>3463</v>
      </c>
      <c r="BT391" t="s">
        <v>3463</v>
      </c>
      <c r="BU391" t="s">
        <v>3465</v>
      </c>
      <c r="BV391" t="s">
        <v>3465</v>
      </c>
      <c r="BW391" t="s">
        <v>3465</v>
      </c>
      <c r="BX391" t="s">
        <v>79</v>
      </c>
      <c r="BY391" t="s">
        <v>87</v>
      </c>
      <c r="BZ391" t="s">
        <v>79</v>
      </c>
      <c r="CA391" s="10">
        <v>45910</v>
      </c>
    </row>
    <row r="392" spans="1:79">
      <c r="A392">
        <v>398</v>
      </c>
      <c r="B392">
        <v>11</v>
      </c>
      <c r="C392">
        <v>35</v>
      </c>
      <c r="D392" t="s">
        <v>3466</v>
      </c>
      <c r="E392" t="s">
        <v>1005</v>
      </c>
      <c r="F392" t="s">
        <v>969</v>
      </c>
      <c r="G392" s="12" t="s">
        <v>3465</v>
      </c>
      <c r="H392" s="12" t="s">
        <v>88</v>
      </c>
      <c r="I392">
        <v>70</v>
      </c>
      <c r="K392">
        <v>118</v>
      </c>
      <c r="L392">
        <v>70</v>
      </c>
      <c r="M392" t="s">
        <v>80</v>
      </c>
      <c r="P392" t="s">
        <v>83</v>
      </c>
      <c r="Q392" t="s">
        <v>80</v>
      </c>
      <c r="R392">
        <v>85.15</v>
      </c>
      <c r="S392">
        <v>164.5</v>
      </c>
      <c r="T392" s="8">
        <f t="shared" si="12"/>
        <v>31.466819412237509</v>
      </c>
      <c r="U392" s="13" t="str" cm="1">
        <f t="array" ref="U392">IF(T392="","",_xlfn.IFS(T392&lt;18.5,"Bajo peso",T392&lt;25,"Peso normal",T392&lt;30,"Sobrepeso",T392&lt;35,"Obesidad clase I",T392&lt;40,"Obesidad clase II",T392&gt;=40,"Obesidad clase III"))</f>
        <v>Obesidad clase I</v>
      </c>
      <c r="V392">
        <v>85</v>
      </c>
      <c r="X392" t="s">
        <v>3463</v>
      </c>
      <c r="Y392">
        <v>0.6</v>
      </c>
      <c r="AA392">
        <v>90</v>
      </c>
      <c r="AB392" s="9">
        <f t="shared" si="13"/>
        <v>119.96864882040749</v>
      </c>
      <c r="AD392" t="s">
        <v>73</v>
      </c>
      <c r="AF392" t="s">
        <v>73</v>
      </c>
      <c r="AH392" t="s">
        <v>3463</v>
      </c>
      <c r="AI392" t="s">
        <v>3463</v>
      </c>
      <c r="AJ392" t="s">
        <v>3463</v>
      </c>
      <c r="AK392" t="s">
        <v>3463</v>
      </c>
      <c r="AL392" t="s">
        <v>3463</v>
      </c>
      <c r="AP392" t="s">
        <v>3463</v>
      </c>
      <c r="AQ392" t="s">
        <v>1006</v>
      </c>
      <c r="AR392" t="s">
        <v>3491</v>
      </c>
      <c r="AT392" t="s">
        <v>3463</v>
      </c>
      <c r="AV392" t="s">
        <v>178</v>
      </c>
      <c r="AW392" t="s">
        <v>3918</v>
      </c>
      <c r="AX392" t="s">
        <v>3463</v>
      </c>
      <c r="AY392" t="s">
        <v>3463</v>
      </c>
      <c r="AZ392" t="s">
        <v>1007</v>
      </c>
      <c r="BF392" t="s">
        <v>3921</v>
      </c>
      <c r="BH392" t="s">
        <v>4020</v>
      </c>
      <c r="BP392" t="s">
        <v>4260</v>
      </c>
      <c r="BQ392" t="s">
        <v>3463</v>
      </c>
      <c r="BR392" t="s">
        <v>3465</v>
      </c>
      <c r="BS392" t="s">
        <v>3463</v>
      </c>
      <c r="BT392" t="s">
        <v>3465</v>
      </c>
      <c r="BU392" t="s">
        <v>3463</v>
      </c>
      <c r="BV392" t="s">
        <v>3463</v>
      </c>
      <c r="BX392" t="s">
        <v>79</v>
      </c>
      <c r="BY392" t="s">
        <v>87</v>
      </c>
      <c r="BZ392" t="s">
        <v>79</v>
      </c>
      <c r="CA392" s="10">
        <v>45910</v>
      </c>
    </row>
    <row r="393" spans="1:79">
      <c r="A393">
        <v>399</v>
      </c>
      <c r="B393">
        <v>12</v>
      </c>
      <c r="C393">
        <v>66</v>
      </c>
      <c r="D393" t="s">
        <v>3466</v>
      </c>
      <c r="F393" t="s">
        <v>969</v>
      </c>
      <c r="G393" s="12" t="s">
        <v>3463</v>
      </c>
      <c r="H393" s="12"/>
      <c r="I393">
        <v>64</v>
      </c>
      <c r="J393">
        <v>62</v>
      </c>
      <c r="K393">
        <v>157</v>
      </c>
      <c r="L393">
        <v>86</v>
      </c>
      <c r="M393" t="s">
        <v>72</v>
      </c>
      <c r="N393">
        <v>156</v>
      </c>
      <c r="O393">
        <v>88</v>
      </c>
      <c r="P393" t="s">
        <v>72</v>
      </c>
      <c r="Q393" t="s">
        <v>72</v>
      </c>
      <c r="R393">
        <v>83.7</v>
      </c>
      <c r="S393">
        <v>162.5</v>
      </c>
      <c r="T393" s="8">
        <f t="shared" si="12"/>
        <v>31.697041420118342</v>
      </c>
      <c r="U393" s="13" t="str" cm="1">
        <f t="array" ref="U393">IF(T393="","",_xlfn.IFS(T393&lt;18.5,"Bajo peso",T393&lt;25,"Peso normal",T393&lt;30,"Sobrepeso",T393&lt;35,"Obesidad clase I",T393&lt;40,"Obesidad clase II",T393&gt;=40,"Obesidad clase III"))</f>
        <v>Obesidad clase I</v>
      </c>
      <c r="V393">
        <v>124</v>
      </c>
      <c r="X393" t="s">
        <v>3463</v>
      </c>
      <c r="Y393">
        <v>0.48</v>
      </c>
      <c r="AA393">
        <v>90</v>
      </c>
      <c r="AB393" s="9">
        <f t="shared" si="13"/>
        <v>104.39791985120141</v>
      </c>
      <c r="AD393" t="s">
        <v>73</v>
      </c>
      <c r="AF393" t="s">
        <v>73</v>
      </c>
      <c r="AG393" t="s">
        <v>3465</v>
      </c>
      <c r="AH393" t="s">
        <v>3465</v>
      </c>
      <c r="AI393" t="s">
        <v>3465</v>
      </c>
      <c r="AJ393" t="s">
        <v>3463</v>
      </c>
      <c r="AK393" t="s">
        <v>3463</v>
      </c>
      <c r="AL393" t="s">
        <v>3465</v>
      </c>
      <c r="AM393" t="s">
        <v>1008</v>
      </c>
      <c r="AN393" t="s">
        <v>3697</v>
      </c>
      <c r="AP393" t="s">
        <v>3463</v>
      </c>
      <c r="AS393" t="s">
        <v>3465</v>
      </c>
      <c r="AT393" t="s">
        <v>3465</v>
      </c>
      <c r="AU393" t="s">
        <v>80</v>
      </c>
      <c r="AV393" t="s">
        <v>74</v>
      </c>
      <c r="AW393" t="s">
        <v>3915</v>
      </c>
      <c r="AX393" t="s">
        <v>3463</v>
      </c>
      <c r="AY393" t="s">
        <v>3463</v>
      </c>
      <c r="BF393" t="s">
        <v>3921</v>
      </c>
      <c r="BH393" t="s">
        <v>4020</v>
      </c>
      <c r="BP393" t="s">
        <v>4260</v>
      </c>
      <c r="BQ393" t="s">
        <v>3463</v>
      </c>
      <c r="BR393" t="s">
        <v>3465</v>
      </c>
      <c r="BS393" t="s">
        <v>3465</v>
      </c>
      <c r="BT393" t="s">
        <v>3465</v>
      </c>
      <c r="BU393" t="s">
        <v>3463</v>
      </c>
      <c r="BV393" t="s">
        <v>3463</v>
      </c>
      <c r="BW393" t="s">
        <v>3463</v>
      </c>
      <c r="BX393" t="s">
        <v>79</v>
      </c>
      <c r="BY393" t="s">
        <v>87</v>
      </c>
      <c r="BZ393" t="s">
        <v>79</v>
      </c>
      <c r="CA393" s="10">
        <v>45910</v>
      </c>
    </row>
    <row r="394" spans="1:79">
      <c r="A394">
        <v>400</v>
      </c>
      <c r="B394">
        <v>13</v>
      </c>
      <c r="C394">
        <v>50</v>
      </c>
      <c r="D394" t="s">
        <v>3462</v>
      </c>
      <c r="E394" t="s">
        <v>1000</v>
      </c>
      <c r="F394" t="s">
        <v>969</v>
      </c>
      <c r="G394" s="12" t="s">
        <v>3463</v>
      </c>
      <c r="H394" s="12"/>
      <c r="I394">
        <v>65</v>
      </c>
      <c r="J394">
        <v>62</v>
      </c>
      <c r="K394">
        <v>173</v>
      </c>
      <c r="L394">
        <v>107</v>
      </c>
      <c r="M394" t="s">
        <v>72</v>
      </c>
      <c r="N394">
        <v>160</v>
      </c>
      <c r="O394">
        <v>99</v>
      </c>
      <c r="P394" t="s">
        <v>72</v>
      </c>
      <c r="Q394" t="s">
        <v>72</v>
      </c>
      <c r="R394">
        <v>103.9</v>
      </c>
      <c r="S394">
        <v>172</v>
      </c>
      <c r="T394" s="8">
        <f t="shared" si="12"/>
        <v>35.120335316387241</v>
      </c>
      <c r="U394" s="13" t="str" cm="1">
        <f t="array" ref="U394">IF(T394="","",_xlfn.IFS(T394&lt;18.5,"Bajo peso",T394&lt;25,"Peso normal",T394&lt;30,"Sobrepeso",T394&lt;35,"Obesidad clase I",T394&lt;40,"Obesidad clase II",T394&gt;=40,"Obesidad clase III"))</f>
        <v>Obesidad clase II</v>
      </c>
      <c r="V394">
        <v>103</v>
      </c>
      <c r="X394" t="s">
        <v>3463</v>
      </c>
      <c r="Y394">
        <v>0.6</v>
      </c>
      <c r="AA394">
        <v>90</v>
      </c>
      <c r="AB394" s="9">
        <f t="shared" si="13"/>
        <v>117.60276293738809</v>
      </c>
      <c r="AD394" t="s">
        <v>73</v>
      </c>
      <c r="AF394" t="s">
        <v>73</v>
      </c>
      <c r="AH394" t="s">
        <v>3463</v>
      </c>
      <c r="AI394" t="s">
        <v>3465</v>
      </c>
      <c r="AJ394" t="s">
        <v>3465</v>
      </c>
      <c r="AK394" t="s">
        <v>3463</v>
      </c>
      <c r="AL394" t="s">
        <v>3463</v>
      </c>
      <c r="AP394" t="s">
        <v>3463</v>
      </c>
      <c r="AS394" t="s">
        <v>3465</v>
      </c>
      <c r="AV394" t="s">
        <v>74</v>
      </c>
      <c r="AW394" t="s">
        <v>3915</v>
      </c>
      <c r="BA394" t="s">
        <v>3920</v>
      </c>
      <c r="BC394" t="s">
        <v>128</v>
      </c>
      <c r="BF394" t="s">
        <v>3921</v>
      </c>
      <c r="BG394" t="s">
        <v>1009</v>
      </c>
      <c r="BH394" t="s">
        <v>4119</v>
      </c>
      <c r="BI394" t="s">
        <v>411</v>
      </c>
      <c r="BK394" t="s">
        <v>1010</v>
      </c>
      <c r="BL394" t="s">
        <v>1011</v>
      </c>
      <c r="BP394" t="s">
        <v>4397</v>
      </c>
      <c r="BQ394" t="s">
        <v>3463</v>
      </c>
      <c r="BR394" t="s">
        <v>3465</v>
      </c>
      <c r="BS394" t="s">
        <v>3463</v>
      </c>
      <c r="BT394" t="s">
        <v>3463</v>
      </c>
      <c r="BU394" t="s">
        <v>3463</v>
      </c>
      <c r="BV394" t="s">
        <v>3463</v>
      </c>
      <c r="BW394" t="s">
        <v>3463</v>
      </c>
      <c r="BX394" t="s">
        <v>79</v>
      </c>
      <c r="BY394" t="s">
        <v>79</v>
      </c>
      <c r="BZ394" t="s">
        <v>79</v>
      </c>
      <c r="CA394" s="10">
        <v>45910</v>
      </c>
    </row>
    <row r="395" spans="1:79">
      <c r="A395">
        <v>401</v>
      </c>
      <c r="B395">
        <v>14</v>
      </c>
      <c r="C395">
        <v>80</v>
      </c>
      <c r="D395" t="s">
        <v>3466</v>
      </c>
      <c r="F395" t="s">
        <v>969</v>
      </c>
      <c r="G395" s="12" t="s">
        <v>3465</v>
      </c>
      <c r="H395" s="12" t="s">
        <v>88</v>
      </c>
      <c r="I395">
        <v>78</v>
      </c>
      <c r="J395">
        <v>77</v>
      </c>
      <c r="K395">
        <v>148</v>
      </c>
      <c r="L395">
        <v>70</v>
      </c>
      <c r="M395" t="s">
        <v>72</v>
      </c>
      <c r="N395">
        <v>150</v>
      </c>
      <c r="O395">
        <v>83</v>
      </c>
      <c r="P395" t="s">
        <v>72</v>
      </c>
      <c r="Q395" t="s">
        <v>72</v>
      </c>
      <c r="R395">
        <v>67.599999999999994</v>
      </c>
      <c r="S395">
        <v>158</v>
      </c>
      <c r="T395" s="8">
        <f t="shared" si="12"/>
        <v>27.078993751001438</v>
      </c>
      <c r="U395" s="13" t="str" cm="1">
        <f t="array" ref="U395">IF(T395="","",_xlfn.IFS(T395&lt;18.5,"Bajo peso",T395&lt;25,"Peso normal",T395&lt;30,"Sobrepeso",T395&lt;35,"Obesidad clase I",T395&lt;40,"Obesidad clase II",T395&gt;=40,"Obesidad clase III"))</f>
        <v>Sobrepeso</v>
      </c>
      <c r="V395">
        <v>95</v>
      </c>
      <c r="X395" t="s">
        <v>3463</v>
      </c>
      <c r="Y395">
        <v>1.1399999999999999</v>
      </c>
      <c r="AA395">
        <v>65</v>
      </c>
      <c r="AB395" s="9">
        <f t="shared" si="13"/>
        <v>48.665375201810768</v>
      </c>
      <c r="AD395" t="s">
        <v>73</v>
      </c>
      <c r="AF395" t="s">
        <v>73</v>
      </c>
      <c r="AH395" t="s">
        <v>3463</v>
      </c>
      <c r="AI395" t="s">
        <v>3465</v>
      </c>
      <c r="AJ395" t="s">
        <v>3465</v>
      </c>
      <c r="AK395" t="s">
        <v>3463</v>
      </c>
      <c r="AL395" t="s">
        <v>3465</v>
      </c>
      <c r="AM395" t="s">
        <v>1012</v>
      </c>
      <c r="AN395" t="s">
        <v>3698</v>
      </c>
      <c r="AO395" t="s">
        <v>3463</v>
      </c>
      <c r="AP395" t="s">
        <v>3465</v>
      </c>
      <c r="AQ395" t="s">
        <v>1013</v>
      </c>
      <c r="AR395" t="s">
        <v>3488</v>
      </c>
      <c r="AS395" t="s">
        <v>3465</v>
      </c>
      <c r="AT395" t="s">
        <v>3463</v>
      </c>
      <c r="AV395" t="s">
        <v>112</v>
      </c>
      <c r="AW395" t="s">
        <v>3917</v>
      </c>
      <c r="AX395" t="s">
        <v>3463</v>
      </c>
      <c r="AY395" t="s">
        <v>3463</v>
      </c>
      <c r="BA395" t="s">
        <v>3920</v>
      </c>
      <c r="BF395" t="s">
        <v>3921</v>
      </c>
      <c r="BG395" t="s">
        <v>1014</v>
      </c>
      <c r="BH395" t="s">
        <v>4120</v>
      </c>
      <c r="BI395" t="s">
        <v>411</v>
      </c>
      <c r="BK395" t="s">
        <v>1015</v>
      </c>
      <c r="BL395" t="s">
        <v>1016</v>
      </c>
      <c r="BP395" t="s">
        <v>4336</v>
      </c>
      <c r="BQ395" t="s">
        <v>3463</v>
      </c>
      <c r="BR395" t="s">
        <v>3465</v>
      </c>
      <c r="BS395" t="s">
        <v>3463</v>
      </c>
      <c r="BT395" t="s">
        <v>3463</v>
      </c>
      <c r="BU395" t="s">
        <v>3465</v>
      </c>
      <c r="BV395" t="s">
        <v>3465</v>
      </c>
      <c r="BW395" t="s">
        <v>3465</v>
      </c>
      <c r="BX395" t="s">
        <v>79</v>
      </c>
      <c r="BY395" t="s">
        <v>87</v>
      </c>
      <c r="BZ395" t="s">
        <v>95</v>
      </c>
      <c r="CA395" s="10">
        <v>45910</v>
      </c>
    </row>
    <row r="396" spans="1:79">
      <c r="A396">
        <v>402</v>
      </c>
      <c r="B396">
        <v>15</v>
      </c>
      <c r="C396">
        <v>59</v>
      </c>
      <c r="D396" t="s">
        <v>3462</v>
      </c>
      <c r="E396" t="s">
        <v>1000</v>
      </c>
      <c r="F396" t="s">
        <v>969</v>
      </c>
      <c r="G396" s="12" t="s">
        <v>3465</v>
      </c>
      <c r="H396" s="12" t="s">
        <v>88</v>
      </c>
      <c r="I396">
        <v>66</v>
      </c>
      <c r="J396">
        <v>76</v>
      </c>
      <c r="K396">
        <v>157</v>
      </c>
      <c r="L396">
        <v>98</v>
      </c>
      <c r="M396" t="s">
        <v>72</v>
      </c>
      <c r="N396">
        <v>149</v>
      </c>
      <c r="O396">
        <v>100</v>
      </c>
      <c r="P396" t="s">
        <v>72</v>
      </c>
      <c r="Q396" t="s">
        <v>72</v>
      </c>
      <c r="R396">
        <v>97</v>
      </c>
      <c r="S396">
        <v>169</v>
      </c>
      <c r="T396" s="8">
        <f t="shared" si="12"/>
        <v>33.962396274640241</v>
      </c>
      <c r="U396" s="13" t="str" cm="1">
        <f t="array" ref="U396">IF(T396="","",_xlfn.IFS(T396&lt;18.5,"Bajo peso",T396&lt;25,"Peso normal",T396&lt;30,"Sobrepeso",T396&lt;35,"Obesidad clase I",T396&lt;40,"Obesidad clase II",T396&gt;=40,"Obesidad clase III"))</f>
        <v>Obesidad clase I</v>
      </c>
      <c r="V396">
        <v>105</v>
      </c>
      <c r="X396" t="s">
        <v>3463</v>
      </c>
      <c r="Y396">
        <v>0.72</v>
      </c>
      <c r="AA396">
        <v>90</v>
      </c>
      <c r="AB396" s="9">
        <f t="shared" si="13"/>
        <v>105.24360610037955</v>
      </c>
      <c r="AD396" t="s">
        <v>73</v>
      </c>
      <c r="AF396" t="s">
        <v>73</v>
      </c>
      <c r="AH396" t="s">
        <v>3463</v>
      </c>
      <c r="AI396" t="s">
        <v>3463</v>
      </c>
      <c r="AJ396" t="s">
        <v>3463</v>
      </c>
      <c r="AK396" t="s">
        <v>3463</v>
      </c>
      <c r="AL396" t="s">
        <v>3463</v>
      </c>
      <c r="AO396" t="s">
        <v>3463</v>
      </c>
      <c r="AP396" t="s">
        <v>3465</v>
      </c>
      <c r="AQ396" t="s">
        <v>169</v>
      </c>
      <c r="AR396" t="s">
        <v>3493</v>
      </c>
      <c r="AV396" t="s">
        <v>74</v>
      </c>
      <c r="AW396" t="s">
        <v>3915</v>
      </c>
      <c r="BC396" t="s">
        <v>128</v>
      </c>
      <c r="BF396" t="s">
        <v>3921</v>
      </c>
      <c r="BH396" t="s">
        <v>4017</v>
      </c>
      <c r="BI396" t="s">
        <v>734</v>
      </c>
      <c r="BK396" t="s">
        <v>1017</v>
      </c>
      <c r="BL396" t="s">
        <v>1018</v>
      </c>
      <c r="BP396" t="s">
        <v>4398</v>
      </c>
      <c r="BQ396" t="s">
        <v>3463</v>
      </c>
      <c r="BR396" t="s">
        <v>3465</v>
      </c>
      <c r="BS396" t="s">
        <v>3463</v>
      </c>
      <c r="BT396" t="s">
        <v>3463</v>
      </c>
      <c r="BU396" t="s">
        <v>3463</v>
      </c>
      <c r="BV396" t="s">
        <v>3463</v>
      </c>
      <c r="BW396" t="s">
        <v>3463</v>
      </c>
      <c r="BX396" t="s">
        <v>79</v>
      </c>
      <c r="BY396" t="s">
        <v>87</v>
      </c>
      <c r="BZ396" t="s">
        <v>79</v>
      </c>
      <c r="CA396" s="10">
        <v>45910</v>
      </c>
    </row>
    <row r="397" spans="1:79">
      <c r="A397">
        <v>403</v>
      </c>
      <c r="B397">
        <v>16</v>
      </c>
      <c r="C397">
        <v>34</v>
      </c>
      <c r="D397" t="s">
        <v>3466</v>
      </c>
      <c r="E397" t="s">
        <v>974</v>
      </c>
      <c r="F397" t="s">
        <v>168</v>
      </c>
      <c r="G397" s="12" t="s">
        <v>3465</v>
      </c>
      <c r="H397" t="s">
        <v>88</v>
      </c>
      <c r="I397">
        <v>71</v>
      </c>
      <c r="K397">
        <v>127</v>
      </c>
      <c r="L397">
        <v>77</v>
      </c>
      <c r="M397" t="s">
        <v>118</v>
      </c>
      <c r="P397" t="s">
        <v>83</v>
      </c>
      <c r="Q397" t="s">
        <v>118</v>
      </c>
      <c r="R397">
        <v>71.3</v>
      </c>
      <c r="S397">
        <v>165.5</v>
      </c>
      <c r="T397" s="8">
        <f t="shared" si="12"/>
        <v>26.031160723250061</v>
      </c>
      <c r="U397" s="13" t="str" cm="1">
        <f t="array" ref="U397">IF(T397="","",_xlfn.IFS(T397&lt;18.5,"Bajo peso",T397&lt;25,"Peso normal",T397&lt;30,"Sobrepeso",T397&lt;35,"Obesidad clase I",T397&lt;40,"Obesidad clase II",T397&gt;=40,"Obesidad clase III"))</f>
        <v>Sobrepeso</v>
      </c>
      <c r="V397">
        <v>76</v>
      </c>
      <c r="X397" t="s">
        <v>3463</v>
      </c>
      <c r="Y397">
        <v>0.69</v>
      </c>
      <c r="AA397">
        <v>90</v>
      </c>
      <c r="AB397" s="9">
        <f t="shared" si="13"/>
        <v>116.71874133388128</v>
      </c>
      <c r="AD397" t="s">
        <v>73</v>
      </c>
      <c r="AF397" t="s">
        <v>73</v>
      </c>
      <c r="AH397" t="s">
        <v>3463</v>
      </c>
      <c r="AI397" t="s">
        <v>3463</v>
      </c>
      <c r="AJ397" t="s">
        <v>3463</v>
      </c>
      <c r="AK397" t="s">
        <v>3463</v>
      </c>
      <c r="AL397" t="s">
        <v>3463</v>
      </c>
      <c r="AO397" t="s">
        <v>3465</v>
      </c>
      <c r="AP397" t="s">
        <v>3465</v>
      </c>
      <c r="AQ397" t="s">
        <v>1019</v>
      </c>
      <c r="AR397" t="s">
        <v>3522</v>
      </c>
      <c r="AT397" t="s">
        <v>3463</v>
      </c>
      <c r="AV397" t="s">
        <v>74</v>
      </c>
      <c r="AW397" t="s">
        <v>3915</v>
      </c>
      <c r="AX397" t="s">
        <v>3463</v>
      </c>
      <c r="AY397" t="s">
        <v>3465</v>
      </c>
      <c r="AZ397" t="s">
        <v>90</v>
      </c>
      <c r="BF397" t="s">
        <v>3921</v>
      </c>
      <c r="BH397" t="s">
        <v>4020</v>
      </c>
      <c r="BP397" t="s">
        <v>4260</v>
      </c>
      <c r="BQ397" t="s">
        <v>3463</v>
      </c>
      <c r="BR397" t="s">
        <v>3465</v>
      </c>
      <c r="BS397" t="s">
        <v>3465</v>
      </c>
      <c r="BT397" t="s">
        <v>3465</v>
      </c>
      <c r="BV397" t="s">
        <v>3463</v>
      </c>
      <c r="BW397" t="s">
        <v>3463</v>
      </c>
      <c r="BX397" t="s">
        <v>79</v>
      </c>
      <c r="BY397" t="s">
        <v>87</v>
      </c>
      <c r="BZ397" t="s">
        <v>79</v>
      </c>
      <c r="CA397" s="10">
        <v>45910</v>
      </c>
    </row>
    <row r="398" spans="1:79">
      <c r="A398">
        <v>404</v>
      </c>
      <c r="B398">
        <v>17</v>
      </c>
      <c r="C398">
        <v>55</v>
      </c>
      <c r="D398" t="s">
        <v>3462</v>
      </c>
      <c r="E398" t="s">
        <v>1020</v>
      </c>
      <c r="F398" t="s">
        <v>969</v>
      </c>
      <c r="G398" s="12" t="s">
        <v>3465</v>
      </c>
      <c r="H398" t="s">
        <v>88</v>
      </c>
      <c r="I398">
        <v>74</v>
      </c>
      <c r="J398">
        <v>74</v>
      </c>
      <c r="K398">
        <v>173</v>
      </c>
      <c r="L398">
        <v>93</v>
      </c>
      <c r="M398" t="s">
        <v>72</v>
      </c>
      <c r="N398">
        <v>177</v>
      </c>
      <c r="O398">
        <v>99</v>
      </c>
      <c r="P398" t="s">
        <v>72</v>
      </c>
      <c r="Q398" t="s">
        <v>72</v>
      </c>
      <c r="R398">
        <v>87.4</v>
      </c>
      <c r="S398">
        <v>175.5</v>
      </c>
      <c r="T398" s="8">
        <f t="shared" si="12"/>
        <v>28.376393048757723</v>
      </c>
      <c r="U398" s="13" t="str" cm="1">
        <f t="array" ref="U398">IF(T398="","",_xlfn.IFS(T398&lt;18.5,"Bajo peso",T398&lt;25,"Peso normal",T398&lt;30,"Sobrepeso",T398&lt;35,"Obesidad clase I",T398&lt;40,"Obesidad clase II",T398&gt;=40,"Obesidad clase III"))</f>
        <v>Sobrepeso</v>
      </c>
      <c r="V398">
        <v>98</v>
      </c>
      <c r="X398" t="s">
        <v>3463</v>
      </c>
      <c r="Y398">
        <v>0.78</v>
      </c>
      <c r="AA398">
        <v>90</v>
      </c>
      <c r="AB398" s="9">
        <f t="shared" si="13"/>
        <v>105.31775544273087</v>
      </c>
      <c r="AD398" t="s">
        <v>73</v>
      </c>
      <c r="AF398" t="s">
        <v>73</v>
      </c>
      <c r="AH398" t="s">
        <v>3463</v>
      </c>
      <c r="AI398" t="s">
        <v>3465</v>
      </c>
      <c r="AJ398" t="s">
        <v>3463</v>
      </c>
      <c r="AK398" t="s">
        <v>3463</v>
      </c>
      <c r="AL398" t="s">
        <v>3463</v>
      </c>
      <c r="AP398" t="s">
        <v>3464</v>
      </c>
      <c r="AQ398" t="s">
        <v>1021</v>
      </c>
      <c r="AR398" t="s">
        <v>3488</v>
      </c>
      <c r="AS398" t="s">
        <v>3465</v>
      </c>
      <c r="AV398" t="s">
        <v>112</v>
      </c>
      <c r="AW398" t="s">
        <v>3917</v>
      </c>
      <c r="BA398" t="s">
        <v>3920</v>
      </c>
      <c r="BC398" t="s">
        <v>128</v>
      </c>
      <c r="BE398" t="s">
        <v>1022</v>
      </c>
      <c r="BF398" t="s">
        <v>3943</v>
      </c>
      <c r="BG398" t="s">
        <v>1023</v>
      </c>
      <c r="BH398" t="s">
        <v>4021</v>
      </c>
      <c r="BI398" t="s">
        <v>411</v>
      </c>
      <c r="BK398" t="s">
        <v>1024</v>
      </c>
      <c r="BL398" t="s">
        <v>1025</v>
      </c>
      <c r="BP398" t="s">
        <v>4399</v>
      </c>
      <c r="BQ398" t="s">
        <v>3463</v>
      </c>
      <c r="BR398" t="s">
        <v>3465</v>
      </c>
      <c r="BS398" t="s">
        <v>3463</v>
      </c>
      <c r="BT398" t="s">
        <v>3463</v>
      </c>
      <c r="BU398" t="s">
        <v>3463</v>
      </c>
      <c r="BV398" t="s">
        <v>3463</v>
      </c>
      <c r="BW398" t="s">
        <v>3463</v>
      </c>
      <c r="BX398" t="s">
        <v>79</v>
      </c>
      <c r="BY398" t="s">
        <v>87</v>
      </c>
      <c r="BZ398" t="s">
        <v>79</v>
      </c>
      <c r="CA398" s="10">
        <v>45910</v>
      </c>
    </row>
    <row r="399" spans="1:79">
      <c r="A399">
        <v>405</v>
      </c>
      <c r="B399">
        <v>18</v>
      </c>
      <c r="C399">
        <v>40</v>
      </c>
      <c r="D399" t="s">
        <v>3462</v>
      </c>
      <c r="F399" t="s">
        <v>969</v>
      </c>
      <c r="G399" s="12" t="s">
        <v>3465</v>
      </c>
      <c r="H399" s="12" t="s">
        <v>88</v>
      </c>
      <c r="I399">
        <v>69</v>
      </c>
      <c r="J399">
        <v>68</v>
      </c>
      <c r="K399">
        <v>157</v>
      </c>
      <c r="L399">
        <v>88</v>
      </c>
      <c r="M399" t="s">
        <v>72</v>
      </c>
      <c r="N399">
        <v>157</v>
      </c>
      <c r="O399">
        <v>86</v>
      </c>
      <c r="P399" t="s">
        <v>72</v>
      </c>
      <c r="Q399" t="s">
        <v>72</v>
      </c>
      <c r="R399">
        <v>85.1</v>
      </c>
      <c r="S399">
        <v>172</v>
      </c>
      <c r="T399" s="8">
        <f t="shared" si="12"/>
        <v>28.765548945375876</v>
      </c>
      <c r="U399" s="13" t="str" cm="1">
        <f t="array" ref="U399">IF(T399="","",_xlfn.IFS(T399&lt;18.5,"Bajo peso",T399&lt;25,"Peso normal",T399&lt;30,"Sobrepeso",T399&lt;35,"Obesidad clase I",T399&lt;40,"Obesidad clase II",T399&gt;=40,"Obesidad clase III"))</f>
        <v>Sobrepeso</v>
      </c>
      <c r="V399">
        <v>108</v>
      </c>
      <c r="X399" t="s">
        <v>3463</v>
      </c>
      <c r="Y399">
        <v>0.6</v>
      </c>
      <c r="AA399">
        <v>90</v>
      </c>
      <c r="AB399" s="9">
        <f t="shared" si="13"/>
        <v>125.14906260691653</v>
      </c>
      <c r="AD399" t="s">
        <v>73</v>
      </c>
      <c r="AF399" t="s">
        <v>73</v>
      </c>
      <c r="AH399" t="s">
        <v>3463</v>
      </c>
      <c r="AI399" t="s">
        <v>3463</v>
      </c>
      <c r="AJ399" t="s">
        <v>3463</v>
      </c>
      <c r="AK399" t="s">
        <v>3463</v>
      </c>
      <c r="AL399" t="s">
        <v>3463</v>
      </c>
      <c r="AP399" t="s">
        <v>3463</v>
      </c>
      <c r="AQ399" t="s">
        <v>159</v>
      </c>
      <c r="AR399" t="s">
        <v>3491</v>
      </c>
      <c r="AV399" t="s">
        <v>126</v>
      </c>
      <c r="AW399" t="s">
        <v>126</v>
      </c>
      <c r="BF399" t="s">
        <v>3921</v>
      </c>
      <c r="BH399" t="s">
        <v>4020</v>
      </c>
      <c r="BP399" t="s">
        <v>4260</v>
      </c>
      <c r="BQ399" t="s">
        <v>3465</v>
      </c>
      <c r="BR399" t="s">
        <v>3465</v>
      </c>
      <c r="BS399" t="s">
        <v>3463</v>
      </c>
      <c r="BT399" t="s">
        <v>3465</v>
      </c>
      <c r="BU399" t="s">
        <v>3463</v>
      </c>
      <c r="BV399" t="s">
        <v>3463</v>
      </c>
      <c r="BW399" t="s">
        <v>3463</v>
      </c>
      <c r="BX399" t="s">
        <v>79</v>
      </c>
      <c r="BY399" t="s">
        <v>87</v>
      </c>
      <c r="BZ399" t="s">
        <v>79</v>
      </c>
      <c r="CA399" s="10">
        <v>45910</v>
      </c>
    </row>
    <row r="400" spans="1:79">
      <c r="A400">
        <v>406</v>
      </c>
      <c r="B400">
        <v>19</v>
      </c>
      <c r="C400">
        <v>48</v>
      </c>
      <c r="D400" t="s">
        <v>3466</v>
      </c>
      <c r="E400" t="s">
        <v>1026</v>
      </c>
      <c r="F400" t="s">
        <v>168</v>
      </c>
      <c r="G400" s="12" t="s">
        <v>3465</v>
      </c>
      <c r="H400" t="s">
        <v>88</v>
      </c>
      <c r="I400">
        <v>86</v>
      </c>
      <c r="J400">
        <v>83</v>
      </c>
      <c r="K400">
        <v>145</v>
      </c>
      <c r="L400">
        <v>78</v>
      </c>
      <c r="M400" t="s">
        <v>72</v>
      </c>
      <c r="N400">
        <v>139</v>
      </c>
      <c r="O400">
        <v>72</v>
      </c>
      <c r="P400" t="s">
        <v>82</v>
      </c>
      <c r="Q400" t="s">
        <v>82</v>
      </c>
      <c r="R400">
        <v>77</v>
      </c>
      <c r="S400">
        <v>157.5</v>
      </c>
      <c r="T400" s="8">
        <f t="shared" si="12"/>
        <v>31.040564373897706</v>
      </c>
      <c r="U400" s="13" t="str" cm="1">
        <f t="array" ref="U400">IF(T400="","",_xlfn.IFS(T400&lt;18.5,"Bajo peso",T400&lt;25,"Peso normal",T400&lt;30,"Sobrepeso",T400&lt;35,"Obesidad clase I",T400&lt;40,"Obesidad clase II",T400&gt;=40,"Obesidad clase III"))</f>
        <v>Obesidad clase I</v>
      </c>
      <c r="V400">
        <v>114</v>
      </c>
      <c r="X400" t="s">
        <v>3463</v>
      </c>
      <c r="Y400">
        <v>0.53</v>
      </c>
      <c r="AA400">
        <v>90</v>
      </c>
      <c r="AB400" s="9">
        <f t="shared" si="13"/>
        <v>114.008868538535</v>
      </c>
      <c r="AD400" t="s">
        <v>73</v>
      </c>
      <c r="AF400" t="s">
        <v>73</v>
      </c>
      <c r="AG400" t="s">
        <v>3463</v>
      </c>
      <c r="AH400" t="s">
        <v>3465</v>
      </c>
      <c r="AI400" t="s">
        <v>3463</v>
      </c>
      <c r="AJ400" t="s">
        <v>3463</v>
      </c>
      <c r="AK400" t="s">
        <v>3463</v>
      </c>
      <c r="AL400" t="s">
        <v>3463</v>
      </c>
      <c r="AP400" t="s">
        <v>3463</v>
      </c>
      <c r="AQ400" t="s">
        <v>1027</v>
      </c>
      <c r="AR400" t="s">
        <v>3490</v>
      </c>
      <c r="AT400" t="s">
        <v>3463</v>
      </c>
      <c r="AV400" t="s">
        <v>126</v>
      </c>
      <c r="AW400" t="s">
        <v>126</v>
      </c>
      <c r="AX400" t="s">
        <v>3465</v>
      </c>
      <c r="AY400" t="s">
        <v>3463</v>
      </c>
      <c r="BF400" t="s">
        <v>3921</v>
      </c>
      <c r="BG400" t="s">
        <v>1028</v>
      </c>
      <c r="BH400" t="s">
        <v>4121</v>
      </c>
      <c r="BI400" t="s">
        <v>1029</v>
      </c>
      <c r="BK400" t="s">
        <v>1030</v>
      </c>
      <c r="BL400" t="s">
        <v>1031</v>
      </c>
      <c r="BP400" t="s">
        <v>4400</v>
      </c>
      <c r="BQ400" t="s">
        <v>3463</v>
      </c>
      <c r="BR400" t="s">
        <v>3463</v>
      </c>
      <c r="BS400" t="s">
        <v>3465</v>
      </c>
      <c r="BT400" t="s">
        <v>3465</v>
      </c>
      <c r="BU400" t="s">
        <v>3463</v>
      </c>
      <c r="BV400" t="s">
        <v>3463</v>
      </c>
      <c r="BX400" t="s">
        <v>79</v>
      </c>
      <c r="BY400" t="s">
        <v>87</v>
      </c>
      <c r="BZ400" t="s">
        <v>79</v>
      </c>
      <c r="CA400" s="10">
        <v>45910</v>
      </c>
    </row>
    <row r="401" spans="1:79">
      <c r="A401">
        <v>407</v>
      </c>
      <c r="B401">
        <v>20</v>
      </c>
      <c r="C401">
        <v>54</v>
      </c>
      <c r="D401" t="s">
        <v>3462</v>
      </c>
      <c r="E401" t="s">
        <v>1005</v>
      </c>
      <c r="F401" t="s">
        <v>969</v>
      </c>
      <c r="G401" s="12" t="s">
        <v>3463</v>
      </c>
      <c r="I401">
        <v>63</v>
      </c>
      <c r="K401">
        <v>115</v>
      </c>
      <c r="L401">
        <v>68</v>
      </c>
      <c r="M401" t="s">
        <v>80</v>
      </c>
      <c r="P401" t="s">
        <v>83</v>
      </c>
      <c r="Q401" t="s">
        <v>80</v>
      </c>
      <c r="R401">
        <v>71.3</v>
      </c>
      <c r="S401">
        <v>174</v>
      </c>
      <c r="T401" s="8">
        <f t="shared" si="12"/>
        <v>23.550006605892456</v>
      </c>
      <c r="U401" s="13" t="str" cm="1">
        <f t="array" ref="U401">IF(T401="","",_xlfn.IFS(T401&lt;18.5,"Bajo peso",T401&lt;25,"Peso normal",T401&lt;30,"Sobrepeso",T401&lt;35,"Obesidad clase I",T401&lt;40,"Obesidad clase II",T401&gt;=40,"Obesidad clase III"))</f>
        <v>Peso normal</v>
      </c>
      <c r="V401">
        <v>99</v>
      </c>
      <c r="X401" t="s">
        <v>3463</v>
      </c>
      <c r="Y401">
        <v>0.55000000000000004</v>
      </c>
      <c r="AA401">
        <v>90</v>
      </c>
      <c r="AB401" s="9">
        <f t="shared" si="13"/>
        <v>117.76754997324444</v>
      </c>
      <c r="AD401" t="s">
        <v>73</v>
      </c>
      <c r="AF401" t="s">
        <v>73</v>
      </c>
      <c r="AH401" t="s">
        <v>3463</v>
      </c>
      <c r="AI401" t="s">
        <v>3463</v>
      </c>
      <c r="AJ401" t="s">
        <v>3465</v>
      </c>
      <c r="AK401" t="s">
        <v>3463</v>
      </c>
      <c r="AL401" t="s">
        <v>3463</v>
      </c>
      <c r="AP401" t="s">
        <v>3463</v>
      </c>
      <c r="AV401" t="s">
        <v>74</v>
      </c>
      <c r="AW401" t="s">
        <v>3915</v>
      </c>
      <c r="BF401" t="s">
        <v>3921</v>
      </c>
      <c r="BH401" t="s">
        <v>4020</v>
      </c>
      <c r="BP401" t="s">
        <v>4260</v>
      </c>
      <c r="BQ401" t="s">
        <v>3463</v>
      </c>
      <c r="BR401" t="s">
        <v>3465</v>
      </c>
      <c r="BS401" t="s">
        <v>3463</v>
      </c>
      <c r="BT401" t="s">
        <v>3463</v>
      </c>
      <c r="BU401" t="s">
        <v>3463</v>
      </c>
      <c r="BV401" t="s">
        <v>3463</v>
      </c>
      <c r="BW401" t="s">
        <v>3463</v>
      </c>
      <c r="BX401" t="s">
        <v>79</v>
      </c>
      <c r="BY401" t="s">
        <v>87</v>
      </c>
      <c r="BZ401" t="s">
        <v>79</v>
      </c>
      <c r="CA401" s="10">
        <v>45910</v>
      </c>
    </row>
    <row r="402" spans="1:79">
      <c r="A402">
        <v>408</v>
      </c>
      <c r="B402">
        <v>21</v>
      </c>
      <c r="C402">
        <v>81</v>
      </c>
      <c r="D402" t="s">
        <v>3462</v>
      </c>
      <c r="F402" t="s">
        <v>969</v>
      </c>
      <c r="G402" s="12" t="s">
        <v>3463</v>
      </c>
      <c r="H402" s="12"/>
      <c r="I402">
        <v>66</v>
      </c>
      <c r="K402">
        <v>137</v>
      </c>
      <c r="L402">
        <v>63</v>
      </c>
      <c r="M402" t="s">
        <v>82</v>
      </c>
      <c r="P402" t="s">
        <v>83</v>
      </c>
      <c r="Q402" t="s">
        <v>82</v>
      </c>
      <c r="R402">
        <v>80</v>
      </c>
      <c r="S402">
        <v>173</v>
      </c>
      <c r="T402" s="8">
        <f t="shared" si="12"/>
        <v>26.729927495071671</v>
      </c>
      <c r="U402" s="13" t="str" cm="1">
        <f t="array" ref="U402">IF(T402="","",_xlfn.IFS(T402&lt;18.5,"Bajo peso",T402&lt;25,"Peso normal",T402&lt;30,"Sobrepeso",T402&lt;35,"Obesidad clase I",T402&lt;40,"Obesidad clase II",T402&gt;=40,"Obesidad clase III"))</f>
        <v>Sobrepeso</v>
      </c>
      <c r="V402">
        <v>170</v>
      </c>
      <c r="X402" t="s">
        <v>3463</v>
      </c>
      <c r="Y402">
        <v>0.67</v>
      </c>
      <c r="AA402">
        <v>90</v>
      </c>
      <c r="AB402" s="9">
        <f t="shared" si="13"/>
        <v>93.802276182683272</v>
      </c>
      <c r="AD402" t="s">
        <v>73</v>
      </c>
      <c r="AF402" t="s">
        <v>73</v>
      </c>
      <c r="AG402" t="s">
        <v>3465</v>
      </c>
      <c r="AH402" t="s">
        <v>3465</v>
      </c>
      <c r="AI402" t="s">
        <v>3464</v>
      </c>
      <c r="AJ402" t="s">
        <v>3463</v>
      </c>
      <c r="AK402" t="s">
        <v>3463</v>
      </c>
      <c r="AL402" t="s">
        <v>3463</v>
      </c>
      <c r="AP402" t="s">
        <v>3464</v>
      </c>
      <c r="AV402" t="s">
        <v>126</v>
      </c>
      <c r="AW402" t="s">
        <v>126</v>
      </c>
      <c r="BF402" t="s">
        <v>3921</v>
      </c>
      <c r="BH402" t="s">
        <v>4020</v>
      </c>
      <c r="BP402" t="s">
        <v>4260</v>
      </c>
      <c r="BQ402" t="s">
        <v>3463</v>
      </c>
      <c r="BR402" t="s">
        <v>3465</v>
      </c>
      <c r="BS402" t="s">
        <v>3463</v>
      </c>
      <c r="BT402" t="s">
        <v>3465</v>
      </c>
      <c r="BU402" t="s">
        <v>3463</v>
      </c>
      <c r="BV402" t="s">
        <v>3463</v>
      </c>
      <c r="BW402" t="s">
        <v>3463</v>
      </c>
      <c r="BX402" t="s">
        <v>79</v>
      </c>
      <c r="BY402" t="s">
        <v>87</v>
      </c>
      <c r="BZ402" t="s">
        <v>79</v>
      </c>
      <c r="CA402" s="10">
        <v>45910</v>
      </c>
    </row>
    <row r="403" spans="1:79">
      <c r="A403">
        <v>409</v>
      </c>
      <c r="B403">
        <v>22</v>
      </c>
      <c r="C403">
        <v>24</v>
      </c>
      <c r="D403" t="s">
        <v>3466</v>
      </c>
      <c r="F403" t="s">
        <v>969</v>
      </c>
      <c r="G403" s="12" t="s">
        <v>3465</v>
      </c>
      <c r="H403" s="12" t="s">
        <v>88</v>
      </c>
      <c r="I403">
        <v>8183</v>
      </c>
      <c r="K403">
        <v>134</v>
      </c>
      <c r="L403">
        <v>82</v>
      </c>
      <c r="M403" t="s">
        <v>82</v>
      </c>
      <c r="P403" t="s">
        <v>83</v>
      </c>
      <c r="Q403" t="s">
        <v>82</v>
      </c>
      <c r="R403">
        <v>83.5</v>
      </c>
      <c r="S403">
        <v>158</v>
      </c>
      <c r="T403" s="8">
        <f t="shared" si="12"/>
        <v>33.448165358115688</v>
      </c>
      <c r="U403" s="13" t="str" cm="1">
        <f t="array" ref="U403">IF(T403="","",_xlfn.IFS(T403&lt;18.5,"Bajo peso",T403&lt;25,"Peso normal",T403&lt;30,"Sobrepeso",T403&lt;35,"Obesidad clase I",T403&lt;40,"Obesidad clase II",T403&gt;=40,"Obesidad clase III"))</f>
        <v>Obesidad clase I</v>
      </c>
      <c r="V403">
        <v>98</v>
      </c>
      <c r="X403" t="s">
        <v>3463</v>
      </c>
      <c r="Y403">
        <v>0.54</v>
      </c>
      <c r="AA403">
        <v>90</v>
      </c>
      <c r="AB403" s="9">
        <f t="shared" si="13"/>
        <v>131.7669235341622</v>
      </c>
      <c r="AD403" t="s">
        <v>73</v>
      </c>
      <c r="AF403" t="s">
        <v>73</v>
      </c>
      <c r="AH403" t="s">
        <v>3463</v>
      </c>
      <c r="AI403" t="s">
        <v>3463</v>
      </c>
      <c r="AJ403" t="s">
        <v>3463</v>
      </c>
      <c r="AK403" t="s">
        <v>3463</v>
      </c>
      <c r="AL403" t="s">
        <v>3463</v>
      </c>
      <c r="AP403" t="s">
        <v>3463</v>
      </c>
      <c r="AQ403" t="s">
        <v>468</v>
      </c>
      <c r="AR403" t="s">
        <v>3488</v>
      </c>
      <c r="AT403" t="s">
        <v>3463</v>
      </c>
      <c r="AV403" t="s">
        <v>74</v>
      </c>
      <c r="AW403" t="s">
        <v>3915</v>
      </c>
      <c r="AX403" t="s">
        <v>3463</v>
      </c>
      <c r="AY403" t="s">
        <v>3463</v>
      </c>
      <c r="AZ403" t="s">
        <v>104</v>
      </c>
      <c r="BF403" t="s">
        <v>3921</v>
      </c>
      <c r="BH403" t="s">
        <v>4020</v>
      </c>
      <c r="BP403" t="s">
        <v>4260</v>
      </c>
      <c r="BQ403" t="s">
        <v>3465</v>
      </c>
      <c r="BR403" t="s">
        <v>3465</v>
      </c>
      <c r="BS403" t="s">
        <v>3463</v>
      </c>
      <c r="BT403" t="s">
        <v>3463</v>
      </c>
      <c r="BU403" t="s">
        <v>3463</v>
      </c>
      <c r="BV403" t="s">
        <v>3463</v>
      </c>
      <c r="BW403" t="s">
        <v>3463</v>
      </c>
      <c r="BX403" t="s">
        <v>79</v>
      </c>
      <c r="BY403" t="s">
        <v>87</v>
      </c>
      <c r="BZ403" t="s">
        <v>79</v>
      </c>
      <c r="CA403" s="10">
        <v>45910</v>
      </c>
    </row>
    <row r="404" spans="1:79">
      <c r="A404">
        <v>410</v>
      </c>
      <c r="B404">
        <v>23</v>
      </c>
      <c r="C404">
        <v>29</v>
      </c>
      <c r="D404" t="s">
        <v>3466</v>
      </c>
      <c r="E404" t="s">
        <v>969</v>
      </c>
      <c r="F404" t="s">
        <v>969</v>
      </c>
      <c r="G404" s="12" t="s">
        <v>3463</v>
      </c>
      <c r="H404" s="12"/>
      <c r="I404">
        <v>71</v>
      </c>
      <c r="K404">
        <v>127</v>
      </c>
      <c r="L404">
        <v>88</v>
      </c>
      <c r="M404" t="s">
        <v>82</v>
      </c>
      <c r="P404" t="s">
        <v>83</v>
      </c>
      <c r="Q404" t="s">
        <v>82</v>
      </c>
      <c r="R404">
        <v>95.2</v>
      </c>
      <c r="S404">
        <v>155</v>
      </c>
      <c r="T404" s="8">
        <f t="shared" si="12"/>
        <v>39.625390218522369</v>
      </c>
      <c r="U404" s="13" t="str" cm="1">
        <f t="array" ref="U404">IF(T404="","",_xlfn.IFS(T404&lt;18.5,"Bajo peso",T404&lt;25,"Peso normal",T404&lt;30,"Sobrepeso",T404&lt;35,"Obesidad clase I",T404&lt;40,"Obesidad clase II",T404&gt;=40,"Obesidad clase III"))</f>
        <v>Obesidad clase II</v>
      </c>
      <c r="V404">
        <v>96</v>
      </c>
      <c r="X404" t="s">
        <v>3463</v>
      </c>
      <c r="Y404">
        <v>0.9</v>
      </c>
      <c r="AA404">
        <v>89</v>
      </c>
      <c r="AB404" s="9">
        <f t="shared" si="13"/>
        <v>88.749573252893043</v>
      </c>
      <c r="AD404" t="s">
        <v>73</v>
      </c>
      <c r="AF404" t="s">
        <v>73</v>
      </c>
      <c r="AH404" t="s">
        <v>3463</v>
      </c>
      <c r="AI404" t="s">
        <v>3463</v>
      </c>
      <c r="AJ404" t="s">
        <v>3463</v>
      </c>
      <c r="AK404" t="s">
        <v>3463</v>
      </c>
      <c r="AL404" t="s">
        <v>3465</v>
      </c>
      <c r="AM404" t="s">
        <v>1032</v>
      </c>
      <c r="AN404" t="s">
        <v>3699</v>
      </c>
      <c r="AP404" t="s">
        <v>3463</v>
      </c>
      <c r="AQ404" t="s">
        <v>1033</v>
      </c>
      <c r="AR404" t="s">
        <v>3512</v>
      </c>
      <c r="AT404" t="s">
        <v>3463</v>
      </c>
      <c r="AV404" t="s">
        <v>74</v>
      </c>
      <c r="AW404" t="s">
        <v>3915</v>
      </c>
      <c r="AX404" t="s">
        <v>3465</v>
      </c>
      <c r="AY404" t="s">
        <v>3465</v>
      </c>
      <c r="AZ404" t="s">
        <v>1034</v>
      </c>
      <c r="BF404" t="s">
        <v>3921</v>
      </c>
      <c r="BH404" t="s">
        <v>4020</v>
      </c>
      <c r="BP404" t="s">
        <v>4260</v>
      </c>
      <c r="BQ404" t="s">
        <v>3463</v>
      </c>
      <c r="BR404" t="s">
        <v>3465</v>
      </c>
      <c r="BS404" t="s">
        <v>3465</v>
      </c>
      <c r="BT404" t="s">
        <v>3465</v>
      </c>
      <c r="BU404" t="s">
        <v>3463</v>
      </c>
      <c r="BV404" t="s">
        <v>3463</v>
      </c>
      <c r="BW404" t="s">
        <v>3463</v>
      </c>
      <c r="BX404" t="s">
        <v>518</v>
      </c>
      <c r="BY404" t="s">
        <v>87</v>
      </c>
      <c r="BZ404" t="s">
        <v>79</v>
      </c>
      <c r="CA404" s="10">
        <v>45910</v>
      </c>
    </row>
    <row r="405" spans="1:79">
      <c r="A405">
        <v>411</v>
      </c>
      <c r="B405">
        <v>25</v>
      </c>
      <c r="D405" t="s">
        <v>3462</v>
      </c>
      <c r="F405" t="s">
        <v>969</v>
      </c>
      <c r="G405" s="12" t="s">
        <v>3465</v>
      </c>
      <c r="H405" s="12" t="s">
        <v>88</v>
      </c>
      <c r="I405">
        <v>72</v>
      </c>
      <c r="K405">
        <v>138</v>
      </c>
      <c r="L405">
        <v>72</v>
      </c>
      <c r="M405" t="s">
        <v>82</v>
      </c>
      <c r="P405" t="s">
        <v>83</v>
      </c>
      <c r="Q405" t="s">
        <v>82</v>
      </c>
      <c r="R405">
        <v>82.4</v>
      </c>
      <c r="S405">
        <v>168</v>
      </c>
      <c r="T405" s="8">
        <f t="shared" si="12"/>
        <v>29.195011337868486</v>
      </c>
      <c r="U405" s="13" t="str" cm="1">
        <f t="array" ref="U405">IF(T405="","",_xlfn.IFS(T405&lt;18.5,"Bajo peso",T405&lt;25,"Peso normal",T405&lt;30,"Sobrepeso",T405&lt;35,"Obesidad clase I",T405&lt;40,"Obesidad clase II",T405&gt;=40,"Obesidad clase III"))</f>
        <v>Sobrepeso</v>
      </c>
      <c r="V405">
        <v>98</v>
      </c>
      <c r="X405" t="s">
        <v>3463</v>
      </c>
      <c r="Y405">
        <v>0.61</v>
      </c>
      <c r="AA405">
        <v>90</v>
      </c>
      <c r="AB405" s="9" t="str">
        <f t="shared" si="13"/>
        <v/>
      </c>
      <c r="AD405" t="s">
        <v>73</v>
      </c>
      <c r="AF405" t="s">
        <v>73</v>
      </c>
      <c r="AH405" t="s">
        <v>3463</v>
      </c>
      <c r="AI405" t="s">
        <v>3463</v>
      </c>
      <c r="AJ405" t="s">
        <v>3463</v>
      </c>
      <c r="AK405" t="s">
        <v>3463</v>
      </c>
      <c r="AL405" t="s">
        <v>3465</v>
      </c>
      <c r="AM405" t="s">
        <v>1035</v>
      </c>
      <c r="AN405" t="s">
        <v>3700</v>
      </c>
      <c r="AP405" t="s">
        <v>3463</v>
      </c>
      <c r="AQ405" t="s">
        <v>169</v>
      </c>
      <c r="AR405" t="s">
        <v>3493</v>
      </c>
      <c r="AV405" t="s">
        <v>126</v>
      </c>
      <c r="AW405" t="s">
        <v>126</v>
      </c>
      <c r="BF405" t="s">
        <v>3921</v>
      </c>
      <c r="BH405" t="s">
        <v>4020</v>
      </c>
      <c r="BP405" t="s">
        <v>4260</v>
      </c>
      <c r="BQ405" t="s">
        <v>3463</v>
      </c>
      <c r="BR405" t="s">
        <v>3465</v>
      </c>
      <c r="BS405" t="s">
        <v>3463</v>
      </c>
      <c r="BT405" t="s">
        <v>3463</v>
      </c>
      <c r="BU405" t="s">
        <v>3463</v>
      </c>
      <c r="BV405" t="s">
        <v>3463</v>
      </c>
      <c r="BW405" t="s">
        <v>3463</v>
      </c>
      <c r="BX405" t="s">
        <v>79</v>
      </c>
      <c r="BY405" t="s">
        <v>87</v>
      </c>
      <c r="BZ405" t="s">
        <v>79</v>
      </c>
      <c r="CA405" s="10">
        <v>45910</v>
      </c>
    </row>
    <row r="406" spans="1:79">
      <c r="A406">
        <v>412</v>
      </c>
      <c r="B406">
        <v>26</v>
      </c>
      <c r="C406">
        <v>45</v>
      </c>
      <c r="D406" t="s">
        <v>3466</v>
      </c>
      <c r="E406" t="s">
        <v>1036</v>
      </c>
      <c r="F406" t="s">
        <v>969</v>
      </c>
      <c r="G406" s="12" t="s">
        <v>3463</v>
      </c>
      <c r="H406" s="12"/>
      <c r="I406">
        <v>83</v>
      </c>
      <c r="J406">
        <v>81</v>
      </c>
      <c r="K406">
        <v>157</v>
      </c>
      <c r="L406">
        <v>101</v>
      </c>
      <c r="M406" t="s">
        <v>72</v>
      </c>
      <c r="N406">
        <v>148</v>
      </c>
      <c r="O406">
        <v>97</v>
      </c>
      <c r="P406" t="s">
        <v>72</v>
      </c>
      <c r="Q406" t="s">
        <v>72</v>
      </c>
      <c r="R406">
        <v>81.900000000000006</v>
      </c>
      <c r="S406">
        <v>161</v>
      </c>
      <c r="T406" s="8">
        <f t="shared" si="12"/>
        <v>31.596003240615723</v>
      </c>
      <c r="U406" s="13" t="str" cm="1">
        <f t="array" ref="U406">IF(T406="","",_xlfn.IFS(T406&lt;18.5,"Bajo peso",T406&lt;25,"Peso normal",T406&lt;30,"Sobrepeso",T406&lt;35,"Obesidad clase I",T406&lt;40,"Obesidad clase II",T406&gt;=40,"Obesidad clase III"))</f>
        <v>Obesidad clase I</v>
      </c>
      <c r="V406">
        <v>97</v>
      </c>
      <c r="X406" t="s">
        <v>3463</v>
      </c>
      <c r="Y406">
        <v>0.68</v>
      </c>
      <c r="AA406">
        <v>90</v>
      </c>
      <c r="AB406" s="9">
        <f t="shared" si="13"/>
        <v>109.38493044832022</v>
      </c>
      <c r="AD406" t="s">
        <v>73</v>
      </c>
      <c r="AF406" t="s">
        <v>73</v>
      </c>
      <c r="AH406" t="s">
        <v>3463</v>
      </c>
      <c r="AI406" t="s">
        <v>3465</v>
      </c>
      <c r="AJ406" t="s">
        <v>3463</v>
      </c>
      <c r="AK406" t="s">
        <v>3463</v>
      </c>
      <c r="AL406" t="s">
        <v>3463</v>
      </c>
      <c r="AP406" t="s">
        <v>3463</v>
      </c>
      <c r="AQ406" t="s">
        <v>1037</v>
      </c>
      <c r="AR406" t="s">
        <v>3488</v>
      </c>
      <c r="AS406" t="s">
        <v>3463</v>
      </c>
      <c r="AT406" t="s">
        <v>3465</v>
      </c>
      <c r="AU406" t="s">
        <v>125</v>
      </c>
      <c r="AV406" t="s">
        <v>178</v>
      </c>
      <c r="AW406" t="s">
        <v>3918</v>
      </c>
      <c r="AX406" t="s">
        <v>3465</v>
      </c>
      <c r="AY406" t="s">
        <v>3465</v>
      </c>
      <c r="AZ406" t="s">
        <v>152</v>
      </c>
      <c r="BF406" t="s">
        <v>3921</v>
      </c>
      <c r="BH406" t="s">
        <v>4020</v>
      </c>
      <c r="BP406" t="s">
        <v>4260</v>
      </c>
      <c r="BQ406" t="s">
        <v>3465</v>
      </c>
      <c r="BR406" t="s">
        <v>3465</v>
      </c>
      <c r="BS406" t="s">
        <v>3463</v>
      </c>
      <c r="BT406" t="s">
        <v>3463</v>
      </c>
      <c r="BU406" t="s">
        <v>3463</v>
      </c>
      <c r="BV406" t="s">
        <v>3463</v>
      </c>
      <c r="BW406" t="s">
        <v>3463</v>
      </c>
      <c r="BX406" t="s">
        <v>79</v>
      </c>
      <c r="BY406" t="s">
        <v>79</v>
      </c>
      <c r="BZ406" t="s">
        <v>79</v>
      </c>
      <c r="CA406" s="10">
        <v>45910</v>
      </c>
    </row>
    <row r="407" spans="1:79">
      <c r="A407">
        <v>413</v>
      </c>
      <c r="B407">
        <v>27</v>
      </c>
      <c r="C407">
        <v>53</v>
      </c>
      <c r="D407" t="s">
        <v>3466</v>
      </c>
      <c r="E407" t="s">
        <v>1038</v>
      </c>
      <c r="F407" t="s">
        <v>168</v>
      </c>
      <c r="G407" s="12" t="s">
        <v>3463</v>
      </c>
      <c r="H407" s="12"/>
      <c r="I407">
        <v>88</v>
      </c>
      <c r="K407">
        <v>127</v>
      </c>
      <c r="L407">
        <v>73</v>
      </c>
      <c r="M407" t="s">
        <v>118</v>
      </c>
      <c r="P407" t="s">
        <v>83</v>
      </c>
      <c r="Q407" t="s">
        <v>118</v>
      </c>
      <c r="R407">
        <v>80.3</v>
      </c>
      <c r="S407">
        <v>148</v>
      </c>
      <c r="T407" s="8">
        <f t="shared" si="12"/>
        <v>36.659970781592399</v>
      </c>
      <c r="U407" s="13" t="str" cm="1">
        <f t="array" ref="U407">IF(T407="","",_xlfn.IFS(T407&lt;18.5,"Bajo peso",T407&lt;25,"Peso normal",T407&lt;30,"Sobrepeso",T407&lt;35,"Obesidad clase I",T407&lt;40,"Obesidad clase II",T407&gt;=40,"Obesidad clase III"))</f>
        <v>Obesidad clase II</v>
      </c>
      <c r="V407">
        <v>83</v>
      </c>
      <c r="X407" t="s">
        <v>3463</v>
      </c>
      <c r="Y407">
        <v>0.72</v>
      </c>
      <c r="AA407">
        <v>90</v>
      </c>
      <c r="AB407" s="9">
        <f t="shared" si="13"/>
        <v>99.915785478430735</v>
      </c>
      <c r="AD407" t="s">
        <v>73</v>
      </c>
      <c r="AF407" t="s">
        <v>73</v>
      </c>
      <c r="AH407" t="s">
        <v>3463</v>
      </c>
      <c r="AI407" t="s">
        <v>3465</v>
      </c>
      <c r="AJ407" t="s">
        <v>3463</v>
      </c>
      <c r="AK407" t="s">
        <v>3465</v>
      </c>
      <c r="AL407" t="s">
        <v>3465</v>
      </c>
      <c r="AM407" t="s">
        <v>1039</v>
      </c>
      <c r="AN407" t="s">
        <v>3701</v>
      </c>
      <c r="AP407" t="s">
        <v>3463</v>
      </c>
      <c r="AQ407" t="s">
        <v>881</v>
      </c>
      <c r="AR407" t="s">
        <v>3488</v>
      </c>
      <c r="AS407" t="s">
        <v>3465</v>
      </c>
      <c r="AT407" t="s">
        <v>3465</v>
      </c>
      <c r="AU407" t="s">
        <v>80</v>
      </c>
      <c r="AV407" t="s">
        <v>126</v>
      </c>
      <c r="AW407" t="s">
        <v>126</v>
      </c>
      <c r="AX407" t="s">
        <v>3463</v>
      </c>
      <c r="AY407" t="s">
        <v>3465</v>
      </c>
      <c r="AZ407" t="s">
        <v>90</v>
      </c>
      <c r="BF407" t="s">
        <v>3921</v>
      </c>
      <c r="BH407" t="s">
        <v>4020</v>
      </c>
      <c r="BP407" t="s">
        <v>4260</v>
      </c>
      <c r="BQ407" t="s">
        <v>3463</v>
      </c>
      <c r="BR407" t="s">
        <v>3465</v>
      </c>
      <c r="BS407" t="s">
        <v>3465</v>
      </c>
      <c r="BT407" t="s">
        <v>3465</v>
      </c>
      <c r="BU407" t="s">
        <v>3463</v>
      </c>
      <c r="BV407" t="s">
        <v>3463</v>
      </c>
      <c r="BW407" t="s">
        <v>3463</v>
      </c>
      <c r="BX407" t="s">
        <v>121</v>
      </c>
      <c r="BY407" t="s">
        <v>79</v>
      </c>
      <c r="BZ407" t="s">
        <v>79</v>
      </c>
      <c r="CA407" s="10">
        <v>45910</v>
      </c>
    </row>
    <row r="408" spans="1:79">
      <c r="A408">
        <v>414</v>
      </c>
      <c r="B408">
        <v>28</v>
      </c>
      <c r="C408">
        <v>29</v>
      </c>
      <c r="D408" t="s">
        <v>3462</v>
      </c>
      <c r="E408" t="s">
        <v>1005</v>
      </c>
      <c r="F408" t="s">
        <v>969</v>
      </c>
      <c r="G408" s="12" t="s">
        <v>3465</v>
      </c>
      <c r="H408" t="s">
        <v>88</v>
      </c>
      <c r="I408">
        <v>62</v>
      </c>
      <c r="J408">
        <v>56</v>
      </c>
      <c r="K408">
        <v>141</v>
      </c>
      <c r="L408">
        <v>79</v>
      </c>
      <c r="M408" t="s">
        <v>72</v>
      </c>
      <c r="N408">
        <v>143</v>
      </c>
      <c r="O408">
        <v>81</v>
      </c>
      <c r="P408" t="s">
        <v>72</v>
      </c>
      <c r="Q408" t="s">
        <v>72</v>
      </c>
      <c r="R408">
        <v>81</v>
      </c>
      <c r="S408">
        <v>170</v>
      </c>
      <c r="T408" s="8">
        <f t="shared" si="12"/>
        <v>28.027681660899653</v>
      </c>
      <c r="U408" s="13" t="str" cm="1">
        <f t="array" ref="U408">IF(T408="","",_xlfn.IFS(T408&lt;18.5,"Bajo peso",T408&lt;25,"Peso normal",T408&lt;30,"Sobrepeso",T408&lt;35,"Obesidad clase I",T408&lt;40,"Obesidad clase II",T408&gt;=40,"Obesidad clase III"))</f>
        <v>Sobrepeso</v>
      </c>
      <c r="V408">
        <v>120</v>
      </c>
      <c r="X408" t="s">
        <v>3463</v>
      </c>
      <c r="Y408">
        <v>0.7</v>
      </c>
      <c r="AA408">
        <v>90</v>
      </c>
      <c r="AB408" s="9">
        <f t="shared" si="13"/>
        <v>127.91478759809291</v>
      </c>
      <c r="AD408" t="s">
        <v>73</v>
      </c>
      <c r="AF408" t="s">
        <v>73</v>
      </c>
      <c r="AH408" t="s">
        <v>3463</v>
      </c>
      <c r="AI408" t="s">
        <v>3463</v>
      </c>
      <c r="AJ408" t="s">
        <v>3463</v>
      </c>
      <c r="AK408" t="s">
        <v>3463</v>
      </c>
      <c r="AL408" t="s">
        <v>3463</v>
      </c>
      <c r="AO408" t="s">
        <v>3465</v>
      </c>
      <c r="AP408" t="s">
        <v>3465</v>
      </c>
      <c r="AQ408" t="s">
        <v>1040</v>
      </c>
      <c r="AR408" t="s">
        <v>3489</v>
      </c>
      <c r="AV408" t="s">
        <v>74</v>
      </c>
      <c r="AW408" t="s">
        <v>3915</v>
      </c>
      <c r="BF408" t="s">
        <v>3921</v>
      </c>
      <c r="BH408" t="s">
        <v>4021</v>
      </c>
      <c r="BI408" t="s">
        <v>734</v>
      </c>
      <c r="BK408" t="s">
        <v>1041</v>
      </c>
      <c r="BL408" t="s">
        <v>1042</v>
      </c>
      <c r="BP408" t="s">
        <v>4270</v>
      </c>
      <c r="BQ408" t="s">
        <v>3463</v>
      </c>
      <c r="BR408" t="s">
        <v>3465</v>
      </c>
      <c r="BS408" t="s">
        <v>3463</v>
      </c>
      <c r="BT408" t="s">
        <v>3463</v>
      </c>
      <c r="BU408" t="s">
        <v>3463</v>
      </c>
      <c r="BV408" t="s">
        <v>3463</v>
      </c>
      <c r="BW408" t="s">
        <v>3463</v>
      </c>
      <c r="BX408" t="s">
        <v>79</v>
      </c>
      <c r="BY408" t="s">
        <v>87</v>
      </c>
      <c r="BZ408" t="s">
        <v>79</v>
      </c>
      <c r="CA408" s="10">
        <v>45910</v>
      </c>
    </row>
    <row r="409" spans="1:79">
      <c r="A409">
        <v>415</v>
      </c>
      <c r="B409">
        <v>29</v>
      </c>
      <c r="C409">
        <v>50</v>
      </c>
      <c r="D409" t="s">
        <v>3462</v>
      </c>
      <c r="F409" t="s">
        <v>969</v>
      </c>
      <c r="G409" s="12" t="s">
        <v>3463</v>
      </c>
      <c r="I409">
        <v>101</v>
      </c>
      <c r="J409">
        <v>105</v>
      </c>
      <c r="K409">
        <v>181</v>
      </c>
      <c r="L409">
        <v>121</v>
      </c>
      <c r="M409" t="s">
        <v>96</v>
      </c>
      <c r="N409">
        <v>160</v>
      </c>
      <c r="O409">
        <v>114</v>
      </c>
      <c r="P409" t="s">
        <v>72</v>
      </c>
      <c r="Q409" t="s">
        <v>72</v>
      </c>
      <c r="R409">
        <v>79.400000000000006</v>
      </c>
      <c r="S409">
        <v>172</v>
      </c>
      <c r="T409" s="8">
        <f t="shared" si="12"/>
        <v>26.838831800973498</v>
      </c>
      <c r="U409" s="13" t="str" cm="1">
        <f t="array" ref="U409">IF(T409="","",_xlfn.IFS(T409&lt;18.5,"Bajo peso",T409&lt;25,"Peso normal",T409&lt;30,"Sobrepeso",T409&lt;35,"Obesidad clase I",T409&lt;40,"Obesidad clase II",T409&gt;=40,"Obesidad clase III"))</f>
        <v>Sobrepeso</v>
      </c>
      <c r="V409">
        <v>127</v>
      </c>
      <c r="X409" t="s">
        <v>3463</v>
      </c>
      <c r="Y409">
        <v>0.65</v>
      </c>
      <c r="AA409">
        <v>90</v>
      </c>
      <c r="AB409" s="9">
        <f t="shared" si="13"/>
        <v>114.79404753912382</v>
      </c>
      <c r="AD409" t="s">
        <v>73</v>
      </c>
      <c r="AF409" t="s">
        <v>73</v>
      </c>
      <c r="AH409" t="s">
        <v>3463</v>
      </c>
      <c r="AI409" t="s">
        <v>3463</v>
      </c>
      <c r="AJ409" t="s">
        <v>3463</v>
      </c>
      <c r="AK409" t="s">
        <v>3463</v>
      </c>
      <c r="AL409" t="s">
        <v>3465</v>
      </c>
      <c r="AM409" t="s">
        <v>1043</v>
      </c>
      <c r="AN409" t="s">
        <v>3702</v>
      </c>
      <c r="AP409" t="s">
        <v>3463</v>
      </c>
      <c r="AQ409" t="s">
        <v>1044</v>
      </c>
      <c r="AR409" t="s">
        <v>3491</v>
      </c>
      <c r="AV409" t="s">
        <v>126</v>
      </c>
      <c r="AW409" t="s">
        <v>126</v>
      </c>
      <c r="BF409" t="s">
        <v>3921</v>
      </c>
      <c r="BH409" t="s">
        <v>4107</v>
      </c>
      <c r="BI409" t="s">
        <v>734</v>
      </c>
      <c r="BK409" t="s">
        <v>1045</v>
      </c>
      <c r="BL409" t="s">
        <v>1046</v>
      </c>
      <c r="BP409" t="s">
        <v>4373</v>
      </c>
      <c r="BQ409" t="s">
        <v>3463</v>
      </c>
      <c r="BR409" t="s">
        <v>3465</v>
      </c>
      <c r="BS409" t="s">
        <v>3465</v>
      </c>
      <c r="BT409" t="s">
        <v>3465</v>
      </c>
      <c r="BU409" t="s">
        <v>3463</v>
      </c>
      <c r="BV409" t="s">
        <v>3463</v>
      </c>
      <c r="BW409" t="s">
        <v>3463</v>
      </c>
      <c r="BX409" t="s">
        <v>79</v>
      </c>
      <c r="BY409" t="s">
        <v>87</v>
      </c>
      <c r="BZ409" t="s">
        <v>95</v>
      </c>
      <c r="CA409" s="10">
        <v>45910</v>
      </c>
    </row>
    <row r="410" spans="1:79">
      <c r="A410">
        <v>416</v>
      </c>
      <c r="B410">
        <v>30</v>
      </c>
      <c r="C410">
        <v>44</v>
      </c>
      <c r="D410" t="s">
        <v>3462</v>
      </c>
      <c r="E410" t="s">
        <v>1005</v>
      </c>
      <c r="F410" t="s">
        <v>969</v>
      </c>
      <c r="G410" s="12" t="s">
        <v>3463</v>
      </c>
      <c r="H410" s="12"/>
      <c r="I410">
        <v>78</v>
      </c>
      <c r="K410">
        <v>131</v>
      </c>
      <c r="L410">
        <v>87</v>
      </c>
      <c r="M410" t="s">
        <v>82</v>
      </c>
      <c r="P410" t="s">
        <v>83</v>
      </c>
      <c r="Q410" t="s">
        <v>82</v>
      </c>
      <c r="R410">
        <v>96.5</v>
      </c>
      <c r="S410">
        <v>169</v>
      </c>
      <c r="T410" s="8">
        <f t="shared" si="12"/>
        <v>33.787332376317359</v>
      </c>
      <c r="U410" s="13" t="str" cm="1">
        <f t="array" ref="U410">IF(T410="","",_xlfn.IFS(T410&lt;18.5,"Bajo peso",T410&lt;25,"Peso normal",T410&lt;30,"Sobrepeso",T410&lt;35,"Obesidad clase I",T410&lt;40,"Obesidad clase II",T410&gt;=40,"Obesidad clase III"))</f>
        <v>Obesidad clase I</v>
      </c>
      <c r="V410">
        <v>101</v>
      </c>
      <c r="X410" t="s">
        <v>3463</v>
      </c>
      <c r="Y410">
        <v>0.73</v>
      </c>
      <c r="AA410">
        <v>90</v>
      </c>
      <c r="AB410" s="9">
        <f t="shared" si="13"/>
        <v>115.05400594052013</v>
      </c>
      <c r="AD410" t="s">
        <v>73</v>
      </c>
      <c r="AF410" t="s">
        <v>73</v>
      </c>
      <c r="AH410" t="s">
        <v>3463</v>
      </c>
      <c r="AI410" t="s">
        <v>3463</v>
      </c>
      <c r="AJ410" t="s">
        <v>3465</v>
      </c>
      <c r="AK410" t="s">
        <v>3463</v>
      </c>
      <c r="AL410" t="s">
        <v>3463</v>
      </c>
      <c r="AP410" t="s">
        <v>3463</v>
      </c>
      <c r="AQ410" t="s">
        <v>1047</v>
      </c>
      <c r="AR410" t="s">
        <v>3488</v>
      </c>
      <c r="AV410" t="s">
        <v>74</v>
      </c>
      <c r="AW410" t="s">
        <v>3915</v>
      </c>
      <c r="BE410" t="s">
        <v>1048</v>
      </c>
      <c r="BF410" t="s">
        <v>3944</v>
      </c>
      <c r="BG410" t="s">
        <v>1049</v>
      </c>
      <c r="BH410" t="s">
        <v>4078</v>
      </c>
      <c r="BI410" t="s">
        <v>1050</v>
      </c>
      <c r="BK410" t="s">
        <v>1051</v>
      </c>
      <c r="BL410" t="s">
        <v>1052</v>
      </c>
      <c r="BP410" t="s">
        <v>4401</v>
      </c>
      <c r="BQ410" t="s">
        <v>3463</v>
      </c>
      <c r="BR410" t="s">
        <v>3465</v>
      </c>
      <c r="BS410" t="s">
        <v>3465</v>
      </c>
      <c r="BT410" t="s">
        <v>3465</v>
      </c>
      <c r="BU410" t="s">
        <v>3463</v>
      </c>
      <c r="BV410" t="s">
        <v>3463</v>
      </c>
      <c r="BW410" t="s">
        <v>3463</v>
      </c>
      <c r="BX410" t="s">
        <v>79</v>
      </c>
      <c r="BY410" t="s">
        <v>87</v>
      </c>
      <c r="BZ410" t="s">
        <v>79</v>
      </c>
      <c r="CA410" s="10">
        <v>45910</v>
      </c>
    </row>
    <row r="411" spans="1:79">
      <c r="A411">
        <v>417</v>
      </c>
      <c r="B411">
        <v>31</v>
      </c>
      <c r="C411">
        <v>42</v>
      </c>
      <c r="D411" t="s">
        <v>3462</v>
      </c>
      <c r="E411" t="s">
        <v>1000</v>
      </c>
      <c r="F411" t="s">
        <v>969</v>
      </c>
      <c r="G411" s="12" t="s">
        <v>3463</v>
      </c>
      <c r="I411">
        <v>63</v>
      </c>
      <c r="J411">
        <v>59</v>
      </c>
      <c r="K411">
        <v>140</v>
      </c>
      <c r="L411">
        <v>69</v>
      </c>
      <c r="M411" t="s">
        <v>72</v>
      </c>
      <c r="N411">
        <v>140</v>
      </c>
      <c r="O411">
        <v>69</v>
      </c>
      <c r="P411" t="s">
        <v>72</v>
      </c>
      <c r="Q411" t="s">
        <v>72</v>
      </c>
      <c r="R411">
        <v>76.099999999999994</v>
      </c>
      <c r="S411">
        <v>167</v>
      </c>
      <c r="T411" s="8">
        <f t="shared" si="12"/>
        <v>27.286743877514429</v>
      </c>
      <c r="U411" s="13" t="str" cm="1">
        <f t="array" ref="U411">IF(T411="","",_xlfn.IFS(T411&lt;18.5,"Bajo peso",T411&lt;25,"Peso normal",T411&lt;30,"Sobrepeso",T411&lt;35,"Obesidad clase I",T411&lt;40,"Obesidad clase II",T411&gt;=40,"Obesidad clase III"))</f>
        <v>Sobrepeso</v>
      </c>
      <c r="V411">
        <v>86</v>
      </c>
      <c r="X411" t="s">
        <v>3463</v>
      </c>
      <c r="Y411">
        <v>0.4</v>
      </c>
      <c r="AA411">
        <v>90</v>
      </c>
      <c r="AB411" s="9">
        <f t="shared" si="13"/>
        <v>139.70281141411712</v>
      </c>
      <c r="AD411" t="s">
        <v>73</v>
      </c>
      <c r="AF411" t="s">
        <v>73</v>
      </c>
      <c r="AG411" t="s">
        <v>3463</v>
      </c>
      <c r="AH411" t="s">
        <v>3465</v>
      </c>
      <c r="AI411" t="s">
        <v>3463</v>
      </c>
      <c r="AJ411" t="s">
        <v>3463</v>
      </c>
      <c r="AK411" t="s">
        <v>3463</v>
      </c>
      <c r="AL411" t="s">
        <v>3463</v>
      </c>
      <c r="AP411" t="s">
        <v>3463</v>
      </c>
      <c r="AQ411" t="s">
        <v>1053</v>
      </c>
      <c r="AR411" t="s">
        <v>3508</v>
      </c>
      <c r="AV411" t="s">
        <v>74</v>
      </c>
      <c r="AW411" t="s">
        <v>3915</v>
      </c>
      <c r="BB411" t="s">
        <v>3485</v>
      </c>
      <c r="BC411" t="s">
        <v>128</v>
      </c>
      <c r="BF411" t="s">
        <v>3921</v>
      </c>
      <c r="BG411" t="s">
        <v>1054</v>
      </c>
      <c r="BH411" t="s">
        <v>4038</v>
      </c>
      <c r="BI411" t="s">
        <v>76</v>
      </c>
      <c r="BK411" t="s">
        <v>1055</v>
      </c>
      <c r="BL411" t="s">
        <v>1056</v>
      </c>
      <c r="BP411" t="s">
        <v>4402</v>
      </c>
      <c r="BQ411" t="s">
        <v>3463</v>
      </c>
      <c r="BR411" t="s">
        <v>3465</v>
      </c>
      <c r="BS411" t="s">
        <v>3463</v>
      </c>
      <c r="BT411" t="s">
        <v>3463</v>
      </c>
      <c r="BU411" t="s">
        <v>3463</v>
      </c>
      <c r="BV411" t="s">
        <v>3463</v>
      </c>
      <c r="BW411" t="s">
        <v>3463</v>
      </c>
      <c r="BX411" t="s">
        <v>79</v>
      </c>
      <c r="BY411" t="s">
        <v>87</v>
      </c>
      <c r="BZ411" t="s">
        <v>79</v>
      </c>
      <c r="CA411" s="10">
        <v>45910</v>
      </c>
    </row>
    <row r="412" spans="1:79">
      <c r="A412">
        <v>418</v>
      </c>
      <c r="B412">
        <v>32</v>
      </c>
      <c r="C412">
        <v>40</v>
      </c>
      <c r="D412" t="s">
        <v>3466</v>
      </c>
      <c r="E412" t="s">
        <v>1057</v>
      </c>
      <c r="F412" t="s">
        <v>969</v>
      </c>
      <c r="G412" s="12" t="s">
        <v>3465</v>
      </c>
      <c r="H412" s="12" t="s">
        <v>88</v>
      </c>
      <c r="I412">
        <v>73</v>
      </c>
      <c r="K412">
        <v>130</v>
      </c>
      <c r="L412">
        <v>85</v>
      </c>
      <c r="M412" t="s">
        <v>82</v>
      </c>
      <c r="P412" t="s">
        <v>83</v>
      </c>
      <c r="Q412" t="s">
        <v>82</v>
      </c>
      <c r="R412">
        <v>60.5</v>
      </c>
      <c r="S412">
        <v>151</v>
      </c>
      <c r="T412" s="8">
        <f t="shared" si="12"/>
        <v>26.533923950703919</v>
      </c>
      <c r="U412" s="13" t="str" cm="1">
        <f t="array" ref="U412">IF(T412="","",_xlfn.IFS(T412&lt;18.5,"Bajo peso",T412&lt;25,"Peso normal",T412&lt;30,"Sobrepeso",T412&lt;35,"Obesidad clase I",T412&lt;40,"Obesidad clase II",T412&gt;=40,"Obesidad clase III"))</f>
        <v>Sobrepeso</v>
      </c>
      <c r="V412">
        <v>90</v>
      </c>
      <c r="X412" t="s">
        <v>3463</v>
      </c>
      <c r="Y412">
        <v>0.91</v>
      </c>
      <c r="AA412">
        <v>81</v>
      </c>
      <c r="AB412" s="9">
        <f t="shared" si="13"/>
        <v>81.789307389017196</v>
      </c>
      <c r="AD412" t="s">
        <v>73</v>
      </c>
      <c r="AF412" t="s">
        <v>73</v>
      </c>
      <c r="AH412" t="s">
        <v>3463</v>
      </c>
      <c r="AI412" t="s">
        <v>3463</v>
      </c>
      <c r="AJ412" t="s">
        <v>3463</v>
      </c>
      <c r="AK412" t="s">
        <v>3463</v>
      </c>
      <c r="AL412" t="s">
        <v>3463</v>
      </c>
      <c r="AP412" t="s">
        <v>3463</v>
      </c>
      <c r="AQ412" t="s">
        <v>955</v>
      </c>
      <c r="AR412" t="s">
        <v>3512</v>
      </c>
      <c r="AT412" t="s">
        <v>3465</v>
      </c>
      <c r="AU412" t="s">
        <v>80</v>
      </c>
      <c r="AV412" t="s">
        <v>74</v>
      </c>
      <c r="AW412" t="s">
        <v>3915</v>
      </c>
      <c r="AX412" t="s">
        <v>3465</v>
      </c>
      <c r="AY412" t="s">
        <v>3465</v>
      </c>
      <c r="AZ412" t="s">
        <v>90</v>
      </c>
      <c r="BF412" t="s">
        <v>3921</v>
      </c>
      <c r="BH412" t="s">
        <v>4020</v>
      </c>
      <c r="BP412" t="s">
        <v>4260</v>
      </c>
      <c r="BQ412" t="s">
        <v>3465</v>
      </c>
      <c r="BR412" t="s">
        <v>3465</v>
      </c>
      <c r="BS412" t="s">
        <v>3463</v>
      </c>
      <c r="BT412" t="s">
        <v>3465</v>
      </c>
      <c r="BU412" t="s">
        <v>3463</v>
      </c>
      <c r="BV412" t="s">
        <v>3463</v>
      </c>
      <c r="BW412" t="s">
        <v>3463</v>
      </c>
      <c r="BX412" t="s">
        <v>79</v>
      </c>
      <c r="BY412" t="s">
        <v>79</v>
      </c>
      <c r="BZ412" t="s">
        <v>79</v>
      </c>
      <c r="CA412" s="10">
        <v>45910</v>
      </c>
    </row>
    <row r="413" spans="1:79">
      <c r="A413">
        <v>419</v>
      </c>
      <c r="B413">
        <v>33</v>
      </c>
      <c r="C413">
        <v>62</v>
      </c>
      <c r="D413" t="s">
        <v>3466</v>
      </c>
      <c r="F413" t="s">
        <v>969</v>
      </c>
      <c r="G413" s="12" t="s">
        <v>3465</v>
      </c>
      <c r="H413" t="s">
        <v>88</v>
      </c>
      <c r="I413">
        <v>78</v>
      </c>
      <c r="J413">
        <v>79</v>
      </c>
      <c r="K413">
        <v>178</v>
      </c>
      <c r="L413">
        <v>102</v>
      </c>
      <c r="M413" t="s">
        <v>72</v>
      </c>
      <c r="N413">
        <v>166</v>
      </c>
      <c r="O413">
        <v>92</v>
      </c>
      <c r="P413" t="s">
        <v>72</v>
      </c>
      <c r="Q413" t="s">
        <v>72</v>
      </c>
      <c r="R413">
        <v>83.2</v>
      </c>
      <c r="S413">
        <v>159</v>
      </c>
      <c r="T413" s="8">
        <f t="shared" si="12"/>
        <v>32.910090581859897</v>
      </c>
      <c r="U413" s="13" t="str" cm="1">
        <f t="array" ref="U413">IF(T413="","",_xlfn.IFS(T413&lt;18.5,"Bajo peso",T413&lt;25,"Peso normal",T413&lt;30,"Sobrepeso",T413&lt;35,"Obesidad clase I",T413&lt;40,"Obesidad clase II",T413&gt;=40,"Obesidad clase III"))</f>
        <v>Obesidad clase I</v>
      </c>
      <c r="V413">
        <v>86</v>
      </c>
      <c r="X413" t="s">
        <v>3463</v>
      </c>
      <c r="Y413">
        <v>0.67</v>
      </c>
      <c r="AA413">
        <v>90</v>
      </c>
      <c r="AB413" s="9">
        <f t="shared" si="13"/>
        <v>98.762252503016938</v>
      </c>
      <c r="AD413" t="s">
        <v>73</v>
      </c>
      <c r="AF413" t="s">
        <v>73</v>
      </c>
      <c r="AH413" t="s">
        <v>3463</v>
      </c>
      <c r="AI413" t="s">
        <v>3465</v>
      </c>
      <c r="AJ413" t="s">
        <v>3463</v>
      </c>
      <c r="AK413" t="s">
        <v>3463</v>
      </c>
      <c r="AL413" t="s">
        <v>3463</v>
      </c>
      <c r="AO413" t="s">
        <v>3465</v>
      </c>
      <c r="AP413" t="s">
        <v>3465</v>
      </c>
      <c r="AQ413" t="s">
        <v>1058</v>
      </c>
      <c r="AR413" t="s">
        <v>3494</v>
      </c>
      <c r="AS413" t="s">
        <v>3463</v>
      </c>
      <c r="AT413" t="s">
        <v>3463</v>
      </c>
      <c r="AW413" t="s">
        <v>3916</v>
      </c>
      <c r="AX413" t="s">
        <v>3463</v>
      </c>
      <c r="AY413" t="s">
        <v>3463</v>
      </c>
      <c r="BF413" t="s">
        <v>3921</v>
      </c>
      <c r="BH413" t="s">
        <v>4020</v>
      </c>
      <c r="BP413" t="s">
        <v>4260</v>
      </c>
      <c r="BQ413" t="s">
        <v>3463</v>
      </c>
      <c r="BR413" t="s">
        <v>3463</v>
      </c>
      <c r="BS413" t="s">
        <v>3463</v>
      </c>
      <c r="BT413" t="s">
        <v>3463</v>
      </c>
      <c r="BU413" t="s">
        <v>3463</v>
      </c>
      <c r="BV413" t="s">
        <v>3463</v>
      </c>
      <c r="BW413" t="s">
        <v>3463</v>
      </c>
      <c r="BX413" t="s">
        <v>79</v>
      </c>
      <c r="BY413" t="s">
        <v>87</v>
      </c>
      <c r="BZ413" t="s">
        <v>79</v>
      </c>
      <c r="CA413" s="10">
        <v>45910</v>
      </c>
    </row>
    <row r="414" spans="1:79">
      <c r="A414">
        <v>420</v>
      </c>
      <c r="B414">
        <v>34</v>
      </c>
      <c r="C414">
        <v>44</v>
      </c>
      <c r="D414" t="s">
        <v>3462</v>
      </c>
      <c r="E414" t="s">
        <v>1005</v>
      </c>
      <c r="F414" t="s">
        <v>168</v>
      </c>
      <c r="G414" s="12" t="s">
        <v>3463</v>
      </c>
      <c r="I414">
        <v>62</v>
      </c>
      <c r="K414">
        <v>134</v>
      </c>
      <c r="L414">
        <v>85</v>
      </c>
      <c r="M414" t="s">
        <v>82</v>
      </c>
      <c r="P414" t="s">
        <v>83</v>
      </c>
      <c r="Q414" t="s">
        <v>82</v>
      </c>
      <c r="R414">
        <v>76</v>
      </c>
      <c r="S414">
        <v>170</v>
      </c>
      <c r="T414" s="8">
        <f t="shared" si="12"/>
        <v>26.297577854671278</v>
      </c>
      <c r="U414" s="13" t="str" cm="1">
        <f t="array" ref="U414">IF(T414="","",_xlfn.IFS(T414&lt;18.5,"Bajo peso",T414&lt;25,"Peso normal",T414&lt;30,"Sobrepeso",T414&lt;35,"Obesidad clase I",T414&lt;40,"Obesidad clase II",T414&gt;=40,"Obesidad clase III"))</f>
        <v>Sobrepeso</v>
      </c>
      <c r="V414">
        <v>97</v>
      </c>
      <c r="X414" t="s">
        <v>3463</v>
      </c>
      <c r="Y414">
        <v>0.94</v>
      </c>
      <c r="AA414">
        <v>90</v>
      </c>
      <c r="AB414" s="9">
        <f t="shared" si="13"/>
        <v>102.51362652617053</v>
      </c>
      <c r="AD414" t="s">
        <v>73</v>
      </c>
      <c r="AF414" t="s">
        <v>73</v>
      </c>
      <c r="AH414" t="s">
        <v>3463</v>
      </c>
      <c r="AI414" t="s">
        <v>3463</v>
      </c>
      <c r="AJ414" t="s">
        <v>3463</v>
      </c>
      <c r="AK414" t="s">
        <v>3463</v>
      </c>
      <c r="AL414" t="s">
        <v>3463</v>
      </c>
      <c r="AP414" t="s">
        <v>3463</v>
      </c>
      <c r="AQ414" t="s">
        <v>1059</v>
      </c>
      <c r="AR414" t="s">
        <v>3491</v>
      </c>
      <c r="AV414" t="s">
        <v>74</v>
      </c>
      <c r="AW414" t="s">
        <v>3915</v>
      </c>
      <c r="BF414" t="s">
        <v>3921</v>
      </c>
      <c r="BH414" t="s">
        <v>4076</v>
      </c>
      <c r="BI414" t="s">
        <v>411</v>
      </c>
      <c r="BK414" t="s">
        <v>68</v>
      </c>
      <c r="BL414" t="s">
        <v>1060</v>
      </c>
      <c r="BP414" t="s">
        <v>4336</v>
      </c>
      <c r="BQ414" t="s">
        <v>3465</v>
      </c>
      <c r="BR414" t="s">
        <v>3465</v>
      </c>
      <c r="BS414" t="s">
        <v>3465</v>
      </c>
      <c r="BT414" t="s">
        <v>3465</v>
      </c>
      <c r="BU414" t="s">
        <v>3463</v>
      </c>
      <c r="BV414" t="s">
        <v>3463</v>
      </c>
      <c r="BW414" t="s">
        <v>3463</v>
      </c>
      <c r="BX414" t="s">
        <v>79</v>
      </c>
      <c r="BY414" t="s">
        <v>87</v>
      </c>
      <c r="BZ414" t="s">
        <v>95</v>
      </c>
      <c r="CA414" s="10">
        <v>45910</v>
      </c>
    </row>
    <row r="415" spans="1:79">
      <c r="A415">
        <v>421</v>
      </c>
      <c r="B415">
        <v>35</v>
      </c>
      <c r="C415">
        <v>29</v>
      </c>
      <c r="D415" t="s">
        <v>3466</v>
      </c>
      <c r="E415" t="s">
        <v>1061</v>
      </c>
      <c r="F415" t="s">
        <v>1062</v>
      </c>
      <c r="G415" s="12" t="s">
        <v>3465</v>
      </c>
      <c r="H415" s="12" t="s">
        <v>88</v>
      </c>
      <c r="I415">
        <v>66</v>
      </c>
      <c r="K415">
        <v>136</v>
      </c>
      <c r="L415">
        <v>85</v>
      </c>
      <c r="M415" t="s">
        <v>82</v>
      </c>
      <c r="P415" t="s">
        <v>83</v>
      </c>
      <c r="Q415" t="s">
        <v>82</v>
      </c>
      <c r="R415">
        <v>89.1</v>
      </c>
      <c r="S415">
        <v>160</v>
      </c>
      <c r="T415" s="8">
        <f t="shared" si="12"/>
        <v>34.804687499999993</v>
      </c>
      <c r="U415" s="13" t="str" cm="1">
        <f t="array" ref="U415">IF(T415="","",_xlfn.IFS(T415&lt;18.5,"Bajo peso",T415&lt;25,"Peso normal",T415&lt;30,"Sobrepeso",T415&lt;35,"Obesidad clase I",T415&lt;40,"Obesidad clase II",T415&gt;=40,"Obesidad clase III"))</f>
        <v>Obesidad clase I</v>
      </c>
      <c r="V415">
        <v>85</v>
      </c>
      <c r="X415" t="s">
        <v>3463</v>
      </c>
      <c r="Y415">
        <v>0.65</v>
      </c>
      <c r="AA415">
        <v>90</v>
      </c>
      <c r="AB415" s="9">
        <f t="shared" si="13"/>
        <v>122.15075213461851</v>
      </c>
      <c r="AD415" t="s">
        <v>73</v>
      </c>
      <c r="AF415" t="s">
        <v>73</v>
      </c>
      <c r="AH415" t="s">
        <v>3463</v>
      </c>
      <c r="AI415" t="s">
        <v>3463</v>
      </c>
      <c r="AJ415" t="s">
        <v>3463</v>
      </c>
      <c r="AK415" t="s">
        <v>3463</v>
      </c>
      <c r="AL415" t="s">
        <v>3463</v>
      </c>
      <c r="AO415" t="s">
        <v>3463</v>
      </c>
      <c r="AP415" t="s">
        <v>3465</v>
      </c>
      <c r="AQ415" t="s">
        <v>1063</v>
      </c>
      <c r="AR415" t="s">
        <v>3489</v>
      </c>
      <c r="AV415" t="s">
        <v>74</v>
      </c>
      <c r="AW415" t="s">
        <v>3915</v>
      </c>
      <c r="AX415" t="s">
        <v>3463</v>
      </c>
      <c r="AY415" t="s">
        <v>3465</v>
      </c>
      <c r="AZ415" t="s">
        <v>104</v>
      </c>
      <c r="BF415" t="s">
        <v>3921</v>
      </c>
      <c r="BH415" t="s">
        <v>4020</v>
      </c>
      <c r="BP415" t="s">
        <v>4260</v>
      </c>
      <c r="BQ415" t="s">
        <v>3463</v>
      </c>
      <c r="BR415" t="s">
        <v>3463</v>
      </c>
      <c r="BS415" t="s">
        <v>3463</v>
      </c>
      <c r="BT415" t="s">
        <v>3463</v>
      </c>
      <c r="BU415" t="s">
        <v>3465</v>
      </c>
      <c r="BV415" t="s">
        <v>3465</v>
      </c>
      <c r="BW415" t="s">
        <v>3465</v>
      </c>
      <c r="BX415" t="s">
        <v>518</v>
      </c>
      <c r="BY415" t="s">
        <v>79</v>
      </c>
      <c r="BZ415" t="s">
        <v>79</v>
      </c>
      <c r="CA415" s="10">
        <v>45910</v>
      </c>
    </row>
    <row r="416" spans="1:79">
      <c r="A416">
        <v>422</v>
      </c>
      <c r="B416">
        <v>36</v>
      </c>
      <c r="C416">
        <v>57</v>
      </c>
      <c r="D416" t="s">
        <v>3462</v>
      </c>
      <c r="F416" t="s">
        <v>969</v>
      </c>
      <c r="G416" s="12" t="s">
        <v>3463</v>
      </c>
      <c r="I416">
        <v>74</v>
      </c>
      <c r="J416">
        <v>69</v>
      </c>
      <c r="K416">
        <v>159</v>
      </c>
      <c r="L416">
        <v>74</v>
      </c>
      <c r="M416" t="s">
        <v>72</v>
      </c>
      <c r="N416">
        <v>160</v>
      </c>
      <c r="O416">
        <v>73</v>
      </c>
      <c r="P416" t="s">
        <v>72</v>
      </c>
      <c r="Q416" t="s">
        <v>72</v>
      </c>
      <c r="R416">
        <v>77.3</v>
      </c>
      <c r="S416">
        <v>161</v>
      </c>
      <c r="T416" s="8">
        <f t="shared" si="12"/>
        <v>29.821380347980398</v>
      </c>
      <c r="U416" s="13" t="str" cm="1">
        <f t="array" ref="U416">IF(T416="","",_xlfn.IFS(T416&lt;18.5,"Bajo peso",T416&lt;25,"Peso normal",T416&lt;30,"Sobrepeso",T416&lt;35,"Obesidad clase I",T416&lt;40,"Obesidad clase II",T416&gt;=40,"Obesidad clase III"))</f>
        <v>Sobrepeso</v>
      </c>
      <c r="V416">
        <v>101</v>
      </c>
      <c r="X416" t="s">
        <v>3463</v>
      </c>
      <c r="Y416">
        <v>1.04</v>
      </c>
      <c r="AA416">
        <v>84</v>
      </c>
      <c r="AB416" s="9">
        <f t="shared" si="13"/>
        <v>83.749440797212102</v>
      </c>
      <c r="AD416" t="s">
        <v>73</v>
      </c>
      <c r="AF416" t="s">
        <v>73</v>
      </c>
      <c r="AH416" t="s">
        <v>3463</v>
      </c>
      <c r="AI416" t="s">
        <v>3465</v>
      </c>
      <c r="AJ416" t="s">
        <v>3463</v>
      </c>
      <c r="AK416" t="s">
        <v>3463</v>
      </c>
      <c r="AL416" t="s">
        <v>3463</v>
      </c>
      <c r="AP416" t="s">
        <v>3463</v>
      </c>
      <c r="AQ416" t="s">
        <v>1064</v>
      </c>
      <c r="AR416" t="s">
        <v>3490</v>
      </c>
      <c r="AS416" t="s">
        <v>3465</v>
      </c>
      <c r="AV416" t="s">
        <v>126</v>
      </c>
      <c r="AW416" t="s">
        <v>126</v>
      </c>
      <c r="BA416" t="s">
        <v>3920</v>
      </c>
      <c r="BF416" t="s">
        <v>3921</v>
      </c>
      <c r="BH416" t="s">
        <v>4076</v>
      </c>
      <c r="BI416" t="s">
        <v>411</v>
      </c>
      <c r="BK416" t="s">
        <v>1065</v>
      </c>
      <c r="BL416" t="s">
        <v>1066</v>
      </c>
      <c r="BP416" t="s">
        <v>4336</v>
      </c>
      <c r="BQ416" t="s">
        <v>3463</v>
      </c>
      <c r="BR416" t="s">
        <v>3463</v>
      </c>
      <c r="BS416" t="s">
        <v>3463</v>
      </c>
      <c r="BT416" t="s">
        <v>3463</v>
      </c>
      <c r="BU416" t="s">
        <v>3463</v>
      </c>
      <c r="BV416" t="s">
        <v>3463</v>
      </c>
      <c r="BW416" t="s">
        <v>3463</v>
      </c>
      <c r="BX416" t="s">
        <v>79</v>
      </c>
      <c r="BY416" t="s">
        <v>87</v>
      </c>
      <c r="BZ416" t="s">
        <v>95</v>
      </c>
      <c r="CA416" s="10">
        <v>45910</v>
      </c>
    </row>
    <row r="417" spans="1:79">
      <c r="A417">
        <v>423</v>
      </c>
      <c r="B417">
        <v>37</v>
      </c>
      <c r="C417">
        <v>59</v>
      </c>
      <c r="D417" t="s">
        <v>3466</v>
      </c>
      <c r="E417" t="s">
        <v>1057</v>
      </c>
      <c r="F417" t="s">
        <v>969</v>
      </c>
      <c r="G417" s="12" t="s">
        <v>3465</v>
      </c>
      <c r="H417" t="s">
        <v>88</v>
      </c>
      <c r="I417">
        <v>80</v>
      </c>
      <c r="K417">
        <v>127</v>
      </c>
      <c r="L417">
        <v>72</v>
      </c>
      <c r="M417" t="s">
        <v>118</v>
      </c>
      <c r="P417" t="s">
        <v>83</v>
      </c>
      <c r="Q417" t="s">
        <v>118</v>
      </c>
      <c r="R417">
        <v>63.1</v>
      </c>
      <c r="S417">
        <v>147</v>
      </c>
      <c r="T417" s="8">
        <f t="shared" si="12"/>
        <v>29.200795964644364</v>
      </c>
      <c r="U417" s="13" t="str" cm="1">
        <f t="array" ref="U417">IF(T417="","",_xlfn.IFS(T417&lt;18.5,"Bajo peso",T417&lt;25,"Peso normal",T417&lt;30,"Sobrepeso",T417&lt;35,"Obesidad clase I",T417&lt;40,"Obesidad clase II",T417&gt;=40,"Obesidad clase III"))</f>
        <v>Sobrepeso</v>
      </c>
      <c r="V417">
        <v>357</v>
      </c>
      <c r="X417" t="s">
        <v>3465</v>
      </c>
      <c r="Y417">
        <v>0.52</v>
      </c>
      <c r="AA417">
        <v>90</v>
      </c>
      <c r="AB417" s="9">
        <f t="shared" si="13"/>
        <v>106.9599597624603</v>
      </c>
      <c r="AD417" t="s">
        <v>73</v>
      </c>
      <c r="AF417" t="s">
        <v>73</v>
      </c>
      <c r="AG417" t="s">
        <v>3465</v>
      </c>
      <c r="AH417" t="s">
        <v>3465</v>
      </c>
      <c r="AI417" t="s">
        <v>3465</v>
      </c>
      <c r="AJ417" t="s">
        <v>3463</v>
      </c>
      <c r="AK417" t="s">
        <v>3463</v>
      </c>
      <c r="AL417" t="s">
        <v>3465</v>
      </c>
      <c r="AM417" t="s">
        <v>1067</v>
      </c>
      <c r="AN417" t="s">
        <v>3703</v>
      </c>
      <c r="AP417" t="s">
        <v>3463</v>
      </c>
      <c r="AQ417" t="s">
        <v>1068</v>
      </c>
      <c r="AR417" t="s">
        <v>3539</v>
      </c>
      <c r="AS417" t="s">
        <v>3465</v>
      </c>
      <c r="AT417" t="s">
        <v>3465</v>
      </c>
      <c r="AU417" t="s">
        <v>80</v>
      </c>
      <c r="AV417" t="s">
        <v>74</v>
      </c>
      <c r="AW417" t="s">
        <v>3915</v>
      </c>
      <c r="AX417" t="s">
        <v>3463</v>
      </c>
      <c r="AY417" t="s">
        <v>3465</v>
      </c>
      <c r="AZ417" t="s">
        <v>90</v>
      </c>
      <c r="BA417" t="s">
        <v>3920</v>
      </c>
      <c r="BB417" t="s">
        <v>3485</v>
      </c>
      <c r="BE417" t="s">
        <v>995</v>
      </c>
      <c r="BF417" t="s">
        <v>3942</v>
      </c>
      <c r="BH417" t="s">
        <v>4015</v>
      </c>
      <c r="BI417" t="s">
        <v>411</v>
      </c>
      <c r="BK417" t="s">
        <v>1069</v>
      </c>
      <c r="BL417" t="s">
        <v>1070</v>
      </c>
      <c r="BP417" t="s">
        <v>4320</v>
      </c>
      <c r="BQ417" t="s">
        <v>3463</v>
      </c>
      <c r="BR417" t="s">
        <v>3463</v>
      </c>
      <c r="BS417" t="s">
        <v>3463</v>
      </c>
      <c r="BT417" t="s">
        <v>3463</v>
      </c>
      <c r="BU417" t="s">
        <v>3463</v>
      </c>
      <c r="BV417" t="s">
        <v>3463</v>
      </c>
      <c r="BW417" t="s">
        <v>3463</v>
      </c>
      <c r="BX417" t="s">
        <v>79</v>
      </c>
      <c r="BY417" t="s">
        <v>121</v>
      </c>
      <c r="BZ417" t="s">
        <v>95</v>
      </c>
      <c r="CA417" s="10">
        <v>45910</v>
      </c>
    </row>
    <row r="418" spans="1:79">
      <c r="A418">
        <v>424</v>
      </c>
      <c r="B418">
        <v>38</v>
      </c>
      <c r="C418">
        <v>49</v>
      </c>
      <c r="D418" t="s">
        <v>3462</v>
      </c>
      <c r="E418" t="s">
        <v>1071</v>
      </c>
      <c r="F418" t="s">
        <v>969</v>
      </c>
      <c r="G418" s="12" t="s">
        <v>3463</v>
      </c>
      <c r="I418">
        <v>90</v>
      </c>
      <c r="J418">
        <v>81</v>
      </c>
      <c r="K418">
        <v>146</v>
      </c>
      <c r="L418">
        <v>91</v>
      </c>
      <c r="M418" t="s">
        <v>72</v>
      </c>
      <c r="N418">
        <v>133</v>
      </c>
      <c r="O418">
        <v>88</v>
      </c>
      <c r="P418" t="s">
        <v>82</v>
      </c>
      <c r="Q418" t="s">
        <v>82</v>
      </c>
      <c r="R418">
        <v>107</v>
      </c>
      <c r="S418">
        <v>180</v>
      </c>
      <c r="T418" s="8">
        <f t="shared" si="12"/>
        <v>33.02469135802469</v>
      </c>
      <c r="U418" s="13" t="str" cm="1">
        <f t="array" ref="U418">IF(T418="","",_xlfn.IFS(T418&lt;18.5,"Bajo peso",T418&lt;25,"Peso normal",T418&lt;30,"Sobrepeso",T418&lt;35,"Obesidad clase I",T418&lt;40,"Obesidad clase II",T418&gt;=40,"Obesidad clase III"))</f>
        <v>Obesidad clase I</v>
      </c>
      <c r="V418">
        <v>404</v>
      </c>
      <c r="X418" t="s">
        <v>3465</v>
      </c>
      <c r="Y418">
        <v>0.69</v>
      </c>
      <c r="AA418">
        <v>90</v>
      </c>
      <c r="AB418" s="9">
        <f t="shared" si="13"/>
        <v>113.44563356879253</v>
      </c>
      <c r="AD418" t="s">
        <v>73</v>
      </c>
      <c r="AF418" t="s">
        <v>73</v>
      </c>
      <c r="AG418" t="s">
        <v>3465</v>
      </c>
      <c r="AH418" t="s">
        <v>3465</v>
      </c>
      <c r="AI418" t="s">
        <v>3465</v>
      </c>
      <c r="AJ418" t="s">
        <v>3463</v>
      </c>
      <c r="AK418" t="s">
        <v>3463</v>
      </c>
      <c r="AL418" t="s">
        <v>3465</v>
      </c>
      <c r="AM418" t="s">
        <v>1072</v>
      </c>
      <c r="AN418" t="s">
        <v>3626</v>
      </c>
      <c r="AP418" t="s">
        <v>3463</v>
      </c>
      <c r="AQ418" t="s">
        <v>1073</v>
      </c>
      <c r="AR418" t="s">
        <v>3491</v>
      </c>
      <c r="AS418" t="s">
        <v>3465</v>
      </c>
      <c r="AV418" t="s">
        <v>112</v>
      </c>
      <c r="AW418" t="s">
        <v>3917</v>
      </c>
      <c r="BA418" t="s">
        <v>3920</v>
      </c>
      <c r="BB418" t="s">
        <v>3485</v>
      </c>
      <c r="BC418" t="s">
        <v>128</v>
      </c>
      <c r="BF418" t="s">
        <v>3921</v>
      </c>
      <c r="BG418" t="s">
        <v>1074</v>
      </c>
      <c r="BH418" t="s">
        <v>4122</v>
      </c>
      <c r="BI418" t="s">
        <v>411</v>
      </c>
      <c r="BK418" t="s">
        <v>1075</v>
      </c>
      <c r="BL418" t="s">
        <v>1076</v>
      </c>
      <c r="BP418" t="s">
        <v>4380</v>
      </c>
      <c r="BQ418" t="s">
        <v>3463</v>
      </c>
      <c r="BR418" t="s">
        <v>3465</v>
      </c>
      <c r="BS418" t="s">
        <v>3465</v>
      </c>
      <c r="BT418" t="s">
        <v>3465</v>
      </c>
      <c r="BU418" t="s">
        <v>3463</v>
      </c>
      <c r="BV418" t="s">
        <v>3463</v>
      </c>
      <c r="BW418" t="s">
        <v>3463</v>
      </c>
      <c r="BX418" t="s">
        <v>79</v>
      </c>
      <c r="BY418" t="s">
        <v>87</v>
      </c>
      <c r="BZ418" t="s">
        <v>79</v>
      </c>
      <c r="CA418" s="10">
        <v>45910</v>
      </c>
    </row>
    <row r="419" spans="1:79">
      <c r="A419">
        <v>425</v>
      </c>
      <c r="B419">
        <v>39</v>
      </c>
      <c r="C419">
        <v>34</v>
      </c>
      <c r="D419" t="s">
        <v>3466</v>
      </c>
      <c r="E419" t="s">
        <v>1038</v>
      </c>
      <c r="F419" t="s">
        <v>969</v>
      </c>
      <c r="G419" s="12" t="s">
        <v>3463</v>
      </c>
      <c r="H419" s="12"/>
      <c r="I419">
        <v>75</v>
      </c>
      <c r="K419">
        <v>121</v>
      </c>
      <c r="L419">
        <v>72</v>
      </c>
      <c r="M419" t="s">
        <v>118</v>
      </c>
      <c r="P419" t="s">
        <v>83</v>
      </c>
      <c r="Q419" t="s">
        <v>118</v>
      </c>
      <c r="R419">
        <v>71.599999999999994</v>
      </c>
      <c r="S419">
        <v>158</v>
      </c>
      <c r="T419" s="8">
        <f t="shared" si="12"/>
        <v>28.681301073545903</v>
      </c>
      <c r="U419" s="13" t="str" cm="1">
        <f t="array" ref="U419">IF(T419="","",_xlfn.IFS(T419&lt;18.5,"Bajo peso",T419&lt;25,"Peso normal",T419&lt;30,"Sobrepeso",T419&lt;35,"Obesidad clase I",T419&lt;40,"Obesidad clase II",T419&gt;=40,"Obesidad clase III"))</f>
        <v>Sobrepeso</v>
      </c>
      <c r="V419">
        <v>110</v>
      </c>
      <c r="X419" t="s">
        <v>3463</v>
      </c>
      <c r="Y419">
        <v>0.57999999999999996</v>
      </c>
      <c r="AA419">
        <v>90</v>
      </c>
      <c r="AB419" s="9">
        <f t="shared" si="13"/>
        <v>121.70742667605235</v>
      </c>
      <c r="AD419" t="s">
        <v>73</v>
      </c>
      <c r="AF419" t="s">
        <v>73</v>
      </c>
      <c r="AH419" t="s">
        <v>3463</v>
      </c>
      <c r="AI419" t="s">
        <v>3463</v>
      </c>
      <c r="AJ419" t="s">
        <v>3463</v>
      </c>
      <c r="AK419" t="s">
        <v>3463</v>
      </c>
      <c r="AL419" t="s">
        <v>3463</v>
      </c>
      <c r="AP419" t="s">
        <v>3463</v>
      </c>
      <c r="AQ419" t="s">
        <v>1055</v>
      </c>
      <c r="AR419" t="s">
        <v>3491</v>
      </c>
      <c r="AT419" t="s">
        <v>3463</v>
      </c>
      <c r="AV419" t="s">
        <v>74</v>
      </c>
      <c r="AW419" t="s">
        <v>3915</v>
      </c>
      <c r="AX419" t="s">
        <v>3463</v>
      </c>
      <c r="AY419" t="s">
        <v>3465</v>
      </c>
      <c r="AZ419" t="s">
        <v>90</v>
      </c>
      <c r="BF419" t="s">
        <v>3921</v>
      </c>
      <c r="BH419" t="s">
        <v>4020</v>
      </c>
      <c r="BP419" t="s">
        <v>4260</v>
      </c>
      <c r="BQ419" t="s">
        <v>3463</v>
      </c>
      <c r="BR419" t="s">
        <v>3465</v>
      </c>
      <c r="BS419" t="s">
        <v>3465</v>
      </c>
      <c r="BT419" t="s">
        <v>3465</v>
      </c>
      <c r="BU419" t="s">
        <v>3463</v>
      </c>
      <c r="BV419" t="s">
        <v>3463</v>
      </c>
      <c r="BW419" t="s">
        <v>3463</v>
      </c>
      <c r="BX419" t="s">
        <v>79</v>
      </c>
      <c r="BY419" t="s">
        <v>87</v>
      </c>
      <c r="BZ419" t="s">
        <v>79</v>
      </c>
      <c r="CA419" s="10">
        <v>45910</v>
      </c>
    </row>
    <row r="420" spans="1:79">
      <c r="A420">
        <v>426</v>
      </c>
      <c r="B420">
        <v>40</v>
      </c>
      <c r="C420">
        <v>44</v>
      </c>
      <c r="D420" t="s">
        <v>3466</v>
      </c>
      <c r="F420" t="s">
        <v>969</v>
      </c>
      <c r="G420" s="12" t="s">
        <v>3465</v>
      </c>
      <c r="H420" s="12" t="s">
        <v>88</v>
      </c>
      <c r="I420">
        <v>78</v>
      </c>
      <c r="K420">
        <v>136</v>
      </c>
      <c r="L420">
        <v>86</v>
      </c>
      <c r="M420" t="s">
        <v>82</v>
      </c>
      <c r="P420" t="s">
        <v>83</v>
      </c>
      <c r="Q420" t="s">
        <v>82</v>
      </c>
      <c r="R420">
        <v>84.5</v>
      </c>
      <c r="S420">
        <v>156</v>
      </c>
      <c r="T420" s="8">
        <f t="shared" si="12"/>
        <v>34.722222222222221</v>
      </c>
      <c r="U420" s="13" t="str" cm="1">
        <f t="array" ref="U420">IF(T420="","",_xlfn.IFS(T420&lt;18.5,"Bajo peso",T420&lt;25,"Peso normal",T420&lt;30,"Sobrepeso",T420&lt;35,"Obesidad clase I",T420&lt;40,"Obesidad clase II",T420&gt;=40,"Obesidad clase III"))</f>
        <v>Obesidad clase I</v>
      </c>
      <c r="V420">
        <v>95</v>
      </c>
      <c r="X420" t="s">
        <v>3463</v>
      </c>
      <c r="Y420">
        <v>0.94</v>
      </c>
      <c r="AA420">
        <v>77</v>
      </c>
      <c r="AB420" s="9">
        <f t="shared" si="13"/>
        <v>76.734160582191038</v>
      </c>
      <c r="AD420" t="s">
        <v>73</v>
      </c>
      <c r="AF420" t="s">
        <v>73</v>
      </c>
      <c r="AH420" t="s">
        <v>3463</v>
      </c>
      <c r="AI420" t="s">
        <v>3463</v>
      </c>
      <c r="AJ420" t="s">
        <v>3463</v>
      </c>
      <c r="AK420" t="s">
        <v>3465</v>
      </c>
      <c r="AL420" t="s">
        <v>3463</v>
      </c>
      <c r="AP420" t="s">
        <v>3463</v>
      </c>
      <c r="AT420" t="s">
        <v>3465</v>
      </c>
      <c r="AU420" t="s">
        <v>80</v>
      </c>
      <c r="AV420" t="s">
        <v>74</v>
      </c>
      <c r="AW420" t="s">
        <v>3915</v>
      </c>
      <c r="AX420" t="s">
        <v>3463</v>
      </c>
      <c r="AY420" t="s">
        <v>3465</v>
      </c>
      <c r="BF420" t="s">
        <v>3921</v>
      </c>
      <c r="BH420" t="s">
        <v>4020</v>
      </c>
      <c r="BP420" t="s">
        <v>4260</v>
      </c>
      <c r="BQ420" t="s">
        <v>3463</v>
      </c>
      <c r="BR420" t="s">
        <v>3463</v>
      </c>
      <c r="BS420" t="s">
        <v>3463</v>
      </c>
      <c r="BT420" t="s">
        <v>3463</v>
      </c>
      <c r="BU420" t="s">
        <v>3463</v>
      </c>
      <c r="BV420" t="s">
        <v>3463</v>
      </c>
      <c r="BW420" t="s">
        <v>3463</v>
      </c>
      <c r="BX420" t="s">
        <v>518</v>
      </c>
      <c r="BY420" t="s">
        <v>79</v>
      </c>
      <c r="BZ420" t="s">
        <v>79</v>
      </c>
      <c r="CA420" s="10">
        <v>45910</v>
      </c>
    </row>
    <row r="421" spans="1:79">
      <c r="A421">
        <v>427</v>
      </c>
      <c r="B421">
        <v>41</v>
      </c>
      <c r="C421">
        <v>32</v>
      </c>
      <c r="D421" t="s">
        <v>3466</v>
      </c>
      <c r="E421" t="s">
        <v>1057</v>
      </c>
      <c r="F421" t="s">
        <v>969</v>
      </c>
      <c r="G421" s="12" t="s">
        <v>3465</v>
      </c>
      <c r="H421" t="s">
        <v>88</v>
      </c>
      <c r="I421">
        <v>81</v>
      </c>
      <c r="J421">
        <v>73</v>
      </c>
      <c r="K421">
        <v>150</v>
      </c>
      <c r="L421">
        <v>91</v>
      </c>
      <c r="M421" t="s">
        <v>72</v>
      </c>
      <c r="N421">
        <v>146</v>
      </c>
      <c r="O421">
        <v>93</v>
      </c>
      <c r="P421" t="s">
        <v>72</v>
      </c>
      <c r="Q421" t="s">
        <v>72</v>
      </c>
      <c r="R421">
        <v>85.2</v>
      </c>
      <c r="S421">
        <v>160</v>
      </c>
      <c r="T421" s="8">
        <f t="shared" si="12"/>
        <v>33.28125</v>
      </c>
      <c r="U421" s="13" t="str" cm="1">
        <f t="array" ref="U421">IF(T421="","",_xlfn.IFS(T421&lt;18.5,"Bajo peso",T421&lt;25,"Peso normal",T421&lt;30,"Sobrepeso",T421&lt;35,"Obesidad clase I",T421&lt;40,"Obesidad clase II",T421&gt;=40,"Obesidad clase III"))</f>
        <v>Obesidad clase I</v>
      </c>
      <c r="V421">
        <v>97</v>
      </c>
      <c r="X421" t="s">
        <v>3463</v>
      </c>
      <c r="Y421">
        <v>0.66</v>
      </c>
      <c r="AA421">
        <v>90</v>
      </c>
      <c r="AB421" s="9">
        <f t="shared" si="13"/>
        <v>119.45247516759729</v>
      </c>
      <c r="AD421" t="s">
        <v>73</v>
      </c>
      <c r="AF421" t="s">
        <v>73</v>
      </c>
      <c r="AH421" t="s">
        <v>3463</v>
      </c>
      <c r="AI421" t="s">
        <v>3463</v>
      </c>
      <c r="AJ421" t="s">
        <v>3463</v>
      </c>
      <c r="AK421" t="s">
        <v>3463</v>
      </c>
      <c r="AL421" t="s">
        <v>3465</v>
      </c>
      <c r="AM421" t="s">
        <v>1077</v>
      </c>
      <c r="AN421" t="s">
        <v>116</v>
      </c>
      <c r="AP421" t="s">
        <v>3463</v>
      </c>
      <c r="AQ421" t="s">
        <v>1078</v>
      </c>
      <c r="AR421" t="s">
        <v>3512</v>
      </c>
      <c r="AT421" t="s">
        <v>3463</v>
      </c>
      <c r="AV421" t="s">
        <v>74</v>
      </c>
      <c r="AW421" t="s">
        <v>3915</v>
      </c>
      <c r="AX421" t="s">
        <v>3463</v>
      </c>
      <c r="AY421" t="s">
        <v>3463</v>
      </c>
      <c r="BF421" t="s">
        <v>3921</v>
      </c>
      <c r="BH421" t="s">
        <v>4020</v>
      </c>
      <c r="BP421" t="s">
        <v>4260</v>
      </c>
      <c r="BQ421" t="s">
        <v>3465</v>
      </c>
      <c r="BR421" t="s">
        <v>3465</v>
      </c>
      <c r="BS421" t="s">
        <v>3463</v>
      </c>
      <c r="BT421" t="s">
        <v>3465</v>
      </c>
      <c r="BU421" t="s">
        <v>3463</v>
      </c>
      <c r="BV421" t="s">
        <v>3463</v>
      </c>
      <c r="BW421" t="s">
        <v>3463</v>
      </c>
      <c r="BX421" t="s">
        <v>79</v>
      </c>
      <c r="BY421" t="s">
        <v>79</v>
      </c>
      <c r="BZ421" t="s">
        <v>79</v>
      </c>
      <c r="CA421" s="10">
        <v>45910</v>
      </c>
    </row>
    <row r="422" spans="1:79">
      <c r="A422">
        <v>428</v>
      </c>
      <c r="B422">
        <v>42</v>
      </c>
      <c r="C422">
        <v>29</v>
      </c>
      <c r="D422" t="s">
        <v>3462</v>
      </c>
      <c r="E422" t="s">
        <v>1079</v>
      </c>
      <c r="F422" t="s">
        <v>969</v>
      </c>
      <c r="G422" s="12" t="s">
        <v>3465</v>
      </c>
      <c r="H422" s="12" t="s">
        <v>88</v>
      </c>
      <c r="I422">
        <v>91</v>
      </c>
      <c r="J422">
        <v>84</v>
      </c>
      <c r="K422">
        <v>159</v>
      </c>
      <c r="L422">
        <v>84</v>
      </c>
      <c r="M422" t="s">
        <v>72</v>
      </c>
      <c r="N422">
        <v>164</v>
      </c>
      <c r="O422">
        <v>87</v>
      </c>
      <c r="P422" t="s">
        <v>72</v>
      </c>
      <c r="Q422" t="s">
        <v>72</v>
      </c>
      <c r="R422">
        <v>96.25</v>
      </c>
      <c r="S422">
        <v>173</v>
      </c>
      <c r="T422" s="8">
        <f t="shared" si="12"/>
        <v>32.1594440175081</v>
      </c>
      <c r="U422" s="13" t="str" cm="1">
        <f t="array" ref="U422">IF(T422="","",_xlfn.IFS(T422&lt;18.5,"Bajo peso",T422&lt;25,"Peso normal",T422&lt;30,"Sobrepeso",T422&lt;35,"Obesidad clase I",T422&lt;40,"Obesidad clase II",T422&gt;=40,"Obesidad clase III"))</f>
        <v>Obesidad clase I</v>
      </c>
      <c r="V422">
        <v>100</v>
      </c>
      <c r="X422" t="s">
        <v>3463</v>
      </c>
      <c r="Y422">
        <v>0.67</v>
      </c>
      <c r="AA422">
        <v>90</v>
      </c>
      <c r="AB422" s="9">
        <f t="shared" si="13"/>
        <v>129.61813599766782</v>
      </c>
      <c r="AD422" t="s">
        <v>73</v>
      </c>
      <c r="AF422" t="s">
        <v>73</v>
      </c>
      <c r="AH422" t="s">
        <v>3463</v>
      </c>
      <c r="AI422" t="s">
        <v>3465</v>
      </c>
      <c r="AJ422" t="s">
        <v>3463</v>
      </c>
      <c r="AK422" t="s">
        <v>3463</v>
      </c>
      <c r="AL422" t="s">
        <v>3465</v>
      </c>
      <c r="AM422" t="s">
        <v>489</v>
      </c>
      <c r="AN422" t="s">
        <v>3637</v>
      </c>
      <c r="AP422" t="s">
        <v>3463</v>
      </c>
      <c r="AQ422" t="s">
        <v>1080</v>
      </c>
      <c r="AR422" t="s">
        <v>3493</v>
      </c>
      <c r="AS422" t="s">
        <v>3465</v>
      </c>
      <c r="AV422" t="s">
        <v>74</v>
      </c>
      <c r="AW422" t="s">
        <v>3915</v>
      </c>
      <c r="BC422" t="s">
        <v>128</v>
      </c>
      <c r="BF422" t="s">
        <v>3921</v>
      </c>
      <c r="BH422" t="s">
        <v>4107</v>
      </c>
      <c r="BI422" t="s">
        <v>734</v>
      </c>
      <c r="BK422" t="s">
        <v>1045</v>
      </c>
      <c r="BL422" t="s">
        <v>1081</v>
      </c>
      <c r="BP422" t="s">
        <v>4373</v>
      </c>
      <c r="BQ422" t="s">
        <v>3463</v>
      </c>
      <c r="BR422" t="s">
        <v>3465</v>
      </c>
      <c r="BS422" t="s">
        <v>3465</v>
      </c>
      <c r="BT422" t="s">
        <v>3465</v>
      </c>
      <c r="BU422" t="s">
        <v>3463</v>
      </c>
      <c r="BV422" t="s">
        <v>3463</v>
      </c>
      <c r="BW422" t="s">
        <v>3463</v>
      </c>
      <c r="BX422" t="s">
        <v>79</v>
      </c>
      <c r="BY422" t="s">
        <v>87</v>
      </c>
      <c r="BZ422" t="s">
        <v>95</v>
      </c>
      <c r="CA422" s="10">
        <v>45910</v>
      </c>
    </row>
    <row r="423" spans="1:79">
      <c r="A423">
        <v>429</v>
      </c>
      <c r="B423">
        <v>43</v>
      </c>
      <c r="C423">
        <v>34</v>
      </c>
      <c r="D423" t="s">
        <v>3466</v>
      </c>
      <c r="F423" t="s">
        <v>969</v>
      </c>
      <c r="G423" s="12" t="s">
        <v>3465</v>
      </c>
      <c r="H423" t="s">
        <v>88</v>
      </c>
      <c r="I423">
        <v>82</v>
      </c>
      <c r="K423">
        <v>136</v>
      </c>
      <c r="L423">
        <v>73</v>
      </c>
      <c r="M423" t="s">
        <v>82</v>
      </c>
      <c r="P423" t="s">
        <v>83</v>
      </c>
      <c r="Q423" t="s">
        <v>82</v>
      </c>
      <c r="R423">
        <v>65.05</v>
      </c>
      <c r="S423">
        <v>154.5</v>
      </c>
      <c r="T423" s="8">
        <f t="shared" si="12"/>
        <v>27.251495061844764</v>
      </c>
      <c r="U423" s="13" t="str" cm="1">
        <f t="array" ref="U423">IF(T423="","",_xlfn.IFS(T423&lt;18.5,"Bajo peso",T423&lt;25,"Peso normal",T423&lt;30,"Sobrepeso",T423&lt;35,"Obesidad clase I",T423&lt;40,"Obesidad clase II",T423&gt;=40,"Obesidad clase III"))</f>
        <v>Sobrepeso</v>
      </c>
      <c r="V423">
        <v>107</v>
      </c>
      <c r="X423" t="s">
        <v>3463</v>
      </c>
      <c r="Y423">
        <v>0.69</v>
      </c>
      <c r="AA423">
        <v>90</v>
      </c>
      <c r="AB423" s="9">
        <f t="shared" si="13"/>
        <v>116.71874133388128</v>
      </c>
      <c r="AD423" t="s">
        <v>73</v>
      </c>
      <c r="AF423" t="s">
        <v>73</v>
      </c>
      <c r="AH423" t="s">
        <v>3463</v>
      </c>
      <c r="AI423" t="s">
        <v>3463</v>
      </c>
      <c r="AJ423" t="s">
        <v>3463</v>
      </c>
      <c r="AK423" t="s">
        <v>3463</v>
      </c>
      <c r="AL423" t="s">
        <v>3463</v>
      </c>
      <c r="AO423" t="s">
        <v>3465</v>
      </c>
      <c r="AP423" t="s">
        <v>3465</v>
      </c>
      <c r="AQ423" t="s">
        <v>1082</v>
      </c>
      <c r="AR423" t="s">
        <v>3529</v>
      </c>
      <c r="AT423" t="s">
        <v>3463</v>
      </c>
      <c r="AV423" t="s">
        <v>126</v>
      </c>
      <c r="AW423" t="s">
        <v>126</v>
      </c>
      <c r="AX423" t="s">
        <v>3463</v>
      </c>
      <c r="AY423" t="s">
        <v>3465</v>
      </c>
      <c r="AZ423" t="s">
        <v>1083</v>
      </c>
      <c r="BF423" t="s">
        <v>3921</v>
      </c>
      <c r="BH423" t="s">
        <v>4020</v>
      </c>
      <c r="BP423" t="s">
        <v>4260</v>
      </c>
      <c r="BQ423" t="s">
        <v>3463</v>
      </c>
      <c r="BR423" t="s">
        <v>3463</v>
      </c>
      <c r="BS423" t="s">
        <v>3465</v>
      </c>
      <c r="BT423" t="s">
        <v>3465</v>
      </c>
      <c r="BU423" t="s">
        <v>3463</v>
      </c>
      <c r="BV423" t="s">
        <v>3463</v>
      </c>
      <c r="BW423" t="s">
        <v>3463</v>
      </c>
      <c r="BX423" t="s">
        <v>79</v>
      </c>
      <c r="BY423" t="s">
        <v>87</v>
      </c>
      <c r="BZ423" t="s">
        <v>95</v>
      </c>
      <c r="CA423" s="10">
        <v>45910</v>
      </c>
    </row>
    <row r="424" spans="1:79">
      <c r="A424">
        <v>430</v>
      </c>
      <c r="B424">
        <v>44</v>
      </c>
      <c r="C424">
        <v>35</v>
      </c>
      <c r="D424" t="s">
        <v>3466</v>
      </c>
      <c r="E424" t="s">
        <v>974</v>
      </c>
      <c r="F424" t="s">
        <v>969</v>
      </c>
      <c r="G424" s="12" t="s">
        <v>3465</v>
      </c>
      <c r="H424" s="12" t="s">
        <v>88</v>
      </c>
      <c r="I424">
        <v>74</v>
      </c>
      <c r="J424">
        <v>70</v>
      </c>
      <c r="K424">
        <v>150</v>
      </c>
      <c r="L424">
        <v>81</v>
      </c>
      <c r="M424" t="s">
        <v>72</v>
      </c>
      <c r="N424">
        <v>131</v>
      </c>
      <c r="O424">
        <v>77</v>
      </c>
      <c r="P424" t="s">
        <v>82</v>
      </c>
      <c r="Q424" t="s">
        <v>82</v>
      </c>
      <c r="R424">
        <v>67.599999999999994</v>
      </c>
      <c r="S424">
        <v>158</v>
      </c>
      <c r="T424" s="8">
        <f t="shared" si="12"/>
        <v>27.078993751001438</v>
      </c>
      <c r="U424" s="13" t="str" cm="1">
        <f t="array" ref="U424">IF(T424="","",_xlfn.IFS(T424&lt;18.5,"Bajo peso",T424&lt;25,"Peso normal",T424&lt;30,"Sobrepeso",T424&lt;35,"Obesidad clase I",T424&lt;40,"Obesidad clase II",T424&gt;=40,"Obesidad clase III"))</f>
        <v>Sobrepeso</v>
      </c>
      <c r="V424">
        <v>91</v>
      </c>
      <c r="X424" t="s">
        <v>3463</v>
      </c>
      <c r="Y424">
        <v>0.49</v>
      </c>
      <c r="AA424">
        <v>90</v>
      </c>
      <c r="AB424" s="9">
        <f t="shared" si="13"/>
        <v>125.96937180233614</v>
      </c>
      <c r="AD424" t="s">
        <v>73</v>
      </c>
      <c r="AF424" t="s">
        <v>73</v>
      </c>
      <c r="AH424" t="s">
        <v>3463</v>
      </c>
      <c r="AI424" t="s">
        <v>3463</v>
      </c>
      <c r="AJ424" t="s">
        <v>3465</v>
      </c>
      <c r="AK424" t="s">
        <v>3465</v>
      </c>
      <c r="AL424" t="s">
        <v>3463</v>
      </c>
      <c r="AP424" t="s">
        <v>3463</v>
      </c>
      <c r="AQ424" t="s">
        <v>1055</v>
      </c>
      <c r="AR424" t="s">
        <v>3491</v>
      </c>
      <c r="AT424" t="s">
        <v>3463</v>
      </c>
      <c r="AV424" t="s">
        <v>74</v>
      </c>
      <c r="AW424" t="s">
        <v>3915</v>
      </c>
      <c r="AX424" t="s">
        <v>3463</v>
      </c>
      <c r="AY424" t="s">
        <v>3465</v>
      </c>
      <c r="AZ424" t="s">
        <v>1084</v>
      </c>
      <c r="BF424" t="s">
        <v>3921</v>
      </c>
      <c r="BH424" t="s">
        <v>4020</v>
      </c>
      <c r="BP424" t="s">
        <v>4260</v>
      </c>
      <c r="BQ424" t="s">
        <v>3463</v>
      </c>
      <c r="BR424" t="s">
        <v>3465</v>
      </c>
      <c r="BS424" t="s">
        <v>3465</v>
      </c>
      <c r="BT424" t="s">
        <v>3465</v>
      </c>
      <c r="BU424" t="s">
        <v>3463</v>
      </c>
      <c r="BV424" t="s">
        <v>3463</v>
      </c>
      <c r="BW424" t="s">
        <v>3463</v>
      </c>
      <c r="BX424" t="s">
        <v>79</v>
      </c>
      <c r="BY424" t="s">
        <v>79</v>
      </c>
      <c r="BZ424" t="s">
        <v>79</v>
      </c>
      <c r="CA424" s="10">
        <v>45910</v>
      </c>
    </row>
    <row r="425" spans="1:79">
      <c r="A425">
        <v>431</v>
      </c>
      <c r="B425">
        <v>45</v>
      </c>
      <c r="C425">
        <v>74</v>
      </c>
      <c r="D425" t="s">
        <v>3466</v>
      </c>
      <c r="E425" t="s">
        <v>1085</v>
      </c>
      <c r="F425" t="s">
        <v>1062</v>
      </c>
      <c r="G425" s="12" t="s">
        <v>3465</v>
      </c>
      <c r="H425" t="s">
        <v>88</v>
      </c>
      <c r="I425">
        <v>93</v>
      </c>
      <c r="J425">
        <v>92</v>
      </c>
      <c r="K425">
        <v>146</v>
      </c>
      <c r="L425">
        <v>66</v>
      </c>
      <c r="M425" t="s">
        <v>72</v>
      </c>
      <c r="N425">
        <v>151</v>
      </c>
      <c r="O425">
        <v>66</v>
      </c>
      <c r="P425" t="s">
        <v>72</v>
      </c>
      <c r="Q425" t="s">
        <v>72</v>
      </c>
      <c r="R425">
        <v>70.5</v>
      </c>
      <c r="S425">
        <v>145</v>
      </c>
      <c r="T425" s="8">
        <f t="shared" si="12"/>
        <v>33.531510107015457</v>
      </c>
      <c r="U425" s="13" t="str" cm="1">
        <f t="array" ref="U425">IF(T425="","",_xlfn.IFS(T425&lt;18.5,"Bajo peso",T425&lt;25,"Peso normal",T425&lt;30,"Sobrepeso",T425&lt;35,"Obesidad clase I",T425&lt;40,"Obesidad clase II",T425&gt;=40,"Obesidad clase III"))</f>
        <v>Obesidad clase I</v>
      </c>
      <c r="V425">
        <v>141</v>
      </c>
      <c r="X425" t="s">
        <v>3463</v>
      </c>
      <c r="Y425">
        <v>1.75</v>
      </c>
      <c r="Z425">
        <v>3.56</v>
      </c>
      <c r="AA425">
        <v>35</v>
      </c>
      <c r="AB425" s="9">
        <f t="shared" si="13"/>
        <v>30.204126798063292</v>
      </c>
      <c r="AC425">
        <v>15</v>
      </c>
      <c r="AD425" t="s">
        <v>218</v>
      </c>
      <c r="AE425" t="s">
        <v>303</v>
      </c>
      <c r="AF425" t="s">
        <v>218</v>
      </c>
      <c r="AG425" t="s">
        <v>3465</v>
      </c>
      <c r="AH425" t="s">
        <v>3465</v>
      </c>
      <c r="AI425" t="s">
        <v>3465</v>
      </c>
      <c r="AJ425" t="s">
        <v>3463</v>
      </c>
      <c r="AK425" t="s">
        <v>3465</v>
      </c>
      <c r="AL425" t="s">
        <v>3463</v>
      </c>
      <c r="AO425" t="s">
        <v>3463</v>
      </c>
      <c r="AP425" t="s">
        <v>3465</v>
      </c>
      <c r="AS425" t="s">
        <v>3465</v>
      </c>
      <c r="AT425" t="s">
        <v>3463</v>
      </c>
      <c r="AV425" t="s">
        <v>178</v>
      </c>
      <c r="AW425" t="s">
        <v>3918</v>
      </c>
      <c r="AX425" t="s">
        <v>3463</v>
      </c>
      <c r="BA425" t="s">
        <v>3920</v>
      </c>
      <c r="BB425" t="s">
        <v>3485</v>
      </c>
      <c r="BD425" t="s">
        <v>105</v>
      </c>
      <c r="BE425" t="s">
        <v>1086</v>
      </c>
      <c r="BF425" t="s">
        <v>3945</v>
      </c>
      <c r="BH425" t="s">
        <v>4123</v>
      </c>
      <c r="BK425" t="s">
        <v>1087</v>
      </c>
      <c r="BL425" t="s">
        <v>1088</v>
      </c>
      <c r="BP425" t="s">
        <v>4403</v>
      </c>
      <c r="BQ425" t="s">
        <v>3463</v>
      </c>
      <c r="BR425" t="s">
        <v>3463</v>
      </c>
      <c r="BS425" t="s">
        <v>3463</v>
      </c>
      <c r="BT425" t="s">
        <v>3463</v>
      </c>
      <c r="BU425" t="s">
        <v>3465</v>
      </c>
      <c r="BV425" t="s">
        <v>3465</v>
      </c>
      <c r="BW425" t="s">
        <v>3465</v>
      </c>
      <c r="BX425" t="s">
        <v>518</v>
      </c>
      <c r="BY425" t="s">
        <v>121</v>
      </c>
      <c r="BZ425" t="s">
        <v>95</v>
      </c>
      <c r="CA425" s="10">
        <v>45910</v>
      </c>
    </row>
    <row r="426" spans="1:79">
      <c r="A426">
        <v>432</v>
      </c>
      <c r="B426">
        <v>46</v>
      </c>
      <c r="C426">
        <v>46</v>
      </c>
      <c r="D426" t="s">
        <v>3462</v>
      </c>
      <c r="E426" t="s">
        <v>1057</v>
      </c>
      <c r="F426" t="s">
        <v>969</v>
      </c>
      <c r="G426" s="12" t="s">
        <v>3465</v>
      </c>
      <c r="H426" t="s">
        <v>88</v>
      </c>
      <c r="I426">
        <v>50</v>
      </c>
      <c r="J426">
        <v>50</v>
      </c>
      <c r="K426">
        <v>151</v>
      </c>
      <c r="L426">
        <v>83</v>
      </c>
      <c r="M426" t="s">
        <v>72</v>
      </c>
      <c r="N426">
        <v>164</v>
      </c>
      <c r="O426">
        <v>92</v>
      </c>
      <c r="P426" t="s">
        <v>72</v>
      </c>
      <c r="Q426" t="s">
        <v>72</v>
      </c>
      <c r="R426">
        <v>79</v>
      </c>
      <c r="S426">
        <v>167</v>
      </c>
      <c r="T426" s="8">
        <f t="shared" si="12"/>
        <v>28.326580372189753</v>
      </c>
      <c r="U426" s="13" t="str" cm="1">
        <f t="array" ref="U426">IF(T426="","",_xlfn.IFS(T426&lt;18.5,"Bajo peso",T426&lt;25,"Peso normal",T426&lt;30,"Sobrepeso",T426&lt;35,"Obesidad clase I",T426&lt;40,"Obesidad clase II",T426&gt;=40,"Obesidad clase III"))</f>
        <v>Sobrepeso</v>
      </c>
      <c r="V426">
        <v>80</v>
      </c>
      <c r="X426" t="s">
        <v>3463</v>
      </c>
      <c r="Y426">
        <v>0.72</v>
      </c>
      <c r="AA426">
        <v>90</v>
      </c>
      <c r="AB426" s="9">
        <f t="shared" si="13"/>
        <v>114.10608874268458</v>
      </c>
      <c r="AD426" t="s">
        <v>73</v>
      </c>
      <c r="AF426" t="s">
        <v>73</v>
      </c>
      <c r="AH426" t="s">
        <v>3463</v>
      </c>
      <c r="AI426" t="s">
        <v>3463</v>
      </c>
      <c r="AJ426" t="s">
        <v>3463</v>
      </c>
      <c r="AK426" t="s">
        <v>3463</v>
      </c>
      <c r="AL426" t="s">
        <v>3463</v>
      </c>
      <c r="AP426" t="s">
        <v>3463</v>
      </c>
      <c r="AQ426" t="s">
        <v>120</v>
      </c>
      <c r="AR426" t="s">
        <v>3491</v>
      </c>
      <c r="AV426" t="s">
        <v>74</v>
      </c>
      <c r="AW426" t="s">
        <v>3915</v>
      </c>
      <c r="BF426" t="s">
        <v>3921</v>
      </c>
      <c r="BH426" t="s">
        <v>4021</v>
      </c>
      <c r="BI426" t="s">
        <v>76</v>
      </c>
      <c r="BK426" t="s">
        <v>911</v>
      </c>
      <c r="BL426" t="s">
        <v>1089</v>
      </c>
      <c r="BP426" t="s">
        <v>4261</v>
      </c>
      <c r="BQ426" t="s">
        <v>3463</v>
      </c>
      <c r="BR426" t="s">
        <v>3463</v>
      </c>
      <c r="BS426" t="s">
        <v>3465</v>
      </c>
      <c r="BT426" t="s">
        <v>3465</v>
      </c>
      <c r="BU426" t="s">
        <v>3463</v>
      </c>
      <c r="BV426" t="s">
        <v>3463</v>
      </c>
      <c r="BW426" t="s">
        <v>3463</v>
      </c>
      <c r="BX426" t="s">
        <v>79</v>
      </c>
      <c r="BY426" t="s">
        <v>87</v>
      </c>
      <c r="BZ426" t="s">
        <v>79</v>
      </c>
      <c r="CA426" s="10">
        <v>45910</v>
      </c>
    </row>
    <row r="427" spans="1:79">
      <c r="A427">
        <v>433</v>
      </c>
      <c r="B427">
        <v>47</v>
      </c>
      <c r="C427">
        <v>27</v>
      </c>
      <c r="D427" t="s">
        <v>3466</v>
      </c>
      <c r="E427" t="s">
        <v>1090</v>
      </c>
      <c r="F427" t="s">
        <v>969</v>
      </c>
      <c r="G427" s="12" t="s">
        <v>3465</v>
      </c>
      <c r="H427" s="12" t="s">
        <v>88</v>
      </c>
      <c r="I427">
        <v>86</v>
      </c>
      <c r="K427">
        <v>129</v>
      </c>
      <c r="L427">
        <v>70</v>
      </c>
      <c r="M427" t="s">
        <v>118</v>
      </c>
      <c r="P427" t="s">
        <v>83</v>
      </c>
      <c r="Q427" t="s">
        <v>118</v>
      </c>
      <c r="R427">
        <v>77.400000000000006</v>
      </c>
      <c r="S427">
        <v>161</v>
      </c>
      <c r="T427" s="8">
        <f t="shared" si="12"/>
        <v>29.859959106515955</v>
      </c>
      <c r="U427" s="13" t="str" cm="1">
        <f t="array" ref="U427">IF(T427="","",_xlfn.IFS(T427&lt;18.5,"Bajo peso",T427&lt;25,"Peso normal",T427&lt;30,"Sobrepeso",T427&lt;35,"Obesidad clase I",T427&lt;40,"Obesidad clase II",T427&gt;=40,"Obesidad clase III"))</f>
        <v>Sobrepeso</v>
      </c>
      <c r="V427">
        <v>95</v>
      </c>
      <c r="X427" t="s">
        <v>3463</v>
      </c>
      <c r="Y427">
        <v>0.5</v>
      </c>
      <c r="AA427">
        <v>90</v>
      </c>
      <c r="AB427" s="9">
        <f t="shared" si="13"/>
        <v>131.75239195548193</v>
      </c>
      <c r="AD427" t="s">
        <v>73</v>
      </c>
      <c r="AF427" t="s">
        <v>73</v>
      </c>
      <c r="AH427" t="s">
        <v>3463</v>
      </c>
      <c r="AI427" t="s">
        <v>3463</v>
      </c>
      <c r="AJ427" t="s">
        <v>3463</v>
      </c>
      <c r="AK427" t="s">
        <v>3463</v>
      </c>
      <c r="AL427" t="s">
        <v>3463</v>
      </c>
      <c r="AP427" t="s">
        <v>3463</v>
      </c>
      <c r="AQ427" t="s">
        <v>1091</v>
      </c>
      <c r="AR427" t="s">
        <v>3491</v>
      </c>
      <c r="AV427" t="s">
        <v>178</v>
      </c>
      <c r="AW427" t="s">
        <v>3918</v>
      </c>
      <c r="AX427" t="s">
        <v>3463</v>
      </c>
      <c r="AY427" t="s">
        <v>3465</v>
      </c>
      <c r="AZ427" t="s">
        <v>104</v>
      </c>
      <c r="BF427" t="s">
        <v>3921</v>
      </c>
      <c r="BH427" t="s">
        <v>4020</v>
      </c>
      <c r="BP427" t="s">
        <v>4260</v>
      </c>
      <c r="BQ427" t="s">
        <v>3465</v>
      </c>
      <c r="BR427" t="s">
        <v>3463</v>
      </c>
      <c r="BS427" t="s">
        <v>3463</v>
      </c>
      <c r="BT427" t="s">
        <v>3465</v>
      </c>
      <c r="BU427" t="s">
        <v>3463</v>
      </c>
      <c r="BV427" t="s">
        <v>3463</v>
      </c>
      <c r="BW427" t="s">
        <v>3463</v>
      </c>
      <c r="BX427" t="s">
        <v>79</v>
      </c>
      <c r="BY427" t="s">
        <v>79</v>
      </c>
      <c r="BZ427" t="s">
        <v>79</v>
      </c>
      <c r="CA427" s="10">
        <v>45910</v>
      </c>
    </row>
    <row r="428" spans="1:79">
      <c r="A428">
        <v>434</v>
      </c>
      <c r="B428">
        <v>48</v>
      </c>
      <c r="C428">
        <v>29</v>
      </c>
      <c r="D428" t="s">
        <v>3466</v>
      </c>
      <c r="F428" t="s">
        <v>969</v>
      </c>
      <c r="G428" s="12" t="s">
        <v>3465</v>
      </c>
      <c r="H428" s="12" t="s">
        <v>88</v>
      </c>
      <c r="I428">
        <v>79</v>
      </c>
      <c r="J428">
        <v>72</v>
      </c>
      <c r="K428">
        <v>140</v>
      </c>
      <c r="L428">
        <v>73</v>
      </c>
      <c r="M428" t="s">
        <v>72</v>
      </c>
      <c r="N428">
        <v>131</v>
      </c>
      <c r="O428">
        <v>73</v>
      </c>
      <c r="P428" t="s">
        <v>82</v>
      </c>
      <c r="Q428" t="s">
        <v>82</v>
      </c>
      <c r="R428">
        <v>92.3</v>
      </c>
      <c r="S428">
        <v>160</v>
      </c>
      <c r="T428" s="8">
        <f t="shared" si="12"/>
        <v>36.0546875</v>
      </c>
      <c r="U428" s="13" t="str" cm="1">
        <f t="array" ref="U428">IF(T428="","",_xlfn.IFS(T428&lt;18.5,"Bajo peso",T428&lt;25,"Peso normal",T428&lt;30,"Sobrepeso",T428&lt;35,"Obesidad clase I",T428&lt;40,"Obesidad clase II",T428&gt;=40,"Obesidad clase III"))</f>
        <v>Obesidad clase II</v>
      </c>
      <c r="V428">
        <v>95</v>
      </c>
      <c r="X428" t="s">
        <v>3463</v>
      </c>
      <c r="Y428">
        <v>0.98</v>
      </c>
      <c r="AA428">
        <v>80</v>
      </c>
      <c r="AB428" s="9">
        <f t="shared" si="13"/>
        <v>80.128312009416987</v>
      </c>
      <c r="AD428" t="s">
        <v>73</v>
      </c>
      <c r="AF428" t="s">
        <v>73</v>
      </c>
      <c r="AH428" t="s">
        <v>3463</v>
      </c>
      <c r="AI428" t="s">
        <v>3463</v>
      </c>
      <c r="AJ428" t="s">
        <v>3463</v>
      </c>
      <c r="AK428" t="s">
        <v>3465</v>
      </c>
      <c r="AL428" t="s">
        <v>3463</v>
      </c>
      <c r="AP428" t="s">
        <v>3463</v>
      </c>
      <c r="AQ428" t="s">
        <v>1092</v>
      </c>
      <c r="AR428" t="s">
        <v>3488</v>
      </c>
      <c r="AT428" t="s">
        <v>3463</v>
      </c>
      <c r="AV428" t="s">
        <v>126</v>
      </c>
      <c r="AW428" t="s">
        <v>126</v>
      </c>
      <c r="AX428" t="s">
        <v>3463</v>
      </c>
      <c r="AY428" t="s">
        <v>3465</v>
      </c>
      <c r="AZ428" t="s">
        <v>900</v>
      </c>
      <c r="BF428" t="s">
        <v>3921</v>
      </c>
      <c r="BH428" t="s">
        <v>4020</v>
      </c>
      <c r="BP428" t="s">
        <v>4260</v>
      </c>
      <c r="BQ428" t="s">
        <v>3463</v>
      </c>
      <c r="BR428" t="s">
        <v>3465</v>
      </c>
      <c r="BS428" t="s">
        <v>3463</v>
      </c>
      <c r="BT428" t="s">
        <v>3465</v>
      </c>
      <c r="BU428" t="s">
        <v>3463</v>
      </c>
      <c r="BV428" t="s">
        <v>3463</v>
      </c>
      <c r="BW428" t="s">
        <v>3463</v>
      </c>
      <c r="BX428" t="s">
        <v>121</v>
      </c>
      <c r="BY428" t="s">
        <v>79</v>
      </c>
      <c r="BZ428" t="s">
        <v>79</v>
      </c>
      <c r="CA428" s="10">
        <v>45910</v>
      </c>
    </row>
    <row r="429" spans="1:79">
      <c r="A429">
        <v>435</v>
      </c>
      <c r="B429">
        <v>49</v>
      </c>
      <c r="C429">
        <v>41</v>
      </c>
      <c r="D429" t="s">
        <v>3466</v>
      </c>
      <c r="E429" t="s">
        <v>1005</v>
      </c>
      <c r="F429" t="s">
        <v>969</v>
      </c>
      <c r="G429" s="12" t="s">
        <v>3463</v>
      </c>
      <c r="H429" s="12"/>
      <c r="I429">
        <v>76</v>
      </c>
      <c r="J429">
        <v>71</v>
      </c>
      <c r="K429">
        <v>144</v>
      </c>
      <c r="L429">
        <v>76</v>
      </c>
      <c r="M429" t="s">
        <v>72</v>
      </c>
      <c r="N429">
        <v>141</v>
      </c>
      <c r="O429">
        <v>77</v>
      </c>
      <c r="P429" t="s">
        <v>72</v>
      </c>
      <c r="Q429" t="s">
        <v>72</v>
      </c>
      <c r="R429">
        <v>65.5</v>
      </c>
      <c r="S429">
        <v>162</v>
      </c>
      <c r="T429" s="8">
        <f t="shared" si="12"/>
        <v>24.958085657674133</v>
      </c>
      <c r="U429" s="13" t="str" cm="1">
        <f t="array" ref="U429">IF(T429="","",_xlfn.IFS(T429&lt;18.5,"Bajo peso",T429&lt;25,"Peso normal",T429&lt;30,"Sobrepeso",T429&lt;35,"Obesidad clase I",T429&lt;40,"Obesidad clase II",T429&gt;=40,"Obesidad clase III"))</f>
        <v>Peso normal</v>
      </c>
      <c r="V429">
        <v>95</v>
      </c>
      <c r="X429" t="s">
        <v>3463</v>
      </c>
      <c r="Y429">
        <v>0.73</v>
      </c>
      <c r="AA429">
        <v>90</v>
      </c>
      <c r="AB429" s="9">
        <f t="shared" si="13"/>
        <v>105.8906859295534</v>
      </c>
      <c r="AD429" t="s">
        <v>73</v>
      </c>
      <c r="AF429" t="s">
        <v>73</v>
      </c>
      <c r="AH429" t="s">
        <v>3463</v>
      </c>
      <c r="AI429" t="s">
        <v>3463</v>
      </c>
      <c r="AJ429" t="s">
        <v>3463</v>
      </c>
      <c r="AK429" t="s">
        <v>3463</v>
      </c>
      <c r="AL429" t="s">
        <v>3465</v>
      </c>
      <c r="AM429" t="s">
        <v>301</v>
      </c>
      <c r="AN429" t="s">
        <v>3617</v>
      </c>
      <c r="AP429" t="s">
        <v>3463</v>
      </c>
      <c r="AQ429" t="s">
        <v>1093</v>
      </c>
      <c r="AR429" t="s">
        <v>3491</v>
      </c>
      <c r="AT429" t="s">
        <v>3465</v>
      </c>
      <c r="AU429" t="s">
        <v>80</v>
      </c>
      <c r="AV429" t="s">
        <v>74</v>
      </c>
      <c r="AW429" t="s">
        <v>3915</v>
      </c>
      <c r="AX429" t="s">
        <v>3463</v>
      </c>
      <c r="AY429" t="s">
        <v>3465</v>
      </c>
      <c r="AZ429" t="s">
        <v>1094</v>
      </c>
      <c r="BF429" t="s">
        <v>3921</v>
      </c>
      <c r="BH429" t="s">
        <v>4020</v>
      </c>
      <c r="BP429" t="s">
        <v>4260</v>
      </c>
      <c r="BQ429" t="s">
        <v>3463</v>
      </c>
      <c r="BR429" t="s">
        <v>3465</v>
      </c>
      <c r="BS429" t="s">
        <v>3463</v>
      </c>
      <c r="BT429" t="s">
        <v>3465</v>
      </c>
      <c r="BU429" t="s">
        <v>3463</v>
      </c>
      <c r="BV429" t="s">
        <v>3463</v>
      </c>
      <c r="BW429" t="s">
        <v>3463</v>
      </c>
      <c r="BX429" t="s">
        <v>79</v>
      </c>
      <c r="BY429" t="s">
        <v>79</v>
      </c>
      <c r="BZ429" t="s">
        <v>79</v>
      </c>
      <c r="CA429" s="10">
        <v>45910</v>
      </c>
    </row>
    <row r="430" spans="1:79">
      <c r="A430">
        <v>436</v>
      </c>
      <c r="B430">
        <v>50</v>
      </c>
      <c r="C430">
        <v>63</v>
      </c>
      <c r="D430" t="s">
        <v>3466</v>
      </c>
      <c r="E430" t="s">
        <v>1095</v>
      </c>
      <c r="F430" t="s">
        <v>969</v>
      </c>
      <c r="G430" s="12" t="s">
        <v>3463</v>
      </c>
      <c r="H430" s="12"/>
      <c r="I430">
        <v>72</v>
      </c>
      <c r="J430">
        <v>72</v>
      </c>
      <c r="K430">
        <v>154</v>
      </c>
      <c r="L430">
        <v>86</v>
      </c>
      <c r="M430" t="s">
        <v>72</v>
      </c>
      <c r="N430">
        <v>154</v>
      </c>
      <c r="O430">
        <v>84</v>
      </c>
      <c r="P430" t="s">
        <v>72</v>
      </c>
      <c r="Q430" t="s">
        <v>72</v>
      </c>
      <c r="R430">
        <v>71.400000000000006</v>
      </c>
      <c r="S430">
        <v>153.5</v>
      </c>
      <c r="T430" s="8">
        <f t="shared" si="12"/>
        <v>30.302708782056044</v>
      </c>
      <c r="U430" s="13" t="str" cm="1">
        <f t="array" ref="U430">IF(T430="","",_xlfn.IFS(T430&lt;18.5,"Bajo peso",T430&lt;25,"Peso normal",T430&lt;30,"Sobrepeso",T430&lt;35,"Obesidad clase I",T430&lt;40,"Obesidad clase II",T430&gt;=40,"Obesidad clase III"))</f>
        <v>Obesidad clase I</v>
      </c>
      <c r="V430">
        <v>144</v>
      </c>
      <c r="X430" t="s">
        <v>3463</v>
      </c>
      <c r="Y430">
        <v>0.51</v>
      </c>
      <c r="AA430">
        <v>90</v>
      </c>
      <c r="AB430" s="9">
        <f t="shared" si="13"/>
        <v>104.82131263376338</v>
      </c>
      <c r="AD430" t="s">
        <v>73</v>
      </c>
      <c r="AF430" t="s">
        <v>73</v>
      </c>
      <c r="AG430" t="s">
        <v>3465</v>
      </c>
      <c r="AH430" t="s">
        <v>3465</v>
      </c>
      <c r="AI430" t="s">
        <v>3465</v>
      </c>
      <c r="AJ430" t="s">
        <v>3463</v>
      </c>
      <c r="AK430" t="s">
        <v>3463</v>
      </c>
      <c r="AL430" t="s">
        <v>3465</v>
      </c>
      <c r="AM430" t="s">
        <v>1096</v>
      </c>
      <c r="AN430" t="s">
        <v>3704</v>
      </c>
      <c r="AO430" t="s">
        <v>3463</v>
      </c>
      <c r="AP430" t="s">
        <v>3465</v>
      </c>
      <c r="AQ430" t="s">
        <v>120</v>
      </c>
      <c r="AR430" t="s">
        <v>3491</v>
      </c>
      <c r="AS430" t="s">
        <v>3465</v>
      </c>
      <c r="AT430" t="s">
        <v>3463</v>
      </c>
      <c r="AV430" t="s">
        <v>74</v>
      </c>
      <c r="AW430" t="s">
        <v>3915</v>
      </c>
      <c r="AX430" t="s">
        <v>3463</v>
      </c>
      <c r="AY430" t="s">
        <v>3463</v>
      </c>
      <c r="BF430" t="s">
        <v>3921</v>
      </c>
      <c r="BH430" t="s">
        <v>4020</v>
      </c>
      <c r="BP430" t="s">
        <v>4260</v>
      </c>
      <c r="BQ430" t="s">
        <v>3463</v>
      </c>
      <c r="BR430" t="s">
        <v>3463</v>
      </c>
      <c r="BS430" t="s">
        <v>3463</v>
      </c>
      <c r="BT430" t="s">
        <v>3463</v>
      </c>
      <c r="BU430" t="s">
        <v>3463</v>
      </c>
      <c r="BV430" t="s">
        <v>3463</v>
      </c>
      <c r="BW430" t="s">
        <v>3463</v>
      </c>
      <c r="BX430" t="s">
        <v>79</v>
      </c>
      <c r="BY430" t="s">
        <v>79</v>
      </c>
      <c r="BZ430" t="s">
        <v>79</v>
      </c>
      <c r="CA430" s="10">
        <v>45910</v>
      </c>
    </row>
    <row r="431" spans="1:79">
      <c r="A431">
        <v>437</v>
      </c>
      <c r="B431">
        <v>51</v>
      </c>
      <c r="C431">
        <v>50</v>
      </c>
      <c r="D431" t="s">
        <v>3466</v>
      </c>
      <c r="F431" t="s">
        <v>168</v>
      </c>
      <c r="G431" s="12" t="s">
        <v>3463</v>
      </c>
      <c r="H431" s="12"/>
      <c r="I431">
        <v>70</v>
      </c>
      <c r="J431">
        <v>73</v>
      </c>
      <c r="K431">
        <v>147</v>
      </c>
      <c r="L431">
        <v>79</v>
      </c>
      <c r="M431" t="s">
        <v>72</v>
      </c>
      <c r="N431">
        <v>140</v>
      </c>
      <c r="O431">
        <v>76</v>
      </c>
      <c r="P431" t="s">
        <v>72</v>
      </c>
      <c r="Q431" t="s">
        <v>72</v>
      </c>
      <c r="R431">
        <v>72.099999999999994</v>
      </c>
      <c r="S431">
        <v>150</v>
      </c>
      <c r="T431" s="8">
        <f t="shared" si="12"/>
        <v>32.044444444444444</v>
      </c>
      <c r="U431" s="13" t="str" cm="1">
        <f t="array" ref="U431">IF(T431="","",_xlfn.IFS(T431&lt;18.5,"Bajo peso",T431&lt;25,"Peso normal",T431&lt;30,"Sobrepeso",T431&lt;35,"Obesidad clase I",T431&lt;40,"Obesidad clase II",T431&gt;=40,"Obesidad clase III"))</f>
        <v>Obesidad clase I</v>
      </c>
      <c r="V431">
        <v>68</v>
      </c>
      <c r="X431" t="s">
        <v>3463</v>
      </c>
      <c r="Y431">
        <v>0.83</v>
      </c>
      <c r="AA431">
        <v>85</v>
      </c>
      <c r="AB431" s="9">
        <f t="shared" si="13"/>
        <v>85.830652580319722</v>
      </c>
      <c r="AD431" t="s">
        <v>73</v>
      </c>
      <c r="AF431" t="s">
        <v>73</v>
      </c>
      <c r="AH431" t="s">
        <v>3463</v>
      </c>
      <c r="AI431" t="s">
        <v>3463</v>
      </c>
      <c r="AJ431" t="s">
        <v>3465</v>
      </c>
      <c r="AK431" t="s">
        <v>3465</v>
      </c>
      <c r="AL431" t="s">
        <v>3465</v>
      </c>
      <c r="AM431" t="s">
        <v>1097</v>
      </c>
      <c r="AN431" t="s">
        <v>3705</v>
      </c>
      <c r="AO431" t="s">
        <v>3465</v>
      </c>
      <c r="AP431" t="s">
        <v>3465</v>
      </c>
      <c r="AQ431" t="s">
        <v>1098</v>
      </c>
      <c r="AR431" t="s">
        <v>3540</v>
      </c>
      <c r="AT431" t="s">
        <v>3465</v>
      </c>
      <c r="AU431" t="s">
        <v>125</v>
      </c>
      <c r="AV431" t="s">
        <v>74</v>
      </c>
      <c r="AW431" t="s">
        <v>3915</v>
      </c>
      <c r="AX431" t="s">
        <v>3463</v>
      </c>
      <c r="AY431" t="s">
        <v>3465</v>
      </c>
      <c r="AZ431" t="s">
        <v>1099</v>
      </c>
      <c r="BF431" t="s">
        <v>3921</v>
      </c>
      <c r="BH431" t="s">
        <v>4020</v>
      </c>
      <c r="BP431" t="s">
        <v>4260</v>
      </c>
      <c r="BQ431" t="s">
        <v>3463</v>
      </c>
      <c r="BR431" t="s">
        <v>3465</v>
      </c>
      <c r="BS431" t="s">
        <v>3465</v>
      </c>
      <c r="BT431" t="s">
        <v>3465</v>
      </c>
      <c r="BU431" t="s">
        <v>3463</v>
      </c>
      <c r="BV431" t="s">
        <v>3463</v>
      </c>
      <c r="BW431" t="s">
        <v>3463</v>
      </c>
      <c r="BX431" t="s">
        <v>79</v>
      </c>
      <c r="BY431" t="s">
        <v>79</v>
      </c>
      <c r="BZ431" t="s">
        <v>79</v>
      </c>
      <c r="CA431" s="10">
        <v>45910</v>
      </c>
    </row>
    <row r="432" spans="1:79">
      <c r="A432">
        <v>438</v>
      </c>
      <c r="B432">
        <v>52</v>
      </c>
      <c r="C432">
        <v>65</v>
      </c>
      <c r="D432" t="s">
        <v>3462</v>
      </c>
      <c r="E432" t="s">
        <v>1100</v>
      </c>
      <c r="F432" t="s">
        <v>969</v>
      </c>
      <c r="G432" s="12" t="s">
        <v>3465</v>
      </c>
      <c r="H432" s="12" t="s">
        <v>88</v>
      </c>
      <c r="I432">
        <v>59</v>
      </c>
      <c r="J432">
        <v>55</v>
      </c>
      <c r="K432">
        <v>161</v>
      </c>
      <c r="L432">
        <v>88</v>
      </c>
      <c r="M432" t="s">
        <v>72</v>
      </c>
      <c r="N432">
        <v>149</v>
      </c>
      <c r="O432">
        <v>58</v>
      </c>
      <c r="P432" t="s">
        <v>72</v>
      </c>
      <c r="Q432" t="s">
        <v>72</v>
      </c>
      <c r="R432">
        <v>69.3</v>
      </c>
      <c r="S432">
        <v>157</v>
      </c>
      <c r="T432" s="8">
        <f t="shared" si="12"/>
        <v>28.114730820722947</v>
      </c>
      <c r="U432" s="13" t="str" cm="1">
        <f t="array" ref="U432">IF(T432="","",_xlfn.IFS(T432&lt;18.5,"Bajo peso",T432&lt;25,"Peso normal",T432&lt;30,"Sobrepeso",T432&lt;35,"Obesidad clase I",T432&lt;40,"Obesidad clase II",T432&gt;=40,"Obesidad clase III"))</f>
        <v>Sobrepeso</v>
      </c>
      <c r="V432">
        <v>110</v>
      </c>
      <c r="X432" t="s">
        <v>3463</v>
      </c>
      <c r="Y432">
        <v>0.53</v>
      </c>
      <c r="AA432">
        <v>90</v>
      </c>
      <c r="AB432" s="9">
        <f t="shared" si="13"/>
        <v>111.21740977022057</v>
      </c>
      <c r="AD432" t="s">
        <v>73</v>
      </c>
      <c r="AF432" t="s">
        <v>73</v>
      </c>
      <c r="AH432" t="s">
        <v>3463</v>
      </c>
      <c r="AI432" t="s">
        <v>3463</v>
      </c>
      <c r="AJ432" t="s">
        <v>3463</v>
      </c>
      <c r="AK432" t="s">
        <v>3463</v>
      </c>
      <c r="AL432" t="s">
        <v>3463</v>
      </c>
      <c r="AP432" t="s">
        <v>3463</v>
      </c>
      <c r="AQ432" t="s">
        <v>1101</v>
      </c>
      <c r="AR432" t="s">
        <v>3493</v>
      </c>
      <c r="AV432" t="s">
        <v>126</v>
      </c>
      <c r="AW432" t="s">
        <v>126</v>
      </c>
      <c r="BF432" t="s">
        <v>3921</v>
      </c>
      <c r="BH432" t="s">
        <v>4021</v>
      </c>
      <c r="BI432" t="s">
        <v>162</v>
      </c>
      <c r="BK432" t="s">
        <v>1102</v>
      </c>
      <c r="BL432" t="s">
        <v>1103</v>
      </c>
      <c r="BP432" t="s">
        <v>4378</v>
      </c>
      <c r="BQ432" t="s">
        <v>3463</v>
      </c>
      <c r="BR432" t="s">
        <v>3463</v>
      </c>
      <c r="BS432" t="s">
        <v>3465</v>
      </c>
      <c r="BT432" t="s">
        <v>3465</v>
      </c>
      <c r="BU432" t="s">
        <v>3463</v>
      </c>
      <c r="BV432" t="s">
        <v>3463</v>
      </c>
      <c r="BW432" t="s">
        <v>3463</v>
      </c>
      <c r="BX432" t="s">
        <v>79</v>
      </c>
      <c r="BY432" t="s">
        <v>79</v>
      </c>
      <c r="BZ432" t="s">
        <v>79</v>
      </c>
      <c r="CA432" s="10">
        <v>45910</v>
      </c>
    </row>
    <row r="433" spans="1:79">
      <c r="A433">
        <v>439</v>
      </c>
      <c r="B433">
        <v>53</v>
      </c>
      <c r="C433">
        <v>57</v>
      </c>
      <c r="D433" t="s">
        <v>3462</v>
      </c>
      <c r="F433" t="s">
        <v>969</v>
      </c>
      <c r="G433" s="12" t="s">
        <v>3465</v>
      </c>
      <c r="H433" s="12" t="s">
        <v>88</v>
      </c>
      <c r="I433">
        <v>69</v>
      </c>
      <c r="J433">
        <v>66</v>
      </c>
      <c r="K433">
        <v>149</v>
      </c>
      <c r="L433">
        <v>87</v>
      </c>
      <c r="M433" t="s">
        <v>72</v>
      </c>
      <c r="N433">
        <v>141</v>
      </c>
      <c r="O433">
        <v>86</v>
      </c>
      <c r="P433" t="s">
        <v>72</v>
      </c>
      <c r="Q433" t="s">
        <v>72</v>
      </c>
      <c r="R433">
        <v>81.7</v>
      </c>
      <c r="S433">
        <v>172</v>
      </c>
      <c r="T433" s="8">
        <f t="shared" si="12"/>
        <v>27.61627906976744</v>
      </c>
      <c r="U433" s="13" t="str" cm="1">
        <f t="array" ref="U433">IF(T433="","",_xlfn.IFS(T433&lt;18.5,"Bajo peso",T433&lt;25,"Peso normal",T433&lt;30,"Sobrepeso",T433&lt;35,"Obesidad clase I",T433&lt;40,"Obesidad clase II",T433&gt;=40,"Obesidad clase III"))</f>
        <v>Sobrepeso</v>
      </c>
      <c r="V433">
        <v>100</v>
      </c>
      <c r="X433" t="s">
        <v>3463</v>
      </c>
      <c r="Y433">
        <v>0.9</v>
      </c>
      <c r="AA433">
        <v>90</v>
      </c>
      <c r="AB433" s="9">
        <f t="shared" si="13"/>
        <v>99.616415792951614</v>
      </c>
      <c r="AD433" t="s">
        <v>73</v>
      </c>
      <c r="AF433" t="s">
        <v>73</v>
      </c>
      <c r="AH433" t="s">
        <v>3463</v>
      </c>
      <c r="AI433" t="s">
        <v>3463</v>
      </c>
      <c r="AJ433" t="s">
        <v>3463</v>
      </c>
      <c r="AK433" t="s">
        <v>3463</v>
      </c>
      <c r="AL433" t="s">
        <v>3463</v>
      </c>
      <c r="AP433" t="s">
        <v>3463</v>
      </c>
      <c r="AQ433" t="s">
        <v>1104</v>
      </c>
      <c r="AR433" t="s">
        <v>3491</v>
      </c>
      <c r="AV433" t="s">
        <v>74</v>
      </c>
      <c r="AW433" t="s">
        <v>3915</v>
      </c>
      <c r="BF433" t="s">
        <v>3921</v>
      </c>
      <c r="BH433" t="s">
        <v>4020</v>
      </c>
      <c r="BP433" t="s">
        <v>4260</v>
      </c>
      <c r="BQ433" t="s">
        <v>3463</v>
      </c>
      <c r="BR433" t="s">
        <v>3465</v>
      </c>
      <c r="BS433" t="s">
        <v>3463</v>
      </c>
      <c r="BT433" t="s">
        <v>3463</v>
      </c>
      <c r="BU433" t="s">
        <v>3463</v>
      </c>
      <c r="BV433" t="s">
        <v>3463</v>
      </c>
      <c r="BW433" t="s">
        <v>3463</v>
      </c>
      <c r="BX433" t="s">
        <v>79</v>
      </c>
      <c r="BY433" t="s">
        <v>79</v>
      </c>
      <c r="BZ433" t="s">
        <v>79</v>
      </c>
      <c r="CA433" s="10">
        <v>45910</v>
      </c>
    </row>
    <row r="434" spans="1:79">
      <c r="A434">
        <v>440</v>
      </c>
      <c r="B434">
        <v>55</v>
      </c>
      <c r="C434">
        <v>44</v>
      </c>
      <c r="D434" t="s">
        <v>3466</v>
      </c>
      <c r="E434" t="s">
        <v>1005</v>
      </c>
      <c r="F434" t="s">
        <v>969</v>
      </c>
      <c r="G434" s="12" t="s">
        <v>3465</v>
      </c>
      <c r="H434" s="12" t="s">
        <v>88</v>
      </c>
      <c r="I434">
        <v>65</v>
      </c>
      <c r="J434">
        <v>64</v>
      </c>
      <c r="K434">
        <v>144</v>
      </c>
      <c r="L434">
        <v>84</v>
      </c>
      <c r="M434" t="s">
        <v>72</v>
      </c>
      <c r="N434">
        <v>134</v>
      </c>
      <c r="O434">
        <v>84</v>
      </c>
      <c r="P434" t="s">
        <v>82</v>
      </c>
      <c r="Q434" t="s">
        <v>82</v>
      </c>
      <c r="R434">
        <v>98.8</v>
      </c>
      <c r="S434">
        <v>158</v>
      </c>
      <c r="T434" s="8">
        <f t="shared" si="12"/>
        <v>39.576990866848263</v>
      </c>
      <c r="U434" s="13" t="str" cm="1">
        <f t="array" ref="U434">IF(T434="","",_xlfn.IFS(T434&lt;18.5,"Bajo peso",T434&lt;25,"Peso normal",T434&lt;30,"Sobrepeso",T434&lt;35,"Obesidad clase I",T434&lt;40,"Obesidad clase II",T434&gt;=40,"Obesidad clase III"))</f>
        <v>Obesidad clase II</v>
      </c>
      <c r="V434">
        <v>100</v>
      </c>
      <c r="X434" t="s">
        <v>3463</v>
      </c>
      <c r="Y434">
        <v>0.64</v>
      </c>
      <c r="AA434">
        <v>90</v>
      </c>
      <c r="AB434" s="9">
        <f t="shared" si="13"/>
        <v>111.68729605643902</v>
      </c>
      <c r="AD434" t="s">
        <v>73</v>
      </c>
      <c r="AF434" t="s">
        <v>73</v>
      </c>
      <c r="AH434" t="s">
        <v>3463</v>
      </c>
      <c r="AI434" t="s">
        <v>3463</v>
      </c>
      <c r="AJ434" t="s">
        <v>3463</v>
      </c>
      <c r="AK434" t="s">
        <v>3463</v>
      </c>
      <c r="AL434" t="s">
        <v>3463</v>
      </c>
      <c r="AP434" t="s">
        <v>3463</v>
      </c>
      <c r="AQ434" t="s">
        <v>1105</v>
      </c>
      <c r="AR434" t="s">
        <v>3541</v>
      </c>
      <c r="AT434" t="s">
        <v>3465</v>
      </c>
      <c r="AU434" t="s">
        <v>80</v>
      </c>
      <c r="AV434" t="s">
        <v>74</v>
      </c>
      <c r="AW434" t="s">
        <v>3915</v>
      </c>
      <c r="AX434" t="s">
        <v>3465</v>
      </c>
      <c r="AY434" t="s">
        <v>3465</v>
      </c>
      <c r="AZ434" t="s">
        <v>247</v>
      </c>
      <c r="BF434" t="s">
        <v>3921</v>
      </c>
      <c r="BG434" t="s">
        <v>1106</v>
      </c>
      <c r="BH434" t="s">
        <v>4017</v>
      </c>
      <c r="BK434" t="s">
        <v>1107</v>
      </c>
      <c r="BL434" t="s">
        <v>1108</v>
      </c>
      <c r="BP434" t="s">
        <v>4404</v>
      </c>
      <c r="BQ434" t="s">
        <v>3463</v>
      </c>
      <c r="BR434" t="s">
        <v>3465</v>
      </c>
      <c r="BS434" t="s">
        <v>3463</v>
      </c>
      <c r="BT434" t="s">
        <v>3463</v>
      </c>
      <c r="BU434" t="s">
        <v>3463</v>
      </c>
      <c r="BV434" t="s">
        <v>3463</v>
      </c>
      <c r="BW434" t="s">
        <v>3463</v>
      </c>
      <c r="BX434" t="s">
        <v>79</v>
      </c>
      <c r="BY434" t="s">
        <v>79</v>
      </c>
      <c r="BZ434" t="s">
        <v>79</v>
      </c>
      <c r="CA434" s="10">
        <v>45910</v>
      </c>
    </row>
    <row r="435" spans="1:79">
      <c r="A435">
        <v>441</v>
      </c>
      <c r="B435">
        <v>56</v>
      </c>
      <c r="C435">
        <v>65</v>
      </c>
      <c r="D435" t="s">
        <v>3466</v>
      </c>
      <c r="E435" t="s">
        <v>1109</v>
      </c>
      <c r="F435" t="s">
        <v>969</v>
      </c>
      <c r="G435" s="12" t="s">
        <v>3463</v>
      </c>
      <c r="H435" s="12"/>
      <c r="I435">
        <v>70</v>
      </c>
      <c r="J435">
        <v>72</v>
      </c>
      <c r="K435">
        <v>151</v>
      </c>
      <c r="L435">
        <v>72</v>
      </c>
      <c r="M435" t="s">
        <v>72</v>
      </c>
      <c r="N435">
        <v>146</v>
      </c>
      <c r="O435">
        <v>72</v>
      </c>
      <c r="P435" t="s">
        <v>72</v>
      </c>
      <c r="Q435" t="s">
        <v>72</v>
      </c>
      <c r="R435">
        <v>61</v>
      </c>
      <c r="S435">
        <v>148</v>
      </c>
      <c r="T435" s="8">
        <f t="shared" si="12"/>
        <v>27.848794740686632</v>
      </c>
      <c r="U435" s="13" t="str" cm="1">
        <f t="array" ref="U435">IF(T435="","",_xlfn.IFS(T435&lt;18.5,"Bajo peso",T435&lt;25,"Peso normal",T435&lt;30,"Sobrepeso",T435&lt;35,"Obesidad clase I",T435&lt;40,"Obesidad clase II",T435&gt;=40,"Obesidad clase III"))</f>
        <v>Sobrepeso</v>
      </c>
      <c r="V435">
        <v>135</v>
      </c>
      <c r="X435" t="s">
        <v>3463</v>
      </c>
      <c r="Y435">
        <v>0.71</v>
      </c>
      <c r="AA435">
        <v>90</v>
      </c>
      <c r="AB435" s="9">
        <f t="shared" si="13"/>
        <v>94.299848076426855</v>
      </c>
      <c r="AD435" t="s">
        <v>73</v>
      </c>
      <c r="AF435" t="s">
        <v>73</v>
      </c>
      <c r="AG435" t="s">
        <v>3463</v>
      </c>
      <c r="AH435" t="s">
        <v>3465</v>
      </c>
      <c r="AI435" t="s">
        <v>3465</v>
      </c>
      <c r="AJ435" t="s">
        <v>3463</v>
      </c>
      <c r="AK435" t="s">
        <v>3463</v>
      </c>
      <c r="AL435" t="s">
        <v>3465</v>
      </c>
      <c r="AM435" t="s">
        <v>301</v>
      </c>
      <c r="AN435" t="s">
        <v>3617</v>
      </c>
      <c r="AP435" t="s">
        <v>3463</v>
      </c>
      <c r="AQ435" t="s">
        <v>1055</v>
      </c>
      <c r="AR435" t="s">
        <v>3491</v>
      </c>
      <c r="AS435" t="s">
        <v>3463</v>
      </c>
      <c r="AT435" t="s">
        <v>3463</v>
      </c>
      <c r="AV435" t="s">
        <v>74</v>
      </c>
      <c r="AW435" t="s">
        <v>3915</v>
      </c>
      <c r="AX435" t="s">
        <v>3463</v>
      </c>
      <c r="AY435" t="s">
        <v>3465</v>
      </c>
      <c r="AZ435" t="s">
        <v>1110</v>
      </c>
      <c r="BF435" t="s">
        <v>3921</v>
      </c>
      <c r="BH435" t="s">
        <v>4020</v>
      </c>
      <c r="BP435" t="s">
        <v>4260</v>
      </c>
      <c r="BQ435" t="s">
        <v>3463</v>
      </c>
      <c r="BR435" t="s">
        <v>3465</v>
      </c>
      <c r="BS435" t="s">
        <v>3463</v>
      </c>
      <c r="BT435" t="s">
        <v>3463</v>
      </c>
      <c r="BU435" t="s">
        <v>3463</v>
      </c>
      <c r="BV435" t="s">
        <v>3463</v>
      </c>
      <c r="BW435" t="s">
        <v>3463</v>
      </c>
      <c r="BX435" t="s">
        <v>518</v>
      </c>
      <c r="BY435" t="s">
        <v>79</v>
      </c>
      <c r="BZ435" t="s">
        <v>79</v>
      </c>
      <c r="CA435" s="10">
        <v>45910</v>
      </c>
    </row>
    <row r="436" spans="1:79">
      <c r="A436">
        <v>442</v>
      </c>
      <c r="B436">
        <v>57</v>
      </c>
      <c r="C436">
        <v>62</v>
      </c>
      <c r="D436" t="s">
        <v>3462</v>
      </c>
      <c r="E436" t="s">
        <v>1000</v>
      </c>
      <c r="F436" t="s">
        <v>969</v>
      </c>
      <c r="G436" s="12" t="s">
        <v>3465</v>
      </c>
      <c r="H436" t="s">
        <v>88</v>
      </c>
      <c r="I436">
        <v>79</v>
      </c>
      <c r="J436">
        <v>75</v>
      </c>
      <c r="K436">
        <v>141</v>
      </c>
      <c r="L436">
        <v>72</v>
      </c>
      <c r="M436" t="s">
        <v>72</v>
      </c>
      <c r="N436">
        <v>142</v>
      </c>
      <c r="O436">
        <v>70</v>
      </c>
      <c r="P436" t="s">
        <v>72</v>
      </c>
      <c r="Q436" t="s">
        <v>72</v>
      </c>
      <c r="R436">
        <v>83</v>
      </c>
      <c r="S436">
        <v>168.5</v>
      </c>
      <c r="T436" s="8">
        <f t="shared" si="12"/>
        <v>29.233329517738117</v>
      </c>
      <c r="U436" s="13" t="str" cm="1">
        <f t="array" ref="U436">IF(T436="","",_xlfn.IFS(T436&lt;18.5,"Bajo peso",T436&lt;25,"Peso normal",T436&lt;30,"Sobrepeso",T436&lt;35,"Obesidad clase I",T436&lt;40,"Obesidad clase II",T436&gt;=40,"Obesidad clase III"))</f>
        <v>Sobrepeso</v>
      </c>
      <c r="V436">
        <v>177</v>
      </c>
      <c r="X436" t="s">
        <v>3463</v>
      </c>
      <c r="Y436">
        <v>0.73</v>
      </c>
      <c r="AA436">
        <v>90</v>
      </c>
      <c r="AB436" s="9">
        <f t="shared" si="13"/>
        <v>102.86878441383057</v>
      </c>
      <c r="AD436" t="s">
        <v>73</v>
      </c>
      <c r="AF436" t="s">
        <v>73</v>
      </c>
      <c r="AG436" t="s">
        <v>3465</v>
      </c>
      <c r="AH436" t="s">
        <v>3465</v>
      </c>
      <c r="AI436" t="s">
        <v>3465</v>
      </c>
      <c r="AJ436" t="s">
        <v>3463</v>
      </c>
      <c r="AK436" t="s">
        <v>3463</v>
      </c>
      <c r="AL436" t="s">
        <v>3465</v>
      </c>
      <c r="AM436" t="s">
        <v>1111</v>
      </c>
      <c r="AN436" t="s">
        <v>3706</v>
      </c>
      <c r="AP436" t="s">
        <v>3463</v>
      </c>
      <c r="AQ436" t="s">
        <v>1112</v>
      </c>
      <c r="AR436" t="s">
        <v>3491</v>
      </c>
      <c r="AS436" t="s">
        <v>3465</v>
      </c>
      <c r="AV436" t="s">
        <v>74</v>
      </c>
      <c r="AW436" t="s">
        <v>3915</v>
      </c>
      <c r="BF436" t="s">
        <v>3921</v>
      </c>
      <c r="BH436" t="s">
        <v>4020</v>
      </c>
      <c r="BP436" t="s">
        <v>4260</v>
      </c>
      <c r="BQ436" t="s">
        <v>3463</v>
      </c>
      <c r="BR436" t="s">
        <v>3463</v>
      </c>
      <c r="BS436" t="s">
        <v>3465</v>
      </c>
      <c r="BT436" t="s">
        <v>3465</v>
      </c>
      <c r="BU436" t="s">
        <v>3463</v>
      </c>
      <c r="BV436" t="s">
        <v>3463</v>
      </c>
      <c r="BW436" t="s">
        <v>3463</v>
      </c>
      <c r="BX436" t="s">
        <v>79</v>
      </c>
      <c r="BY436" t="s">
        <v>121</v>
      </c>
      <c r="BZ436" t="s">
        <v>79</v>
      </c>
      <c r="CA436" s="10">
        <v>45910</v>
      </c>
    </row>
    <row r="437" spans="1:79">
      <c r="A437">
        <v>443</v>
      </c>
      <c r="B437">
        <v>58</v>
      </c>
      <c r="C437">
        <v>74</v>
      </c>
      <c r="D437" t="s">
        <v>3466</v>
      </c>
      <c r="E437" t="s">
        <v>1113</v>
      </c>
      <c r="F437" t="s">
        <v>969</v>
      </c>
      <c r="G437" s="12" t="s">
        <v>3463</v>
      </c>
      <c r="I437">
        <v>64</v>
      </c>
      <c r="J437">
        <v>61</v>
      </c>
      <c r="K437">
        <v>163</v>
      </c>
      <c r="L437">
        <v>81</v>
      </c>
      <c r="M437" t="s">
        <v>72</v>
      </c>
      <c r="N437">
        <v>147</v>
      </c>
      <c r="O437">
        <v>76</v>
      </c>
      <c r="P437" t="s">
        <v>72</v>
      </c>
      <c r="Q437" t="s">
        <v>72</v>
      </c>
      <c r="R437">
        <v>65.8</v>
      </c>
      <c r="S437">
        <v>148</v>
      </c>
      <c r="T437" s="8">
        <f t="shared" si="12"/>
        <v>30.04017531044558</v>
      </c>
      <c r="U437" s="13" t="str" cm="1">
        <f t="array" ref="U437">IF(T437="","",_xlfn.IFS(T437&lt;18.5,"Bajo peso",T437&lt;25,"Peso normal",T437&lt;30,"Sobrepeso",T437&lt;35,"Obesidad clase I",T437&lt;40,"Obesidad clase II",T437&gt;=40,"Obesidad clase III"))</f>
        <v>Obesidad clase I</v>
      </c>
      <c r="V437">
        <v>89</v>
      </c>
      <c r="X437" t="s">
        <v>3463</v>
      </c>
      <c r="Y437">
        <v>0.96</v>
      </c>
      <c r="AA437">
        <v>62</v>
      </c>
      <c r="AB437" s="9">
        <f t="shared" si="13"/>
        <v>62.084968278652639</v>
      </c>
      <c r="AD437" t="s">
        <v>73</v>
      </c>
      <c r="AF437" t="s">
        <v>73</v>
      </c>
      <c r="AH437" t="s">
        <v>3463</v>
      </c>
      <c r="AI437" t="s">
        <v>3465</v>
      </c>
      <c r="AJ437" t="s">
        <v>3463</v>
      </c>
      <c r="AK437" t="s">
        <v>3463</v>
      </c>
      <c r="AL437" t="s">
        <v>3465</v>
      </c>
      <c r="AM437" t="s">
        <v>697</v>
      </c>
      <c r="AN437" t="s">
        <v>697</v>
      </c>
      <c r="AO437" t="s">
        <v>3464</v>
      </c>
      <c r="AP437" t="s">
        <v>3465</v>
      </c>
      <c r="AQ437" t="s">
        <v>1114</v>
      </c>
      <c r="AR437" t="s">
        <v>3490</v>
      </c>
      <c r="AS437" t="s">
        <v>3465</v>
      </c>
      <c r="AT437" t="s">
        <v>3463</v>
      </c>
      <c r="AV437" t="s">
        <v>74</v>
      </c>
      <c r="AW437" t="s">
        <v>3915</v>
      </c>
      <c r="AX437" t="s">
        <v>3463</v>
      </c>
      <c r="AY437" t="s">
        <v>3463</v>
      </c>
      <c r="BA437" t="s">
        <v>3920</v>
      </c>
      <c r="BE437" t="s">
        <v>1115</v>
      </c>
      <c r="BF437" t="s">
        <v>3946</v>
      </c>
      <c r="BH437" t="s">
        <v>4029</v>
      </c>
      <c r="BI437" t="s">
        <v>411</v>
      </c>
      <c r="BK437" t="s">
        <v>1116</v>
      </c>
      <c r="BL437" t="s">
        <v>1117</v>
      </c>
      <c r="BP437" t="s">
        <v>4344</v>
      </c>
      <c r="BQ437" t="s">
        <v>3463</v>
      </c>
      <c r="BR437" t="s">
        <v>3463</v>
      </c>
      <c r="BS437" t="s">
        <v>3463</v>
      </c>
      <c r="BT437" t="s">
        <v>3463</v>
      </c>
      <c r="BU437" t="s">
        <v>3463</v>
      </c>
      <c r="BV437" t="s">
        <v>3463</v>
      </c>
      <c r="BW437" t="s">
        <v>3463</v>
      </c>
      <c r="BX437" t="s">
        <v>518</v>
      </c>
      <c r="BY437" t="s">
        <v>79</v>
      </c>
      <c r="BZ437" t="s">
        <v>79</v>
      </c>
      <c r="CA437" s="10">
        <v>45910</v>
      </c>
    </row>
    <row r="438" spans="1:79">
      <c r="A438">
        <v>444</v>
      </c>
      <c r="B438">
        <v>59</v>
      </c>
      <c r="C438">
        <v>37</v>
      </c>
      <c r="D438" t="s">
        <v>3466</v>
      </c>
      <c r="E438" t="s">
        <v>1026</v>
      </c>
      <c r="F438" t="s">
        <v>969</v>
      </c>
      <c r="G438" s="12" t="s">
        <v>3463</v>
      </c>
      <c r="I438">
        <v>83</v>
      </c>
      <c r="K438">
        <v>128</v>
      </c>
      <c r="L438">
        <v>72</v>
      </c>
      <c r="M438" t="s">
        <v>118</v>
      </c>
      <c r="P438" t="s">
        <v>83</v>
      </c>
      <c r="Q438" t="s">
        <v>118</v>
      </c>
      <c r="R438">
        <v>64.8</v>
      </c>
      <c r="S438">
        <v>155</v>
      </c>
      <c r="T438" s="8">
        <f t="shared" si="12"/>
        <v>26.971904266389178</v>
      </c>
      <c r="U438" s="13" t="str" cm="1">
        <f t="array" ref="U438">IF(T438="","",_xlfn.IFS(T438&lt;18.5,"Bajo peso",T438&lt;25,"Peso normal",T438&lt;30,"Sobrepeso",T438&lt;35,"Obesidad clase I",T438&lt;40,"Obesidad clase II",T438&gt;=40,"Obesidad clase III"))</f>
        <v>Sobrepeso</v>
      </c>
      <c r="V438">
        <v>98</v>
      </c>
      <c r="X438" t="s">
        <v>3463</v>
      </c>
      <c r="Y438">
        <v>0.55000000000000004</v>
      </c>
      <c r="AA438">
        <v>90</v>
      </c>
      <c r="AB438" s="9">
        <f t="shared" si="13"/>
        <v>120.99649654989717</v>
      </c>
      <c r="AD438" t="s">
        <v>73</v>
      </c>
      <c r="AF438" t="s">
        <v>73</v>
      </c>
      <c r="AH438" t="s">
        <v>3463</v>
      </c>
      <c r="AI438" t="s">
        <v>3463</v>
      </c>
      <c r="AJ438" t="s">
        <v>3463</v>
      </c>
      <c r="AK438" t="s">
        <v>3465</v>
      </c>
      <c r="AL438" t="s">
        <v>3465</v>
      </c>
      <c r="AM438" t="s">
        <v>1118</v>
      </c>
      <c r="AN438" t="s">
        <v>3707</v>
      </c>
      <c r="AP438" t="s">
        <v>3463</v>
      </c>
      <c r="AQ438" t="s">
        <v>1119</v>
      </c>
      <c r="AR438" t="s">
        <v>3488</v>
      </c>
      <c r="AT438" t="s">
        <v>3463</v>
      </c>
      <c r="AV438" t="s">
        <v>126</v>
      </c>
      <c r="AW438" t="s">
        <v>126</v>
      </c>
      <c r="AX438" t="s">
        <v>3465</v>
      </c>
      <c r="AY438" t="s">
        <v>3465</v>
      </c>
      <c r="AZ438" t="s">
        <v>1120</v>
      </c>
      <c r="BF438" t="s">
        <v>3921</v>
      </c>
      <c r="BH438" t="s">
        <v>4020</v>
      </c>
      <c r="BP438" t="s">
        <v>4260</v>
      </c>
      <c r="BQ438" t="s">
        <v>3463</v>
      </c>
      <c r="BR438" t="s">
        <v>3463</v>
      </c>
      <c r="BS438" t="s">
        <v>3465</v>
      </c>
      <c r="BT438" t="s">
        <v>3465</v>
      </c>
      <c r="BU438" t="s">
        <v>3463</v>
      </c>
      <c r="BV438" t="s">
        <v>3463</v>
      </c>
      <c r="BW438" t="s">
        <v>3463</v>
      </c>
      <c r="CA438" s="10">
        <v>45910</v>
      </c>
    </row>
    <row r="439" spans="1:79">
      <c r="A439">
        <v>445</v>
      </c>
      <c r="B439">
        <v>60</v>
      </c>
      <c r="C439">
        <v>41</v>
      </c>
      <c r="D439" t="s">
        <v>3466</v>
      </c>
      <c r="E439" t="s">
        <v>1005</v>
      </c>
      <c r="F439" t="s">
        <v>969</v>
      </c>
      <c r="G439" s="12" t="s">
        <v>3463</v>
      </c>
      <c r="H439" s="12"/>
      <c r="I439">
        <v>66</v>
      </c>
      <c r="K439">
        <v>135</v>
      </c>
      <c r="L439">
        <v>95</v>
      </c>
      <c r="M439" t="s">
        <v>72</v>
      </c>
      <c r="P439" t="s">
        <v>83</v>
      </c>
      <c r="Q439" t="s">
        <v>72</v>
      </c>
      <c r="R439">
        <v>74.599999999999994</v>
      </c>
      <c r="S439">
        <v>154</v>
      </c>
      <c r="T439" s="8">
        <f t="shared" si="12"/>
        <v>31.455557429583401</v>
      </c>
      <c r="U439" s="13" t="str" cm="1">
        <f t="array" ref="U439">IF(T439="","",_xlfn.IFS(T439&lt;18.5,"Bajo peso",T439&lt;25,"Peso normal",T439&lt;30,"Sobrepeso",T439&lt;35,"Obesidad clase I",T439&lt;40,"Obesidad clase II",T439&gt;=40,"Obesidad clase III"))</f>
        <v>Obesidad clase I</v>
      </c>
      <c r="V439">
        <v>93</v>
      </c>
      <c r="X439" t="s">
        <v>3463</v>
      </c>
      <c r="Y439">
        <v>0.89</v>
      </c>
      <c r="AA439">
        <v>84</v>
      </c>
      <c r="AB439" s="9">
        <f t="shared" si="13"/>
        <v>83.478989953842216</v>
      </c>
      <c r="AD439" t="s">
        <v>73</v>
      </c>
      <c r="AF439" t="s">
        <v>73</v>
      </c>
      <c r="AH439" t="s">
        <v>3463</v>
      </c>
      <c r="AI439" t="s">
        <v>3463</v>
      </c>
      <c r="AJ439" t="s">
        <v>3463</v>
      </c>
      <c r="AK439" t="s">
        <v>3463</v>
      </c>
      <c r="AL439" t="s">
        <v>3463</v>
      </c>
      <c r="AP439" t="s">
        <v>3463</v>
      </c>
      <c r="AQ439" t="s">
        <v>1121</v>
      </c>
      <c r="AR439" t="s">
        <v>3488</v>
      </c>
      <c r="AT439" t="s">
        <v>3463</v>
      </c>
      <c r="AV439" t="s">
        <v>74</v>
      </c>
      <c r="AW439" t="s">
        <v>3915</v>
      </c>
      <c r="AX439" t="s">
        <v>3463</v>
      </c>
      <c r="AY439" t="s">
        <v>3465</v>
      </c>
      <c r="AZ439" t="s">
        <v>1007</v>
      </c>
      <c r="BF439" t="s">
        <v>3921</v>
      </c>
      <c r="BH439" t="s">
        <v>4020</v>
      </c>
      <c r="BP439" t="s">
        <v>4260</v>
      </c>
      <c r="BQ439" t="s">
        <v>3465</v>
      </c>
      <c r="BR439" t="s">
        <v>3465</v>
      </c>
      <c r="BS439" t="s">
        <v>3465</v>
      </c>
      <c r="BT439" t="s">
        <v>3465</v>
      </c>
      <c r="BU439" t="s">
        <v>3463</v>
      </c>
      <c r="BV439" t="s">
        <v>3463</v>
      </c>
      <c r="BW439" t="s">
        <v>3463</v>
      </c>
      <c r="BX439" t="s">
        <v>121</v>
      </c>
      <c r="BY439" t="s">
        <v>79</v>
      </c>
      <c r="BZ439" t="s">
        <v>79</v>
      </c>
      <c r="CA439" s="10">
        <v>45910</v>
      </c>
    </row>
    <row r="440" spans="1:79">
      <c r="A440">
        <v>446</v>
      </c>
      <c r="B440">
        <v>61</v>
      </c>
      <c r="C440">
        <v>19</v>
      </c>
      <c r="D440" t="s">
        <v>3466</v>
      </c>
      <c r="E440" t="s">
        <v>1122</v>
      </c>
      <c r="F440" t="s">
        <v>969</v>
      </c>
      <c r="G440" s="12" t="s">
        <v>3463</v>
      </c>
      <c r="H440" s="12"/>
      <c r="I440">
        <v>90</v>
      </c>
      <c r="K440">
        <v>125</v>
      </c>
      <c r="L440">
        <v>68</v>
      </c>
      <c r="M440" t="s">
        <v>118</v>
      </c>
      <c r="P440" t="s">
        <v>83</v>
      </c>
      <c r="Q440" t="s">
        <v>118</v>
      </c>
      <c r="R440">
        <v>61.3</v>
      </c>
      <c r="S440">
        <v>156</v>
      </c>
      <c r="T440" s="8">
        <f t="shared" si="12"/>
        <v>25.189020381328071</v>
      </c>
      <c r="U440" s="13" t="str" cm="1">
        <f t="array" ref="U440">IF(T440="","",_xlfn.IFS(T440&lt;18.5,"Bajo peso",T440&lt;25,"Peso normal",T440&lt;30,"Sobrepeso",T440&lt;35,"Obesidad clase I",T440&lt;40,"Obesidad clase II",T440&gt;=40,"Obesidad clase III"))</f>
        <v>Sobrepeso</v>
      </c>
      <c r="V440">
        <v>79</v>
      </c>
      <c r="X440" t="s">
        <v>3463</v>
      </c>
      <c r="Y440">
        <v>0.87</v>
      </c>
      <c r="AA440">
        <v>90</v>
      </c>
      <c r="AB440" s="9">
        <f t="shared" si="13"/>
        <v>98.365829254638669</v>
      </c>
      <c r="AD440" t="s">
        <v>73</v>
      </c>
      <c r="AF440" t="s">
        <v>73</v>
      </c>
      <c r="AH440" t="s">
        <v>3463</v>
      </c>
      <c r="AI440" t="s">
        <v>3463</v>
      </c>
      <c r="AJ440" t="s">
        <v>3463</v>
      </c>
      <c r="AK440" t="s">
        <v>3465</v>
      </c>
      <c r="AL440" t="s">
        <v>3463</v>
      </c>
      <c r="AP440" t="s">
        <v>3463</v>
      </c>
      <c r="AQ440" t="s">
        <v>1078</v>
      </c>
      <c r="AR440" t="s">
        <v>3512</v>
      </c>
      <c r="AT440" t="s">
        <v>3463</v>
      </c>
      <c r="AV440" t="s">
        <v>74</v>
      </c>
      <c r="AW440" t="s">
        <v>3915</v>
      </c>
      <c r="AX440" t="s">
        <v>3463</v>
      </c>
      <c r="AY440" t="s">
        <v>3463</v>
      </c>
      <c r="BF440" t="s">
        <v>3921</v>
      </c>
      <c r="BH440" t="s">
        <v>4020</v>
      </c>
      <c r="BP440" t="s">
        <v>4260</v>
      </c>
      <c r="BQ440" t="s">
        <v>3463</v>
      </c>
      <c r="BR440" t="s">
        <v>3465</v>
      </c>
      <c r="BS440" t="s">
        <v>3465</v>
      </c>
      <c r="BT440" t="s">
        <v>3465</v>
      </c>
      <c r="BU440" t="s">
        <v>3463</v>
      </c>
      <c r="BV440" t="s">
        <v>3463</v>
      </c>
      <c r="BW440" t="s">
        <v>3463</v>
      </c>
      <c r="BX440" t="s">
        <v>518</v>
      </c>
      <c r="BY440" t="s">
        <v>79</v>
      </c>
      <c r="BZ440" t="s">
        <v>79</v>
      </c>
      <c r="CA440" s="10">
        <v>45910</v>
      </c>
    </row>
    <row r="441" spans="1:79">
      <c r="A441">
        <v>447</v>
      </c>
      <c r="B441">
        <v>62</v>
      </c>
      <c r="C441">
        <v>66</v>
      </c>
      <c r="D441" t="s">
        <v>3466</v>
      </c>
      <c r="E441" t="s">
        <v>1036</v>
      </c>
      <c r="F441" t="s">
        <v>969</v>
      </c>
      <c r="G441" s="12" t="s">
        <v>3465</v>
      </c>
      <c r="H441" s="12" t="s">
        <v>88</v>
      </c>
      <c r="I441">
        <v>74</v>
      </c>
      <c r="J441">
        <v>71</v>
      </c>
      <c r="K441">
        <v>155</v>
      </c>
      <c r="L441">
        <v>73</v>
      </c>
      <c r="M441" t="s">
        <v>72</v>
      </c>
      <c r="N441">
        <v>148</v>
      </c>
      <c r="O441">
        <v>73</v>
      </c>
      <c r="P441" t="s">
        <v>72</v>
      </c>
      <c r="Q441" t="s">
        <v>72</v>
      </c>
      <c r="R441">
        <v>66.7</v>
      </c>
      <c r="S441">
        <v>148</v>
      </c>
      <c r="T441" s="8">
        <f t="shared" si="12"/>
        <v>30.451059167275382</v>
      </c>
      <c r="U441" s="13" t="str" cm="1">
        <f t="array" ref="U441">IF(T441="","",_xlfn.IFS(T441&lt;18.5,"Bajo peso",T441&lt;25,"Peso normal",T441&lt;30,"Sobrepeso",T441&lt;35,"Obesidad clase I",T441&lt;40,"Obesidad clase II",T441&gt;=40,"Obesidad clase III"))</f>
        <v>Obesidad clase I</v>
      </c>
      <c r="V441">
        <v>124</v>
      </c>
      <c r="X441" t="s">
        <v>3463</v>
      </c>
      <c r="Y441">
        <v>0.52</v>
      </c>
      <c r="AA441">
        <v>90</v>
      </c>
      <c r="AB441" s="9">
        <f t="shared" si="13"/>
        <v>102.40335317345475</v>
      </c>
      <c r="AD441" t="s">
        <v>73</v>
      </c>
      <c r="AF441" t="s">
        <v>73</v>
      </c>
      <c r="AH441" t="s">
        <v>3463</v>
      </c>
      <c r="AI441" t="s">
        <v>3465</v>
      </c>
      <c r="AJ441" t="s">
        <v>3463</v>
      </c>
      <c r="AK441" t="s">
        <v>3463</v>
      </c>
      <c r="AL441" t="s">
        <v>3465</v>
      </c>
      <c r="AM441" t="s">
        <v>110</v>
      </c>
      <c r="AN441" t="s">
        <v>110</v>
      </c>
      <c r="AP441" t="s">
        <v>3463</v>
      </c>
      <c r="AQ441" t="s">
        <v>1123</v>
      </c>
      <c r="AR441" t="s">
        <v>3491</v>
      </c>
      <c r="AS441" t="s">
        <v>3465</v>
      </c>
      <c r="AT441" t="s">
        <v>3465</v>
      </c>
      <c r="AU441" t="s">
        <v>125</v>
      </c>
      <c r="AV441" t="s">
        <v>178</v>
      </c>
      <c r="AW441" t="s">
        <v>3918</v>
      </c>
      <c r="AX441" t="s">
        <v>3463</v>
      </c>
      <c r="AY441" t="s">
        <v>3465</v>
      </c>
      <c r="AZ441" t="s">
        <v>104</v>
      </c>
      <c r="BA441" t="s">
        <v>3920</v>
      </c>
      <c r="BE441" t="s">
        <v>992</v>
      </c>
      <c r="BF441" t="s">
        <v>992</v>
      </c>
      <c r="BG441" t="s">
        <v>1124</v>
      </c>
      <c r="BH441" t="s">
        <v>4021</v>
      </c>
      <c r="BI441" t="s">
        <v>1125</v>
      </c>
      <c r="BL441" t="s">
        <v>602</v>
      </c>
      <c r="BP441" t="s">
        <v>4343</v>
      </c>
      <c r="BQ441" t="s">
        <v>3463</v>
      </c>
      <c r="BR441" t="s">
        <v>3463</v>
      </c>
      <c r="BS441" t="s">
        <v>3463</v>
      </c>
      <c r="BT441" t="s">
        <v>3463</v>
      </c>
      <c r="BU441" t="s">
        <v>3463</v>
      </c>
      <c r="BV441" t="s">
        <v>3463</v>
      </c>
      <c r="BW441" t="s">
        <v>3463</v>
      </c>
      <c r="BX441" t="s">
        <v>79</v>
      </c>
      <c r="BY441" t="s">
        <v>79</v>
      </c>
      <c r="BZ441" t="s">
        <v>79</v>
      </c>
      <c r="CA441" s="10">
        <v>45910</v>
      </c>
    </row>
    <row r="442" spans="1:79">
      <c r="A442">
        <v>448</v>
      </c>
      <c r="B442">
        <v>63</v>
      </c>
      <c r="C442">
        <v>31</v>
      </c>
      <c r="D442" t="s">
        <v>3466</v>
      </c>
      <c r="F442" t="s">
        <v>168</v>
      </c>
      <c r="G442" s="12" t="s">
        <v>3463</v>
      </c>
      <c r="I442">
        <v>70</v>
      </c>
      <c r="J442">
        <v>70</v>
      </c>
      <c r="K442">
        <v>142</v>
      </c>
      <c r="L442">
        <v>75</v>
      </c>
      <c r="M442" t="s">
        <v>72</v>
      </c>
      <c r="N442">
        <v>131</v>
      </c>
      <c r="O442">
        <v>83</v>
      </c>
      <c r="P442" t="s">
        <v>82</v>
      </c>
      <c r="Q442" t="s">
        <v>82</v>
      </c>
      <c r="R442">
        <v>66.599999999999994</v>
      </c>
      <c r="S442">
        <v>162</v>
      </c>
      <c r="T442" s="8">
        <f t="shared" si="12"/>
        <v>25.377229080932782</v>
      </c>
      <c r="U442" s="13" t="str" cm="1">
        <f t="array" ref="U442">IF(T442="","",_xlfn.IFS(T442&lt;18.5,"Bajo peso",T442&lt;25,"Peso normal",T442&lt;30,"Sobrepeso",T442&lt;35,"Obesidad clase I",T442&lt;40,"Obesidad clase II",T442&gt;=40,"Obesidad clase III"))</f>
        <v>Sobrepeso</v>
      </c>
      <c r="V442">
        <v>109</v>
      </c>
      <c r="X442" t="s">
        <v>3463</v>
      </c>
      <c r="Y442">
        <v>0.65</v>
      </c>
      <c r="AA442">
        <v>90</v>
      </c>
      <c r="AB442" s="9">
        <f t="shared" si="13"/>
        <v>120.64077828306129</v>
      </c>
      <c r="AD442" t="s">
        <v>73</v>
      </c>
      <c r="AF442" t="s">
        <v>73</v>
      </c>
      <c r="AH442" t="s">
        <v>3463</v>
      </c>
      <c r="AI442" t="s">
        <v>3463</v>
      </c>
      <c r="AJ442" t="s">
        <v>3463</v>
      </c>
      <c r="AK442" t="s">
        <v>3465</v>
      </c>
      <c r="AL442" t="s">
        <v>3463</v>
      </c>
      <c r="AO442" t="s">
        <v>3463</v>
      </c>
      <c r="AP442" t="s">
        <v>3465</v>
      </c>
      <c r="AQ442" t="s">
        <v>1126</v>
      </c>
      <c r="AR442" t="s">
        <v>3488</v>
      </c>
      <c r="AT442" t="s">
        <v>3463</v>
      </c>
      <c r="AV442" t="s">
        <v>74</v>
      </c>
      <c r="AW442" t="s">
        <v>3915</v>
      </c>
      <c r="AX442" t="s">
        <v>3463</v>
      </c>
      <c r="AY442" t="s">
        <v>3465</v>
      </c>
      <c r="AZ442" t="s">
        <v>1127</v>
      </c>
      <c r="BF442" t="s">
        <v>3921</v>
      </c>
      <c r="BH442" t="s">
        <v>4020</v>
      </c>
      <c r="BP442" t="s">
        <v>4260</v>
      </c>
      <c r="BQ442" t="s">
        <v>3465</v>
      </c>
      <c r="BR442" t="s">
        <v>3465</v>
      </c>
      <c r="BS442" t="s">
        <v>3465</v>
      </c>
      <c r="BT442" t="s">
        <v>3465</v>
      </c>
      <c r="BU442" t="s">
        <v>3463</v>
      </c>
      <c r="BV442" t="s">
        <v>3463</v>
      </c>
      <c r="BW442" t="s">
        <v>3463</v>
      </c>
      <c r="BX442" t="s">
        <v>79</v>
      </c>
      <c r="BY442" t="s">
        <v>79</v>
      </c>
      <c r="BZ442" t="s">
        <v>79</v>
      </c>
      <c r="CA442" s="10">
        <v>45910</v>
      </c>
    </row>
    <row r="443" spans="1:79">
      <c r="A443">
        <v>449</v>
      </c>
      <c r="B443">
        <v>64</v>
      </c>
      <c r="C443">
        <v>34</v>
      </c>
      <c r="D443" t="s">
        <v>3466</v>
      </c>
      <c r="E443" t="s">
        <v>1128</v>
      </c>
      <c r="F443" t="s">
        <v>168</v>
      </c>
      <c r="G443" s="12" t="s">
        <v>3463</v>
      </c>
      <c r="H443" s="12"/>
      <c r="I443">
        <v>63</v>
      </c>
      <c r="K443">
        <v>117</v>
      </c>
      <c r="L443">
        <v>64</v>
      </c>
      <c r="M443" t="s">
        <v>80</v>
      </c>
      <c r="P443" t="s">
        <v>83</v>
      </c>
      <c r="Q443" t="s">
        <v>80</v>
      </c>
      <c r="R443">
        <v>65.75</v>
      </c>
      <c r="S443">
        <v>164</v>
      </c>
      <c r="T443" s="8">
        <f t="shared" si="12"/>
        <v>24.446014277215944</v>
      </c>
      <c r="U443" s="13" t="str" cm="1">
        <f t="array" ref="U443">IF(T443="","",_xlfn.IFS(T443&lt;18.5,"Bajo peso",T443&lt;25,"Peso normal",T443&lt;30,"Sobrepeso",T443&lt;35,"Obesidad clase I",T443&lt;40,"Obesidad clase II",T443&gt;=40,"Obesidad clase III"))</f>
        <v>Peso normal</v>
      </c>
      <c r="V443">
        <v>84</v>
      </c>
      <c r="X443" t="s">
        <v>3463</v>
      </c>
      <c r="Y443">
        <v>0.82</v>
      </c>
      <c r="AA443">
        <v>90</v>
      </c>
      <c r="AB443" s="9">
        <f t="shared" si="13"/>
        <v>96.200122257177867</v>
      </c>
      <c r="AD443" t="s">
        <v>73</v>
      </c>
      <c r="AF443" t="s">
        <v>73</v>
      </c>
      <c r="AH443" t="s">
        <v>3463</v>
      </c>
      <c r="AI443" t="s">
        <v>3463</v>
      </c>
      <c r="AJ443" t="s">
        <v>3463</v>
      </c>
      <c r="AK443" t="s">
        <v>3463</v>
      </c>
      <c r="AL443" t="s">
        <v>3465</v>
      </c>
      <c r="AM443" t="s">
        <v>1129</v>
      </c>
      <c r="AN443" t="s">
        <v>3708</v>
      </c>
      <c r="AP443" t="s">
        <v>3463</v>
      </c>
      <c r="AQ443" t="s">
        <v>1130</v>
      </c>
      <c r="AR443" t="s">
        <v>3490</v>
      </c>
      <c r="AV443" t="s">
        <v>112</v>
      </c>
      <c r="AW443" t="s">
        <v>3917</v>
      </c>
      <c r="AX443" t="s">
        <v>3463</v>
      </c>
      <c r="AY443" t="s">
        <v>3465</v>
      </c>
      <c r="AZ443" t="s">
        <v>90</v>
      </c>
      <c r="BF443" t="s">
        <v>3921</v>
      </c>
      <c r="BH443" t="s">
        <v>4020</v>
      </c>
      <c r="BP443" t="s">
        <v>4260</v>
      </c>
      <c r="BQ443" t="s">
        <v>3465</v>
      </c>
      <c r="BR443" t="s">
        <v>3465</v>
      </c>
      <c r="BS443" t="s">
        <v>3465</v>
      </c>
      <c r="BT443" t="s">
        <v>3465</v>
      </c>
      <c r="BU443" t="s">
        <v>3463</v>
      </c>
      <c r="BV443" t="s">
        <v>3463</v>
      </c>
      <c r="BW443" t="s">
        <v>3463</v>
      </c>
      <c r="BX443" t="s">
        <v>79</v>
      </c>
      <c r="BY443" t="s">
        <v>79</v>
      </c>
      <c r="BZ443" t="s">
        <v>79</v>
      </c>
      <c r="CA443" s="10">
        <v>45910</v>
      </c>
    </row>
    <row r="444" spans="1:79">
      <c r="A444">
        <v>450</v>
      </c>
      <c r="B444">
        <v>65</v>
      </c>
      <c r="C444">
        <v>57</v>
      </c>
      <c r="D444" t="s">
        <v>3462</v>
      </c>
      <c r="E444" t="s">
        <v>1005</v>
      </c>
      <c r="F444" t="s">
        <v>969</v>
      </c>
      <c r="G444" s="12" t="s">
        <v>3465</v>
      </c>
      <c r="H444" t="s">
        <v>88</v>
      </c>
      <c r="I444">
        <v>74</v>
      </c>
      <c r="K444">
        <v>140</v>
      </c>
      <c r="L444">
        <v>88</v>
      </c>
      <c r="M444" t="s">
        <v>72</v>
      </c>
      <c r="P444" t="s">
        <v>83</v>
      </c>
      <c r="Q444" t="s">
        <v>72</v>
      </c>
      <c r="R444">
        <v>88.25</v>
      </c>
      <c r="S444">
        <v>170.5</v>
      </c>
      <c r="T444" s="8">
        <f t="shared" si="12"/>
        <v>30.357496065565311</v>
      </c>
      <c r="U444" s="13" t="str" cm="1">
        <f t="array" ref="U444">IF(T444="","",_xlfn.IFS(T444&lt;18.5,"Bajo peso",T444&lt;25,"Peso normal",T444&lt;30,"Sobrepeso",T444&lt;35,"Obesidad clase I",T444&lt;40,"Obesidad clase II",T444&gt;=40,"Obesidad clase III"))</f>
        <v>Obesidad clase I</v>
      </c>
      <c r="V444">
        <v>125</v>
      </c>
      <c r="X444" t="s">
        <v>3463</v>
      </c>
      <c r="Y444">
        <v>1.06</v>
      </c>
      <c r="AA444">
        <v>82</v>
      </c>
      <c r="AB444" s="9">
        <f t="shared" si="13"/>
        <v>81.856822960905845</v>
      </c>
      <c r="AD444" t="s">
        <v>73</v>
      </c>
      <c r="AF444" t="s">
        <v>73</v>
      </c>
      <c r="AH444" t="s">
        <v>3464</v>
      </c>
      <c r="AI444" t="s">
        <v>3464</v>
      </c>
      <c r="AJ444" t="s">
        <v>3463</v>
      </c>
      <c r="AK444" t="s">
        <v>3463</v>
      </c>
      <c r="AL444" t="s">
        <v>3463</v>
      </c>
      <c r="AO444" t="s">
        <v>3465</v>
      </c>
      <c r="AP444" t="s">
        <v>3465</v>
      </c>
      <c r="AQ444" t="s">
        <v>1131</v>
      </c>
      <c r="AR444" t="s">
        <v>3522</v>
      </c>
      <c r="AV444" t="s">
        <v>74</v>
      </c>
      <c r="AW444" t="s">
        <v>3915</v>
      </c>
      <c r="BF444" t="s">
        <v>3921</v>
      </c>
      <c r="BH444" t="s">
        <v>4020</v>
      </c>
      <c r="BP444" t="s">
        <v>4260</v>
      </c>
      <c r="BQ444" t="s">
        <v>3463</v>
      </c>
      <c r="BR444" t="s">
        <v>3465</v>
      </c>
      <c r="BS444" t="s">
        <v>3463</v>
      </c>
      <c r="BT444" t="s">
        <v>3463</v>
      </c>
      <c r="BU444" t="s">
        <v>3463</v>
      </c>
      <c r="BV444" t="s">
        <v>3463</v>
      </c>
      <c r="BW444" t="s">
        <v>3463</v>
      </c>
      <c r="BX444" t="s">
        <v>79</v>
      </c>
      <c r="BY444" t="s">
        <v>79</v>
      </c>
      <c r="BZ444" t="s">
        <v>79</v>
      </c>
      <c r="CA444" s="10">
        <v>45910</v>
      </c>
    </row>
    <row r="445" spans="1:79">
      <c r="A445">
        <v>451</v>
      </c>
      <c r="B445">
        <v>66</v>
      </c>
      <c r="C445">
        <v>20</v>
      </c>
      <c r="D445" t="s">
        <v>3462</v>
      </c>
      <c r="E445" t="s">
        <v>1057</v>
      </c>
      <c r="F445" t="s">
        <v>969</v>
      </c>
      <c r="G445" s="12" t="s">
        <v>3465</v>
      </c>
      <c r="H445" t="s">
        <v>88</v>
      </c>
      <c r="I445">
        <v>63</v>
      </c>
      <c r="J445">
        <v>52</v>
      </c>
      <c r="K445">
        <v>143</v>
      </c>
      <c r="L445">
        <v>90</v>
      </c>
      <c r="M445" t="s">
        <v>72</v>
      </c>
      <c r="N445">
        <v>126</v>
      </c>
      <c r="O445">
        <v>65</v>
      </c>
      <c r="P445" t="s">
        <v>118</v>
      </c>
      <c r="Q445" t="s">
        <v>118</v>
      </c>
      <c r="R445">
        <v>74.349999999999994</v>
      </c>
      <c r="S445">
        <v>164</v>
      </c>
      <c r="T445" s="8">
        <f t="shared" si="12"/>
        <v>27.643515764425931</v>
      </c>
      <c r="U445" s="13" t="str" cm="1">
        <f t="array" ref="U445">IF(T445="","",_xlfn.IFS(T445&lt;18.5,"Bajo peso",T445&lt;25,"Peso normal",T445&lt;30,"Sobrepeso",T445&lt;35,"Obesidad clase I",T445&lt;40,"Obesidad clase II",T445&gt;=40,"Obesidad clase III"))</f>
        <v>Sobrepeso</v>
      </c>
      <c r="V445">
        <v>105</v>
      </c>
      <c r="X445" t="s">
        <v>3463</v>
      </c>
      <c r="Y445">
        <v>0.78</v>
      </c>
      <c r="AA445">
        <v>90</v>
      </c>
      <c r="AB445" s="9">
        <f t="shared" si="13"/>
        <v>130.92930435278726</v>
      </c>
      <c r="AD445" t="s">
        <v>73</v>
      </c>
      <c r="AF445" t="s">
        <v>73</v>
      </c>
      <c r="AH445" t="s">
        <v>3463</v>
      </c>
      <c r="AI445" t="s">
        <v>3463</v>
      </c>
      <c r="AJ445" t="s">
        <v>3463</v>
      </c>
      <c r="AK445" t="s">
        <v>3465</v>
      </c>
      <c r="AL445" t="s">
        <v>3463</v>
      </c>
      <c r="AP445" t="s">
        <v>3463</v>
      </c>
      <c r="AV445" t="s">
        <v>74</v>
      </c>
      <c r="AW445" t="s">
        <v>3915</v>
      </c>
      <c r="BF445" t="s">
        <v>3921</v>
      </c>
      <c r="BG445" t="s">
        <v>1132</v>
      </c>
      <c r="BH445" t="s">
        <v>4015</v>
      </c>
      <c r="BK445" t="s">
        <v>1133</v>
      </c>
      <c r="BL445" t="s">
        <v>602</v>
      </c>
      <c r="BP445" t="s">
        <v>4405</v>
      </c>
      <c r="BQ445" t="s">
        <v>3465</v>
      </c>
      <c r="BR445" t="s">
        <v>3465</v>
      </c>
      <c r="BS445" t="s">
        <v>3463</v>
      </c>
      <c r="BT445" t="s">
        <v>3463</v>
      </c>
      <c r="BU445" t="s">
        <v>3463</v>
      </c>
      <c r="BV445" t="s">
        <v>3463</v>
      </c>
      <c r="BW445" t="s">
        <v>3463</v>
      </c>
      <c r="BX445" t="s">
        <v>79</v>
      </c>
      <c r="BY445" t="s">
        <v>79</v>
      </c>
      <c r="BZ445" t="s">
        <v>79</v>
      </c>
      <c r="CA445" s="10">
        <v>45910</v>
      </c>
    </row>
    <row r="446" spans="1:79">
      <c r="A446">
        <v>452</v>
      </c>
      <c r="B446">
        <v>67</v>
      </c>
      <c r="C446">
        <v>34</v>
      </c>
      <c r="D446" t="s">
        <v>3462</v>
      </c>
      <c r="E446" t="s">
        <v>1134</v>
      </c>
      <c r="F446" t="s">
        <v>168</v>
      </c>
      <c r="G446" s="12" t="s">
        <v>3463</v>
      </c>
      <c r="I446">
        <v>84</v>
      </c>
      <c r="K446">
        <v>129</v>
      </c>
      <c r="L446">
        <v>72</v>
      </c>
      <c r="M446" t="s">
        <v>118</v>
      </c>
      <c r="P446" t="s">
        <v>83</v>
      </c>
      <c r="Q446" t="s">
        <v>118</v>
      </c>
      <c r="R446">
        <v>88.8</v>
      </c>
      <c r="S446">
        <v>176</v>
      </c>
      <c r="T446" s="8">
        <f t="shared" si="12"/>
        <v>28.667355371900825</v>
      </c>
      <c r="U446" s="13" t="str" cm="1">
        <f t="array" ref="U446">IF(T446="","",_xlfn.IFS(T446&lt;18.5,"Bajo peso",T446&lt;25,"Peso normal",T446&lt;30,"Sobrepeso",T446&lt;35,"Obesidad clase I",T446&lt;40,"Obesidad clase II",T446&gt;=40,"Obesidad clase III"))</f>
        <v>Sobrepeso</v>
      </c>
      <c r="V446">
        <v>108</v>
      </c>
      <c r="X446" t="s">
        <v>3463</v>
      </c>
      <c r="Y446">
        <v>0.65</v>
      </c>
      <c r="AA446">
        <v>90</v>
      </c>
      <c r="AB446" s="9">
        <f t="shared" si="13"/>
        <v>126.80474074198882</v>
      </c>
      <c r="AD446" t="s">
        <v>73</v>
      </c>
      <c r="AF446" t="s">
        <v>73</v>
      </c>
      <c r="AH446" t="s">
        <v>3463</v>
      </c>
      <c r="AI446" t="s">
        <v>3463</v>
      </c>
      <c r="AJ446" t="s">
        <v>3463</v>
      </c>
      <c r="AK446" t="s">
        <v>3463</v>
      </c>
      <c r="AL446" t="s">
        <v>3463</v>
      </c>
      <c r="AP446" t="s">
        <v>3463</v>
      </c>
      <c r="AQ446" t="s">
        <v>1135</v>
      </c>
      <c r="AR446" t="s">
        <v>3505</v>
      </c>
      <c r="AV446" t="s">
        <v>74</v>
      </c>
      <c r="AW446" t="s">
        <v>3915</v>
      </c>
      <c r="BF446" t="s">
        <v>3921</v>
      </c>
      <c r="BH446" t="s">
        <v>4020</v>
      </c>
      <c r="BP446" t="s">
        <v>4260</v>
      </c>
      <c r="BQ446" t="s">
        <v>3465</v>
      </c>
      <c r="BR446" t="s">
        <v>3465</v>
      </c>
      <c r="BS446" t="s">
        <v>3463</v>
      </c>
      <c r="BT446" t="s">
        <v>3463</v>
      </c>
      <c r="BU446" t="s">
        <v>3463</v>
      </c>
      <c r="BV446" t="s">
        <v>3463</v>
      </c>
      <c r="BW446" t="s">
        <v>3463</v>
      </c>
      <c r="BX446" t="s">
        <v>79</v>
      </c>
      <c r="BY446" t="s">
        <v>79</v>
      </c>
      <c r="BZ446" t="s">
        <v>79</v>
      </c>
      <c r="CA446" s="10">
        <v>45910</v>
      </c>
    </row>
    <row r="447" spans="1:79">
      <c r="A447">
        <v>453</v>
      </c>
      <c r="B447">
        <v>68</v>
      </c>
      <c r="C447">
        <v>46</v>
      </c>
      <c r="D447" t="s">
        <v>3466</v>
      </c>
      <c r="E447" t="s">
        <v>1000</v>
      </c>
      <c r="F447" t="s">
        <v>969</v>
      </c>
      <c r="G447" s="12" t="s">
        <v>3465</v>
      </c>
      <c r="H447" t="s">
        <v>88</v>
      </c>
      <c r="I447">
        <v>67</v>
      </c>
      <c r="J447">
        <v>70</v>
      </c>
      <c r="K447">
        <v>200</v>
      </c>
      <c r="L447">
        <v>97</v>
      </c>
      <c r="M447" t="s">
        <v>96</v>
      </c>
      <c r="N447">
        <v>164</v>
      </c>
      <c r="O447">
        <v>105</v>
      </c>
      <c r="P447" t="s">
        <v>72</v>
      </c>
      <c r="Q447" t="s">
        <v>72</v>
      </c>
      <c r="R447">
        <v>74.3</v>
      </c>
      <c r="S447">
        <v>163.5</v>
      </c>
      <c r="T447" s="8">
        <f t="shared" si="12"/>
        <v>27.794143777646848</v>
      </c>
      <c r="U447" s="13" t="str" cm="1">
        <f t="array" ref="U447">IF(T447="","",_xlfn.IFS(T447&lt;18.5,"Bajo peso",T447&lt;25,"Peso normal",T447&lt;30,"Sobrepeso",T447&lt;35,"Obesidad clase I",T447&lt;40,"Obesidad clase II",T447&gt;=40,"Obesidad clase III"))</f>
        <v>Sobrepeso</v>
      </c>
      <c r="V447">
        <v>107</v>
      </c>
      <c r="X447" t="s">
        <v>3463</v>
      </c>
      <c r="Y447">
        <v>0.3</v>
      </c>
      <c r="AA447">
        <v>90</v>
      </c>
      <c r="AB447" s="9">
        <f t="shared" si="13"/>
        <v>132.40516077146128</v>
      </c>
      <c r="AD447" t="s">
        <v>73</v>
      </c>
      <c r="AF447" t="s">
        <v>73</v>
      </c>
      <c r="AH447" t="s">
        <v>3463</v>
      </c>
      <c r="AI447" t="s">
        <v>3463</v>
      </c>
      <c r="AJ447" t="s">
        <v>3463</v>
      </c>
      <c r="AK447" t="s">
        <v>3463</v>
      </c>
      <c r="AL447" t="s">
        <v>3463</v>
      </c>
      <c r="AP447" t="s">
        <v>3463</v>
      </c>
      <c r="AQ447" t="s">
        <v>1112</v>
      </c>
      <c r="AR447" t="s">
        <v>3491</v>
      </c>
      <c r="AT447" t="s">
        <v>3465</v>
      </c>
      <c r="AU447" t="s">
        <v>80</v>
      </c>
      <c r="AV447" t="s">
        <v>74</v>
      </c>
      <c r="AW447" t="s">
        <v>3915</v>
      </c>
      <c r="AX447" t="s">
        <v>3463</v>
      </c>
      <c r="AY447" t="s">
        <v>3465</v>
      </c>
      <c r="AZ447" t="s">
        <v>90</v>
      </c>
      <c r="BF447" t="s">
        <v>3921</v>
      </c>
      <c r="BG447" t="s">
        <v>1136</v>
      </c>
      <c r="BH447" t="s">
        <v>4021</v>
      </c>
      <c r="BI447" t="s">
        <v>76</v>
      </c>
      <c r="BK447" t="s">
        <v>1137</v>
      </c>
      <c r="BP447" t="s">
        <v>4261</v>
      </c>
      <c r="BQ447" t="s">
        <v>3463</v>
      </c>
      <c r="BR447" t="s">
        <v>3465</v>
      </c>
      <c r="BS447" t="s">
        <v>3463</v>
      </c>
      <c r="BT447" t="s">
        <v>3463</v>
      </c>
      <c r="BU447" t="s">
        <v>3463</v>
      </c>
      <c r="BV447" t="s">
        <v>3463</v>
      </c>
      <c r="BW447" t="s">
        <v>3463</v>
      </c>
      <c r="BX447" t="s">
        <v>79</v>
      </c>
      <c r="BY447" t="s">
        <v>79</v>
      </c>
      <c r="BZ447" t="s">
        <v>79</v>
      </c>
      <c r="CA447" s="10">
        <v>45910</v>
      </c>
    </row>
    <row r="448" spans="1:79">
      <c r="A448">
        <v>454</v>
      </c>
      <c r="B448">
        <v>69</v>
      </c>
      <c r="C448">
        <v>57</v>
      </c>
      <c r="D448" t="s">
        <v>3466</v>
      </c>
      <c r="E448" t="s">
        <v>1038</v>
      </c>
      <c r="F448" t="s">
        <v>969</v>
      </c>
      <c r="G448" s="12" t="s">
        <v>3465</v>
      </c>
      <c r="H448" s="12" t="s">
        <v>88</v>
      </c>
      <c r="I448">
        <v>69</v>
      </c>
      <c r="J448">
        <v>69</v>
      </c>
      <c r="K448">
        <v>185</v>
      </c>
      <c r="L448">
        <v>69</v>
      </c>
      <c r="M448" t="s">
        <v>96</v>
      </c>
      <c r="N448">
        <v>157</v>
      </c>
      <c r="O448">
        <v>82</v>
      </c>
      <c r="P448" t="s">
        <v>72</v>
      </c>
      <c r="Q448" t="s">
        <v>72</v>
      </c>
      <c r="R448">
        <v>86.3</v>
      </c>
      <c r="S448">
        <v>151</v>
      </c>
      <c r="T448" s="8">
        <f t="shared" si="12"/>
        <v>37.849217139599141</v>
      </c>
      <c r="U448" s="13" t="str" cm="1">
        <f t="array" ref="U448">IF(T448="","",_xlfn.IFS(T448&lt;18.5,"Bajo peso",T448&lt;25,"Peso normal",T448&lt;30,"Sobrepeso",T448&lt;35,"Obesidad clase I",T448&lt;40,"Obesidad clase II",T448&gt;=40,"Obesidad clase III"))</f>
        <v>Obesidad clase II</v>
      </c>
      <c r="V448">
        <v>183</v>
      </c>
      <c r="X448" t="s">
        <v>3463</v>
      </c>
      <c r="Y448">
        <v>0.45</v>
      </c>
      <c r="AA448">
        <v>90</v>
      </c>
      <c r="AB448" s="9">
        <f t="shared" si="13"/>
        <v>112.1387823542691</v>
      </c>
      <c r="AD448" t="s">
        <v>73</v>
      </c>
      <c r="AF448" t="s">
        <v>73</v>
      </c>
      <c r="AH448" t="s">
        <v>3464</v>
      </c>
      <c r="AI448" t="s">
        <v>3465</v>
      </c>
      <c r="AJ448" t="s">
        <v>3464</v>
      </c>
      <c r="AK448" t="s">
        <v>3463</v>
      </c>
      <c r="AL448" t="s">
        <v>3464</v>
      </c>
      <c r="AP448" t="s">
        <v>3464</v>
      </c>
      <c r="AQ448" t="s">
        <v>1138</v>
      </c>
      <c r="AR448" t="s">
        <v>3504</v>
      </c>
      <c r="AS448" t="s">
        <v>3463</v>
      </c>
      <c r="AT448" t="s">
        <v>3465</v>
      </c>
      <c r="AU448" t="s">
        <v>80</v>
      </c>
      <c r="AV448" t="s">
        <v>74</v>
      </c>
      <c r="AW448" t="s">
        <v>3915</v>
      </c>
      <c r="AX448" t="s">
        <v>3463</v>
      </c>
      <c r="AY448" t="s">
        <v>3465</v>
      </c>
      <c r="AZ448" t="s">
        <v>90</v>
      </c>
      <c r="BF448" t="s">
        <v>3921</v>
      </c>
      <c r="BH448" t="s">
        <v>4017</v>
      </c>
      <c r="BI448" t="s">
        <v>820</v>
      </c>
      <c r="BK448" t="s">
        <v>1139</v>
      </c>
      <c r="BL448" t="s">
        <v>1140</v>
      </c>
      <c r="BP448" t="s">
        <v>4406</v>
      </c>
      <c r="BQ448" t="s">
        <v>3463</v>
      </c>
      <c r="BR448" t="s">
        <v>3463</v>
      </c>
      <c r="BS448" t="s">
        <v>3463</v>
      </c>
      <c r="BT448" t="s">
        <v>3463</v>
      </c>
      <c r="BU448" t="s">
        <v>3463</v>
      </c>
      <c r="BV448" t="s">
        <v>3463</v>
      </c>
      <c r="BW448" t="s">
        <v>3463</v>
      </c>
      <c r="BX448" t="s">
        <v>518</v>
      </c>
      <c r="BY448" t="s">
        <v>79</v>
      </c>
      <c r="BZ448" t="s">
        <v>79</v>
      </c>
      <c r="CA448" s="10">
        <v>45910</v>
      </c>
    </row>
    <row r="449" spans="1:79">
      <c r="A449">
        <v>455</v>
      </c>
      <c r="B449">
        <v>70</v>
      </c>
      <c r="C449">
        <v>63</v>
      </c>
      <c r="D449" t="s">
        <v>3462</v>
      </c>
      <c r="F449" t="s">
        <v>969</v>
      </c>
      <c r="G449" s="12" t="s">
        <v>3465</v>
      </c>
      <c r="H449" t="s">
        <v>88</v>
      </c>
      <c r="I449">
        <v>66</v>
      </c>
      <c r="J449">
        <v>70</v>
      </c>
      <c r="K449">
        <v>144</v>
      </c>
      <c r="L449">
        <v>87</v>
      </c>
      <c r="M449" t="s">
        <v>72</v>
      </c>
      <c r="N449">
        <v>146</v>
      </c>
      <c r="O449">
        <v>82</v>
      </c>
      <c r="P449" t="s">
        <v>72</v>
      </c>
      <c r="Q449" t="s">
        <v>72</v>
      </c>
      <c r="R449">
        <v>69.3</v>
      </c>
      <c r="S449">
        <v>156.5</v>
      </c>
      <c r="T449" s="8">
        <f t="shared" si="12"/>
        <v>28.294664638814318</v>
      </c>
      <c r="U449" s="13" t="str" cm="1">
        <f t="array" ref="U449">IF(T449="","",_xlfn.IFS(T449&lt;18.5,"Bajo peso",T449&lt;25,"Peso normal",T449&lt;30,"Sobrepeso",T449&lt;35,"Obesidad clase I",T449&lt;40,"Obesidad clase II",T449&gt;=40,"Obesidad clase III"))</f>
        <v>Sobrepeso</v>
      </c>
      <c r="V449">
        <v>316</v>
      </c>
      <c r="X449" t="s">
        <v>3465</v>
      </c>
      <c r="Y449">
        <v>0.56000000000000005</v>
      </c>
      <c r="AA449">
        <v>90</v>
      </c>
      <c r="AB449" s="9">
        <f t="shared" si="13"/>
        <v>110.75244430571847</v>
      </c>
      <c r="AD449" t="s">
        <v>73</v>
      </c>
      <c r="AF449" t="s">
        <v>73</v>
      </c>
      <c r="AG449" t="s">
        <v>3465</v>
      </c>
      <c r="AH449" t="s">
        <v>3465</v>
      </c>
      <c r="AI449" t="s">
        <v>3463</v>
      </c>
      <c r="AJ449" t="s">
        <v>3463</v>
      </c>
      <c r="AK449" t="s">
        <v>3463</v>
      </c>
      <c r="AL449" t="s">
        <v>3463</v>
      </c>
      <c r="AP449" t="s">
        <v>3463</v>
      </c>
      <c r="AV449" t="s">
        <v>112</v>
      </c>
      <c r="AW449" t="s">
        <v>3917</v>
      </c>
      <c r="BB449" t="s">
        <v>3485</v>
      </c>
      <c r="BF449" t="s">
        <v>3921</v>
      </c>
      <c r="BH449" t="s">
        <v>4029</v>
      </c>
      <c r="BI449" t="s">
        <v>1141</v>
      </c>
      <c r="BK449" t="s">
        <v>1142</v>
      </c>
      <c r="BL449" t="s">
        <v>1143</v>
      </c>
      <c r="BP449" t="s">
        <v>4407</v>
      </c>
      <c r="BQ449" t="s">
        <v>3463</v>
      </c>
      <c r="BR449" t="s">
        <v>3463</v>
      </c>
      <c r="BS449" t="s">
        <v>3463</v>
      </c>
      <c r="BT449" t="s">
        <v>3463</v>
      </c>
      <c r="BU449" t="s">
        <v>3463</v>
      </c>
      <c r="BV449" t="s">
        <v>3463</v>
      </c>
      <c r="BW449" t="s">
        <v>3463</v>
      </c>
      <c r="BX449" t="s">
        <v>79</v>
      </c>
      <c r="BY449" t="s">
        <v>121</v>
      </c>
      <c r="BZ449" t="s">
        <v>79</v>
      </c>
      <c r="CA449" s="10">
        <v>45910</v>
      </c>
    </row>
    <row r="450" spans="1:79">
      <c r="A450">
        <v>456</v>
      </c>
      <c r="B450">
        <v>71</v>
      </c>
      <c r="C450">
        <v>65</v>
      </c>
      <c r="D450" t="s">
        <v>3462</v>
      </c>
      <c r="E450" t="s">
        <v>1000</v>
      </c>
      <c r="F450" t="s">
        <v>969</v>
      </c>
      <c r="G450" s="12" t="s">
        <v>3463</v>
      </c>
      <c r="I450">
        <v>66</v>
      </c>
      <c r="J450">
        <v>66</v>
      </c>
      <c r="K450">
        <v>152</v>
      </c>
      <c r="L450">
        <v>76</v>
      </c>
      <c r="M450" t="s">
        <v>72</v>
      </c>
      <c r="N450">
        <v>140</v>
      </c>
      <c r="O450">
        <v>65</v>
      </c>
      <c r="P450" t="s">
        <v>72</v>
      </c>
      <c r="Q450" t="s">
        <v>72</v>
      </c>
      <c r="R450">
        <v>86.4</v>
      </c>
      <c r="S450">
        <v>173</v>
      </c>
      <c r="T450" s="8">
        <f t="shared" ref="T450:T513" si="14">IFERROR(R450/(S450^2)*10000,"")</f>
        <v>28.868321694677405</v>
      </c>
      <c r="U450" s="13" t="str" cm="1">
        <f t="array" ref="U450">IF(T450="","",_xlfn.IFS(T450&lt;18.5,"Bajo peso",T450&lt;25,"Peso normal",T450&lt;30,"Sobrepeso",T450&lt;35,"Obesidad clase I",T450&lt;40,"Obesidad clase II",T450&gt;=40,"Obesidad clase III"))</f>
        <v>Sobrepeso</v>
      </c>
      <c r="V450">
        <v>120</v>
      </c>
      <c r="X450" t="s">
        <v>3463</v>
      </c>
      <c r="Y450">
        <v>0.7</v>
      </c>
      <c r="AA450">
        <v>90</v>
      </c>
      <c r="AB450" s="9">
        <f t="shared" ref="AB450:AB513" si="15">IF(OR(C450="",D450="",Y450=""),"",142*POWER(MIN(Y450/IF(D450="Mujer",0.7,0.9),1),IF(D450="Mujer",-0.241,-0.302))*POWER(MAX(Y450/IF(D450="Mujer",0.7,0.9),1),-1.2)*POWER(0.9938,C450)*IF(D450="Mujer",1.012,1))</f>
        <v>102.25498298013115</v>
      </c>
      <c r="AD450" t="s">
        <v>73</v>
      </c>
      <c r="AF450" t="s">
        <v>73</v>
      </c>
      <c r="AG450" t="s">
        <v>3465</v>
      </c>
      <c r="AH450" t="s">
        <v>3465</v>
      </c>
      <c r="AI450" t="s">
        <v>3465</v>
      </c>
      <c r="AJ450" t="s">
        <v>3465</v>
      </c>
      <c r="AK450" t="s">
        <v>3463</v>
      </c>
      <c r="AL450" t="s">
        <v>3463</v>
      </c>
      <c r="AO450" t="s">
        <v>3463</v>
      </c>
      <c r="AP450" t="s">
        <v>3465</v>
      </c>
      <c r="AQ450" t="s">
        <v>1144</v>
      </c>
      <c r="AR450" t="s">
        <v>3488</v>
      </c>
      <c r="AS450" t="s">
        <v>3465</v>
      </c>
      <c r="AV450" t="s">
        <v>126</v>
      </c>
      <c r="AW450" t="s">
        <v>126</v>
      </c>
      <c r="BA450" t="s">
        <v>3920</v>
      </c>
      <c r="BB450" t="s">
        <v>3485</v>
      </c>
      <c r="BE450" t="s">
        <v>1145</v>
      </c>
      <c r="BF450" t="s">
        <v>3932</v>
      </c>
      <c r="BG450" t="s">
        <v>1145</v>
      </c>
      <c r="BH450" t="s">
        <v>4124</v>
      </c>
      <c r="BI450" t="s">
        <v>629</v>
      </c>
      <c r="BL450" t="s">
        <v>1146</v>
      </c>
      <c r="BP450" t="s">
        <v>4408</v>
      </c>
      <c r="BQ450" t="s">
        <v>3463</v>
      </c>
      <c r="BR450" t="s">
        <v>3465</v>
      </c>
      <c r="BS450" t="s">
        <v>3465</v>
      </c>
      <c r="BT450" t="s">
        <v>3465</v>
      </c>
      <c r="BU450" t="s">
        <v>3463</v>
      </c>
      <c r="BV450" t="s">
        <v>3463</v>
      </c>
      <c r="BW450" t="s">
        <v>3463</v>
      </c>
      <c r="BX450" t="s">
        <v>79</v>
      </c>
      <c r="BY450" t="s">
        <v>79</v>
      </c>
      <c r="BZ450" t="s">
        <v>79</v>
      </c>
      <c r="CA450" s="10">
        <v>45910</v>
      </c>
    </row>
    <row r="451" spans="1:79">
      <c r="A451">
        <v>457</v>
      </c>
      <c r="B451">
        <v>72</v>
      </c>
      <c r="C451">
        <v>42</v>
      </c>
      <c r="D451" t="s">
        <v>3462</v>
      </c>
      <c r="E451" t="s">
        <v>974</v>
      </c>
      <c r="F451" t="s">
        <v>168</v>
      </c>
      <c r="G451" s="12" t="s">
        <v>3463</v>
      </c>
      <c r="H451" s="12"/>
      <c r="I451">
        <v>77</v>
      </c>
      <c r="J451">
        <v>74</v>
      </c>
      <c r="K451">
        <v>147</v>
      </c>
      <c r="L451">
        <v>92</v>
      </c>
      <c r="M451" t="s">
        <v>72</v>
      </c>
      <c r="N451">
        <v>143</v>
      </c>
      <c r="O451">
        <v>90</v>
      </c>
      <c r="P451" t="s">
        <v>72</v>
      </c>
      <c r="Q451" t="s">
        <v>72</v>
      </c>
      <c r="R451">
        <v>85.25</v>
      </c>
      <c r="S451">
        <v>170</v>
      </c>
      <c r="T451" s="8">
        <f t="shared" si="14"/>
        <v>29.498269896193772</v>
      </c>
      <c r="U451" s="13" t="str" cm="1">
        <f t="array" ref="U451">IF(T451="","",_xlfn.IFS(T451&lt;18.5,"Bajo peso",T451&lt;25,"Peso normal",T451&lt;30,"Sobrepeso",T451&lt;35,"Obesidad clase I",T451&lt;40,"Obesidad clase II",T451&gt;=40,"Obesidad clase III"))</f>
        <v>Sobrepeso</v>
      </c>
      <c r="V451">
        <v>160</v>
      </c>
      <c r="X451" t="s">
        <v>3463</v>
      </c>
      <c r="Y451">
        <v>0.65</v>
      </c>
      <c r="AA451">
        <v>90</v>
      </c>
      <c r="AB451" s="9">
        <f t="shared" si="15"/>
        <v>120.65002874811981</v>
      </c>
      <c r="AD451" t="s">
        <v>73</v>
      </c>
      <c r="AF451" t="s">
        <v>73</v>
      </c>
      <c r="AH451" t="s">
        <v>3463</v>
      </c>
      <c r="AI451" t="s">
        <v>3465</v>
      </c>
      <c r="AJ451" t="s">
        <v>3463</v>
      </c>
      <c r="AK451" t="s">
        <v>3463</v>
      </c>
      <c r="AL451" t="s">
        <v>3463</v>
      </c>
      <c r="AP451" t="s">
        <v>3463</v>
      </c>
      <c r="AQ451" t="s">
        <v>1147</v>
      </c>
      <c r="AR451" t="s">
        <v>3488</v>
      </c>
      <c r="AS451" t="s">
        <v>3463</v>
      </c>
      <c r="AV451" t="s">
        <v>74</v>
      </c>
      <c r="AW451" t="s">
        <v>3915</v>
      </c>
      <c r="BA451" t="s">
        <v>3920</v>
      </c>
      <c r="BF451" t="s">
        <v>3921</v>
      </c>
      <c r="BH451" t="s">
        <v>4014</v>
      </c>
      <c r="BK451" t="s">
        <v>1148</v>
      </c>
      <c r="BL451" t="s">
        <v>1149</v>
      </c>
      <c r="BP451" t="s">
        <v>4396</v>
      </c>
      <c r="BQ451" t="s">
        <v>3463</v>
      </c>
      <c r="BR451" t="s">
        <v>3465</v>
      </c>
      <c r="BS451" t="s">
        <v>3465</v>
      </c>
      <c r="BT451" t="s">
        <v>3465</v>
      </c>
      <c r="BU451" t="s">
        <v>3463</v>
      </c>
      <c r="BV451" t="s">
        <v>3463</v>
      </c>
      <c r="BW451" t="s">
        <v>3463</v>
      </c>
      <c r="BX451" t="s">
        <v>518</v>
      </c>
      <c r="BY451" t="s">
        <v>79</v>
      </c>
      <c r="BZ451" t="s">
        <v>79</v>
      </c>
      <c r="CA451" s="10">
        <v>45910</v>
      </c>
    </row>
    <row r="452" spans="1:79">
      <c r="A452">
        <v>458</v>
      </c>
      <c r="B452">
        <v>73</v>
      </c>
      <c r="C452">
        <v>25</v>
      </c>
      <c r="D452" t="s">
        <v>3466</v>
      </c>
      <c r="E452" t="s">
        <v>1150</v>
      </c>
      <c r="F452" t="s">
        <v>969</v>
      </c>
      <c r="G452" s="12" t="s">
        <v>3463</v>
      </c>
      <c r="H452" s="12"/>
      <c r="I452">
        <v>79</v>
      </c>
      <c r="J452">
        <v>77</v>
      </c>
      <c r="K452">
        <v>142</v>
      </c>
      <c r="L452">
        <v>79</v>
      </c>
      <c r="M452" t="s">
        <v>72</v>
      </c>
      <c r="N452">
        <v>144</v>
      </c>
      <c r="O452">
        <v>87</v>
      </c>
      <c r="P452" t="s">
        <v>72</v>
      </c>
      <c r="Q452" t="s">
        <v>72</v>
      </c>
      <c r="R452">
        <v>74.400000000000006</v>
      </c>
      <c r="S452">
        <v>164</v>
      </c>
      <c r="T452" s="8">
        <f t="shared" si="14"/>
        <v>27.662105889351579</v>
      </c>
      <c r="U452" s="13" t="str" cm="1">
        <f t="array" ref="U452">IF(T452="","",_xlfn.IFS(T452&lt;18.5,"Bajo peso",T452&lt;25,"Peso normal",T452&lt;30,"Sobrepeso",T452&lt;35,"Obesidad clase I",T452&lt;40,"Obesidad clase II",T452&gt;=40,"Obesidad clase III"))</f>
        <v>Sobrepeso</v>
      </c>
      <c r="V452">
        <v>140</v>
      </c>
      <c r="X452" t="s">
        <v>3463</v>
      </c>
      <c r="Y452">
        <v>0.6</v>
      </c>
      <c r="AA452">
        <v>90</v>
      </c>
      <c r="AB452" s="9">
        <f t="shared" si="15"/>
        <v>127.66676196277652</v>
      </c>
      <c r="AD452" t="s">
        <v>73</v>
      </c>
      <c r="AF452" t="s">
        <v>73</v>
      </c>
      <c r="AH452" t="s">
        <v>3463</v>
      </c>
      <c r="AI452" t="s">
        <v>3463</v>
      </c>
      <c r="AJ452" t="s">
        <v>3463</v>
      </c>
      <c r="AK452" t="s">
        <v>3463</v>
      </c>
      <c r="AL452" t="s">
        <v>3463</v>
      </c>
      <c r="AP452" t="s">
        <v>3463</v>
      </c>
      <c r="AQ452" t="s">
        <v>1078</v>
      </c>
      <c r="AR452" t="s">
        <v>3512</v>
      </c>
      <c r="AT452" t="s">
        <v>3463</v>
      </c>
      <c r="AV452" t="s">
        <v>74</v>
      </c>
      <c r="AW452" t="s">
        <v>3915</v>
      </c>
      <c r="AX452" t="s">
        <v>3463</v>
      </c>
      <c r="AY452" t="s">
        <v>3463</v>
      </c>
      <c r="BF452" t="s">
        <v>3921</v>
      </c>
      <c r="BH452" t="s">
        <v>4021</v>
      </c>
      <c r="BI452" t="s">
        <v>76</v>
      </c>
      <c r="BK452" t="s">
        <v>1151</v>
      </c>
      <c r="BP452" t="s">
        <v>4261</v>
      </c>
      <c r="BQ452" t="s">
        <v>3463</v>
      </c>
      <c r="BR452" t="s">
        <v>3465</v>
      </c>
      <c r="BS452" t="s">
        <v>3465</v>
      </c>
      <c r="BT452" t="s">
        <v>3465</v>
      </c>
      <c r="BU452" t="s">
        <v>3463</v>
      </c>
      <c r="BV452" t="s">
        <v>3463</v>
      </c>
      <c r="BW452" t="s">
        <v>3463</v>
      </c>
      <c r="BX452" t="s">
        <v>79</v>
      </c>
      <c r="BY452" t="s">
        <v>79</v>
      </c>
      <c r="BZ452" t="s">
        <v>79</v>
      </c>
      <c r="CA452" s="10">
        <v>45910</v>
      </c>
    </row>
    <row r="453" spans="1:79">
      <c r="A453">
        <v>459</v>
      </c>
      <c r="B453">
        <v>74</v>
      </c>
      <c r="C453">
        <v>75</v>
      </c>
      <c r="D453" t="s">
        <v>3462</v>
      </c>
      <c r="F453" t="s">
        <v>969</v>
      </c>
      <c r="G453" s="12" t="s">
        <v>3465</v>
      </c>
      <c r="H453" t="s">
        <v>88</v>
      </c>
      <c r="I453">
        <v>76</v>
      </c>
      <c r="J453">
        <v>73</v>
      </c>
      <c r="K453">
        <v>184</v>
      </c>
      <c r="L453">
        <v>88</v>
      </c>
      <c r="M453" t="s">
        <v>96</v>
      </c>
      <c r="N453">
        <v>149</v>
      </c>
      <c r="O453">
        <v>84</v>
      </c>
      <c r="P453" t="s">
        <v>72</v>
      </c>
      <c r="Q453" t="s">
        <v>72</v>
      </c>
      <c r="R453">
        <v>80.900000000000006</v>
      </c>
      <c r="S453">
        <v>160</v>
      </c>
      <c r="T453" s="8">
        <f t="shared" si="14"/>
        <v>31.601562500000004</v>
      </c>
      <c r="U453" s="13" t="str" cm="1">
        <f t="array" ref="U453">IF(T453="","",_xlfn.IFS(T453&lt;18.5,"Bajo peso",T453&lt;25,"Peso normal",T453&lt;30,"Sobrepeso",T453&lt;35,"Obesidad clase I",T453&lt;40,"Obesidad clase II",T453&gt;=40,"Obesidad clase III"))</f>
        <v>Obesidad clase I</v>
      </c>
      <c r="V453">
        <v>131</v>
      </c>
      <c r="X453" t="s">
        <v>3463</v>
      </c>
      <c r="Y453">
        <v>0.82</v>
      </c>
      <c r="AA453">
        <v>90</v>
      </c>
      <c r="AB453" s="9">
        <f t="shared" si="15"/>
        <v>91.605643433968154</v>
      </c>
      <c r="AD453" t="s">
        <v>73</v>
      </c>
      <c r="AF453" t="s">
        <v>73</v>
      </c>
      <c r="AH453" t="s">
        <v>3463</v>
      </c>
      <c r="AI453" t="s">
        <v>3463</v>
      </c>
      <c r="AJ453" t="s">
        <v>3463</v>
      </c>
      <c r="AK453" t="s">
        <v>3463</v>
      </c>
      <c r="AL453" t="s">
        <v>3463</v>
      </c>
      <c r="AP453" t="s">
        <v>3463</v>
      </c>
      <c r="AV453" t="s">
        <v>178</v>
      </c>
      <c r="AW453" t="s">
        <v>3918</v>
      </c>
      <c r="BC453" t="s">
        <v>128</v>
      </c>
      <c r="BF453" t="s">
        <v>3921</v>
      </c>
      <c r="BH453" t="s">
        <v>4021</v>
      </c>
      <c r="BI453" t="s">
        <v>734</v>
      </c>
      <c r="BK453" t="s">
        <v>1152</v>
      </c>
      <c r="BL453" t="s">
        <v>1153</v>
      </c>
      <c r="BP453" t="s">
        <v>4394</v>
      </c>
      <c r="BQ453" t="s">
        <v>3463</v>
      </c>
      <c r="BR453" t="s">
        <v>3465</v>
      </c>
      <c r="BS453" t="s">
        <v>3463</v>
      </c>
      <c r="BT453" t="s">
        <v>3463</v>
      </c>
      <c r="BU453" t="s">
        <v>3463</v>
      </c>
      <c r="BV453" t="s">
        <v>3463</v>
      </c>
      <c r="BW453" t="s">
        <v>3463</v>
      </c>
      <c r="BX453" t="s">
        <v>518</v>
      </c>
      <c r="BY453" t="s">
        <v>87</v>
      </c>
      <c r="BZ453" t="s">
        <v>79</v>
      </c>
      <c r="CA453" s="10">
        <v>45910</v>
      </c>
    </row>
    <row r="454" spans="1:79">
      <c r="A454">
        <v>460</v>
      </c>
      <c r="B454">
        <v>75</v>
      </c>
      <c r="C454">
        <v>68</v>
      </c>
      <c r="D454" t="s">
        <v>3462</v>
      </c>
      <c r="E454" t="s">
        <v>1000</v>
      </c>
      <c r="F454" t="s">
        <v>969</v>
      </c>
      <c r="G454" s="12" t="s">
        <v>3465</v>
      </c>
      <c r="H454" s="12" t="s">
        <v>88</v>
      </c>
      <c r="I454">
        <v>74</v>
      </c>
      <c r="J454">
        <v>78</v>
      </c>
      <c r="K454">
        <v>159</v>
      </c>
      <c r="L454">
        <v>99</v>
      </c>
      <c r="M454" t="s">
        <v>72</v>
      </c>
      <c r="N454">
        <v>154</v>
      </c>
      <c r="O454">
        <v>97</v>
      </c>
      <c r="P454" t="s">
        <v>72</v>
      </c>
      <c r="Q454" t="s">
        <v>72</v>
      </c>
      <c r="R454">
        <v>101.6</v>
      </c>
      <c r="S454">
        <v>159</v>
      </c>
      <c r="T454" s="8">
        <f t="shared" si="14"/>
        <v>40.188283691309671</v>
      </c>
      <c r="U454" s="13" t="str" cm="1">
        <f t="array" ref="U454">IF(T454="","",_xlfn.IFS(T454&lt;18.5,"Bajo peso",T454&lt;25,"Peso normal",T454&lt;30,"Sobrepeso",T454&lt;35,"Obesidad clase I",T454&lt;40,"Obesidad clase II",T454&gt;=40,"Obesidad clase III"))</f>
        <v>Obesidad clase III</v>
      </c>
      <c r="V454">
        <v>88</v>
      </c>
      <c r="X454" t="s">
        <v>3463</v>
      </c>
      <c r="Y454">
        <v>0.68</v>
      </c>
      <c r="AA454">
        <v>90</v>
      </c>
      <c r="AB454" s="9">
        <f t="shared" si="15"/>
        <v>101.2472822581385</v>
      </c>
      <c r="AD454" t="s">
        <v>73</v>
      </c>
      <c r="AF454" t="s">
        <v>73</v>
      </c>
      <c r="AG454" t="s">
        <v>3465</v>
      </c>
      <c r="AH454" t="s">
        <v>3465</v>
      </c>
      <c r="AI454" t="s">
        <v>3465</v>
      </c>
      <c r="AJ454" t="s">
        <v>3463</v>
      </c>
      <c r="AK454" t="s">
        <v>3463</v>
      </c>
      <c r="AL454" t="s">
        <v>3463</v>
      </c>
      <c r="AP454" t="s">
        <v>3463</v>
      </c>
      <c r="AQ454" t="s">
        <v>1154</v>
      </c>
      <c r="AR454" t="s">
        <v>3491</v>
      </c>
      <c r="AS454" t="s">
        <v>3465</v>
      </c>
      <c r="AV454" t="s">
        <v>74</v>
      </c>
      <c r="AW454" t="s">
        <v>3915</v>
      </c>
      <c r="BF454" t="s">
        <v>3921</v>
      </c>
      <c r="BH454" t="s">
        <v>4020</v>
      </c>
      <c r="BP454" t="s">
        <v>4260</v>
      </c>
      <c r="BQ454" t="s">
        <v>3463</v>
      </c>
      <c r="BR454" t="s">
        <v>3465</v>
      </c>
      <c r="BS454" t="s">
        <v>3463</v>
      </c>
      <c r="BT454" t="s">
        <v>3463</v>
      </c>
      <c r="BU454" t="s">
        <v>3463</v>
      </c>
      <c r="BV454" t="s">
        <v>3463</v>
      </c>
      <c r="BW454" t="s">
        <v>3463</v>
      </c>
      <c r="BX454" t="s">
        <v>79</v>
      </c>
      <c r="BY454" t="s">
        <v>79</v>
      </c>
      <c r="BZ454" t="s">
        <v>79</v>
      </c>
      <c r="CA454" s="10">
        <v>45910</v>
      </c>
    </row>
    <row r="455" spans="1:79">
      <c r="A455">
        <v>461</v>
      </c>
      <c r="B455">
        <v>76</v>
      </c>
      <c r="C455">
        <v>34</v>
      </c>
      <c r="D455" t="s">
        <v>3466</v>
      </c>
      <c r="E455" t="s">
        <v>1026</v>
      </c>
      <c r="F455" t="s">
        <v>969</v>
      </c>
      <c r="G455" s="12" t="s">
        <v>3465</v>
      </c>
      <c r="H455" s="12" t="s">
        <v>88</v>
      </c>
      <c r="I455">
        <v>70</v>
      </c>
      <c r="K455">
        <v>118</v>
      </c>
      <c r="L455">
        <v>62</v>
      </c>
      <c r="M455" t="s">
        <v>80</v>
      </c>
      <c r="P455" t="s">
        <v>83</v>
      </c>
      <c r="Q455" t="s">
        <v>80</v>
      </c>
      <c r="R455">
        <v>73</v>
      </c>
      <c r="S455">
        <v>152</v>
      </c>
      <c r="T455" s="8">
        <f t="shared" si="14"/>
        <v>31.596260387811636</v>
      </c>
      <c r="U455" s="13" t="str" cm="1">
        <f t="array" ref="U455">IF(T455="","",_xlfn.IFS(T455&lt;18.5,"Bajo peso",T455&lt;25,"Peso normal",T455&lt;30,"Sobrepeso",T455&lt;35,"Obesidad clase I",T455&lt;40,"Obesidad clase II",T455&gt;=40,"Obesidad clase III"))</f>
        <v>Obesidad clase I</v>
      </c>
      <c r="V455">
        <v>94</v>
      </c>
      <c r="X455" t="s">
        <v>3463</v>
      </c>
      <c r="Y455">
        <v>0.69</v>
      </c>
      <c r="AA455">
        <v>90</v>
      </c>
      <c r="AB455" s="9">
        <f t="shared" si="15"/>
        <v>116.71874133388128</v>
      </c>
      <c r="AD455" t="s">
        <v>73</v>
      </c>
      <c r="AF455" t="s">
        <v>73</v>
      </c>
      <c r="AH455" t="s">
        <v>3463</v>
      </c>
      <c r="AI455" t="s">
        <v>3463</v>
      </c>
      <c r="AJ455" t="s">
        <v>3463</v>
      </c>
      <c r="AK455" t="s">
        <v>3463</v>
      </c>
      <c r="AL455" t="s">
        <v>3465</v>
      </c>
      <c r="AM455" t="s">
        <v>1155</v>
      </c>
      <c r="AN455" t="s">
        <v>3709</v>
      </c>
      <c r="AP455" t="s">
        <v>3463</v>
      </c>
      <c r="AV455" t="s">
        <v>74</v>
      </c>
      <c r="AW455" t="s">
        <v>3915</v>
      </c>
      <c r="BF455" t="s">
        <v>3921</v>
      </c>
      <c r="BH455" t="s">
        <v>4020</v>
      </c>
      <c r="BP455" t="s">
        <v>4260</v>
      </c>
      <c r="BQ455" t="s">
        <v>3463</v>
      </c>
      <c r="BR455" t="s">
        <v>3463</v>
      </c>
      <c r="BS455" t="s">
        <v>3463</v>
      </c>
      <c r="BT455" t="s">
        <v>3463</v>
      </c>
      <c r="BU455" t="s">
        <v>3463</v>
      </c>
      <c r="BV455" t="s">
        <v>3463</v>
      </c>
      <c r="BW455" t="s">
        <v>3463</v>
      </c>
      <c r="BX455" t="s">
        <v>79</v>
      </c>
      <c r="BY455" t="s">
        <v>79</v>
      </c>
      <c r="BZ455" t="s">
        <v>79</v>
      </c>
      <c r="CA455" s="10">
        <v>45910</v>
      </c>
    </row>
    <row r="456" spans="1:79">
      <c r="A456">
        <v>462</v>
      </c>
      <c r="B456">
        <v>77</v>
      </c>
      <c r="C456">
        <v>34</v>
      </c>
      <c r="D456" t="s">
        <v>3466</v>
      </c>
      <c r="E456" t="s">
        <v>1005</v>
      </c>
      <c r="F456" t="s">
        <v>3469</v>
      </c>
      <c r="G456" s="12" t="s">
        <v>3463</v>
      </c>
      <c r="H456" s="12"/>
      <c r="I456">
        <v>84</v>
      </c>
      <c r="K456">
        <v>134</v>
      </c>
      <c r="L456">
        <v>89</v>
      </c>
      <c r="M456" t="s">
        <v>82</v>
      </c>
      <c r="P456" t="s">
        <v>83</v>
      </c>
      <c r="Q456" t="s">
        <v>82</v>
      </c>
      <c r="R456">
        <v>49.8</v>
      </c>
      <c r="S456">
        <v>146.5</v>
      </c>
      <c r="T456" s="8">
        <f t="shared" si="14"/>
        <v>23.203531782548424</v>
      </c>
      <c r="U456" s="13" t="str" cm="1">
        <f t="array" ref="U456">IF(T456="","",_xlfn.IFS(T456&lt;18.5,"Bajo peso",T456&lt;25,"Peso normal",T456&lt;30,"Sobrepeso",T456&lt;35,"Obesidad clase I",T456&lt;40,"Obesidad clase II",T456&gt;=40,"Obesidad clase III"))</f>
        <v>Peso normal</v>
      </c>
      <c r="V456">
        <v>90</v>
      </c>
      <c r="X456" t="s">
        <v>3463</v>
      </c>
      <c r="Y456">
        <v>0.71</v>
      </c>
      <c r="AA456">
        <v>90</v>
      </c>
      <c r="AB456" s="9">
        <f t="shared" si="15"/>
        <v>114.35159546054861</v>
      </c>
      <c r="AD456" t="s">
        <v>73</v>
      </c>
      <c r="AF456" t="s">
        <v>73</v>
      </c>
      <c r="AH456" t="s">
        <v>3463</v>
      </c>
      <c r="AI456" t="s">
        <v>3463</v>
      </c>
      <c r="AJ456" t="s">
        <v>3463</v>
      </c>
      <c r="AK456" t="s">
        <v>3463</v>
      </c>
      <c r="AL456" t="s">
        <v>3465</v>
      </c>
      <c r="AM456" t="s">
        <v>457</v>
      </c>
      <c r="AN456" t="s">
        <v>3617</v>
      </c>
      <c r="AO456" t="s">
        <v>3463</v>
      </c>
      <c r="AP456" t="s">
        <v>3465</v>
      </c>
      <c r="AQ456" t="s">
        <v>1156</v>
      </c>
      <c r="AR456" t="s">
        <v>3542</v>
      </c>
      <c r="AT456" t="s">
        <v>3463</v>
      </c>
      <c r="AV456" t="s">
        <v>74</v>
      </c>
      <c r="AW456" t="s">
        <v>3915</v>
      </c>
      <c r="AX456" t="s">
        <v>3465</v>
      </c>
      <c r="AY456" t="s">
        <v>3465</v>
      </c>
      <c r="AZ456" t="s">
        <v>90</v>
      </c>
      <c r="BF456" t="s">
        <v>3921</v>
      </c>
      <c r="BH456" t="s">
        <v>4020</v>
      </c>
      <c r="BP456" t="s">
        <v>4260</v>
      </c>
      <c r="BQ456" t="s">
        <v>3463</v>
      </c>
      <c r="BR456" t="s">
        <v>3465</v>
      </c>
      <c r="BS456" t="s">
        <v>3463</v>
      </c>
      <c r="BT456" t="s">
        <v>3463</v>
      </c>
      <c r="BU456" t="s">
        <v>3463</v>
      </c>
      <c r="BV456" t="s">
        <v>3463</v>
      </c>
      <c r="BW456" t="s">
        <v>3463</v>
      </c>
      <c r="BX456" t="s">
        <v>79</v>
      </c>
      <c r="BY456" t="s">
        <v>87</v>
      </c>
      <c r="BZ456" t="s">
        <v>79</v>
      </c>
      <c r="CA456" s="10">
        <v>45910</v>
      </c>
    </row>
    <row r="457" spans="1:79">
      <c r="A457">
        <v>463</v>
      </c>
      <c r="B457">
        <v>78</v>
      </c>
      <c r="C457">
        <v>63</v>
      </c>
      <c r="D457" t="s">
        <v>3466</v>
      </c>
      <c r="E457" t="s">
        <v>1157</v>
      </c>
      <c r="F457" t="s">
        <v>969</v>
      </c>
      <c r="G457" s="12" t="s">
        <v>3465</v>
      </c>
      <c r="H457" t="s">
        <v>88</v>
      </c>
      <c r="I457">
        <v>70</v>
      </c>
      <c r="J457">
        <v>68</v>
      </c>
      <c r="K457">
        <v>148</v>
      </c>
      <c r="L457">
        <v>84</v>
      </c>
      <c r="M457" t="s">
        <v>72</v>
      </c>
      <c r="N457">
        <v>132</v>
      </c>
      <c r="O457">
        <v>78</v>
      </c>
      <c r="P457" t="s">
        <v>82</v>
      </c>
      <c r="Q457" t="s">
        <v>82</v>
      </c>
      <c r="R457">
        <v>78.8</v>
      </c>
      <c r="S457">
        <v>155.5</v>
      </c>
      <c r="T457" s="8">
        <f t="shared" si="14"/>
        <v>32.588579522544222</v>
      </c>
      <c r="U457" s="13" t="str" cm="1">
        <f t="array" ref="U457">IF(T457="","",_xlfn.IFS(T457&lt;18.5,"Bajo peso",T457&lt;25,"Peso normal",T457&lt;30,"Sobrepeso",T457&lt;35,"Obesidad clase I",T457&lt;40,"Obesidad clase II",T457&gt;=40,"Obesidad clase III"))</f>
        <v>Obesidad clase I</v>
      </c>
      <c r="V457">
        <v>88</v>
      </c>
      <c r="X457" t="s">
        <v>3463</v>
      </c>
      <c r="Y457">
        <v>0.63</v>
      </c>
      <c r="AA457">
        <v>90</v>
      </c>
      <c r="AB457" s="9">
        <f t="shared" si="15"/>
        <v>99.616879633496367</v>
      </c>
      <c r="AD457" t="s">
        <v>73</v>
      </c>
      <c r="AF457" t="s">
        <v>73</v>
      </c>
      <c r="AH457" t="s">
        <v>3463</v>
      </c>
      <c r="AI457" t="s">
        <v>3465</v>
      </c>
      <c r="AJ457" t="s">
        <v>3463</v>
      </c>
      <c r="AK457" t="s">
        <v>3463</v>
      </c>
      <c r="AL457" t="s">
        <v>3463</v>
      </c>
      <c r="AP457" t="s">
        <v>3463</v>
      </c>
      <c r="AS457" t="s">
        <v>3465</v>
      </c>
      <c r="AT457" t="s">
        <v>3465</v>
      </c>
      <c r="AU457" t="s">
        <v>80</v>
      </c>
      <c r="AV457" t="s">
        <v>126</v>
      </c>
      <c r="AW457" t="s">
        <v>126</v>
      </c>
      <c r="AX457" t="s">
        <v>3463</v>
      </c>
      <c r="AY457" t="s">
        <v>3465</v>
      </c>
      <c r="AZ457" t="s">
        <v>490</v>
      </c>
      <c r="BF457" t="s">
        <v>3921</v>
      </c>
      <c r="BH457" t="s">
        <v>4020</v>
      </c>
      <c r="BP457" t="s">
        <v>4260</v>
      </c>
      <c r="BQ457" t="s">
        <v>3463</v>
      </c>
      <c r="BR457" t="s">
        <v>3463</v>
      </c>
      <c r="BS457" t="s">
        <v>3463</v>
      </c>
      <c r="BT457" t="s">
        <v>3463</v>
      </c>
      <c r="BU457" t="s">
        <v>3463</v>
      </c>
      <c r="BV457" t="s">
        <v>3463</v>
      </c>
      <c r="BW457" t="s">
        <v>3463</v>
      </c>
      <c r="BX457" t="s">
        <v>518</v>
      </c>
      <c r="BY457" t="s">
        <v>79</v>
      </c>
      <c r="BZ457" t="s">
        <v>79</v>
      </c>
      <c r="CA457" s="10">
        <v>45910</v>
      </c>
    </row>
    <row r="458" spans="1:79">
      <c r="A458">
        <v>464</v>
      </c>
      <c r="B458">
        <v>79</v>
      </c>
      <c r="C458">
        <v>30</v>
      </c>
      <c r="D458" t="s">
        <v>3466</v>
      </c>
      <c r="F458" t="s">
        <v>969</v>
      </c>
      <c r="G458" s="12" t="s">
        <v>3465</v>
      </c>
      <c r="H458" t="s">
        <v>88</v>
      </c>
      <c r="I458">
        <v>86</v>
      </c>
      <c r="J458">
        <v>78</v>
      </c>
      <c r="K458">
        <v>149</v>
      </c>
      <c r="L458">
        <v>91</v>
      </c>
      <c r="M458" t="s">
        <v>72</v>
      </c>
      <c r="N458">
        <v>134</v>
      </c>
      <c r="O458">
        <v>75</v>
      </c>
      <c r="P458" t="s">
        <v>82</v>
      </c>
      <c r="Q458" t="s">
        <v>82</v>
      </c>
      <c r="R458">
        <v>97.3</v>
      </c>
      <c r="S458">
        <v>156.5</v>
      </c>
      <c r="T458" s="8">
        <f t="shared" si="14"/>
        <v>39.726852371668592</v>
      </c>
      <c r="U458" s="13" t="str" cm="1">
        <f t="array" ref="U458">IF(T458="","",_xlfn.IFS(T458&lt;18.5,"Bajo peso",T458&lt;25,"Peso normal",T458&lt;30,"Sobrepeso",T458&lt;35,"Obesidad clase I",T458&lt;40,"Obesidad clase II",T458&gt;=40,"Obesidad clase III"))</f>
        <v>Obesidad clase II</v>
      </c>
      <c r="V458">
        <v>124</v>
      </c>
      <c r="X458" t="s">
        <v>3463</v>
      </c>
      <c r="Y458">
        <v>0.52</v>
      </c>
      <c r="AA458">
        <v>90</v>
      </c>
      <c r="AB458" s="9">
        <f t="shared" si="15"/>
        <v>128.10038971949334</v>
      </c>
      <c r="AD458" t="s">
        <v>73</v>
      </c>
      <c r="AF458" t="s">
        <v>73</v>
      </c>
      <c r="AH458" t="s">
        <v>3463</v>
      </c>
      <c r="AI458" t="s">
        <v>3463</v>
      </c>
      <c r="AJ458" t="s">
        <v>3463</v>
      </c>
      <c r="AK458" t="s">
        <v>3463</v>
      </c>
      <c r="AL458" t="s">
        <v>3463</v>
      </c>
      <c r="AP458" t="s">
        <v>3463</v>
      </c>
      <c r="AQ458" t="s">
        <v>1158</v>
      </c>
      <c r="AR458" t="s">
        <v>3488</v>
      </c>
      <c r="AT458" t="s">
        <v>3463</v>
      </c>
      <c r="AV458" t="s">
        <v>126</v>
      </c>
      <c r="AW458" t="s">
        <v>126</v>
      </c>
      <c r="AX458" t="s">
        <v>3463</v>
      </c>
      <c r="AY458" t="s">
        <v>3463</v>
      </c>
      <c r="AZ458" t="s">
        <v>1159</v>
      </c>
      <c r="BF458" t="s">
        <v>3921</v>
      </c>
      <c r="BH458" t="s">
        <v>4020</v>
      </c>
      <c r="BP458" t="s">
        <v>4260</v>
      </c>
      <c r="BQ458" t="s">
        <v>3465</v>
      </c>
      <c r="BR458" t="s">
        <v>3463</v>
      </c>
      <c r="BS458" t="s">
        <v>3463</v>
      </c>
      <c r="BT458" t="s">
        <v>3465</v>
      </c>
      <c r="BU458" t="s">
        <v>3463</v>
      </c>
      <c r="BV458" t="s">
        <v>3463</v>
      </c>
      <c r="BW458" t="s">
        <v>3463</v>
      </c>
      <c r="BX458" t="s">
        <v>79</v>
      </c>
      <c r="BY458" t="s">
        <v>87</v>
      </c>
      <c r="BZ458" t="s">
        <v>79</v>
      </c>
      <c r="CA458" s="10">
        <v>45910</v>
      </c>
    </row>
    <row r="459" spans="1:79">
      <c r="A459">
        <v>465</v>
      </c>
      <c r="B459">
        <v>80</v>
      </c>
      <c r="C459">
        <v>79</v>
      </c>
      <c r="D459" t="s">
        <v>3462</v>
      </c>
      <c r="E459" t="s">
        <v>1005</v>
      </c>
      <c r="F459" t="s">
        <v>969</v>
      </c>
      <c r="G459" s="12" t="s">
        <v>3465</v>
      </c>
      <c r="H459" t="s">
        <v>88</v>
      </c>
      <c r="I459">
        <v>40</v>
      </c>
      <c r="K459">
        <v>178</v>
      </c>
      <c r="L459">
        <v>71</v>
      </c>
      <c r="M459" t="s">
        <v>72</v>
      </c>
      <c r="P459" t="s">
        <v>83</v>
      </c>
      <c r="Q459" t="s">
        <v>72</v>
      </c>
      <c r="R459">
        <v>71.400000000000006</v>
      </c>
      <c r="S459">
        <v>161.5</v>
      </c>
      <c r="T459" s="8">
        <f t="shared" si="14"/>
        <v>27.374938895225682</v>
      </c>
      <c r="U459" s="13" t="str" cm="1">
        <f t="array" ref="U459">IF(T459="","",_xlfn.IFS(T459&lt;18.5,"Bajo peso",T459&lt;25,"Peso normal",T459&lt;30,"Sobrepeso",T459&lt;35,"Obesidad clase I",T459&lt;40,"Obesidad clase II",T459&gt;=40,"Obesidad clase III"))</f>
        <v>Sobrepeso</v>
      </c>
      <c r="V459">
        <v>151</v>
      </c>
      <c r="X459" t="s">
        <v>3463</v>
      </c>
      <c r="Y459">
        <v>1.45</v>
      </c>
      <c r="AA459">
        <v>49</v>
      </c>
      <c r="AB459" s="9">
        <f t="shared" si="15"/>
        <v>49.018289608974854</v>
      </c>
      <c r="AD459" t="s">
        <v>158</v>
      </c>
      <c r="AF459" t="s">
        <v>158</v>
      </c>
      <c r="AH459" t="s">
        <v>3463</v>
      </c>
      <c r="AI459" t="s">
        <v>3465</v>
      </c>
      <c r="AJ459" t="s">
        <v>3463</v>
      </c>
      <c r="AK459" t="s">
        <v>3463</v>
      </c>
      <c r="AL459" t="s">
        <v>3465</v>
      </c>
      <c r="AM459" t="s">
        <v>110</v>
      </c>
      <c r="AN459" t="s">
        <v>110</v>
      </c>
      <c r="AP459" t="s">
        <v>3464</v>
      </c>
      <c r="AQ459" t="s">
        <v>1160</v>
      </c>
      <c r="AR459" t="s">
        <v>3543</v>
      </c>
      <c r="AS459" t="s">
        <v>3465</v>
      </c>
      <c r="AV459" t="s">
        <v>112</v>
      </c>
      <c r="AW459" t="s">
        <v>3917</v>
      </c>
      <c r="BA459" t="s">
        <v>3920</v>
      </c>
      <c r="BE459" t="s">
        <v>1161</v>
      </c>
      <c r="BF459" t="s">
        <v>3947</v>
      </c>
      <c r="BG459" t="s">
        <v>1162</v>
      </c>
      <c r="BH459" t="s">
        <v>4082</v>
      </c>
      <c r="BI459" t="s">
        <v>1163</v>
      </c>
      <c r="BK459" t="s">
        <v>1164</v>
      </c>
      <c r="BL459" t="s">
        <v>1165</v>
      </c>
      <c r="BP459" t="s">
        <v>4409</v>
      </c>
      <c r="BQ459" t="s">
        <v>3463</v>
      </c>
      <c r="BR459" t="s">
        <v>3465</v>
      </c>
      <c r="BS459" t="s">
        <v>3463</v>
      </c>
      <c r="BT459" t="s">
        <v>3463</v>
      </c>
      <c r="BU459" t="s">
        <v>3463</v>
      </c>
      <c r="BV459" t="s">
        <v>3463</v>
      </c>
      <c r="BW459" t="s">
        <v>3463</v>
      </c>
      <c r="BX459" t="s">
        <v>79</v>
      </c>
      <c r="BY459" t="s">
        <v>79</v>
      </c>
      <c r="BZ459" t="s">
        <v>95</v>
      </c>
      <c r="CA459" s="10">
        <v>45910</v>
      </c>
    </row>
    <row r="460" spans="1:79">
      <c r="A460">
        <v>466</v>
      </c>
      <c r="B460">
        <v>81</v>
      </c>
      <c r="C460">
        <v>42</v>
      </c>
      <c r="D460" t="s">
        <v>3466</v>
      </c>
      <c r="E460" t="s">
        <v>1166</v>
      </c>
      <c r="F460" t="s">
        <v>969</v>
      </c>
      <c r="G460" s="12" t="s">
        <v>3465</v>
      </c>
      <c r="H460" s="12" t="s">
        <v>88</v>
      </c>
      <c r="I460">
        <v>100</v>
      </c>
      <c r="K460">
        <v>116</v>
      </c>
      <c r="L460">
        <v>77</v>
      </c>
      <c r="M460" t="s">
        <v>80</v>
      </c>
      <c r="P460" t="s">
        <v>83</v>
      </c>
      <c r="Q460" t="s">
        <v>80</v>
      </c>
      <c r="R460">
        <v>75.599999999999994</v>
      </c>
      <c r="S460">
        <v>157</v>
      </c>
      <c r="T460" s="8">
        <f t="shared" si="14"/>
        <v>30.670615440788669</v>
      </c>
      <c r="U460" s="13" t="str" cm="1">
        <f t="array" ref="U460">IF(T460="","",_xlfn.IFS(T460&lt;18.5,"Bajo peso",T460&lt;25,"Peso normal",T460&lt;30,"Sobrepeso",T460&lt;35,"Obesidad clase I",T460&lt;40,"Obesidad clase II",T460&gt;=40,"Obesidad clase III"))</f>
        <v>Obesidad clase I</v>
      </c>
      <c r="V460">
        <v>344</v>
      </c>
      <c r="X460" t="s">
        <v>3465</v>
      </c>
      <c r="Y460">
        <v>0.68</v>
      </c>
      <c r="AA460">
        <v>90</v>
      </c>
      <c r="AB460" s="9">
        <f t="shared" si="15"/>
        <v>111.44498183561704</v>
      </c>
      <c r="AD460" t="s">
        <v>73</v>
      </c>
      <c r="AF460" t="s">
        <v>73</v>
      </c>
      <c r="AG460" t="s">
        <v>3465</v>
      </c>
      <c r="AH460" t="s">
        <v>3465</v>
      </c>
      <c r="AI460" t="s">
        <v>3463</v>
      </c>
      <c r="AJ460" t="s">
        <v>3465</v>
      </c>
      <c r="AK460" t="s">
        <v>3465</v>
      </c>
      <c r="AL460" t="s">
        <v>3463</v>
      </c>
      <c r="AO460" t="s">
        <v>3465</v>
      </c>
      <c r="AP460" t="s">
        <v>3465</v>
      </c>
      <c r="AQ460" t="s">
        <v>955</v>
      </c>
      <c r="AR460" t="s">
        <v>3512</v>
      </c>
      <c r="AT460" t="s">
        <v>3463</v>
      </c>
      <c r="AV460" t="s">
        <v>74</v>
      </c>
      <c r="AW460" t="s">
        <v>3915</v>
      </c>
      <c r="AY460" t="s">
        <v>3465</v>
      </c>
      <c r="AZ460" t="s">
        <v>247</v>
      </c>
      <c r="BA460" t="s">
        <v>3920</v>
      </c>
      <c r="BB460" t="s">
        <v>3485</v>
      </c>
      <c r="BF460" t="s">
        <v>3921</v>
      </c>
      <c r="BG460" t="s">
        <v>1167</v>
      </c>
      <c r="BH460" t="s">
        <v>4029</v>
      </c>
      <c r="BL460" t="s">
        <v>1168</v>
      </c>
      <c r="BP460" t="s">
        <v>4410</v>
      </c>
      <c r="BQ460" t="s">
        <v>3463</v>
      </c>
      <c r="BR460" t="s">
        <v>3463</v>
      </c>
      <c r="BS460" t="s">
        <v>3465</v>
      </c>
      <c r="BT460" t="s">
        <v>3465</v>
      </c>
      <c r="BU460" t="s">
        <v>3463</v>
      </c>
      <c r="BV460" t="s">
        <v>3463</v>
      </c>
      <c r="BW460" t="s">
        <v>3463</v>
      </c>
      <c r="BX460" t="s">
        <v>121</v>
      </c>
      <c r="BY460" t="s">
        <v>487</v>
      </c>
      <c r="BZ460" t="s">
        <v>79</v>
      </c>
      <c r="CA460" s="10">
        <v>45910</v>
      </c>
    </row>
    <row r="461" spans="1:79">
      <c r="A461">
        <v>467</v>
      </c>
      <c r="B461">
        <v>82</v>
      </c>
      <c r="C461">
        <v>60</v>
      </c>
      <c r="D461" t="s">
        <v>3466</v>
      </c>
      <c r="F461" t="s">
        <v>969</v>
      </c>
      <c r="G461" s="12" t="s">
        <v>3465</v>
      </c>
      <c r="H461" s="12" t="s">
        <v>88</v>
      </c>
      <c r="I461">
        <v>64</v>
      </c>
      <c r="J461">
        <v>61</v>
      </c>
      <c r="K461">
        <v>170</v>
      </c>
      <c r="L461">
        <v>86</v>
      </c>
      <c r="M461" t="s">
        <v>72</v>
      </c>
      <c r="N461">
        <v>153</v>
      </c>
      <c r="O461">
        <v>74</v>
      </c>
      <c r="P461" t="s">
        <v>72</v>
      </c>
      <c r="Q461" t="s">
        <v>72</v>
      </c>
      <c r="R461">
        <v>95.2</v>
      </c>
      <c r="S461">
        <v>159</v>
      </c>
      <c r="T461" s="8">
        <f t="shared" si="14"/>
        <v>37.656738261935843</v>
      </c>
      <c r="U461" s="13" t="str" cm="1">
        <f t="array" ref="U461">IF(T461="","",_xlfn.IFS(T461&lt;18.5,"Bajo peso",T461&lt;25,"Peso normal",T461&lt;30,"Sobrepeso",T461&lt;35,"Obesidad clase I",T461&lt;40,"Obesidad clase II",T461&gt;=40,"Obesidad clase III"))</f>
        <v>Obesidad clase II</v>
      </c>
      <c r="V461">
        <v>101</v>
      </c>
      <c r="X461" t="s">
        <v>3463</v>
      </c>
      <c r="Y461">
        <v>0.62</v>
      </c>
      <c r="AA461">
        <v>90</v>
      </c>
      <c r="AB461" s="9">
        <f t="shared" si="15"/>
        <v>101.88508965034747</v>
      </c>
      <c r="AD461" t="s">
        <v>73</v>
      </c>
      <c r="AF461" t="s">
        <v>73</v>
      </c>
      <c r="AH461" t="s">
        <v>3463</v>
      </c>
      <c r="AI461" t="s">
        <v>3463</v>
      </c>
      <c r="AJ461" t="s">
        <v>3463</v>
      </c>
      <c r="AK461" t="s">
        <v>3463</v>
      </c>
      <c r="AL461" t="s">
        <v>3465</v>
      </c>
      <c r="AM461" t="s">
        <v>1169</v>
      </c>
      <c r="AN461" t="s">
        <v>3710</v>
      </c>
      <c r="AP461" t="s">
        <v>3463</v>
      </c>
      <c r="AQ461" t="s">
        <v>1170</v>
      </c>
      <c r="AR461" t="s">
        <v>3493</v>
      </c>
      <c r="AT461" t="s">
        <v>3465</v>
      </c>
      <c r="AU461" t="s">
        <v>80</v>
      </c>
      <c r="AV461" t="s">
        <v>74</v>
      </c>
      <c r="AW461" t="s">
        <v>3915</v>
      </c>
      <c r="AX461" t="s">
        <v>3465</v>
      </c>
      <c r="AY461" t="s">
        <v>3465</v>
      </c>
      <c r="AZ461" t="s">
        <v>1171</v>
      </c>
      <c r="BF461" t="s">
        <v>3921</v>
      </c>
      <c r="BH461" t="s">
        <v>4017</v>
      </c>
      <c r="BI461" t="s">
        <v>76</v>
      </c>
      <c r="BK461" t="s">
        <v>1172</v>
      </c>
      <c r="BL461" t="s">
        <v>602</v>
      </c>
      <c r="BP461" t="s">
        <v>4362</v>
      </c>
      <c r="BQ461" t="s">
        <v>3463</v>
      </c>
      <c r="BR461" t="s">
        <v>3463</v>
      </c>
      <c r="BS461" t="s">
        <v>3463</v>
      </c>
      <c r="BT461" t="s">
        <v>3463</v>
      </c>
      <c r="BU461" t="s">
        <v>3463</v>
      </c>
      <c r="BV461" t="s">
        <v>3463</v>
      </c>
      <c r="BW461" t="s">
        <v>3463</v>
      </c>
      <c r="BX461" t="s">
        <v>79</v>
      </c>
      <c r="BY461" t="s">
        <v>79</v>
      </c>
      <c r="BZ461" t="s">
        <v>79</v>
      </c>
      <c r="CA461" s="10">
        <v>45910</v>
      </c>
    </row>
    <row r="462" spans="1:79">
      <c r="A462">
        <v>468</v>
      </c>
      <c r="B462">
        <v>83</v>
      </c>
      <c r="C462">
        <v>48</v>
      </c>
      <c r="D462" t="s">
        <v>3462</v>
      </c>
      <c r="E462" t="s">
        <v>1000</v>
      </c>
      <c r="F462" t="s">
        <v>969</v>
      </c>
      <c r="G462" s="12" t="s">
        <v>3465</v>
      </c>
      <c r="H462" s="12" t="s">
        <v>88</v>
      </c>
      <c r="I462">
        <v>73</v>
      </c>
      <c r="J462">
        <v>67</v>
      </c>
      <c r="K462">
        <v>151</v>
      </c>
      <c r="L462">
        <v>108</v>
      </c>
      <c r="M462" t="s">
        <v>72</v>
      </c>
      <c r="N462">
        <v>170</v>
      </c>
      <c r="O462">
        <v>101</v>
      </c>
      <c r="P462" t="s">
        <v>72</v>
      </c>
      <c r="Q462" t="s">
        <v>72</v>
      </c>
      <c r="R462">
        <v>136</v>
      </c>
      <c r="S462">
        <v>175</v>
      </c>
      <c r="T462" s="8">
        <f t="shared" si="14"/>
        <v>44.408163265306129</v>
      </c>
      <c r="U462" s="13" t="str" cm="1">
        <f t="array" ref="U462">IF(T462="","",_xlfn.IFS(T462&lt;18.5,"Bajo peso",T462&lt;25,"Peso normal",T462&lt;30,"Sobrepeso",T462&lt;35,"Obesidad clase I",T462&lt;40,"Obesidad clase II",T462&gt;=40,"Obesidad clase III"))</f>
        <v>Obesidad clase III</v>
      </c>
      <c r="V462">
        <v>218</v>
      </c>
      <c r="X462" t="s">
        <v>3465</v>
      </c>
      <c r="Y462">
        <v>0.92</v>
      </c>
      <c r="AA462">
        <v>90</v>
      </c>
      <c r="AB462" s="9">
        <f t="shared" si="15"/>
        <v>102.60903389000562</v>
      </c>
      <c r="AD462" t="s">
        <v>73</v>
      </c>
      <c r="AF462" t="s">
        <v>73</v>
      </c>
      <c r="AH462" t="s">
        <v>3463</v>
      </c>
      <c r="AI462" t="s">
        <v>3465</v>
      </c>
      <c r="AJ462" t="s">
        <v>3463</v>
      </c>
      <c r="AK462" t="s">
        <v>3463</v>
      </c>
      <c r="AL462" t="s">
        <v>3465</v>
      </c>
      <c r="AM462" t="s">
        <v>1173</v>
      </c>
      <c r="AN462" t="s">
        <v>3616</v>
      </c>
      <c r="AP462" t="s">
        <v>3463</v>
      </c>
      <c r="AQ462" t="s">
        <v>1174</v>
      </c>
      <c r="AR462" t="s">
        <v>3488</v>
      </c>
      <c r="AS462" t="s">
        <v>3463</v>
      </c>
      <c r="AV462" t="s">
        <v>126</v>
      </c>
      <c r="AW462" t="s">
        <v>126</v>
      </c>
      <c r="BC462" t="s">
        <v>128</v>
      </c>
      <c r="BE462" t="s">
        <v>1175</v>
      </c>
      <c r="BF462" t="s">
        <v>3948</v>
      </c>
      <c r="BH462" t="s">
        <v>4017</v>
      </c>
      <c r="BI462" t="s">
        <v>1176</v>
      </c>
      <c r="BK462" t="s">
        <v>1177</v>
      </c>
      <c r="BP462" t="s">
        <v>4411</v>
      </c>
      <c r="BQ462" t="s">
        <v>3465</v>
      </c>
      <c r="BR462" t="s">
        <v>3465</v>
      </c>
      <c r="BS462" t="s">
        <v>3463</v>
      </c>
      <c r="BT462" t="s">
        <v>3463</v>
      </c>
      <c r="BU462" t="s">
        <v>3463</v>
      </c>
      <c r="BV462" t="s">
        <v>3463</v>
      </c>
      <c r="BW462" t="s">
        <v>3463</v>
      </c>
      <c r="BX462" t="s">
        <v>79</v>
      </c>
      <c r="BY462" t="s">
        <v>87</v>
      </c>
      <c r="BZ462" t="s">
        <v>79</v>
      </c>
      <c r="CA462" s="10">
        <v>45910</v>
      </c>
    </row>
    <row r="463" spans="1:79">
      <c r="A463">
        <v>469</v>
      </c>
      <c r="B463">
        <v>84</v>
      </c>
      <c r="C463">
        <v>51</v>
      </c>
      <c r="D463" t="s">
        <v>3462</v>
      </c>
      <c r="E463" t="s">
        <v>1178</v>
      </c>
      <c r="F463" t="s">
        <v>969</v>
      </c>
      <c r="G463" s="12" t="s">
        <v>3465</v>
      </c>
      <c r="H463" t="s">
        <v>88</v>
      </c>
      <c r="I463">
        <v>70</v>
      </c>
      <c r="J463">
        <v>66</v>
      </c>
      <c r="K463">
        <v>152</v>
      </c>
      <c r="L463">
        <v>89</v>
      </c>
      <c r="M463" t="s">
        <v>72</v>
      </c>
      <c r="N463">
        <v>143</v>
      </c>
      <c r="O463">
        <v>88</v>
      </c>
      <c r="P463" t="s">
        <v>72</v>
      </c>
      <c r="Q463" t="s">
        <v>72</v>
      </c>
      <c r="R463">
        <v>77.2</v>
      </c>
      <c r="S463">
        <v>158</v>
      </c>
      <c r="T463" s="8">
        <f t="shared" si="14"/>
        <v>30.924531325108159</v>
      </c>
      <c r="U463" s="13" t="str" cm="1">
        <f t="array" ref="U463">IF(T463="","",_xlfn.IFS(T463&lt;18.5,"Bajo peso",T463&lt;25,"Peso normal",T463&lt;30,"Sobrepeso",T463&lt;35,"Obesidad clase I",T463&lt;40,"Obesidad clase II",T463&gt;=40,"Obesidad clase III"))</f>
        <v>Obesidad clase I</v>
      </c>
      <c r="V463">
        <v>122</v>
      </c>
      <c r="X463" t="s">
        <v>3463</v>
      </c>
      <c r="Y463">
        <v>0.67</v>
      </c>
      <c r="AA463">
        <v>90</v>
      </c>
      <c r="AB463" s="9">
        <f t="shared" si="15"/>
        <v>113.04298181962652</v>
      </c>
      <c r="AD463" t="s">
        <v>73</v>
      </c>
      <c r="AF463" t="s">
        <v>73</v>
      </c>
      <c r="AH463" t="s">
        <v>3463</v>
      </c>
      <c r="AI463" t="s">
        <v>3465</v>
      </c>
      <c r="AJ463" t="s">
        <v>3463</v>
      </c>
      <c r="AK463" t="s">
        <v>3463</v>
      </c>
      <c r="AL463" t="s">
        <v>3463</v>
      </c>
      <c r="AP463" t="s">
        <v>3464</v>
      </c>
      <c r="AQ463" t="s">
        <v>1055</v>
      </c>
      <c r="AR463" t="s">
        <v>3491</v>
      </c>
      <c r="AS463" t="s">
        <v>3465</v>
      </c>
      <c r="AV463" t="s">
        <v>74</v>
      </c>
      <c r="AW463" t="s">
        <v>3915</v>
      </c>
      <c r="BF463" t="s">
        <v>3921</v>
      </c>
      <c r="BH463" t="s">
        <v>4020</v>
      </c>
      <c r="BP463" t="s">
        <v>4260</v>
      </c>
      <c r="BQ463" t="s">
        <v>3463</v>
      </c>
      <c r="BR463" t="s">
        <v>3463</v>
      </c>
      <c r="BS463" t="s">
        <v>3463</v>
      </c>
      <c r="BT463" t="s">
        <v>3463</v>
      </c>
      <c r="BU463" t="s">
        <v>3463</v>
      </c>
      <c r="BV463" t="s">
        <v>3463</v>
      </c>
      <c r="BW463" t="s">
        <v>3463</v>
      </c>
      <c r="BX463" t="s">
        <v>518</v>
      </c>
      <c r="BY463" t="s">
        <v>79</v>
      </c>
      <c r="BZ463" t="s">
        <v>79</v>
      </c>
      <c r="CA463" s="10">
        <v>45910</v>
      </c>
    </row>
    <row r="464" spans="1:79">
      <c r="A464">
        <v>470</v>
      </c>
      <c r="B464">
        <v>85</v>
      </c>
      <c r="C464">
        <v>69</v>
      </c>
      <c r="D464" t="s">
        <v>3466</v>
      </c>
      <c r="E464" t="s">
        <v>1179</v>
      </c>
      <c r="F464" t="s">
        <v>969</v>
      </c>
      <c r="G464" s="12" t="s">
        <v>3465</v>
      </c>
      <c r="H464" s="12" t="s">
        <v>88</v>
      </c>
      <c r="I464">
        <v>70</v>
      </c>
      <c r="J464">
        <v>70</v>
      </c>
      <c r="K464">
        <v>173</v>
      </c>
      <c r="L464">
        <v>111</v>
      </c>
      <c r="M464" t="s">
        <v>72</v>
      </c>
      <c r="N464">
        <v>161</v>
      </c>
      <c r="O464">
        <v>103</v>
      </c>
      <c r="P464" t="s">
        <v>72</v>
      </c>
      <c r="Q464" t="s">
        <v>72</v>
      </c>
      <c r="R464">
        <v>68</v>
      </c>
      <c r="S464">
        <v>149</v>
      </c>
      <c r="T464" s="8">
        <f t="shared" si="14"/>
        <v>30.629250934642581</v>
      </c>
      <c r="U464" s="13" t="str" cm="1">
        <f t="array" ref="U464">IF(T464="","",_xlfn.IFS(T464&lt;18.5,"Bajo peso",T464&lt;25,"Peso normal",T464&lt;30,"Sobrepeso",T464&lt;35,"Obesidad clase I",T464&lt;40,"Obesidad clase II",T464&gt;=40,"Obesidad clase III"))</f>
        <v>Obesidad clase I</v>
      </c>
      <c r="V464">
        <v>102</v>
      </c>
      <c r="X464" t="s">
        <v>3463</v>
      </c>
      <c r="Y464">
        <v>0.66</v>
      </c>
      <c r="AA464">
        <v>90</v>
      </c>
      <c r="AB464" s="9">
        <f t="shared" si="15"/>
        <v>94.898177576491221</v>
      </c>
      <c r="AD464" t="s">
        <v>73</v>
      </c>
      <c r="AF464" t="s">
        <v>73</v>
      </c>
      <c r="AG464" t="s">
        <v>3465</v>
      </c>
      <c r="AH464" t="s">
        <v>3465</v>
      </c>
      <c r="AI464" t="s">
        <v>3463</v>
      </c>
      <c r="AJ464" t="s">
        <v>3463</v>
      </c>
      <c r="AK464" t="s">
        <v>3463</v>
      </c>
      <c r="AL464" t="s">
        <v>3465</v>
      </c>
      <c r="AM464" t="s">
        <v>1180</v>
      </c>
      <c r="AN464" t="s">
        <v>3711</v>
      </c>
      <c r="AP464" t="s">
        <v>3463</v>
      </c>
      <c r="AQ464" t="s">
        <v>1181</v>
      </c>
      <c r="AR464" t="s">
        <v>3544</v>
      </c>
      <c r="AT464" t="s">
        <v>3465</v>
      </c>
      <c r="AU464" t="s">
        <v>80</v>
      </c>
      <c r="AV464" t="s">
        <v>178</v>
      </c>
      <c r="AW464" t="s">
        <v>3918</v>
      </c>
      <c r="AX464" t="s">
        <v>3465</v>
      </c>
      <c r="BA464" t="s">
        <v>3920</v>
      </c>
      <c r="BB464" t="s">
        <v>3485</v>
      </c>
      <c r="BE464" t="s">
        <v>472</v>
      </c>
      <c r="BF464" t="s">
        <v>457</v>
      </c>
      <c r="BG464" t="s">
        <v>1182</v>
      </c>
      <c r="BH464" t="s">
        <v>4125</v>
      </c>
      <c r="BI464" t="s">
        <v>1125</v>
      </c>
      <c r="BK464" t="s">
        <v>1183</v>
      </c>
      <c r="BP464" t="s">
        <v>4260</v>
      </c>
      <c r="BQ464" t="s">
        <v>3463</v>
      </c>
      <c r="BR464" t="s">
        <v>3463</v>
      </c>
      <c r="BS464" t="s">
        <v>3463</v>
      </c>
      <c r="BT464" t="s">
        <v>3463</v>
      </c>
      <c r="BU464" t="s">
        <v>3463</v>
      </c>
      <c r="BV464" t="s">
        <v>3463</v>
      </c>
      <c r="BW464" t="s">
        <v>3463</v>
      </c>
      <c r="BX464" t="s">
        <v>79</v>
      </c>
      <c r="BY464" t="s">
        <v>87</v>
      </c>
      <c r="BZ464" t="s">
        <v>79</v>
      </c>
      <c r="CA464" s="10">
        <v>45910</v>
      </c>
    </row>
    <row r="465" spans="1:79">
      <c r="A465">
        <v>471</v>
      </c>
      <c r="B465">
        <v>86</v>
      </c>
      <c r="C465">
        <v>52</v>
      </c>
      <c r="D465" t="s">
        <v>3466</v>
      </c>
      <c r="E465" t="s">
        <v>1113</v>
      </c>
      <c r="F465" t="s">
        <v>969</v>
      </c>
      <c r="G465" s="12" t="s">
        <v>3465</v>
      </c>
      <c r="H465" s="12" t="s">
        <v>88</v>
      </c>
      <c r="I465">
        <v>63</v>
      </c>
      <c r="J465">
        <v>66</v>
      </c>
      <c r="K465">
        <v>176</v>
      </c>
      <c r="L465">
        <v>97</v>
      </c>
      <c r="M465" t="s">
        <v>72</v>
      </c>
      <c r="N465">
        <v>163</v>
      </c>
      <c r="O465">
        <v>89</v>
      </c>
      <c r="P465" t="s">
        <v>72</v>
      </c>
      <c r="Q465" t="s">
        <v>72</v>
      </c>
      <c r="R465">
        <v>74</v>
      </c>
      <c r="S465">
        <v>143</v>
      </c>
      <c r="T465" s="8">
        <f t="shared" si="14"/>
        <v>36.187588635141083</v>
      </c>
      <c r="U465" s="13" t="str" cm="1">
        <f t="array" ref="U465">IF(T465="","",_xlfn.IFS(T465&lt;18.5,"Bajo peso",T465&lt;25,"Peso normal",T465&lt;30,"Sobrepeso",T465&lt;35,"Obesidad clase I",T465&lt;40,"Obesidad clase II",T465&gt;=40,"Obesidad clase III"))</f>
        <v>Obesidad clase II</v>
      </c>
      <c r="V465">
        <v>95</v>
      </c>
      <c r="X465" t="s">
        <v>3463</v>
      </c>
      <c r="Y465">
        <v>0.8</v>
      </c>
      <c r="AA465">
        <v>89</v>
      </c>
      <c r="AB465" s="9">
        <f t="shared" si="15"/>
        <v>88.598450344832486</v>
      </c>
      <c r="AD465" t="s">
        <v>73</v>
      </c>
      <c r="AF465" t="s">
        <v>73</v>
      </c>
      <c r="AH465" t="s">
        <v>3463</v>
      </c>
      <c r="AI465" t="s">
        <v>3465</v>
      </c>
      <c r="AJ465" t="s">
        <v>3465</v>
      </c>
      <c r="AK465" t="s">
        <v>3465</v>
      </c>
      <c r="AL465" t="s">
        <v>3465</v>
      </c>
      <c r="AM465" t="s">
        <v>1184</v>
      </c>
      <c r="AN465" t="s">
        <v>3712</v>
      </c>
      <c r="AP465" t="s">
        <v>3463</v>
      </c>
      <c r="AQ465" t="s">
        <v>1185</v>
      </c>
      <c r="AR465" t="s">
        <v>3506</v>
      </c>
      <c r="AS465" t="s">
        <v>3465</v>
      </c>
      <c r="AT465" t="s">
        <v>3465</v>
      </c>
      <c r="AU465" t="s">
        <v>80</v>
      </c>
      <c r="AV465" t="s">
        <v>74</v>
      </c>
      <c r="AW465" t="s">
        <v>3915</v>
      </c>
      <c r="AX465" t="s">
        <v>3465</v>
      </c>
      <c r="AY465" t="s">
        <v>3465</v>
      </c>
      <c r="AZ465" t="s">
        <v>90</v>
      </c>
      <c r="BA465" t="s">
        <v>3920</v>
      </c>
      <c r="BB465" t="s">
        <v>3485</v>
      </c>
      <c r="BE465" t="s">
        <v>1186</v>
      </c>
      <c r="BF465" t="s">
        <v>3942</v>
      </c>
      <c r="BH465" t="s">
        <v>4126</v>
      </c>
      <c r="BK465" t="s">
        <v>1187</v>
      </c>
      <c r="BL465" t="s">
        <v>1188</v>
      </c>
      <c r="BP465" t="s">
        <v>4403</v>
      </c>
      <c r="BQ465" t="s">
        <v>3463</v>
      </c>
      <c r="BR465" t="s">
        <v>3463</v>
      </c>
      <c r="BS465" t="s">
        <v>3463</v>
      </c>
      <c r="BT465" t="s">
        <v>3463</v>
      </c>
      <c r="BU465" t="s">
        <v>3463</v>
      </c>
      <c r="BV465" t="s">
        <v>3463</v>
      </c>
      <c r="BW465" t="s">
        <v>3463</v>
      </c>
      <c r="BX465" t="s">
        <v>518</v>
      </c>
      <c r="BY465" t="s">
        <v>87</v>
      </c>
      <c r="BZ465" t="s">
        <v>95</v>
      </c>
      <c r="CA465" s="10">
        <v>45910</v>
      </c>
    </row>
    <row r="466" spans="1:79">
      <c r="A466">
        <v>472</v>
      </c>
      <c r="B466">
        <v>87</v>
      </c>
      <c r="C466">
        <v>56</v>
      </c>
      <c r="D466" t="s">
        <v>3466</v>
      </c>
      <c r="E466" t="s">
        <v>1189</v>
      </c>
      <c r="F466" t="s">
        <v>969</v>
      </c>
      <c r="G466" s="12" t="s">
        <v>3465</v>
      </c>
      <c r="H466" s="12" t="s">
        <v>88</v>
      </c>
      <c r="I466">
        <v>76</v>
      </c>
      <c r="J466">
        <v>78</v>
      </c>
      <c r="K466">
        <v>152</v>
      </c>
      <c r="L466">
        <v>87</v>
      </c>
      <c r="M466" t="s">
        <v>72</v>
      </c>
      <c r="N466">
        <v>139</v>
      </c>
      <c r="O466">
        <v>81</v>
      </c>
      <c r="P466" t="s">
        <v>82</v>
      </c>
      <c r="Q466" t="s">
        <v>82</v>
      </c>
      <c r="R466">
        <v>70.849999999999994</v>
      </c>
      <c r="S466">
        <v>147</v>
      </c>
      <c r="T466" s="8">
        <f t="shared" si="14"/>
        <v>32.787264565690215</v>
      </c>
      <c r="U466" s="13" t="str" cm="1">
        <f t="array" ref="U466">IF(T466="","",_xlfn.IFS(T466&lt;18.5,"Bajo peso",T466&lt;25,"Peso normal",T466&lt;30,"Sobrepeso",T466&lt;35,"Obesidad clase I",T466&lt;40,"Obesidad clase II",T466&gt;=40,"Obesidad clase III"))</f>
        <v>Obesidad clase I</v>
      </c>
      <c r="V466">
        <v>187</v>
      </c>
      <c r="X466" t="s">
        <v>3463</v>
      </c>
      <c r="Y466">
        <v>0.77</v>
      </c>
      <c r="AA466">
        <v>90</v>
      </c>
      <c r="AB466" s="9">
        <f t="shared" si="15"/>
        <v>90.477628669177832</v>
      </c>
      <c r="AD466" t="s">
        <v>73</v>
      </c>
      <c r="AF466" t="s">
        <v>73</v>
      </c>
      <c r="AG466" t="s">
        <v>3465</v>
      </c>
      <c r="AH466" t="s">
        <v>3465</v>
      </c>
      <c r="AI466" t="s">
        <v>3465</v>
      </c>
      <c r="AJ466" t="s">
        <v>3463</v>
      </c>
      <c r="AK466" t="s">
        <v>3465</v>
      </c>
      <c r="AL466" t="s">
        <v>3463</v>
      </c>
      <c r="AP466" t="s">
        <v>3463</v>
      </c>
      <c r="AQ466" t="s">
        <v>239</v>
      </c>
      <c r="AR466" t="s">
        <v>3493</v>
      </c>
      <c r="AS466" t="s">
        <v>3465</v>
      </c>
      <c r="AT466" t="s">
        <v>3465</v>
      </c>
      <c r="AU466" t="s">
        <v>80</v>
      </c>
      <c r="AV466" t="s">
        <v>74</v>
      </c>
      <c r="AW466" t="s">
        <v>3915</v>
      </c>
      <c r="AX466" t="s">
        <v>3463</v>
      </c>
      <c r="AY466" t="s">
        <v>3465</v>
      </c>
      <c r="AZ466" t="s">
        <v>1007</v>
      </c>
      <c r="BA466" t="s">
        <v>3920</v>
      </c>
      <c r="BB466" t="s">
        <v>3485</v>
      </c>
      <c r="BF466" t="s">
        <v>3921</v>
      </c>
      <c r="BG466" t="s">
        <v>1190</v>
      </c>
      <c r="BH466" t="s">
        <v>4127</v>
      </c>
      <c r="BI466" t="s">
        <v>1070</v>
      </c>
      <c r="BK466" t="s">
        <v>1191</v>
      </c>
      <c r="BL466" t="s">
        <v>1192</v>
      </c>
      <c r="BP466" t="s">
        <v>4412</v>
      </c>
      <c r="BQ466" t="s">
        <v>3463</v>
      </c>
      <c r="BR466" t="s">
        <v>3463</v>
      </c>
      <c r="BS466" t="s">
        <v>3463</v>
      </c>
      <c r="BT466" t="s">
        <v>3463</v>
      </c>
      <c r="BU466" t="s">
        <v>3465</v>
      </c>
      <c r="BV466" t="s">
        <v>3465</v>
      </c>
      <c r="BW466" t="s">
        <v>3465</v>
      </c>
      <c r="BX466" t="s">
        <v>79</v>
      </c>
      <c r="BY466" t="s">
        <v>121</v>
      </c>
      <c r="BZ466" t="s">
        <v>109</v>
      </c>
      <c r="CA466" s="10">
        <v>45910</v>
      </c>
    </row>
    <row r="467" spans="1:79">
      <c r="A467">
        <v>473</v>
      </c>
      <c r="B467">
        <v>88</v>
      </c>
      <c r="C467">
        <v>34</v>
      </c>
      <c r="D467" t="s">
        <v>3462</v>
      </c>
      <c r="E467" t="s">
        <v>1193</v>
      </c>
      <c r="F467" t="s">
        <v>969</v>
      </c>
      <c r="G467" s="12" t="s">
        <v>3463</v>
      </c>
      <c r="H467" s="12"/>
      <c r="I467">
        <v>61</v>
      </c>
      <c r="K467">
        <v>136</v>
      </c>
      <c r="L467">
        <v>72</v>
      </c>
      <c r="M467" t="s">
        <v>82</v>
      </c>
      <c r="P467" t="s">
        <v>83</v>
      </c>
      <c r="Q467" t="s">
        <v>82</v>
      </c>
      <c r="R467">
        <v>68.45</v>
      </c>
      <c r="S467">
        <v>165</v>
      </c>
      <c r="T467" s="8">
        <f t="shared" si="14"/>
        <v>25.142332415059688</v>
      </c>
      <c r="U467" s="13" t="str" cm="1">
        <f t="array" ref="U467">IF(T467="","",_xlfn.IFS(T467&lt;18.5,"Bajo peso",T467&lt;25,"Peso normal",T467&lt;30,"Sobrepeso",T467&lt;35,"Obesidad clase I",T467&lt;40,"Obesidad clase II",T467&gt;=40,"Obesidad clase III"))</f>
        <v>Sobrepeso</v>
      </c>
      <c r="V467">
        <v>105</v>
      </c>
      <c r="X467" t="s">
        <v>3463</v>
      </c>
      <c r="Y467">
        <v>0.71</v>
      </c>
      <c r="AA467">
        <v>90</v>
      </c>
      <c r="AB467" s="9">
        <f t="shared" si="15"/>
        <v>123.46825290219286</v>
      </c>
      <c r="AD467" t="s">
        <v>73</v>
      </c>
      <c r="AF467" t="s">
        <v>73</v>
      </c>
      <c r="AH467" t="s">
        <v>3463</v>
      </c>
      <c r="AI467" t="s">
        <v>3463</v>
      </c>
      <c r="AJ467" t="s">
        <v>3463</v>
      </c>
      <c r="AK467" t="s">
        <v>3463</v>
      </c>
      <c r="AL467" t="s">
        <v>3465</v>
      </c>
      <c r="AM467" t="s">
        <v>1194</v>
      </c>
      <c r="AN467" t="s">
        <v>1499</v>
      </c>
      <c r="AO467" t="s">
        <v>3463</v>
      </c>
      <c r="AP467" t="s">
        <v>3465</v>
      </c>
      <c r="AQ467" t="s">
        <v>1195</v>
      </c>
      <c r="AR467" t="s">
        <v>3522</v>
      </c>
      <c r="AV467" t="s">
        <v>126</v>
      </c>
      <c r="AW467" t="s">
        <v>126</v>
      </c>
      <c r="BF467" t="s">
        <v>3921</v>
      </c>
      <c r="BH467" t="s">
        <v>4020</v>
      </c>
      <c r="BP467" t="s">
        <v>4260</v>
      </c>
      <c r="BQ467" t="s">
        <v>3463</v>
      </c>
      <c r="BR467" t="s">
        <v>3463</v>
      </c>
      <c r="BS467" t="s">
        <v>3465</v>
      </c>
      <c r="BT467" t="s">
        <v>3465</v>
      </c>
      <c r="BU467" t="s">
        <v>3463</v>
      </c>
      <c r="BV467" t="s">
        <v>3463</v>
      </c>
      <c r="BW467" t="s">
        <v>3463</v>
      </c>
      <c r="BX467" t="s">
        <v>79</v>
      </c>
      <c r="BY467" t="s">
        <v>79</v>
      </c>
      <c r="BZ467" t="s">
        <v>79</v>
      </c>
      <c r="CA467" s="10">
        <v>45910</v>
      </c>
    </row>
    <row r="468" spans="1:79">
      <c r="A468">
        <v>474</v>
      </c>
      <c r="B468">
        <v>89</v>
      </c>
      <c r="C468">
        <v>46</v>
      </c>
      <c r="D468" t="s">
        <v>3462</v>
      </c>
      <c r="F468" t="s">
        <v>969</v>
      </c>
      <c r="G468" s="12" t="s">
        <v>3463</v>
      </c>
      <c r="H468" s="12"/>
      <c r="I468">
        <v>88</v>
      </c>
      <c r="J468">
        <v>86</v>
      </c>
      <c r="K468">
        <v>160</v>
      </c>
      <c r="L468">
        <v>92</v>
      </c>
      <c r="M468" t="s">
        <v>72</v>
      </c>
      <c r="N468">
        <v>143</v>
      </c>
      <c r="O468">
        <v>88</v>
      </c>
      <c r="P468" t="s">
        <v>72</v>
      </c>
      <c r="Q468" t="s">
        <v>72</v>
      </c>
      <c r="R468">
        <v>87</v>
      </c>
      <c r="S468">
        <v>166</v>
      </c>
      <c r="T468" s="8">
        <f t="shared" si="14"/>
        <v>31.572071418202935</v>
      </c>
      <c r="U468" s="13" t="str" cm="1">
        <f t="array" ref="U468">IF(T468="","",_xlfn.IFS(T468&lt;18.5,"Bajo peso",T468&lt;25,"Peso normal",T468&lt;30,"Sobrepeso",T468&lt;35,"Obesidad clase I",T468&lt;40,"Obesidad clase II",T468&gt;=40,"Obesidad clase III"))</f>
        <v>Obesidad clase I</v>
      </c>
      <c r="V468">
        <v>103</v>
      </c>
      <c r="X468" t="s">
        <v>3463</v>
      </c>
      <c r="Y468">
        <v>1.08</v>
      </c>
      <c r="AA468">
        <v>86</v>
      </c>
      <c r="AB468" s="9">
        <f t="shared" si="15"/>
        <v>85.708619488508788</v>
      </c>
      <c r="AD468" t="s">
        <v>73</v>
      </c>
      <c r="AF468" t="s">
        <v>73</v>
      </c>
      <c r="AH468" t="s">
        <v>3463</v>
      </c>
      <c r="AI468" t="s">
        <v>3463</v>
      </c>
      <c r="AJ468" t="s">
        <v>3463</v>
      </c>
      <c r="AK468" t="s">
        <v>3463</v>
      </c>
      <c r="AL468" t="s">
        <v>3463</v>
      </c>
      <c r="AO468" t="s">
        <v>3463</v>
      </c>
      <c r="AP468" t="s">
        <v>3465</v>
      </c>
      <c r="AQ468" t="s">
        <v>1196</v>
      </c>
      <c r="AR468" t="s">
        <v>3545</v>
      </c>
      <c r="AV468" t="s">
        <v>74</v>
      </c>
      <c r="AW468" t="s">
        <v>3915</v>
      </c>
      <c r="BF468" t="s">
        <v>3921</v>
      </c>
      <c r="BG468" t="s">
        <v>1197</v>
      </c>
      <c r="BH468" t="s">
        <v>4017</v>
      </c>
      <c r="BI468" t="s">
        <v>162</v>
      </c>
      <c r="BK468" t="s">
        <v>1198</v>
      </c>
      <c r="BP468" t="s">
        <v>4282</v>
      </c>
      <c r="BQ468" t="s">
        <v>3465</v>
      </c>
      <c r="BR468" t="s">
        <v>3463</v>
      </c>
      <c r="BS468" t="s">
        <v>3463</v>
      </c>
      <c r="BT468" t="s">
        <v>3463</v>
      </c>
      <c r="BU468" t="s">
        <v>3463</v>
      </c>
      <c r="BV468" t="s">
        <v>3463</v>
      </c>
      <c r="BW468" t="s">
        <v>3463</v>
      </c>
      <c r="BX468" t="s">
        <v>79</v>
      </c>
      <c r="BY468" t="s">
        <v>79</v>
      </c>
      <c r="BZ468" t="s">
        <v>79</v>
      </c>
      <c r="CA468" s="10">
        <v>45910</v>
      </c>
    </row>
    <row r="469" spans="1:79">
      <c r="A469">
        <v>475</v>
      </c>
      <c r="B469">
        <v>90</v>
      </c>
      <c r="C469">
        <v>83</v>
      </c>
      <c r="D469" t="s">
        <v>3462</v>
      </c>
      <c r="E469" t="s">
        <v>1199</v>
      </c>
      <c r="F469" t="s">
        <v>969</v>
      </c>
      <c r="G469" s="12" t="s">
        <v>3465</v>
      </c>
      <c r="H469" s="12" t="s">
        <v>88</v>
      </c>
      <c r="I469">
        <v>53</v>
      </c>
      <c r="J469">
        <v>50</v>
      </c>
      <c r="K469">
        <v>143</v>
      </c>
      <c r="L469">
        <v>66</v>
      </c>
      <c r="M469" t="s">
        <v>72</v>
      </c>
      <c r="N469">
        <v>139</v>
      </c>
      <c r="O469">
        <v>63</v>
      </c>
      <c r="P469" t="s">
        <v>82</v>
      </c>
      <c r="Q469" t="s">
        <v>82</v>
      </c>
      <c r="R469">
        <v>70.900000000000006</v>
      </c>
      <c r="S469">
        <v>160</v>
      </c>
      <c r="T469" s="8">
        <f t="shared" si="14"/>
        <v>27.695312500000004</v>
      </c>
      <c r="U469" s="13" t="str" cm="1">
        <f t="array" ref="U469">IF(T469="","",_xlfn.IFS(T469&lt;18.5,"Bajo peso",T469&lt;25,"Peso normal",T469&lt;30,"Sobrepeso",T469&lt;35,"Obesidad clase I",T469&lt;40,"Obesidad clase II",T469&gt;=40,"Obesidad clase III"))</f>
        <v>Sobrepeso</v>
      </c>
      <c r="V469">
        <v>81</v>
      </c>
      <c r="X469" t="s">
        <v>3463</v>
      </c>
      <c r="Y469">
        <v>0.87</v>
      </c>
      <c r="AA469">
        <v>86</v>
      </c>
      <c r="AB469" s="9">
        <f t="shared" si="15"/>
        <v>85.615251726559038</v>
      </c>
      <c r="AD469" t="s">
        <v>73</v>
      </c>
      <c r="AF469" t="s">
        <v>73</v>
      </c>
      <c r="AH469" t="s">
        <v>3464</v>
      </c>
      <c r="AI469" t="s">
        <v>3465</v>
      </c>
      <c r="AJ469" t="s">
        <v>3463</v>
      </c>
      <c r="AK469" t="s">
        <v>3464</v>
      </c>
      <c r="AL469" t="s">
        <v>3465</v>
      </c>
      <c r="AM469" t="s">
        <v>1200</v>
      </c>
      <c r="AN469" t="s">
        <v>3713</v>
      </c>
      <c r="AP469" t="s">
        <v>3464</v>
      </c>
      <c r="AS469" t="s">
        <v>3465</v>
      </c>
      <c r="AV469" t="s">
        <v>178</v>
      </c>
      <c r="AW469" t="s">
        <v>3918</v>
      </c>
      <c r="BF469" t="s">
        <v>3921</v>
      </c>
      <c r="BH469" t="s">
        <v>4020</v>
      </c>
      <c r="BP469" t="s">
        <v>4260</v>
      </c>
      <c r="BQ469" t="s">
        <v>3463</v>
      </c>
      <c r="BR469" t="s">
        <v>3465</v>
      </c>
      <c r="BS469" t="s">
        <v>3465</v>
      </c>
      <c r="BT469" t="s">
        <v>3465</v>
      </c>
      <c r="BU469" t="s">
        <v>3463</v>
      </c>
      <c r="BV469" t="s">
        <v>3463</v>
      </c>
      <c r="BW469" t="s">
        <v>3463</v>
      </c>
      <c r="BX469" t="s">
        <v>79</v>
      </c>
      <c r="BY469" t="s">
        <v>79</v>
      </c>
      <c r="BZ469" t="s">
        <v>79</v>
      </c>
      <c r="CA469" s="10">
        <v>45910</v>
      </c>
    </row>
    <row r="470" spans="1:79">
      <c r="A470">
        <v>476</v>
      </c>
      <c r="B470">
        <v>91</v>
      </c>
      <c r="C470">
        <v>74</v>
      </c>
      <c r="D470" t="s">
        <v>3466</v>
      </c>
      <c r="F470" t="s">
        <v>969</v>
      </c>
      <c r="G470" s="12" t="s">
        <v>3465</v>
      </c>
      <c r="H470" s="12" t="s">
        <v>88</v>
      </c>
      <c r="I470">
        <v>83</v>
      </c>
      <c r="K470">
        <v>134</v>
      </c>
      <c r="L470">
        <v>75</v>
      </c>
      <c r="M470" t="s">
        <v>82</v>
      </c>
      <c r="P470" t="s">
        <v>83</v>
      </c>
      <c r="Q470" t="s">
        <v>82</v>
      </c>
      <c r="R470">
        <v>78.2</v>
      </c>
      <c r="S470">
        <v>141.5</v>
      </c>
      <c r="T470" s="8">
        <f t="shared" si="14"/>
        <v>39.056549588582705</v>
      </c>
      <c r="U470" s="13" t="str" cm="1">
        <f t="array" ref="U470">IF(T470="","",_xlfn.IFS(T470&lt;18.5,"Bajo peso",T470&lt;25,"Peso normal",T470&lt;30,"Sobrepeso",T470&lt;35,"Obesidad clase I",T470&lt;40,"Obesidad clase II",T470&gt;=40,"Obesidad clase III"))</f>
        <v>Obesidad clase II</v>
      </c>
      <c r="V470">
        <v>227</v>
      </c>
      <c r="X470" t="s">
        <v>3465</v>
      </c>
      <c r="Y470">
        <v>0.78</v>
      </c>
      <c r="AA470">
        <v>79</v>
      </c>
      <c r="AB470" s="9">
        <f t="shared" si="15"/>
        <v>79.652318192213201</v>
      </c>
      <c r="AD470" t="s">
        <v>73</v>
      </c>
      <c r="AF470" t="s">
        <v>73</v>
      </c>
      <c r="AG470" t="s">
        <v>3463</v>
      </c>
      <c r="AH470" t="s">
        <v>3465</v>
      </c>
      <c r="AI470" t="s">
        <v>3465</v>
      </c>
      <c r="AJ470" t="s">
        <v>3463</v>
      </c>
      <c r="AK470" t="s">
        <v>3463</v>
      </c>
      <c r="AL470" t="s">
        <v>3465</v>
      </c>
      <c r="AM470" t="s">
        <v>1201</v>
      </c>
      <c r="AN470" t="s">
        <v>334</v>
      </c>
      <c r="AO470" t="s">
        <v>3465</v>
      </c>
      <c r="AP470" t="s">
        <v>3465</v>
      </c>
      <c r="AQ470" t="s">
        <v>1202</v>
      </c>
      <c r="AR470" t="s">
        <v>3529</v>
      </c>
      <c r="AS470" t="s">
        <v>3465</v>
      </c>
      <c r="AT470" t="s">
        <v>3463</v>
      </c>
      <c r="AV470" t="s">
        <v>74</v>
      </c>
      <c r="AW470" t="s">
        <v>3915</v>
      </c>
      <c r="AX470" t="s">
        <v>3463</v>
      </c>
      <c r="AY470" t="s">
        <v>3463</v>
      </c>
      <c r="AZ470" t="s">
        <v>1203</v>
      </c>
      <c r="BA470" t="s">
        <v>3920</v>
      </c>
      <c r="BC470" t="s">
        <v>128</v>
      </c>
      <c r="BE470" t="s">
        <v>1204</v>
      </c>
      <c r="BF470" t="s">
        <v>3949</v>
      </c>
      <c r="BG470" t="s">
        <v>1205</v>
      </c>
      <c r="BH470" t="s">
        <v>4128</v>
      </c>
      <c r="BI470" t="s">
        <v>1206</v>
      </c>
      <c r="BK470" t="s">
        <v>1207</v>
      </c>
      <c r="BL470" t="s">
        <v>1208</v>
      </c>
      <c r="BP470" t="s">
        <v>4256</v>
      </c>
      <c r="BQ470" t="s">
        <v>3463</v>
      </c>
      <c r="BR470" t="s">
        <v>3463</v>
      </c>
      <c r="BS470" t="s">
        <v>3463</v>
      </c>
      <c r="BT470" t="s">
        <v>3463</v>
      </c>
      <c r="BU470" t="s">
        <v>3465</v>
      </c>
      <c r="BV470" t="s">
        <v>3465</v>
      </c>
      <c r="BW470" t="s">
        <v>3465</v>
      </c>
      <c r="BX470" t="s">
        <v>79</v>
      </c>
      <c r="BY470" t="s">
        <v>87</v>
      </c>
      <c r="BZ470" t="s">
        <v>95</v>
      </c>
      <c r="CA470" s="10">
        <v>45910</v>
      </c>
    </row>
    <row r="471" spans="1:79">
      <c r="A471">
        <v>477</v>
      </c>
      <c r="B471">
        <v>92</v>
      </c>
      <c r="C471">
        <v>65</v>
      </c>
      <c r="D471" t="s">
        <v>3466</v>
      </c>
      <c r="E471" t="s">
        <v>1209</v>
      </c>
      <c r="F471" t="s">
        <v>969</v>
      </c>
      <c r="G471" s="12" t="s">
        <v>3465</v>
      </c>
      <c r="H471" s="12" t="s">
        <v>88</v>
      </c>
      <c r="I471">
        <v>93</v>
      </c>
      <c r="J471">
        <v>93</v>
      </c>
      <c r="K471">
        <v>155</v>
      </c>
      <c r="L471">
        <v>91</v>
      </c>
      <c r="M471" t="s">
        <v>72</v>
      </c>
      <c r="N471">
        <v>129</v>
      </c>
      <c r="O471">
        <v>85</v>
      </c>
      <c r="P471" t="s">
        <v>82</v>
      </c>
      <c r="Q471" t="s">
        <v>82</v>
      </c>
      <c r="R471">
        <v>72.400000000000006</v>
      </c>
      <c r="S471">
        <v>151</v>
      </c>
      <c r="T471" s="8">
        <f t="shared" si="14"/>
        <v>31.752993289767996</v>
      </c>
      <c r="U471" s="13" t="str" cm="1">
        <f t="array" ref="U471">IF(T471="","",_xlfn.IFS(T471&lt;18.5,"Bajo peso",T471&lt;25,"Peso normal",T471&lt;30,"Sobrepeso",T471&lt;35,"Obesidad clase I",T471&lt;40,"Obesidad clase II",T471&gt;=40,"Obesidad clase III"))</f>
        <v>Obesidad clase I</v>
      </c>
      <c r="V471">
        <v>131</v>
      </c>
      <c r="X471" t="s">
        <v>3463</v>
      </c>
      <c r="Y471">
        <v>0.88</v>
      </c>
      <c r="AA471">
        <v>73</v>
      </c>
      <c r="AB471" s="9">
        <f t="shared" si="15"/>
        <v>72.885612026758878</v>
      </c>
      <c r="AD471" t="s">
        <v>73</v>
      </c>
      <c r="AF471" t="s">
        <v>73</v>
      </c>
      <c r="AH471" t="s">
        <v>3463</v>
      </c>
      <c r="AI471" t="s">
        <v>3465</v>
      </c>
      <c r="AJ471" t="s">
        <v>3463</v>
      </c>
      <c r="AK471" t="s">
        <v>3463</v>
      </c>
      <c r="AL471" t="s">
        <v>3465</v>
      </c>
      <c r="AM471" t="s">
        <v>110</v>
      </c>
      <c r="AN471" t="s">
        <v>110</v>
      </c>
      <c r="AP471" t="s">
        <v>3463</v>
      </c>
      <c r="AQ471" t="s">
        <v>1210</v>
      </c>
      <c r="AR471" t="s">
        <v>3522</v>
      </c>
      <c r="AS471" t="s">
        <v>3465</v>
      </c>
      <c r="AT471" t="s">
        <v>3465</v>
      </c>
      <c r="AU471" t="s">
        <v>125</v>
      </c>
      <c r="AV471" t="s">
        <v>178</v>
      </c>
      <c r="AW471" t="s">
        <v>3918</v>
      </c>
      <c r="AX471" t="s">
        <v>3463</v>
      </c>
      <c r="AY471" t="s">
        <v>3465</v>
      </c>
      <c r="AZ471" t="s">
        <v>247</v>
      </c>
      <c r="BF471" t="s">
        <v>3921</v>
      </c>
      <c r="BH471" t="s">
        <v>4020</v>
      </c>
      <c r="BP471" t="s">
        <v>4260</v>
      </c>
      <c r="BQ471" t="s">
        <v>3463</v>
      </c>
      <c r="BR471" t="s">
        <v>3463</v>
      </c>
      <c r="BS471" t="s">
        <v>3463</v>
      </c>
      <c r="BT471" t="s">
        <v>3463</v>
      </c>
      <c r="BU471" t="s">
        <v>3463</v>
      </c>
      <c r="BV471" t="s">
        <v>3463</v>
      </c>
      <c r="BW471" t="s">
        <v>3463</v>
      </c>
      <c r="BX471" t="s">
        <v>79</v>
      </c>
      <c r="BY471" t="s">
        <v>87</v>
      </c>
      <c r="BZ471" t="s">
        <v>79</v>
      </c>
      <c r="CA471" s="10">
        <v>45910</v>
      </c>
    </row>
    <row r="472" spans="1:79">
      <c r="A472">
        <v>478</v>
      </c>
      <c r="B472">
        <v>93</v>
      </c>
      <c r="C472">
        <v>86</v>
      </c>
      <c r="D472" t="s">
        <v>3466</v>
      </c>
      <c r="E472" t="s">
        <v>1211</v>
      </c>
      <c r="F472" t="s">
        <v>969</v>
      </c>
      <c r="G472" s="12" t="s">
        <v>3465</v>
      </c>
      <c r="H472" s="12" t="s">
        <v>88</v>
      </c>
      <c r="I472">
        <v>99</v>
      </c>
      <c r="J472">
        <v>94</v>
      </c>
      <c r="K472">
        <v>155</v>
      </c>
      <c r="L472">
        <v>83</v>
      </c>
      <c r="M472" t="s">
        <v>72</v>
      </c>
      <c r="N472">
        <v>138</v>
      </c>
      <c r="O472">
        <v>79</v>
      </c>
      <c r="P472" t="s">
        <v>82</v>
      </c>
      <c r="Q472" t="s">
        <v>82</v>
      </c>
      <c r="R472">
        <v>73</v>
      </c>
      <c r="S472">
        <v>144.5</v>
      </c>
      <c r="T472" s="8">
        <f t="shared" si="14"/>
        <v>34.96126722620658</v>
      </c>
      <c r="U472" s="13" t="str" cm="1">
        <f t="array" ref="U472">IF(T472="","",_xlfn.IFS(T472&lt;18.5,"Bajo peso",T472&lt;25,"Peso normal",T472&lt;30,"Sobrepeso",T472&lt;35,"Obesidad clase I",T472&lt;40,"Obesidad clase II",T472&gt;=40,"Obesidad clase III"))</f>
        <v>Obesidad clase I</v>
      </c>
      <c r="V472">
        <v>86</v>
      </c>
      <c r="X472" t="s">
        <v>3463</v>
      </c>
      <c r="Y472">
        <v>0.75</v>
      </c>
      <c r="AA472">
        <v>78</v>
      </c>
      <c r="AB472" s="9">
        <f t="shared" si="15"/>
        <v>77.486551997169514</v>
      </c>
      <c r="AD472" t="s">
        <v>73</v>
      </c>
      <c r="AF472" t="s">
        <v>73</v>
      </c>
      <c r="AG472" t="s">
        <v>3465</v>
      </c>
      <c r="AH472" t="s">
        <v>3465</v>
      </c>
      <c r="AI472" t="s">
        <v>3465</v>
      </c>
      <c r="AJ472" t="s">
        <v>3464</v>
      </c>
      <c r="AK472" t="s">
        <v>3465</v>
      </c>
      <c r="AL472" t="s">
        <v>3463</v>
      </c>
      <c r="AO472" t="s">
        <v>3464</v>
      </c>
      <c r="AP472" t="s">
        <v>3465</v>
      </c>
      <c r="AQ472" t="s">
        <v>1212</v>
      </c>
      <c r="AR472" t="s">
        <v>3546</v>
      </c>
      <c r="AS472" t="s">
        <v>3465</v>
      </c>
      <c r="AT472" t="s">
        <v>3463</v>
      </c>
      <c r="AV472" t="s">
        <v>74</v>
      </c>
      <c r="AW472" t="s">
        <v>3915</v>
      </c>
      <c r="AX472" t="s">
        <v>3463</v>
      </c>
      <c r="AY472" t="s">
        <v>3463</v>
      </c>
      <c r="BF472" t="s">
        <v>3921</v>
      </c>
      <c r="BH472" t="s">
        <v>4020</v>
      </c>
      <c r="BP472" t="s">
        <v>4260</v>
      </c>
      <c r="BQ472" t="s">
        <v>3463</v>
      </c>
      <c r="BR472" t="s">
        <v>3463</v>
      </c>
      <c r="BS472" t="s">
        <v>3465</v>
      </c>
      <c r="BT472" t="s">
        <v>3465</v>
      </c>
      <c r="BU472" t="s">
        <v>3463</v>
      </c>
      <c r="BV472" t="s">
        <v>3463</v>
      </c>
      <c r="BW472" t="s">
        <v>3463</v>
      </c>
      <c r="BX472" t="s">
        <v>79</v>
      </c>
      <c r="BY472" t="s">
        <v>87</v>
      </c>
      <c r="BZ472" t="s">
        <v>79</v>
      </c>
      <c r="CA472" s="10">
        <v>45910</v>
      </c>
    </row>
    <row r="473" spans="1:79">
      <c r="A473">
        <v>479</v>
      </c>
      <c r="B473">
        <v>94</v>
      </c>
      <c r="C473">
        <v>77</v>
      </c>
      <c r="D473" t="s">
        <v>3462</v>
      </c>
      <c r="E473" t="s">
        <v>1213</v>
      </c>
      <c r="F473" t="s">
        <v>969</v>
      </c>
      <c r="G473" s="12" t="s">
        <v>3465</v>
      </c>
      <c r="H473" s="12" t="s">
        <v>88</v>
      </c>
      <c r="I473">
        <v>64</v>
      </c>
      <c r="J473">
        <v>62</v>
      </c>
      <c r="K473">
        <v>150</v>
      </c>
      <c r="L473">
        <v>72</v>
      </c>
      <c r="M473" t="s">
        <v>72</v>
      </c>
      <c r="N473">
        <v>142</v>
      </c>
      <c r="O473">
        <v>68</v>
      </c>
      <c r="P473" t="s">
        <v>72</v>
      </c>
      <c r="Q473" t="s">
        <v>72</v>
      </c>
      <c r="R473">
        <v>60.7</v>
      </c>
      <c r="S473">
        <v>155</v>
      </c>
      <c r="T473" s="8">
        <f t="shared" si="14"/>
        <v>25.265348595213322</v>
      </c>
      <c r="U473" s="13" t="str" cm="1">
        <f t="array" ref="U473">IF(T473="","",_xlfn.IFS(T473&lt;18.5,"Bajo peso",T473&lt;25,"Peso normal",T473&lt;30,"Sobrepeso",T473&lt;35,"Obesidad clase I",T473&lt;40,"Obesidad clase II",T473&gt;=40,"Obesidad clase III"))</f>
        <v>Sobrepeso</v>
      </c>
      <c r="V473">
        <v>124</v>
      </c>
      <c r="X473" t="s">
        <v>3463</v>
      </c>
      <c r="Y473">
        <v>0.56000000000000005</v>
      </c>
      <c r="AA473">
        <v>90</v>
      </c>
      <c r="AB473" s="9">
        <f t="shared" si="15"/>
        <v>101.5171024941846</v>
      </c>
      <c r="AD473" t="s">
        <v>73</v>
      </c>
      <c r="AF473" t="s">
        <v>73</v>
      </c>
      <c r="AH473" t="s">
        <v>3463</v>
      </c>
      <c r="AI473" t="s">
        <v>3465</v>
      </c>
      <c r="AJ473" t="s">
        <v>3463</v>
      </c>
      <c r="AK473" t="s">
        <v>3463</v>
      </c>
      <c r="AL473" t="s">
        <v>3465</v>
      </c>
      <c r="AM473" t="s">
        <v>1214</v>
      </c>
      <c r="AN473" t="s">
        <v>3647</v>
      </c>
      <c r="AO473" t="s">
        <v>3463</v>
      </c>
      <c r="AP473" t="s">
        <v>3465</v>
      </c>
      <c r="AQ473" t="s">
        <v>1215</v>
      </c>
      <c r="AR473" t="s">
        <v>3522</v>
      </c>
      <c r="AS473" t="s">
        <v>3465</v>
      </c>
      <c r="AV473" t="s">
        <v>74</v>
      </c>
      <c r="AW473" t="s">
        <v>3915</v>
      </c>
      <c r="BF473" t="s">
        <v>3921</v>
      </c>
      <c r="BH473" t="s">
        <v>4020</v>
      </c>
      <c r="BP473" t="s">
        <v>4260</v>
      </c>
      <c r="BQ473" t="s">
        <v>3463</v>
      </c>
      <c r="BR473" t="s">
        <v>3463</v>
      </c>
      <c r="BS473" t="s">
        <v>3463</v>
      </c>
      <c r="BT473" t="s">
        <v>3463</v>
      </c>
      <c r="BU473" t="s">
        <v>3465</v>
      </c>
      <c r="BV473" t="s">
        <v>3465</v>
      </c>
      <c r="BW473" t="s">
        <v>3465</v>
      </c>
      <c r="BX473" t="s">
        <v>79</v>
      </c>
      <c r="BY473" t="s">
        <v>87</v>
      </c>
      <c r="BZ473" t="s">
        <v>79</v>
      </c>
      <c r="CA473" s="10">
        <v>45910</v>
      </c>
    </row>
    <row r="474" spans="1:79">
      <c r="A474">
        <v>480</v>
      </c>
      <c r="B474">
        <v>95</v>
      </c>
      <c r="C474">
        <v>64</v>
      </c>
      <c r="D474" t="s">
        <v>3466</v>
      </c>
      <c r="E474" t="s">
        <v>1005</v>
      </c>
      <c r="F474" t="s">
        <v>969</v>
      </c>
      <c r="G474" s="12" t="s">
        <v>3465</v>
      </c>
      <c r="H474" t="s">
        <v>88</v>
      </c>
      <c r="I474">
        <v>80</v>
      </c>
      <c r="J474">
        <v>68</v>
      </c>
      <c r="K474">
        <v>147</v>
      </c>
      <c r="L474">
        <v>72</v>
      </c>
      <c r="M474" t="s">
        <v>72</v>
      </c>
      <c r="N474">
        <v>129</v>
      </c>
      <c r="O474">
        <v>52</v>
      </c>
      <c r="P474" t="s">
        <v>118</v>
      </c>
      <c r="Q474" t="s">
        <v>118</v>
      </c>
      <c r="R474">
        <v>69</v>
      </c>
      <c r="S474">
        <v>154.5</v>
      </c>
      <c r="T474" s="8">
        <f t="shared" si="14"/>
        <v>28.906274546768469</v>
      </c>
      <c r="U474" s="13" t="str" cm="1">
        <f t="array" ref="U474">IF(T474="","",_xlfn.IFS(T474&lt;18.5,"Bajo peso",T474&lt;25,"Peso normal",T474&lt;30,"Sobrepeso",T474&lt;35,"Obesidad clase I",T474&lt;40,"Obesidad clase II",T474&gt;=40,"Obesidad clase III"))</f>
        <v>Sobrepeso</v>
      </c>
      <c r="V474">
        <v>126</v>
      </c>
      <c r="X474" t="s">
        <v>3463</v>
      </c>
      <c r="Y474">
        <v>1.59</v>
      </c>
      <c r="Z474">
        <v>1.1599999999999999</v>
      </c>
      <c r="AA474">
        <v>57</v>
      </c>
      <c r="AB474" s="9">
        <f t="shared" si="15"/>
        <v>36.061639699745285</v>
      </c>
      <c r="AC474">
        <v>53</v>
      </c>
      <c r="AD474" t="s">
        <v>158</v>
      </c>
      <c r="AE474" t="s">
        <v>158</v>
      </c>
      <c r="AF474" t="s">
        <v>158</v>
      </c>
      <c r="AH474" t="s">
        <v>3463</v>
      </c>
      <c r="AI474" t="s">
        <v>3465</v>
      </c>
      <c r="AJ474" t="s">
        <v>3463</v>
      </c>
      <c r="AK474" t="s">
        <v>3463</v>
      </c>
      <c r="AL474" t="s">
        <v>3465</v>
      </c>
      <c r="AM474" t="s">
        <v>110</v>
      </c>
      <c r="AN474" t="s">
        <v>110</v>
      </c>
      <c r="AO474" t="s">
        <v>3463</v>
      </c>
      <c r="AP474" t="s">
        <v>3465</v>
      </c>
      <c r="AQ474" t="s">
        <v>1216</v>
      </c>
      <c r="AR474" t="s">
        <v>3547</v>
      </c>
      <c r="AS474" t="s">
        <v>3465</v>
      </c>
      <c r="AT474" t="s">
        <v>3465</v>
      </c>
      <c r="AU474" t="s">
        <v>80</v>
      </c>
      <c r="AV474" t="s">
        <v>74</v>
      </c>
      <c r="AW474" t="s">
        <v>3915</v>
      </c>
      <c r="AX474" t="s">
        <v>3465</v>
      </c>
      <c r="BA474" t="s">
        <v>3920</v>
      </c>
      <c r="BD474" t="s">
        <v>105</v>
      </c>
      <c r="BE474" t="s">
        <v>153</v>
      </c>
      <c r="BF474" t="s">
        <v>153</v>
      </c>
      <c r="BG474" t="s">
        <v>1217</v>
      </c>
      <c r="BH474" t="s">
        <v>4129</v>
      </c>
      <c r="BI474" t="s">
        <v>411</v>
      </c>
      <c r="BK474" t="s">
        <v>1218</v>
      </c>
      <c r="BL474" t="s">
        <v>1219</v>
      </c>
      <c r="BP474" t="s">
        <v>4335</v>
      </c>
      <c r="BQ474" t="s">
        <v>3465</v>
      </c>
      <c r="BR474" t="s">
        <v>3463</v>
      </c>
      <c r="BS474" t="s">
        <v>3463</v>
      </c>
      <c r="BT474" t="s">
        <v>3463</v>
      </c>
      <c r="BU474" t="s">
        <v>3463</v>
      </c>
      <c r="BV474" t="s">
        <v>3463</v>
      </c>
      <c r="BW474" t="s">
        <v>3463</v>
      </c>
      <c r="BX474" t="s">
        <v>79</v>
      </c>
      <c r="BY474" t="s">
        <v>87</v>
      </c>
      <c r="BZ474" t="s">
        <v>95</v>
      </c>
      <c r="CA474" s="10">
        <v>45910</v>
      </c>
    </row>
    <row r="475" spans="1:79">
      <c r="A475">
        <v>481</v>
      </c>
      <c r="B475">
        <v>96</v>
      </c>
      <c r="C475">
        <v>67</v>
      </c>
      <c r="D475" t="s">
        <v>3466</v>
      </c>
      <c r="E475" t="s">
        <v>1000</v>
      </c>
      <c r="F475" t="s">
        <v>969</v>
      </c>
      <c r="G475" s="12" t="s">
        <v>3465</v>
      </c>
      <c r="H475" t="s">
        <v>88</v>
      </c>
      <c r="I475">
        <v>66</v>
      </c>
      <c r="J475">
        <v>69</v>
      </c>
      <c r="K475">
        <v>149</v>
      </c>
      <c r="L475">
        <v>67</v>
      </c>
      <c r="M475" t="s">
        <v>72</v>
      </c>
      <c r="N475">
        <v>147</v>
      </c>
      <c r="O475">
        <v>71</v>
      </c>
      <c r="P475" t="s">
        <v>72</v>
      </c>
      <c r="Q475" t="s">
        <v>72</v>
      </c>
      <c r="R475">
        <v>71.5</v>
      </c>
      <c r="S475">
        <v>146.5</v>
      </c>
      <c r="T475" s="8">
        <f t="shared" si="14"/>
        <v>33.314307679763303</v>
      </c>
      <c r="U475" s="13" t="str" cm="1">
        <f t="array" ref="U475">IF(T475="","",_xlfn.IFS(T475&lt;18.5,"Bajo peso",T475&lt;25,"Peso normal",T475&lt;30,"Sobrepeso",T475&lt;35,"Obesidad clase I",T475&lt;40,"Obesidad clase II",T475&gt;=40,"Obesidad clase III"))</f>
        <v>Obesidad clase I</v>
      </c>
      <c r="V475">
        <v>98</v>
      </c>
      <c r="X475" t="s">
        <v>3463</v>
      </c>
      <c r="Y475">
        <v>0.74</v>
      </c>
      <c r="AA475">
        <v>89</v>
      </c>
      <c r="AB475" s="9">
        <f t="shared" si="15"/>
        <v>88.621874667544816</v>
      </c>
      <c r="AD475" t="s">
        <v>73</v>
      </c>
      <c r="AF475" t="s">
        <v>73</v>
      </c>
      <c r="AH475" t="s">
        <v>3463</v>
      </c>
      <c r="AI475" t="s">
        <v>3465</v>
      </c>
      <c r="AJ475" t="s">
        <v>3463</v>
      </c>
      <c r="AK475" t="s">
        <v>3463</v>
      </c>
      <c r="AL475" t="s">
        <v>3465</v>
      </c>
      <c r="AM475" t="s">
        <v>110</v>
      </c>
      <c r="AN475" t="s">
        <v>110</v>
      </c>
      <c r="AP475" t="s">
        <v>3463</v>
      </c>
      <c r="AQ475" t="s">
        <v>1220</v>
      </c>
      <c r="AR475" t="s">
        <v>3491</v>
      </c>
      <c r="AS475" t="s">
        <v>3465</v>
      </c>
      <c r="AT475" t="s">
        <v>3465</v>
      </c>
      <c r="AU475" t="s">
        <v>80</v>
      </c>
      <c r="AV475" t="s">
        <v>178</v>
      </c>
      <c r="AW475" t="s">
        <v>3918</v>
      </c>
      <c r="AX475" t="s">
        <v>3463</v>
      </c>
      <c r="AY475" t="s">
        <v>3465</v>
      </c>
      <c r="AZ475" t="s">
        <v>104</v>
      </c>
      <c r="BA475" t="s">
        <v>3920</v>
      </c>
      <c r="BC475" t="s">
        <v>128</v>
      </c>
      <c r="BF475" t="s">
        <v>3921</v>
      </c>
      <c r="BH475" t="s">
        <v>4125</v>
      </c>
      <c r="BK475" t="s">
        <v>1221</v>
      </c>
      <c r="BL475" t="s">
        <v>1222</v>
      </c>
      <c r="BP475" t="s">
        <v>4329</v>
      </c>
      <c r="BQ475" t="s">
        <v>3463</v>
      </c>
      <c r="BR475" t="s">
        <v>3463</v>
      </c>
      <c r="BS475" t="s">
        <v>3463</v>
      </c>
      <c r="BT475" t="s">
        <v>3463</v>
      </c>
      <c r="BU475" t="s">
        <v>3463</v>
      </c>
      <c r="BV475" t="s">
        <v>3463</v>
      </c>
      <c r="BW475" t="s">
        <v>3463</v>
      </c>
      <c r="BX475" t="s">
        <v>79</v>
      </c>
      <c r="BY475" t="s">
        <v>87</v>
      </c>
      <c r="BZ475" t="s">
        <v>79</v>
      </c>
      <c r="CA475" s="10">
        <v>45910</v>
      </c>
    </row>
    <row r="476" spans="1:79">
      <c r="A476">
        <v>482</v>
      </c>
      <c r="B476">
        <v>97</v>
      </c>
      <c r="C476">
        <v>71</v>
      </c>
      <c r="D476" t="s">
        <v>3466</v>
      </c>
      <c r="E476" t="s">
        <v>1211</v>
      </c>
      <c r="F476" t="s">
        <v>969</v>
      </c>
      <c r="G476" s="12" t="s">
        <v>3463</v>
      </c>
      <c r="H476" s="12"/>
      <c r="I476">
        <v>80</v>
      </c>
      <c r="J476">
        <v>77</v>
      </c>
      <c r="K476">
        <v>157</v>
      </c>
      <c r="L476">
        <v>74</v>
      </c>
      <c r="M476" t="s">
        <v>72</v>
      </c>
      <c r="N476">
        <v>146</v>
      </c>
      <c r="O476">
        <v>74</v>
      </c>
      <c r="P476" t="s">
        <v>72</v>
      </c>
      <c r="Q476" t="s">
        <v>72</v>
      </c>
      <c r="R476">
        <v>60.4</v>
      </c>
      <c r="S476">
        <v>147</v>
      </c>
      <c r="T476" s="8">
        <f t="shared" si="14"/>
        <v>27.95131658105419</v>
      </c>
      <c r="U476" s="13" t="str" cm="1">
        <f t="array" ref="U476">IF(T476="","",_xlfn.IFS(T476&lt;18.5,"Bajo peso",T476&lt;25,"Peso normal",T476&lt;30,"Sobrepeso",T476&lt;35,"Obesidad clase I",T476&lt;40,"Obesidad clase II",T476&gt;=40,"Obesidad clase III"))</f>
        <v>Sobrepeso</v>
      </c>
      <c r="V476">
        <v>124</v>
      </c>
      <c r="X476" t="s">
        <v>3463</v>
      </c>
      <c r="Y476">
        <v>1.05</v>
      </c>
      <c r="AA476">
        <v>57</v>
      </c>
      <c r="AB476" s="9">
        <f t="shared" si="15"/>
        <v>56.805162571982926</v>
      </c>
      <c r="AD476" t="s">
        <v>158</v>
      </c>
      <c r="AF476" t="s">
        <v>158</v>
      </c>
      <c r="AG476" t="s">
        <v>3465</v>
      </c>
      <c r="AH476" t="s">
        <v>3465</v>
      </c>
      <c r="AI476" t="s">
        <v>3465</v>
      </c>
      <c r="AJ476" t="s">
        <v>3465</v>
      </c>
      <c r="AK476" t="s">
        <v>3465</v>
      </c>
      <c r="AL476" t="s">
        <v>3465</v>
      </c>
      <c r="AM476" t="s">
        <v>1223</v>
      </c>
      <c r="AN476" t="s">
        <v>3714</v>
      </c>
      <c r="AO476" t="s">
        <v>3464</v>
      </c>
      <c r="AP476" t="s">
        <v>3465</v>
      </c>
      <c r="AQ476" t="s">
        <v>1224</v>
      </c>
      <c r="AR476" t="s">
        <v>3528</v>
      </c>
      <c r="AS476" t="s">
        <v>3465</v>
      </c>
      <c r="AT476" t="s">
        <v>3463</v>
      </c>
      <c r="AV476" t="s">
        <v>74</v>
      </c>
      <c r="AW476" t="s">
        <v>3915</v>
      </c>
      <c r="AX476" t="s">
        <v>3463</v>
      </c>
      <c r="AY476" t="s">
        <v>3463</v>
      </c>
      <c r="BA476" t="s">
        <v>3920</v>
      </c>
      <c r="BB476" t="s">
        <v>3485</v>
      </c>
      <c r="BF476" t="s">
        <v>3921</v>
      </c>
      <c r="BG476" t="s">
        <v>1225</v>
      </c>
      <c r="BH476" t="s">
        <v>4053</v>
      </c>
      <c r="BI476" t="s">
        <v>1125</v>
      </c>
      <c r="BK476" t="s">
        <v>1226</v>
      </c>
      <c r="BP476" t="s">
        <v>4261</v>
      </c>
      <c r="BQ476" t="s">
        <v>3463</v>
      </c>
      <c r="BR476" t="s">
        <v>3463</v>
      </c>
      <c r="BS476" t="s">
        <v>3463</v>
      </c>
      <c r="BT476" t="s">
        <v>3463</v>
      </c>
      <c r="BU476" t="s">
        <v>3463</v>
      </c>
      <c r="BV476" t="s">
        <v>3463</v>
      </c>
      <c r="BW476" t="s">
        <v>3463</v>
      </c>
      <c r="BX476" t="s">
        <v>79</v>
      </c>
      <c r="BY476" t="s">
        <v>87</v>
      </c>
      <c r="BZ476" t="s">
        <v>79</v>
      </c>
      <c r="CA476" s="10">
        <v>45910</v>
      </c>
    </row>
    <row r="477" spans="1:79">
      <c r="A477">
        <v>483</v>
      </c>
      <c r="B477">
        <v>98</v>
      </c>
      <c r="C477">
        <v>68</v>
      </c>
      <c r="D477" t="s">
        <v>3466</v>
      </c>
      <c r="E477" t="s">
        <v>1005</v>
      </c>
      <c r="F477" t="s">
        <v>969</v>
      </c>
      <c r="G477" s="12" t="s">
        <v>3465</v>
      </c>
      <c r="H477" s="12" t="s">
        <v>88</v>
      </c>
      <c r="I477">
        <v>73</v>
      </c>
      <c r="J477">
        <v>76</v>
      </c>
      <c r="K477">
        <v>141</v>
      </c>
      <c r="L477">
        <v>81</v>
      </c>
      <c r="M477" t="s">
        <v>72</v>
      </c>
      <c r="N477">
        <v>126</v>
      </c>
      <c r="O477">
        <v>82</v>
      </c>
      <c r="P477" t="s">
        <v>82</v>
      </c>
      <c r="Q477" t="s">
        <v>82</v>
      </c>
      <c r="R477">
        <v>94.4</v>
      </c>
      <c r="S477">
        <v>150</v>
      </c>
      <c r="T477" s="8">
        <f t="shared" si="14"/>
        <v>41.955555555555556</v>
      </c>
      <c r="U477" s="13" t="str" cm="1">
        <f t="array" ref="U477">IF(T477="","",_xlfn.IFS(T477&lt;18.5,"Bajo peso",T477&lt;25,"Peso normal",T477&lt;30,"Sobrepeso",T477&lt;35,"Obesidad clase I",T477&lt;40,"Obesidad clase II",T477&gt;=40,"Obesidad clase III"))</f>
        <v>Obesidad clase III</v>
      </c>
      <c r="V477">
        <v>118</v>
      </c>
      <c r="X477" t="s">
        <v>3463</v>
      </c>
      <c r="Y477">
        <v>0.91</v>
      </c>
      <c r="AA477">
        <v>69</v>
      </c>
      <c r="AB477" s="9">
        <f t="shared" si="15"/>
        <v>68.717652982917556</v>
      </c>
      <c r="AD477" t="s">
        <v>73</v>
      </c>
      <c r="AF477" t="s">
        <v>73</v>
      </c>
      <c r="AH477" t="s">
        <v>3463</v>
      </c>
      <c r="AI477" t="s">
        <v>3465</v>
      </c>
      <c r="AJ477" t="s">
        <v>3463</v>
      </c>
      <c r="AK477" t="s">
        <v>3463</v>
      </c>
      <c r="AL477" t="s">
        <v>3465</v>
      </c>
      <c r="AM477" t="s">
        <v>1227</v>
      </c>
      <c r="AN477" t="s">
        <v>649</v>
      </c>
      <c r="AP477" t="s">
        <v>3463</v>
      </c>
      <c r="AS477" t="s">
        <v>3465</v>
      </c>
      <c r="AT477" t="s">
        <v>3463</v>
      </c>
      <c r="AV477" t="s">
        <v>112</v>
      </c>
      <c r="AW477" t="s">
        <v>3917</v>
      </c>
      <c r="AY477" t="s">
        <v>3463</v>
      </c>
      <c r="BF477" t="s">
        <v>3921</v>
      </c>
      <c r="BH477" t="s">
        <v>4020</v>
      </c>
      <c r="BP477" t="s">
        <v>4260</v>
      </c>
      <c r="BQ477" t="s">
        <v>3463</v>
      </c>
      <c r="BR477" t="s">
        <v>3463</v>
      </c>
      <c r="BS477" t="s">
        <v>3463</v>
      </c>
      <c r="BT477" t="s">
        <v>3463</v>
      </c>
      <c r="BU477" t="s">
        <v>3463</v>
      </c>
      <c r="BV477" t="s">
        <v>3463</v>
      </c>
      <c r="BW477" t="s">
        <v>3463</v>
      </c>
      <c r="BX477" t="s">
        <v>79</v>
      </c>
      <c r="BY477" t="s">
        <v>87</v>
      </c>
      <c r="BZ477" t="s">
        <v>79</v>
      </c>
      <c r="CA477" s="10">
        <v>45910</v>
      </c>
    </row>
    <row r="478" spans="1:79">
      <c r="A478">
        <v>484</v>
      </c>
      <c r="B478">
        <v>99</v>
      </c>
      <c r="C478">
        <v>65</v>
      </c>
      <c r="D478" t="s">
        <v>3466</v>
      </c>
      <c r="F478" t="s">
        <v>969</v>
      </c>
      <c r="G478" s="12" t="s">
        <v>3465</v>
      </c>
      <c r="H478" s="12" t="s">
        <v>88</v>
      </c>
      <c r="I478">
        <v>71</v>
      </c>
      <c r="J478">
        <v>75</v>
      </c>
      <c r="K478">
        <v>98</v>
      </c>
      <c r="L478">
        <v>50</v>
      </c>
      <c r="M478" t="s">
        <v>80</v>
      </c>
      <c r="N478">
        <v>92</v>
      </c>
      <c r="O478">
        <v>65</v>
      </c>
      <c r="P478" t="s">
        <v>80</v>
      </c>
      <c r="Q478" t="s">
        <v>80</v>
      </c>
      <c r="R478">
        <v>53.7</v>
      </c>
      <c r="S478">
        <v>142</v>
      </c>
      <c r="T478" s="8">
        <f t="shared" si="14"/>
        <v>26.631620710176556</v>
      </c>
      <c r="U478" s="13" t="str" cm="1">
        <f t="array" ref="U478">IF(T478="","",_xlfn.IFS(T478&lt;18.5,"Bajo peso",T478&lt;25,"Peso normal",T478&lt;30,"Sobrepeso",T478&lt;35,"Obesidad clase I",T478&lt;40,"Obesidad clase II",T478&gt;=40,"Obesidad clase III"))</f>
        <v>Sobrepeso</v>
      </c>
      <c r="V478">
        <v>109</v>
      </c>
      <c r="X478" t="s">
        <v>3463</v>
      </c>
      <c r="Y478">
        <v>0.91</v>
      </c>
      <c r="AA478">
        <v>70</v>
      </c>
      <c r="AB478" s="9">
        <f t="shared" si="15"/>
        <v>70.01181567771512</v>
      </c>
      <c r="AD478" t="s">
        <v>73</v>
      </c>
      <c r="AF478" t="s">
        <v>73</v>
      </c>
      <c r="AH478" t="s">
        <v>3463</v>
      </c>
      <c r="AI478" t="s">
        <v>3463</v>
      </c>
      <c r="AJ478" t="s">
        <v>3463</v>
      </c>
      <c r="AK478" t="s">
        <v>3463</v>
      </c>
      <c r="AL478" t="s">
        <v>3465</v>
      </c>
      <c r="AM478" t="s">
        <v>1228</v>
      </c>
      <c r="AN478" t="s">
        <v>3715</v>
      </c>
      <c r="AO478" t="s">
        <v>3465</v>
      </c>
      <c r="AP478" t="s">
        <v>3465</v>
      </c>
      <c r="AQ478" t="s">
        <v>1229</v>
      </c>
      <c r="AR478" t="s">
        <v>3488</v>
      </c>
      <c r="AT478" t="s">
        <v>3463</v>
      </c>
      <c r="AV478" t="s">
        <v>112</v>
      </c>
      <c r="AW478" t="s">
        <v>3917</v>
      </c>
      <c r="AX478" t="s">
        <v>3463</v>
      </c>
      <c r="AY478" t="s">
        <v>3463</v>
      </c>
      <c r="AZ478" t="s">
        <v>1230</v>
      </c>
      <c r="BF478" t="s">
        <v>3921</v>
      </c>
      <c r="BH478" t="s">
        <v>4020</v>
      </c>
      <c r="BP478" t="s">
        <v>4260</v>
      </c>
      <c r="BQ478" t="s">
        <v>3463</v>
      </c>
      <c r="BR478" t="s">
        <v>3463</v>
      </c>
      <c r="BS478" t="s">
        <v>3463</v>
      </c>
      <c r="BT478" t="s">
        <v>3463</v>
      </c>
      <c r="BU478" t="s">
        <v>3463</v>
      </c>
      <c r="BV478" t="s">
        <v>3463</v>
      </c>
      <c r="BW478" t="s">
        <v>3463</v>
      </c>
      <c r="BX478" t="s">
        <v>79</v>
      </c>
      <c r="BY478" t="s">
        <v>87</v>
      </c>
      <c r="BZ478" t="s">
        <v>79</v>
      </c>
      <c r="CA478" s="10">
        <v>45910</v>
      </c>
    </row>
    <row r="479" spans="1:79">
      <c r="A479">
        <v>485</v>
      </c>
      <c r="B479">
        <v>100</v>
      </c>
      <c r="C479">
        <v>79</v>
      </c>
      <c r="D479" t="s">
        <v>3462</v>
      </c>
      <c r="E479" t="s">
        <v>1231</v>
      </c>
      <c r="F479" t="s">
        <v>969</v>
      </c>
      <c r="G479" s="12" t="s">
        <v>3465</v>
      </c>
      <c r="H479" s="12" t="s">
        <v>88</v>
      </c>
      <c r="I479">
        <v>79</v>
      </c>
      <c r="K479">
        <v>113</v>
      </c>
      <c r="L479">
        <v>64</v>
      </c>
      <c r="M479" t="s">
        <v>80</v>
      </c>
      <c r="P479" t="s">
        <v>83</v>
      </c>
      <c r="Q479" t="s">
        <v>80</v>
      </c>
      <c r="R479">
        <v>71</v>
      </c>
      <c r="S479">
        <v>160</v>
      </c>
      <c r="T479" s="8">
        <f t="shared" si="14"/>
        <v>27.734375</v>
      </c>
      <c r="U479" s="13" t="str" cm="1">
        <f t="array" ref="U479">IF(T479="","",_xlfn.IFS(T479&lt;18.5,"Bajo peso",T479&lt;25,"Peso normal",T479&lt;30,"Sobrepeso",T479&lt;35,"Obesidad clase I",T479&lt;40,"Obesidad clase II",T479&gt;=40,"Obesidad clase III"))</f>
        <v>Sobrepeso</v>
      </c>
      <c r="V479">
        <v>102</v>
      </c>
      <c r="X479" t="s">
        <v>3463</v>
      </c>
      <c r="Y479">
        <v>0.57999999999999996</v>
      </c>
      <c r="AA479">
        <v>90</v>
      </c>
      <c r="AB479" s="9">
        <f t="shared" si="15"/>
        <v>99.205266594958317</v>
      </c>
      <c r="AD479" t="s">
        <v>73</v>
      </c>
      <c r="AF479" t="s">
        <v>73</v>
      </c>
      <c r="AH479" t="s">
        <v>3463</v>
      </c>
      <c r="AI479" t="s">
        <v>3465</v>
      </c>
      <c r="AJ479" t="s">
        <v>3463</v>
      </c>
      <c r="AK479" t="s">
        <v>3464</v>
      </c>
      <c r="AL479" t="s">
        <v>3465</v>
      </c>
      <c r="AM479" t="s">
        <v>1232</v>
      </c>
      <c r="AN479" t="s">
        <v>3716</v>
      </c>
      <c r="AP479" t="s">
        <v>3464</v>
      </c>
      <c r="AS479" t="s">
        <v>3465</v>
      </c>
      <c r="AV479" t="s">
        <v>178</v>
      </c>
      <c r="AW479" t="s">
        <v>3918</v>
      </c>
      <c r="BF479" t="s">
        <v>3921</v>
      </c>
      <c r="BH479" t="s">
        <v>4020</v>
      </c>
      <c r="BP479" t="s">
        <v>4260</v>
      </c>
      <c r="BQ479" t="s">
        <v>3463</v>
      </c>
      <c r="BR479" t="s">
        <v>3465</v>
      </c>
      <c r="BS479" t="s">
        <v>3463</v>
      </c>
      <c r="BT479" t="s">
        <v>3463</v>
      </c>
      <c r="BU479" t="s">
        <v>3463</v>
      </c>
      <c r="BV479" t="s">
        <v>3463</v>
      </c>
      <c r="BW479" t="s">
        <v>3463</v>
      </c>
      <c r="BX479" t="s">
        <v>79</v>
      </c>
      <c r="BY479" t="s">
        <v>121</v>
      </c>
      <c r="BZ479" t="s">
        <v>79</v>
      </c>
      <c r="CA479" s="10">
        <v>45910</v>
      </c>
    </row>
    <row r="480" spans="1:79">
      <c r="A480">
        <v>486</v>
      </c>
      <c r="B480">
        <v>101</v>
      </c>
      <c r="C480">
        <v>74</v>
      </c>
      <c r="D480" t="s">
        <v>3466</v>
      </c>
      <c r="E480" t="s">
        <v>1005</v>
      </c>
      <c r="F480" t="s">
        <v>969</v>
      </c>
      <c r="G480" s="12" t="s">
        <v>3465</v>
      </c>
      <c r="H480" s="12" t="s">
        <v>88</v>
      </c>
      <c r="I480">
        <v>60</v>
      </c>
      <c r="J480">
        <v>57</v>
      </c>
      <c r="K480">
        <v>153</v>
      </c>
      <c r="L480">
        <v>70</v>
      </c>
      <c r="M480" t="s">
        <v>72</v>
      </c>
      <c r="N480">
        <v>138</v>
      </c>
      <c r="O480">
        <v>67</v>
      </c>
      <c r="P480" t="s">
        <v>82</v>
      </c>
      <c r="Q480" t="s">
        <v>82</v>
      </c>
      <c r="R480">
        <v>93</v>
      </c>
      <c r="S480">
        <v>143</v>
      </c>
      <c r="T480" s="8">
        <f t="shared" si="14"/>
        <v>45.478996527947579</v>
      </c>
      <c r="U480" s="13" t="str" cm="1">
        <f t="array" ref="U480">IF(T480="","",_xlfn.IFS(T480&lt;18.5,"Bajo peso",T480&lt;25,"Peso normal",T480&lt;30,"Sobrepeso",T480&lt;35,"Obesidad clase I",T480&lt;40,"Obesidad clase II",T480&gt;=40,"Obesidad clase III"))</f>
        <v>Obesidad clase III</v>
      </c>
      <c r="V480">
        <v>126</v>
      </c>
      <c r="X480" t="s">
        <v>3463</v>
      </c>
      <c r="Y480">
        <v>1.06</v>
      </c>
      <c r="AA480">
        <v>55</v>
      </c>
      <c r="AB480" s="9">
        <f t="shared" si="15"/>
        <v>55.12453066744073</v>
      </c>
      <c r="AD480" t="s">
        <v>158</v>
      </c>
      <c r="AF480" t="s">
        <v>158</v>
      </c>
      <c r="AH480" t="s">
        <v>3463</v>
      </c>
      <c r="AI480" t="s">
        <v>3465</v>
      </c>
      <c r="AJ480" t="s">
        <v>3463</v>
      </c>
      <c r="AK480" t="s">
        <v>3463</v>
      </c>
      <c r="AL480" t="s">
        <v>3465</v>
      </c>
      <c r="AM480" t="s">
        <v>301</v>
      </c>
      <c r="AN480" t="s">
        <v>3617</v>
      </c>
      <c r="AP480" t="s">
        <v>3464</v>
      </c>
      <c r="AQ480" t="s">
        <v>1233</v>
      </c>
      <c r="AR480" t="s">
        <v>3490</v>
      </c>
      <c r="AS480" t="s">
        <v>3465</v>
      </c>
      <c r="AT480" t="s">
        <v>3463</v>
      </c>
      <c r="AV480" t="s">
        <v>178</v>
      </c>
      <c r="AW480" t="s">
        <v>3918</v>
      </c>
      <c r="AX480" t="s">
        <v>3463</v>
      </c>
      <c r="AY480" t="s">
        <v>3465</v>
      </c>
      <c r="BA480" t="s">
        <v>3920</v>
      </c>
      <c r="BC480" t="s">
        <v>128</v>
      </c>
      <c r="BF480" t="s">
        <v>3921</v>
      </c>
      <c r="BH480" t="s">
        <v>4130</v>
      </c>
      <c r="BI480" t="s">
        <v>411</v>
      </c>
      <c r="BK480" t="s">
        <v>1234</v>
      </c>
      <c r="BL480" t="s">
        <v>1235</v>
      </c>
      <c r="BP480" t="s">
        <v>4336</v>
      </c>
      <c r="BQ480" t="s">
        <v>3463</v>
      </c>
      <c r="BR480" t="s">
        <v>3463</v>
      </c>
      <c r="BS480" t="s">
        <v>3463</v>
      </c>
      <c r="BT480" t="s">
        <v>3463</v>
      </c>
      <c r="BU480" t="s">
        <v>3463</v>
      </c>
      <c r="BV480" t="s">
        <v>3463</v>
      </c>
      <c r="BW480" t="s">
        <v>3463</v>
      </c>
      <c r="BX480" t="s">
        <v>79</v>
      </c>
      <c r="BY480" t="s">
        <v>87</v>
      </c>
      <c r="BZ480" t="s">
        <v>79</v>
      </c>
      <c r="CA480" s="10">
        <v>45910</v>
      </c>
    </row>
    <row r="481" spans="1:79">
      <c r="A481">
        <v>487</v>
      </c>
      <c r="B481">
        <v>102</v>
      </c>
      <c r="C481">
        <v>58</v>
      </c>
      <c r="D481" t="s">
        <v>3462</v>
      </c>
      <c r="E481" t="s">
        <v>1236</v>
      </c>
      <c r="F481" t="s">
        <v>969</v>
      </c>
      <c r="G481" s="12" t="s">
        <v>3465</v>
      </c>
      <c r="H481" s="12" t="s">
        <v>88</v>
      </c>
      <c r="I481">
        <v>71</v>
      </c>
      <c r="J481">
        <v>63</v>
      </c>
      <c r="K481">
        <v>147</v>
      </c>
      <c r="L481">
        <v>79</v>
      </c>
      <c r="M481" t="s">
        <v>72</v>
      </c>
      <c r="N481">
        <v>143</v>
      </c>
      <c r="O481">
        <v>78</v>
      </c>
      <c r="P481" t="s">
        <v>72</v>
      </c>
      <c r="Q481" t="s">
        <v>72</v>
      </c>
      <c r="R481">
        <v>83.9</v>
      </c>
      <c r="S481">
        <v>159.5</v>
      </c>
      <c r="T481" s="8">
        <f t="shared" si="14"/>
        <v>32.97923566002693</v>
      </c>
      <c r="U481" s="13" t="str" cm="1">
        <f t="array" ref="U481">IF(T481="","",_xlfn.IFS(T481&lt;18.5,"Bajo peso",T481&lt;25,"Peso normal",T481&lt;30,"Sobrepeso",T481&lt;35,"Obesidad clase I",T481&lt;40,"Obesidad clase II",T481&gt;=40,"Obesidad clase III"))</f>
        <v>Obesidad clase I</v>
      </c>
      <c r="V481">
        <v>110</v>
      </c>
      <c r="X481" t="s">
        <v>3463</v>
      </c>
      <c r="Y481">
        <v>1.35</v>
      </c>
      <c r="AA481">
        <v>61</v>
      </c>
      <c r="AB481" s="9">
        <f t="shared" si="15"/>
        <v>60.858380792275987</v>
      </c>
      <c r="AD481" t="s">
        <v>73</v>
      </c>
      <c r="AF481" t="s">
        <v>73</v>
      </c>
      <c r="AH481" t="s">
        <v>3463</v>
      </c>
      <c r="AI481" t="s">
        <v>3463</v>
      </c>
      <c r="AJ481" t="s">
        <v>3463</v>
      </c>
      <c r="AK481" t="s">
        <v>3463</v>
      </c>
      <c r="AL481" t="s">
        <v>3465</v>
      </c>
      <c r="AM481" t="s">
        <v>697</v>
      </c>
      <c r="AN481" t="s">
        <v>697</v>
      </c>
      <c r="AP481" t="s">
        <v>3463</v>
      </c>
      <c r="AV481" t="s">
        <v>74</v>
      </c>
      <c r="AW481" t="s">
        <v>3915</v>
      </c>
      <c r="BF481" t="s">
        <v>3921</v>
      </c>
      <c r="BH481" t="s">
        <v>4020</v>
      </c>
      <c r="BP481" t="s">
        <v>4260</v>
      </c>
      <c r="BQ481" t="s">
        <v>3463</v>
      </c>
      <c r="BR481" t="s">
        <v>3465</v>
      </c>
      <c r="BS481" t="s">
        <v>3463</v>
      </c>
      <c r="BT481" t="s">
        <v>3463</v>
      </c>
      <c r="BU481" t="s">
        <v>3463</v>
      </c>
      <c r="BV481" t="s">
        <v>3463</v>
      </c>
      <c r="BW481" t="s">
        <v>3463</v>
      </c>
      <c r="BX481" t="s">
        <v>79</v>
      </c>
      <c r="BY481" t="s">
        <v>87</v>
      </c>
      <c r="BZ481" t="s">
        <v>79</v>
      </c>
      <c r="CA481" s="10">
        <v>45910</v>
      </c>
    </row>
    <row r="482" spans="1:79">
      <c r="A482">
        <v>488</v>
      </c>
      <c r="B482">
        <v>104</v>
      </c>
      <c r="C482">
        <v>41</v>
      </c>
      <c r="D482" t="s">
        <v>3466</v>
      </c>
      <c r="E482" t="s">
        <v>1237</v>
      </c>
      <c r="F482" t="s">
        <v>969</v>
      </c>
      <c r="G482" s="12" t="s">
        <v>3465</v>
      </c>
      <c r="H482" s="12" t="s">
        <v>88</v>
      </c>
      <c r="I482">
        <v>76</v>
      </c>
      <c r="J482">
        <v>76</v>
      </c>
      <c r="K482">
        <v>164</v>
      </c>
      <c r="L482">
        <v>84</v>
      </c>
      <c r="M482" t="s">
        <v>72</v>
      </c>
      <c r="N482">
        <v>141</v>
      </c>
      <c r="O482">
        <v>86</v>
      </c>
      <c r="P482" t="s">
        <v>72</v>
      </c>
      <c r="Q482" t="s">
        <v>72</v>
      </c>
      <c r="R482">
        <v>107</v>
      </c>
      <c r="S482">
        <v>149</v>
      </c>
      <c r="T482" s="8">
        <f t="shared" si="14"/>
        <v>48.196027205981714</v>
      </c>
      <c r="U482" s="13" t="str" cm="1">
        <f t="array" ref="U482">IF(T482="","",_xlfn.IFS(T482&lt;18.5,"Bajo peso",T482&lt;25,"Peso normal",T482&lt;30,"Sobrepeso",T482&lt;35,"Obesidad clase I",T482&lt;40,"Obesidad clase II",T482&gt;=40,"Obesidad clase III"))</f>
        <v>Obesidad clase III</v>
      </c>
      <c r="V482">
        <v>106</v>
      </c>
      <c r="X482" t="s">
        <v>3463</v>
      </c>
      <c r="Y482">
        <v>1.17</v>
      </c>
      <c r="AA482">
        <v>60</v>
      </c>
      <c r="AB482" s="9">
        <f t="shared" si="15"/>
        <v>60.120441277194629</v>
      </c>
      <c r="AD482" t="s">
        <v>73</v>
      </c>
      <c r="AF482" t="s">
        <v>73</v>
      </c>
      <c r="AH482" t="s">
        <v>3463</v>
      </c>
      <c r="AI482" t="s">
        <v>3463</v>
      </c>
      <c r="AJ482" t="s">
        <v>3463</v>
      </c>
      <c r="AK482" t="s">
        <v>3465</v>
      </c>
      <c r="AL482" t="s">
        <v>3465</v>
      </c>
      <c r="AM482" t="s">
        <v>1238</v>
      </c>
      <c r="AN482" t="s">
        <v>3717</v>
      </c>
      <c r="AO482" t="s">
        <v>3465</v>
      </c>
      <c r="AP482" t="s">
        <v>3465</v>
      </c>
      <c r="AQ482" t="s">
        <v>1239</v>
      </c>
      <c r="AR482" t="s">
        <v>3498</v>
      </c>
      <c r="AT482" t="s">
        <v>3465</v>
      </c>
      <c r="AV482" t="s">
        <v>74</v>
      </c>
      <c r="AW482" t="s">
        <v>3915</v>
      </c>
      <c r="AY482" t="s">
        <v>3465</v>
      </c>
      <c r="AZ482" t="s">
        <v>665</v>
      </c>
      <c r="BC482" t="s">
        <v>128</v>
      </c>
      <c r="BE482" t="s">
        <v>1240</v>
      </c>
      <c r="BF482" t="s">
        <v>3950</v>
      </c>
      <c r="BG482" t="s">
        <v>1241</v>
      </c>
      <c r="BH482" t="s">
        <v>4129</v>
      </c>
      <c r="BI482" t="s">
        <v>411</v>
      </c>
      <c r="BK482" t="s">
        <v>1242</v>
      </c>
      <c r="BL482" t="s">
        <v>1243</v>
      </c>
      <c r="BP482" t="s">
        <v>4413</v>
      </c>
      <c r="BQ482" t="s">
        <v>3463</v>
      </c>
      <c r="BR482" t="s">
        <v>3463</v>
      </c>
      <c r="BS482" t="s">
        <v>3463</v>
      </c>
      <c r="BT482" t="s">
        <v>3463</v>
      </c>
      <c r="BU482" t="s">
        <v>3463</v>
      </c>
      <c r="BV482" t="s">
        <v>3463</v>
      </c>
      <c r="BW482" t="s">
        <v>3463</v>
      </c>
      <c r="BX482" t="s">
        <v>79</v>
      </c>
      <c r="BY482" t="s">
        <v>87</v>
      </c>
      <c r="BZ482" t="s">
        <v>95</v>
      </c>
      <c r="CA482" s="10">
        <v>45910</v>
      </c>
    </row>
    <row r="483" spans="1:79">
      <c r="A483">
        <v>489</v>
      </c>
      <c r="B483">
        <v>105</v>
      </c>
      <c r="C483">
        <v>69</v>
      </c>
      <c r="D483" t="s">
        <v>3466</v>
      </c>
      <c r="E483" t="s">
        <v>1244</v>
      </c>
      <c r="F483" t="s">
        <v>969</v>
      </c>
      <c r="G483" s="12" t="s">
        <v>3463</v>
      </c>
      <c r="I483">
        <v>105</v>
      </c>
      <c r="J483">
        <v>110</v>
      </c>
      <c r="K483">
        <v>164</v>
      </c>
      <c r="L483">
        <v>100</v>
      </c>
      <c r="M483" t="s">
        <v>72</v>
      </c>
      <c r="N483">
        <v>145</v>
      </c>
      <c r="O483">
        <v>98</v>
      </c>
      <c r="P483" t="s">
        <v>72</v>
      </c>
      <c r="Q483" t="s">
        <v>72</v>
      </c>
      <c r="R483">
        <v>84.95</v>
      </c>
      <c r="S483">
        <v>150.5</v>
      </c>
      <c r="T483" s="8">
        <f t="shared" si="14"/>
        <v>37.505104800167771</v>
      </c>
      <c r="U483" s="13" t="str" cm="1">
        <f t="array" ref="U483">IF(T483="","",_xlfn.IFS(T483&lt;18.5,"Bajo peso",T483&lt;25,"Peso normal",T483&lt;30,"Sobrepeso",T483&lt;35,"Obesidad clase I",T483&lt;40,"Obesidad clase II",T483&gt;=40,"Obesidad clase III"))</f>
        <v>Obesidad clase II</v>
      </c>
      <c r="V483">
        <v>117</v>
      </c>
      <c r="X483" t="s">
        <v>3463</v>
      </c>
      <c r="Y483">
        <v>0.99</v>
      </c>
      <c r="AA483">
        <v>61</v>
      </c>
      <c r="AB483" s="9">
        <f t="shared" si="15"/>
        <v>61.724097363207967</v>
      </c>
      <c r="AD483" t="s">
        <v>73</v>
      </c>
      <c r="AF483" t="s">
        <v>73</v>
      </c>
      <c r="AG483" t="s">
        <v>3463</v>
      </c>
      <c r="AH483" t="s">
        <v>3465</v>
      </c>
      <c r="AI483" t="s">
        <v>3465</v>
      </c>
      <c r="AJ483" t="s">
        <v>3463</v>
      </c>
      <c r="AK483" t="s">
        <v>3463</v>
      </c>
      <c r="AL483" t="s">
        <v>3465</v>
      </c>
      <c r="AM483" t="s">
        <v>1245</v>
      </c>
      <c r="AN483" t="s">
        <v>3718</v>
      </c>
      <c r="AP483" t="s">
        <v>3463</v>
      </c>
      <c r="AQ483" t="s">
        <v>1246</v>
      </c>
      <c r="AR483" t="s">
        <v>3548</v>
      </c>
      <c r="AS483" t="s">
        <v>3465</v>
      </c>
      <c r="AT483" t="s">
        <v>3465</v>
      </c>
      <c r="AU483" t="s">
        <v>80</v>
      </c>
      <c r="AV483" t="s">
        <v>74</v>
      </c>
      <c r="AW483" t="s">
        <v>3915</v>
      </c>
      <c r="AX483" t="s">
        <v>3463</v>
      </c>
      <c r="AY483" t="s">
        <v>3465</v>
      </c>
      <c r="AZ483" t="s">
        <v>1247</v>
      </c>
      <c r="BA483" t="s">
        <v>3920</v>
      </c>
      <c r="BB483" t="s">
        <v>3485</v>
      </c>
      <c r="BE483" t="s">
        <v>1248</v>
      </c>
      <c r="BF483" t="s">
        <v>3951</v>
      </c>
      <c r="BG483" t="s">
        <v>1249</v>
      </c>
      <c r="BH483" t="s">
        <v>4131</v>
      </c>
      <c r="BI483" t="s">
        <v>411</v>
      </c>
      <c r="BK483" t="s">
        <v>1250</v>
      </c>
      <c r="BL483" t="s">
        <v>1251</v>
      </c>
      <c r="BP483" t="s">
        <v>4320</v>
      </c>
      <c r="BQ483" t="s">
        <v>3463</v>
      </c>
      <c r="BR483" t="s">
        <v>3463</v>
      </c>
      <c r="BS483" t="s">
        <v>3465</v>
      </c>
      <c r="BT483" t="s">
        <v>3465</v>
      </c>
      <c r="BU483" t="s">
        <v>3463</v>
      </c>
      <c r="BV483" t="s">
        <v>3463</v>
      </c>
      <c r="BW483" t="s">
        <v>3463</v>
      </c>
      <c r="BX483" t="s">
        <v>79</v>
      </c>
      <c r="BY483" t="s">
        <v>87</v>
      </c>
      <c r="BZ483" t="s">
        <v>79</v>
      </c>
      <c r="CA483" s="10">
        <v>45910</v>
      </c>
    </row>
    <row r="484" spans="1:79">
      <c r="A484">
        <v>490</v>
      </c>
      <c r="B484">
        <v>106</v>
      </c>
      <c r="C484">
        <v>70</v>
      </c>
      <c r="D484" t="s">
        <v>3466</v>
      </c>
      <c r="E484" t="s">
        <v>1211</v>
      </c>
      <c r="F484" t="s">
        <v>969</v>
      </c>
      <c r="G484" s="12" t="s">
        <v>3463</v>
      </c>
      <c r="H484" s="12"/>
      <c r="I484">
        <v>64</v>
      </c>
      <c r="K484">
        <v>138</v>
      </c>
      <c r="L484">
        <v>75</v>
      </c>
      <c r="M484" t="s">
        <v>82</v>
      </c>
      <c r="P484" t="s">
        <v>83</v>
      </c>
      <c r="Q484" t="s">
        <v>82</v>
      </c>
      <c r="R484">
        <v>77.400000000000006</v>
      </c>
      <c r="S484">
        <v>150</v>
      </c>
      <c r="T484" s="8">
        <f t="shared" si="14"/>
        <v>34.400000000000006</v>
      </c>
      <c r="U484" s="13" t="str" cm="1">
        <f t="array" ref="U484">IF(T484="","",_xlfn.IFS(T484&lt;18.5,"Bajo peso",T484&lt;25,"Peso normal",T484&lt;30,"Sobrepeso",T484&lt;35,"Obesidad clase I",T484&lt;40,"Obesidad clase II",T484&gt;=40,"Obesidad clase III"))</f>
        <v>Obesidad clase I</v>
      </c>
      <c r="V484">
        <v>108</v>
      </c>
      <c r="X484" t="s">
        <v>3463</v>
      </c>
      <c r="Y484">
        <v>1.06</v>
      </c>
      <c r="AA484">
        <v>56</v>
      </c>
      <c r="AB484" s="9">
        <f t="shared" si="15"/>
        <v>56.513074531395915</v>
      </c>
      <c r="AD484" t="s">
        <v>158</v>
      </c>
      <c r="AF484" t="s">
        <v>158</v>
      </c>
      <c r="AH484" t="s">
        <v>3463</v>
      </c>
      <c r="AI484" t="s">
        <v>3465</v>
      </c>
      <c r="AJ484" t="s">
        <v>3463</v>
      </c>
      <c r="AK484" t="s">
        <v>3463</v>
      </c>
      <c r="AL484" t="s">
        <v>3463</v>
      </c>
      <c r="AO484" t="s">
        <v>3465</v>
      </c>
      <c r="AP484" t="s">
        <v>3465</v>
      </c>
      <c r="AQ484" t="s">
        <v>196</v>
      </c>
      <c r="AR484" t="s">
        <v>3522</v>
      </c>
      <c r="AS484" t="s">
        <v>3465</v>
      </c>
      <c r="AT484" t="s">
        <v>3463</v>
      </c>
      <c r="AV484" t="s">
        <v>74</v>
      </c>
      <c r="AW484" t="s">
        <v>3915</v>
      </c>
      <c r="AX484" t="s">
        <v>3463</v>
      </c>
      <c r="AY484" t="s">
        <v>3463</v>
      </c>
      <c r="BF484" t="s">
        <v>3921</v>
      </c>
      <c r="BH484" t="s">
        <v>4132</v>
      </c>
      <c r="BK484" t="s">
        <v>1252</v>
      </c>
      <c r="BL484" t="s">
        <v>1253</v>
      </c>
      <c r="BP484" t="s">
        <v>4260</v>
      </c>
      <c r="BQ484" t="s">
        <v>3463</v>
      </c>
      <c r="BR484" t="s">
        <v>3463</v>
      </c>
      <c r="BS484" t="s">
        <v>3463</v>
      </c>
      <c r="BT484" t="s">
        <v>3463</v>
      </c>
      <c r="BU484" t="s">
        <v>3463</v>
      </c>
      <c r="BV484" t="s">
        <v>3463</v>
      </c>
      <c r="BW484" t="s">
        <v>3463</v>
      </c>
      <c r="BX484" t="s">
        <v>79</v>
      </c>
      <c r="BY484" t="s">
        <v>87</v>
      </c>
      <c r="BZ484" t="s">
        <v>79</v>
      </c>
      <c r="CA484" s="10">
        <v>45910</v>
      </c>
    </row>
    <row r="485" spans="1:79">
      <c r="A485">
        <v>491</v>
      </c>
      <c r="B485">
        <v>107</v>
      </c>
      <c r="C485">
        <v>55</v>
      </c>
      <c r="D485" t="s">
        <v>3462</v>
      </c>
      <c r="E485" t="s">
        <v>450</v>
      </c>
      <c r="F485" t="s">
        <v>969</v>
      </c>
      <c r="G485" s="12" t="s">
        <v>3465</v>
      </c>
      <c r="H485" s="12" t="s">
        <v>88</v>
      </c>
      <c r="I485">
        <v>86</v>
      </c>
      <c r="K485">
        <v>134</v>
      </c>
      <c r="L485">
        <v>80</v>
      </c>
      <c r="M485" t="s">
        <v>82</v>
      </c>
      <c r="P485" t="s">
        <v>83</v>
      </c>
      <c r="Q485" t="s">
        <v>82</v>
      </c>
      <c r="R485">
        <v>108.8</v>
      </c>
      <c r="S485">
        <v>170</v>
      </c>
      <c r="T485" s="8">
        <f t="shared" si="14"/>
        <v>37.647058823529413</v>
      </c>
      <c r="U485" s="13" t="str" cm="1">
        <f t="array" ref="U485">IF(T485="","",_xlfn.IFS(T485&lt;18.5,"Bajo peso",T485&lt;25,"Peso normal",T485&lt;30,"Sobrepeso",T485&lt;35,"Obesidad clase I",T485&lt;40,"Obesidad clase II",T485&gt;=40,"Obesidad clase III"))</f>
        <v>Obesidad clase II</v>
      </c>
      <c r="V485">
        <v>156</v>
      </c>
      <c r="X485" t="s">
        <v>3463</v>
      </c>
      <c r="Y485">
        <v>1.07</v>
      </c>
      <c r="AA485">
        <v>82</v>
      </c>
      <c r="AB485" s="9">
        <f t="shared" si="15"/>
        <v>81.952726168477355</v>
      </c>
      <c r="AD485" t="s">
        <v>73</v>
      </c>
      <c r="AF485" t="s">
        <v>73</v>
      </c>
      <c r="AH485" t="s">
        <v>3463</v>
      </c>
      <c r="AI485" t="s">
        <v>3463</v>
      </c>
      <c r="AJ485" t="s">
        <v>3463</v>
      </c>
      <c r="AK485" t="s">
        <v>3463</v>
      </c>
      <c r="AL485" t="s">
        <v>3465</v>
      </c>
      <c r="AM485" t="s">
        <v>1254</v>
      </c>
      <c r="AN485" t="s">
        <v>3719</v>
      </c>
      <c r="AP485" t="s">
        <v>3463</v>
      </c>
      <c r="AQ485" t="s">
        <v>270</v>
      </c>
      <c r="AR485" t="s">
        <v>3488</v>
      </c>
      <c r="AV485" t="s">
        <v>74</v>
      </c>
      <c r="AW485" t="s">
        <v>3915</v>
      </c>
      <c r="BF485" t="s">
        <v>3921</v>
      </c>
      <c r="BH485" t="s">
        <v>4020</v>
      </c>
      <c r="BP485" t="s">
        <v>4260</v>
      </c>
      <c r="BQ485" t="s">
        <v>3463</v>
      </c>
      <c r="BR485" t="s">
        <v>3465</v>
      </c>
      <c r="BS485" t="s">
        <v>3463</v>
      </c>
      <c r="BT485" t="s">
        <v>3463</v>
      </c>
      <c r="BU485" t="s">
        <v>3463</v>
      </c>
      <c r="BV485" t="s">
        <v>3463</v>
      </c>
      <c r="BW485" t="s">
        <v>3463</v>
      </c>
      <c r="BX485" t="s">
        <v>79</v>
      </c>
      <c r="BY485" t="s">
        <v>87</v>
      </c>
      <c r="BZ485" t="s">
        <v>79</v>
      </c>
      <c r="CA485" s="10">
        <v>45910</v>
      </c>
    </row>
    <row r="486" spans="1:79">
      <c r="A486">
        <v>492</v>
      </c>
      <c r="B486">
        <v>108</v>
      </c>
      <c r="C486">
        <v>59</v>
      </c>
      <c r="D486" t="s">
        <v>3462</v>
      </c>
      <c r="F486" t="s">
        <v>969</v>
      </c>
      <c r="G486" s="12" t="s">
        <v>3465</v>
      </c>
      <c r="H486" s="12" t="s">
        <v>88</v>
      </c>
      <c r="I486">
        <v>66</v>
      </c>
      <c r="J486">
        <v>64</v>
      </c>
      <c r="K486">
        <v>141</v>
      </c>
      <c r="L486">
        <v>78</v>
      </c>
      <c r="M486" t="s">
        <v>72</v>
      </c>
      <c r="N486">
        <v>156</v>
      </c>
      <c r="O486">
        <v>85</v>
      </c>
      <c r="P486" t="s">
        <v>72</v>
      </c>
      <c r="Q486" t="s">
        <v>72</v>
      </c>
      <c r="R486">
        <v>84.2</v>
      </c>
      <c r="S486">
        <v>160</v>
      </c>
      <c r="T486" s="8">
        <f t="shared" si="14"/>
        <v>32.890625</v>
      </c>
      <c r="U486" s="13" t="str" cm="1">
        <f t="array" ref="U486">IF(T486="","",_xlfn.IFS(T486&lt;18.5,"Bajo peso",T486&lt;25,"Peso normal",T486&lt;30,"Sobrepeso",T486&lt;35,"Obesidad clase I",T486&lt;40,"Obesidad clase II",T486&gt;=40,"Obesidad clase III"))</f>
        <v>Obesidad clase I</v>
      </c>
      <c r="V486">
        <v>402</v>
      </c>
      <c r="X486" t="s">
        <v>3465</v>
      </c>
      <c r="Y486">
        <v>0.85</v>
      </c>
      <c r="AA486">
        <v>90</v>
      </c>
      <c r="AB486" s="9">
        <f t="shared" si="15"/>
        <v>100.09805039517548</v>
      </c>
      <c r="AD486" t="s">
        <v>73</v>
      </c>
      <c r="AF486" t="s">
        <v>73</v>
      </c>
      <c r="AG486" t="s">
        <v>3465</v>
      </c>
      <c r="AH486" t="s">
        <v>3465</v>
      </c>
      <c r="AI486" t="s">
        <v>3465</v>
      </c>
      <c r="AJ486" t="s">
        <v>3463</v>
      </c>
      <c r="AK486" t="s">
        <v>3463</v>
      </c>
      <c r="AL486" t="s">
        <v>3463</v>
      </c>
      <c r="AP486" t="s">
        <v>3463</v>
      </c>
      <c r="AQ486" t="s">
        <v>1255</v>
      </c>
      <c r="AR486" t="s">
        <v>3549</v>
      </c>
      <c r="AS486" t="s">
        <v>3465</v>
      </c>
      <c r="AV486" t="s">
        <v>178</v>
      </c>
      <c r="AW486" t="s">
        <v>3918</v>
      </c>
      <c r="BA486" t="s">
        <v>3920</v>
      </c>
      <c r="BB486" t="s">
        <v>3485</v>
      </c>
      <c r="BF486" t="s">
        <v>3921</v>
      </c>
      <c r="BG486" t="s">
        <v>1256</v>
      </c>
      <c r="BH486" t="s">
        <v>4015</v>
      </c>
      <c r="BI486" t="s">
        <v>1257</v>
      </c>
      <c r="BK486" t="s">
        <v>1258</v>
      </c>
      <c r="BL486" t="s">
        <v>602</v>
      </c>
      <c r="BP486" t="s">
        <v>4414</v>
      </c>
      <c r="BQ486" t="s">
        <v>3463</v>
      </c>
      <c r="BR486" t="s">
        <v>3465</v>
      </c>
      <c r="BS486" t="s">
        <v>3463</v>
      </c>
      <c r="BT486" t="s">
        <v>3463</v>
      </c>
      <c r="BU486" t="s">
        <v>3463</v>
      </c>
      <c r="BV486" t="s">
        <v>3463</v>
      </c>
      <c r="BW486" t="s">
        <v>3463</v>
      </c>
      <c r="BX486" t="s">
        <v>79</v>
      </c>
      <c r="BY486" t="s">
        <v>487</v>
      </c>
      <c r="BZ486" t="s">
        <v>79</v>
      </c>
      <c r="CA486" s="10">
        <v>45910</v>
      </c>
    </row>
    <row r="487" spans="1:79">
      <c r="A487">
        <v>493</v>
      </c>
      <c r="B487">
        <v>110</v>
      </c>
      <c r="C487">
        <v>75</v>
      </c>
      <c r="D487" t="s">
        <v>3462</v>
      </c>
      <c r="E487" t="s">
        <v>1000</v>
      </c>
      <c r="F487" t="s">
        <v>969</v>
      </c>
      <c r="G487" s="12" t="s">
        <v>3465</v>
      </c>
      <c r="H487" s="12" t="s">
        <v>88</v>
      </c>
      <c r="I487">
        <v>57</v>
      </c>
      <c r="J487">
        <v>59</v>
      </c>
      <c r="K487">
        <v>182</v>
      </c>
      <c r="L487">
        <v>87</v>
      </c>
      <c r="M487" t="s">
        <v>96</v>
      </c>
      <c r="N487">
        <v>200</v>
      </c>
      <c r="O487">
        <v>90</v>
      </c>
      <c r="P487" t="s">
        <v>96</v>
      </c>
      <c r="Q487" t="s">
        <v>96</v>
      </c>
      <c r="R487">
        <v>76.7</v>
      </c>
      <c r="S487">
        <v>147.4</v>
      </c>
      <c r="T487" s="8">
        <f t="shared" si="14"/>
        <v>35.302088300326417</v>
      </c>
      <c r="U487" s="13" t="str" cm="1">
        <f t="array" ref="U487">IF(T487="","",_xlfn.IFS(T487&lt;18.5,"Bajo peso",T487&lt;25,"Peso normal",T487&lt;30,"Sobrepeso",T487&lt;35,"Obesidad clase I",T487&lt;40,"Obesidad clase II",T487&gt;=40,"Obesidad clase III"))</f>
        <v>Obesidad clase II</v>
      </c>
      <c r="V487">
        <v>102</v>
      </c>
      <c r="X487" t="s">
        <v>3463</v>
      </c>
      <c r="Y487">
        <v>0.82</v>
      </c>
      <c r="AA487">
        <v>90</v>
      </c>
      <c r="AB487" s="9">
        <f t="shared" si="15"/>
        <v>91.605643433968154</v>
      </c>
      <c r="AD487" t="s">
        <v>73</v>
      </c>
      <c r="AF487" t="s">
        <v>73</v>
      </c>
      <c r="AH487" t="s">
        <v>3463</v>
      </c>
      <c r="AI487" t="s">
        <v>3465</v>
      </c>
      <c r="AJ487" t="s">
        <v>3463</v>
      </c>
      <c r="AK487" t="s">
        <v>3463</v>
      </c>
      <c r="AL487" t="s">
        <v>3463</v>
      </c>
      <c r="AP487" t="s">
        <v>3463</v>
      </c>
      <c r="AS487" t="s">
        <v>3465</v>
      </c>
      <c r="AV487" t="s">
        <v>74</v>
      </c>
      <c r="AW487" t="s">
        <v>3915</v>
      </c>
      <c r="BA487" t="s">
        <v>3920</v>
      </c>
      <c r="BF487" t="s">
        <v>3921</v>
      </c>
      <c r="BG487" t="s">
        <v>1259</v>
      </c>
      <c r="BH487" t="s">
        <v>4021</v>
      </c>
      <c r="BI487" t="s">
        <v>1125</v>
      </c>
      <c r="BP487" t="s">
        <v>4260</v>
      </c>
      <c r="BQ487" t="s">
        <v>3463</v>
      </c>
      <c r="BR487" t="s">
        <v>3463</v>
      </c>
      <c r="BS487" t="s">
        <v>3463</v>
      </c>
      <c r="BT487" t="s">
        <v>3463</v>
      </c>
      <c r="BU487" t="s">
        <v>3463</v>
      </c>
      <c r="BV487" t="s">
        <v>3463</v>
      </c>
      <c r="BW487" t="s">
        <v>3463</v>
      </c>
      <c r="BX487" t="s">
        <v>79</v>
      </c>
      <c r="BY487" t="s">
        <v>87</v>
      </c>
      <c r="BZ487" t="s">
        <v>79</v>
      </c>
      <c r="CA487" s="10">
        <v>45910</v>
      </c>
    </row>
    <row r="488" spans="1:79">
      <c r="A488">
        <v>494</v>
      </c>
      <c r="B488">
        <v>111</v>
      </c>
      <c r="C488">
        <v>37</v>
      </c>
      <c r="D488" t="s">
        <v>3462</v>
      </c>
      <c r="E488" t="s">
        <v>1057</v>
      </c>
      <c r="F488" t="s">
        <v>969</v>
      </c>
      <c r="G488" s="12" t="s">
        <v>3465</v>
      </c>
      <c r="H488" s="12" t="s">
        <v>88</v>
      </c>
      <c r="I488">
        <v>85</v>
      </c>
      <c r="J488">
        <v>81</v>
      </c>
      <c r="K488">
        <v>146</v>
      </c>
      <c r="L488">
        <v>85</v>
      </c>
      <c r="M488" t="s">
        <v>72</v>
      </c>
      <c r="N488">
        <v>144</v>
      </c>
      <c r="O488">
        <v>85</v>
      </c>
      <c r="P488" t="s">
        <v>72</v>
      </c>
      <c r="Q488" t="s">
        <v>72</v>
      </c>
      <c r="R488">
        <v>105.1</v>
      </c>
      <c r="S488">
        <v>178</v>
      </c>
      <c r="T488" s="8">
        <f t="shared" si="14"/>
        <v>33.171316752935233</v>
      </c>
      <c r="U488" s="13" t="str" cm="1">
        <f t="array" ref="U488">IF(T488="","",_xlfn.IFS(T488&lt;18.5,"Bajo peso",T488&lt;25,"Peso normal",T488&lt;30,"Sobrepeso",T488&lt;35,"Obesidad clase I",T488&lt;40,"Obesidad clase II",T488&gt;=40,"Obesidad clase III"))</f>
        <v>Obesidad clase I</v>
      </c>
      <c r="V488">
        <v>111</v>
      </c>
      <c r="X488" t="s">
        <v>3463</v>
      </c>
      <c r="Y488">
        <v>1.17</v>
      </c>
      <c r="AA488">
        <v>82</v>
      </c>
      <c r="AB488" s="9">
        <f t="shared" si="15"/>
        <v>82.341550541319634</v>
      </c>
      <c r="AD488" t="s">
        <v>73</v>
      </c>
      <c r="AF488" t="s">
        <v>73</v>
      </c>
      <c r="AH488" t="s">
        <v>3463</v>
      </c>
      <c r="AI488" t="s">
        <v>3463</v>
      </c>
      <c r="AJ488" t="s">
        <v>3463</v>
      </c>
      <c r="AK488" t="s">
        <v>3463</v>
      </c>
      <c r="AL488" t="s">
        <v>3463</v>
      </c>
      <c r="AO488" t="s">
        <v>3465</v>
      </c>
      <c r="AP488" t="s">
        <v>3465</v>
      </c>
      <c r="AQ488" t="s">
        <v>1224</v>
      </c>
      <c r="AR488" t="s">
        <v>3528</v>
      </c>
      <c r="AV488" t="s">
        <v>74</v>
      </c>
      <c r="AW488" t="s">
        <v>3915</v>
      </c>
      <c r="BF488" t="s">
        <v>3921</v>
      </c>
      <c r="BH488" t="s">
        <v>4020</v>
      </c>
      <c r="BP488" t="s">
        <v>4260</v>
      </c>
      <c r="BQ488" t="s">
        <v>3463</v>
      </c>
      <c r="BR488" t="s">
        <v>3465</v>
      </c>
      <c r="BS488" t="s">
        <v>3465</v>
      </c>
      <c r="BT488" t="s">
        <v>3465</v>
      </c>
      <c r="BU488" t="s">
        <v>3463</v>
      </c>
      <c r="BV488" t="s">
        <v>3463</v>
      </c>
      <c r="BW488" t="s">
        <v>3463</v>
      </c>
      <c r="BX488" t="s">
        <v>79</v>
      </c>
      <c r="BY488" t="s">
        <v>87</v>
      </c>
      <c r="BZ488" t="s">
        <v>79</v>
      </c>
      <c r="CA488" s="10">
        <v>45910</v>
      </c>
    </row>
    <row r="489" spans="1:79">
      <c r="A489">
        <v>495</v>
      </c>
      <c r="B489">
        <v>112</v>
      </c>
      <c r="C489">
        <v>64</v>
      </c>
      <c r="D489" t="s">
        <v>3462</v>
      </c>
      <c r="E489" t="s">
        <v>1260</v>
      </c>
      <c r="F489" t="s">
        <v>969</v>
      </c>
      <c r="G489" s="12" t="s">
        <v>3465</v>
      </c>
      <c r="H489" s="12" t="s">
        <v>88</v>
      </c>
      <c r="I489">
        <v>73</v>
      </c>
      <c r="J489">
        <v>72</v>
      </c>
      <c r="K489">
        <v>158</v>
      </c>
      <c r="L489">
        <v>71</v>
      </c>
      <c r="M489" t="s">
        <v>72</v>
      </c>
      <c r="N489">
        <v>159</v>
      </c>
      <c r="O489">
        <v>69</v>
      </c>
      <c r="P489" t="s">
        <v>72</v>
      </c>
      <c r="Q489" t="s">
        <v>72</v>
      </c>
      <c r="R489">
        <v>99.3</v>
      </c>
      <c r="S489">
        <v>168.5</v>
      </c>
      <c r="T489" s="8">
        <f t="shared" si="14"/>
        <v>34.97433278447464</v>
      </c>
      <c r="U489" s="13" t="str" cm="1">
        <f t="array" ref="U489">IF(T489="","",_xlfn.IFS(T489&lt;18.5,"Bajo peso",T489&lt;25,"Peso normal",T489&lt;30,"Sobrepeso",T489&lt;35,"Obesidad clase I",T489&lt;40,"Obesidad clase II",T489&gt;=40,"Obesidad clase III"))</f>
        <v>Obesidad clase I</v>
      </c>
      <c r="V489">
        <v>125</v>
      </c>
      <c r="X489" t="s">
        <v>3463</v>
      </c>
      <c r="Y489">
        <v>0.94</v>
      </c>
      <c r="AA489">
        <v>90</v>
      </c>
      <c r="AB489" s="9">
        <f t="shared" si="15"/>
        <v>90.523522601616946</v>
      </c>
      <c r="AD489" t="s">
        <v>73</v>
      </c>
      <c r="AF489" t="s">
        <v>73</v>
      </c>
      <c r="AH489" t="s">
        <v>3463</v>
      </c>
      <c r="AI489" t="s">
        <v>3465</v>
      </c>
      <c r="AJ489" t="s">
        <v>3463</v>
      </c>
      <c r="AK489" t="s">
        <v>3463</v>
      </c>
      <c r="AL489" t="s">
        <v>3463</v>
      </c>
      <c r="AP489" t="s">
        <v>3463</v>
      </c>
      <c r="AQ489" t="s">
        <v>1261</v>
      </c>
      <c r="AR489" t="s">
        <v>3491</v>
      </c>
      <c r="AS489" t="s">
        <v>3465</v>
      </c>
      <c r="AV489" t="s">
        <v>74</v>
      </c>
      <c r="AW489" t="s">
        <v>3915</v>
      </c>
      <c r="BA489" t="s">
        <v>3920</v>
      </c>
      <c r="BC489" t="s">
        <v>128</v>
      </c>
      <c r="BF489" t="s">
        <v>3921</v>
      </c>
      <c r="BH489" t="s">
        <v>4131</v>
      </c>
      <c r="BI489" t="s">
        <v>734</v>
      </c>
      <c r="BK489" t="s">
        <v>1262</v>
      </c>
      <c r="BL489" t="s">
        <v>1263</v>
      </c>
      <c r="BP489" t="s">
        <v>4415</v>
      </c>
      <c r="BQ489" t="s">
        <v>3463</v>
      </c>
      <c r="BR489" t="s">
        <v>3463</v>
      </c>
      <c r="BS489" t="s">
        <v>3463</v>
      </c>
      <c r="BT489" t="s">
        <v>3463</v>
      </c>
      <c r="BU489" t="s">
        <v>3463</v>
      </c>
      <c r="BV489" t="s">
        <v>3463</v>
      </c>
      <c r="BW489" t="s">
        <v>3463</v>
      </c>
      <c r="BX489" t="s">
        <v>79</v>
      </c>
      <c r="BY489" t="s">
        <v>87</v>
      </c>
      <c r="BZ489" t="s">
        <v>95</v>
      </c>
      <c r="CA489" s="10">
        <v>45910</v>
      </c>
    </row>
    <row r="490" spans="1:79">
      <c r="A490">
        <v>496</v>
      </c>
      <c r="B490">
        <v>113</v>
      </c>
      <c r="C490">
        <v>40</v>
      </c>
      <c r="D490" t="s">
        <v>3466</v>
      </c>
      <c r="E490" t="s">
        <v>450</v>
      </c>
      <c r="F490" t="s">
        <v>969</v>
      </c>
      <c r="G490" s="12" t="s">
        <v>3463</v>
      </c>
      <c r="I490">
        <v>77</v>
      </c>
      <c r="J490">
        <v>82</v>
      </c>
      <c r="K490">
        <v>178</v>
      </c>
      <c r="L490">
        <v>90</v>
      </c>
      <c r="M490" t="s">
        <v>72</v>
      </c>
      <c r="N490">
        <v>164</v>
      </c>
      <c r="O490">
        <v>101</v>
      </c>
      <c r="P490" t="s">
        <v>72</v>
      </c>
      <c r="Q490" t="s">
        <v>72</v>
      </c>
      <c r="R490">
        <v>84.9</v>
      </c>
      <c r="S490">
        <v>160</v>
      </c>
      <c r="T490" s="8">
        <f t="shared" si="14"/>
        <v>33.1640625</v>
      </c>
      <c r="U490" s="13" t="str" cm="1">
        <f t="array" ref="U490">IF(T490="","",_xlfn.IFS(T490&lt;18.5,"Bajo peso",T490&lt;25,"Peso normal",T490&lt;30,"Sobrepeso",T490&lt;35,"Obesidad clase I",T490&lt;40,"Obesidad clase II",T490&gt;=40,"Obesidad clase III"))</f>
        <v>Obesidad clase I</v>
      </c>
      <c r="V490">
        <v>96</v>
      </c>
      <c r="X490" t="s">
        <v>3463</v>
      </c>
      <c r="Y490">
        <v>0.47</v>
      </c>
      <c r="AA490">
        <v>90</v>
      </c>
      <c r="AB490" s="9">
        <f t="shared" si="15"/>
        <v>123.3450135853008</v>
      </c>
      <c r="AD490" t="s">
        <v>73</v>
      </c>
      <c r="AF490" t="s">
        <v>73</v>
      </c>
      <c r="AH490" t="s">
        <v>3463</v>
      </c>
      <c r="AI490" t="s">
        <v>3463</v>
      </c>
      <c r="AJ490" t="s">
        <v>3463</v>
      </c>
      <c r="AK490" t="s">
        <v>3463</v>
      </c>
      <c r="AL490" t="s">
        <v>3465</v>
      </c>
      <c r="AM490" t="s">
        <v>1264</v>
      </c>
      <c r="AN490" t="s">
        <v>1264</v>
      </c>
      <c r="AO490" t="s">
        <v>3463</v>
      </c>
      <c r="AP490" t="s">
        <v>3465</v>
      </c>
      <c r="AQ490" t="s">
        <v>1265</v>
      </c>
      <c r="AR490" t="s">
        <v>3550</v>
      </c>
      <c r="AV490" t="s">
        <v>74</v>
      </c>
      <c r="AW490" t="s">
        <v>3915</v>
      </c>
      <c r="AX490" t="s">
        <v>3463</v>
      </c>
      <c r="AY490" t="s">
        <v>3465</v>
      </c>
      <c r="AZ490" t="s">
        <v>90</v>
      </c>
      <c r="BF490" t="s">
        <v>3921</v>
      </c>
      <c r="BH490" t="s">
        <v>4020</v>
      </c>
      <c r="BP490" t="s">
        <v>4260</v>
      </c>
      <c r="BQ490" t="s">
        <v>3463</v>
      </c>
      <c r="BR490" t="s">
        <v>3465</v>
      </c>
      <c r="BS490" t="s">
        <v>3465</v>
      </c>
      <c r="BT490" t="s">
        <v>3465</v>
      </c>
      <c r="BU490" t="s">
        <v>3463</v>
      </c>
      <c r="BV490" t="s">
        <v>3463</v>
      </c>
      <c r="BW490" t="s">
        <v>3463</v>
      </c>
      <c r="BX490" t="s">
        <v>121</v>
      </c>
      <c r="BY490" t="s">
        <v>87</v>
      </c>
      <c r="BZ490" t="s">
        <v>79</v>
      </c>
      <c r="CA490" s="10">
        <v>45910</v>
      </c>
    </row>
    <row r="491" spans="1:79">
      <c r="A491">
        <v>497</v>
      </c>
      <c r="B491">
        <v>114</v>
      </c>
      <c r="C491">
        <v>27</v>
      </c>
      <c r="D491" t="s">
        <v>3462</v>
      </c>
      <c r="E491" t="s">
        <v>1266</v>
      </c>
      <c r="F491" t="s">
        <v>969</v>
      </c>
      <c r="G491" s="12" t="s">
        <v>3463</v>
      </c>
      <c r="I491">
        <v>72</v>
      </c>
      <c r="K491">
        <v>137</v>
      </c>
      <c r="L491">
        <v>81</v>
      </c>
      <c r="M491" t="s">
        <v>82</v>
      </c>
      <c r="P491" t="s">
        <v>83</v>
      </c>
      <c r="Q491" t="s">
        <v>82</v>
      </c>
      <c r="R491">
        <v>89.2</v>
      </c>
      <c r="S491">
        <v>170</v>
      </c>
      <c r="T491" s="8">
        <f t="shared" si="14"/>
        <v>30.865051903114189</v>
      </c>
      <c r="U491" s="13" t="str" cm="1">
        <f t="array" ref="U491">IF(T491="","",_xlfn.IFS(T491&lt;18.5,"Bajo peso",T491&lt;25,"Peso normal",T491&lt;30,"Sobrepeso",T491&lt;35,"Obesidad clase I",T491&lt;40,"Obesidad clase II",T491&gt;=40,"Obesidad clase III"))</f>
        <v>Obesidad clase I</v>
      </c>
      <c r="V491">
        <v>89</v>
      </c>
      <c r="X491" t="s">
        <v>3463</v>
      </c>
      <c r="Y491">
        <v>0.79</v>
      </c>
      <c r="AA491">
        <v>90</v>
      </c>
      <c r="AB491" s="9">
        <f t="shared" si="15"/>
        <v>124.8702541722885</v>
      </c>
      <c r="AD491" t="s">
        <v>73</v>
      </c>
      <c r="AF491" t="s">
        <v>73</v>
      </c>
      <c r="AH491" t="s">
        <v>3463</v>
      </c>
      <c r="AI491" t="s">
        <v>3463</v>
      </c>
      <c r="AJ491" t="s">
        <v>3465</v>
      </c>
      <c r="AK491" t="s">
        <v>3463</v>
      </c>
      <c r="AL491" t="s">
        <v>3463</v>
      </c>
      <c r="AO491" t="s">
        <v>3463</v>
      </c>
      <c r="AP491" t="s">
        <v>3465</v>
      </c>
      <c r="AQ491" t="s">
        <v>1267</v>
      </c>
      <c r="AR491" t="s">
        <v>3551</v>
      </c>
      <c r="AV491" t="s">
        <v>74</v>
      </c>
      <c r="AW491" t="s">
        <v>3915</v>
      </c>
      <c r="BF491" t="s">
        <v>3921</v>
      </c>
      <c r="BH491" t="s">
        <v>4020</v>
      </c>
      <c r="BP491" t="s">
        <v>4260</v>
      </c>
      <c r="BQ491" t="s">
        <v>3463</v>
      </c>
      <c r="BR491" t="s">
        <v>3465</v>
      </c>
      <c r="BS491" t="s">
        <v>3463</v>
      </c>
      <c r="BT491" t="s">
        <v>3463</v>
      </c>
      <c r="BU491" t="s">
        <v>3463</v>
      </c>
      <c r="BV491" t="s">
        <v>3463</v>
      </c>
      <c r="BW491" t="s">
        <v>3463</v>
      </c>
      <c r="BX491" t="s">
        <v>79</v>
      </c>
      <c r="BY491" t="s">
        <v>87</v>
      </c>
      <c r="BZ491" t="s">
        <v>79</v>
      </c>
      <c r="CA491" s="10">
        <v>45910</v>
      </c>
    </row>
    <row r="492" spans="1:79">
      <c r="A492">
        <v>498</v>
      </c>
      <c r="B492">
        <v>115</v>
      </c>
      <c r="C492">
        <v>66</v>
      </c>
      <c r="D492" t="s">
        <v>3462</v>
      </c>
      <c r="E492" t="s">
        <v>1150</v>
      </c>
      <c r="F492" t="s">
        <v>969</v>
      </c>
      <c r="G492" s="12" t="s">
        <v>3465</v>
      </c>
      <c r="H492" s="12" t="s">
        <v>88</v>
      </c>
      <c r="I492">
        <v>88</v>
      </c>
      <c r="J492">
        <v>84</v>
      </c>
      <c r="K492">
        <v>155</v>
      </c>
      <c r="L492">
        <v>88</v>
      </c>
      <c r="M492" t="s">
        <v>72</v>
      </c>
      <c r="N492">
        <v>147</v>
      </c>
      <c r="O492">
        <v>80</v>
      </c>
      <c r="P492" t="s">
        <v>72</v>
      </c>
      <c r="Q492" t="s">
        <v>72</v>
      </c>
      <c r="R492">
        <v>80.900000000000006</v>
      </c>
      <c r="S492">
        <v>172</v>
      </c>
      <c r="T492" s="8">
        <f t="shared" si="14"/>
        <v>27.345862628447811</v>
      </c>
      <c r="U492" s="13" t="str" cm="1">
        <f t="array" ref="U492">IF(T492="","",_xlfn.IFS(T492&lt;18.5,"Bajo peso",T492&lt;25,"Peso normal",T492&lt;30,"Sobrepeso",T492&lt;35,"Obesidad clase I",T492&lt;40,"Obesidad clase II",T492&gt;=40,"Obesidad clase III"))</f>
        <v>Sobrepeso</v>
      </c>
      <c r="V492">
        <v>157</v>
      </c>
      <c r="X492" t="s">
        <v>3463</v>
      </c>
      <c r="Y492">
        <v>0.9</v>
      </c>
      <c r="AA492">
        <v>90</v>
      </c>
      <c r="AB492" s="9">
        <f t="shared" si="15"/>
        <v>94.193697128770822</v>
      </c>
      <c r="AD492" t="s">
        <v>73</v>
      </c>
      <c r="AF492" t="s">
        <v>73</v>
      </c>
      <c r="AH492" t="s">
        <v>3464</v>
      </c>
      <c r="AI492" t="s">
        <v>3465</v>
      </c>
      <c r="AJ492" t="s">
        <v>3464</v>
      </c>
      <c r="AK492" t="s">
        <v>3463</v>
      </c>
      <c r="AL492" t="s">
        <v>3465</v>
      </c>
      <c r="AO492" t="s">
        <v>3463</v>
      </c>
      <c r="AP492" t="s">
        <v>3465</v>
      </c>
      <c r="AQ492" t="s">
        <v>334</v>
      </c>
      <c r="AR492" t="s">
        <v>3552</v>
      </c>
      <c r="AS492" t="s">
        <v>3465</v>
      </c>
      <c r="AV492" t="s">
        <v>178</v>
      </c>
      <c r="AW492" t="s">
        <v>3918</v>
      </c>
      <c r="BA492" t="s">
        <v>3920</v>
      </c>
      <c r="BE492" t="s">
        <v>1268</v>
      </c>
      <c r="BF492" t="s">
        <v>3952</v>
      </c>
      <c r="BG492" t="s">
        <v>1269</v>
      </c>
      <c r="BH492" t="s">
        <v>4076</v>
      </c>
      <c r="BI492" t="s">
        <v>1270</v>
      </c>
      <c r="BP492" t="s">
        <v>4416</v>
      </c>
      <c r="BQ492" t="s">
        <v>3463</v>
      </c>
      <c r="BR492" t="s">
        <v>3463</v>
      </c>
      <c r="BS492" t="s">
        <v>3463</v>
      </c>
      <c r="BT492" t="s">
        <v>3463</v>
      </c>
      <c r="BU492" t="s">
        <v>3463</v>
      </c>
      <c r="BV492" t="s">
        <v>3463</v>
      </c>
      <c r="BW492" t="s">
        <v>3463</v>
      </c>
      <c r="BX492" t="s">
        <v>79</v>
      </c>
      <c r="BY492" t="s">
        <v>87</v>
      </c>
      <c r="BZ492" t="s">
        <v>95</v>
      </c>
      <c r="CA492" s="10">
        <v>45910</v>
      </c>
    </row>
    <row r="493" spans="1:79">
      <c r="A493">
        <v>499</v>
      </c>
      <c r="B493">
        <v>116</v>
      </c>
      <c r="C493">
        <v>73</v>
      </c>
      <c r="D493" t="s">
        <v>3466</v>
      </c>
      <c r="E493" t="s">
        <v>1005</v>
      </c>
      <c r="F493" t="s">
        <v>969</v>
      </c>
      <c r="G493" s="12" t="s">
        <v>3465</v>
      </c>
      <c r="H493" s="12" t="s">
        <v>88</v>
      </c>
      <c r="I493">
        <v>69</v>
      </c>
      <c r="J493">
        <v>59</v>
      </c>
      <c r="K493">
        <v>148</v>
      </c>
      <c r="L493">
        <v>77</v>
      </c>
      <c r="M493" t="s">
        <v>72</v>
      </c>
      <c r="N493">
        <v>133</v>
      </c>
      <c r="O493">
        <v>65</v>
      </c>
      <c r="P493" t="s">
        <v>82</v>
      </c>
      <c r="Q493" t="s">
        <v>82</v>
      </c>
      <c r="R493">
        <v>74.099999999999994</v>
      </c>
      <c r="S493">
        <v>154</v>
      </c>
      <c r="T493" s="8">
        <f t="shared" si="14"/>
        <v>31.244729296677349</v>
      </c>
      <c r="U493" s="13" t="str" cm="1">
        <f t="array" ref="U493">IF(T493="","",_xlfn.IFS(T493&lt;18.5,"Bajo peso",T493&lt;25,"Peso normal",T493&lt;30,"Sobrepeso",T493&lt;35,"Obesidad clase I",T493&lt;40,"Obesidad clase II",T493&gt;=40,"Obesidad clase III"))</f>
        <v>Obesidad clase I</v>
      </c>
      <c r="V493">
        <v>81</v>
      </c>
      <c r="X493" t="s">
        <v>3463</v>
      </c>
      <c r="Y493">
        <v>0.9</v>
      </c>
      <c r="AA493">
        <v>67</v>
      </c>
      <c r="AB493" s="9">
        <f t="shared" si="15"/>
        <v>67.502823599920191</v>
      </c>
      <c r="AD493" t="s">
        <v>73</v>
      </c>
      <c r="AF493" t="s">
        <v>73</v>
      </c>
      <c r="AH493" t="s">
        <v>3463</v>
      </c>
      <c r="AI493" t="s">
        <v>3463</v>
      </c>
      <c r="AJ493" t="s">
        <v>3463</v>
      </c>
      <c r="AK493" t="s">
        <v>3463</v>
      </c>
      <c r="AL493" t="s">
        <v>3465</v>
      </c>
      <c r="AM493" t="s">
        <v>1271</v>
      </c>
      <c r="AN493" t="s">
        <v>3720</v>
      </c>
      <c r="AP493" t="s">
        <v>3463</v>
      </c>
      <c r="AQ493" t="s">
        <v>1272</v>
      </c>
      <c r="AR493" t="s">
        <v>3504</v>
      </c>
      <c r="AT493" t="s">
        <v>3465</v>
      </c>
      <c r="AU493" t="s">
        <v>80</v>
      </c>
      <c r="AV493" t="s">
        <v>178</v>
      </c>
      <c r="AW493" t="s">
        <v>3918</v>
      </c>
      <c r="AX493" t="s">
        <v>3463</v>
      </c>
      <c r="AY493" t="s">
        <v>3465</v>
      </c>
      <c r="BF493" t="s">
        <v>3921</v>
      </c>
      <c r="BH493" t="s">
        <v>4020</v>
      </c>
      <c r="BP493" t="s">
        <v>4260</v>
      </c>
      <c r="BQ493" t="s">
        <v>3463</v>
      </c>
      <c r="BR493" t="s">
        <v>3465</v>
      </c>
      <c r="BS493" t="s">
        <v>3463</v>
      </c>
      <c r="BT493" t="s">
        <v>3463</v>
      </c>
      <c r="BU493" t="s">
        <v>3463</v>
      </c>
      <c r="BV493" t="s">
        <v>3463</v>
      </c>
      <c r="BW493" t="s">
        <v>3463</v>
      </c>
      <c r="BX493" t="s">
        <v>79</v>
      </c>
      <c r="BY493" t="s">
        <v>87</v>
      </c>
      <c r="BZ493" t="s">
        <v>79</v>
      </c>
      <c r="CA493" s="10">
        <v>45910</v>
      </c>
    </row>
    <row r="494" spans="1:79">
      <c r="A494">
        <v>500</v>
      </c>
      <c r="B494">
        <v>117</v>
      </c>
      <c r="C494">
        <v>43</v>
      </c>
      <c r="D494" t="s">
        <v>3466</v>
      </c>
      <c r="E494" t="s">
        <v>1000</v>
      </c>
      <c r="F494" t="s">
        <v>969</v>
      </c>
      <c r="G494" s="12" t="s">
        <v>3465</v>
      </c>
      <c r="H494" s="12" t="s">
        <v>88</v>
      </c>
      <c r="I494">
        <v>60</v>
      </c>
      <c r="K494">
        <v>135</v>
      </c>
      <c r="L494">
        <v>69</v>
      </c>
      <c r="M494" t="s">
        <v>82</v>
      </c>
      <c r="P494" t="s">
        <v>83</v>
      </c>
      <c r="Q494" t="s">
        <v>82</v>
      </c>
      <c r="R494">
        <v>71.75</v>
      </c>
      <c r="S494">
        <v>154.5</v>
      </c>
      <c r="T494" s="8">
        <f t="shared" si="14"/>
        <v>30.0583362134875</v>
      </c>
      <c r="U494" s="13" t="str" cm="1">
        <f t="array" ref="U494">IF(T494="","",_xlfn.IFS(T494&lt;18.5,"Bajo peso",T494&lt;25,"Peso normal",T494&lt;30,"Sobrepeso",T494&lt;35,"Obesidad clase I",T494&lt;40,"Obesidad clase II",T494&gt;=40,"Obesidad clase III"))</f>
        <v>Obesidad clase I</v>
      </c>
      <c r="V494">
        <v>92</v>
      </c>
      <c r="X494" t="s">
        <v>3463</v>
      </c>
      <c r="Y494">
        <v>0.67</v>
      </c>
      <c r="AA494">
        <v>90</v>
      </c>
      <c r="AB494" s="9">
        <f t="shared" si="15"/>
        <v>111.15016985050957</v>
      </c>
      <c r="AD494" t="s">
        <v>73</v>
      </c>
      <c r="AF494" t="s">
        <v>73</v>
      </c>
      <c r="AH494" t="s">
        <v>3463</v>
      </c>
      <c r="AI494" t="s">
        <v>3463</v>
      </c>
      <c r="AJ494" t="s">
        <v>3463</v>
      </c>
      <c r="AK494" t="s">
        <v>3463</v>
      </c>
      <c r="AL494" t="s">
        <v>3465</v>
      </c>
      <c r="AM494" t="s">
        <v>1273</v>
      </c>
      <c r="AN494" t="s">
        <v>3716</v>
      </c>
      <c r="AP494" t="s">
        <v>3463</v>
      </c>
      <c r="AV494" t="s">
        <v>178</v>
      </c>
      <c r="AW494" t="s">
        <v>3918</v>
      </c>
      <c r="AX494" t="s">
        <v>3463</v>
      </c>
      <c r="AY494" t="s">
        <v>3465</v>
      </c>
      <c r="AZ494" t="s">
        <v>1274</v>
      </c>
      <c r="BF494" t="s">
        <v>3921</v>
      </c>
      <c r="BH494" t="s">
        <v>4020</v>
      </c>
      <c r="BP494" t="s">
        <v>4260</v>
      </c>
      <c r="BQ494" t="s">
        <v>3463</v>
      </c>
      <c r="BR494" t="s">
        <v>3463</v>
      </c>
      <c r="BS494" t="s">
        <v>3465</v>
      </c>
      <c r="BT494" t="s">
        <v>3465</v>
      </c>
      <c r="BU494" t="s">
        <v>3463</v>
      </c>
      <c r="BV494" t="s">
        <v>3463</v>
      </c>
      <c r="BW494" t="s">
        <v>3463</v>
      </c>
      <c r="BX494" t="s">
        <v>79</v>
      </c>
      <c r="BY494" t="s">
        <v>87</v>
      </c>
      <c r="BZ494" t="s">
        <v>79</v>
      </c>
      <c r="CA494" s="10">
        <v>45910</v>
      </c>
    </row>
    <row r="495" spans="1:79">
      <c r="A495">
        <v>501</v>
      </c>
      <c r="B495">
        <v>118</v>
      </c>
      <c r="C495">
        <v>68</v>
      </c>
      <c r="D495" t="s">
        <v>3466</v>
      </c>
      <c r="E495" t="s">
        <v>1237</v>
      </c>
      <c r="F495" t="s">
        <v>969</v>
      </c>
      <c r="G495" s="12" t="s">
        <v>3465</v>
      </c>
      <c r="H495" s="12" t="s">
        <v>88</v>
      </c>
      <c r="I495">
        <v>66</v>
      </c>
      <c r="J495">
        <v>65</v>
      </c>
      <c r="K495">
        <v>159</v>
      </c>
      <c r="L495">
        <v>80</v>
      </c>
      <c r="M495" t="s">
        <v>72</v>
      </c>
      <c r="N495">
        <v>147</v>
      </c>
      <c r="O495">
        <v>70</v>
      </c>
      <c r="P495" t="s">
        <v>72</v>
      </c>
      <c r="Q495" t="s">
        <v>72</v>
      </c>
      <c r="R495">
        <v>58.8</v>
      </c>
      <c r="S495">
        <v>141.5</v>
      </c>
      <c r="T495" s="8">
        <f t="shared" si="14"/>
        <v>29.36732884665809</v>
      </c>
      <c r="U495" s="13" t="str" cm="1">
        <f t="array" ref="U495">IF(T495="","",_xlfn.IFS(T495&lt;18.5,"Bajo peso",T495&lt;25,"Peso normal",T495&lt;30,"Sobrepeso",T495&lt;35,"Obesidad clase I",T495&lt;40,"Obesidad clase II",T495&gt;=40,"Obesidad clase III"))</f>
        <v>Sobrepeso</v>
      </c>
      <c r="V495">
        <v>73</v>
      </c>
      <c r="X495" t="s">
        <v>3463</v>
      </c>
      <c r="Y495">
        <v>0.95</v>
      </c>
      <c r="AA495">
        <v>66</v>
      </c>
      <c r="AB495" s="9">
        <f t="shared" si="15"/>
        <v>65.26038963557518</v>
      </c>
      <c r="AH495" t="s">
        <v>3463</v>
      </c>
      <c r="AI495" t="s">
        <v>3465</v>
      </c>
      <c r="AJ495" t="s">
        <v>3463</v>
      </c>
      <c r="AK495" t="s">
        <v>3463</v>
      </c>
      <c r="AL495" t="s">
        <v>3463</v>
      </c>
      <c r="AP495" t="s">
        <v>3463</v>
      </c>
      <c r="AS495" t="s">
        <v>3465</v>
      </c>
      <c r="AT495" t="s">
        <v>3465</v>
      </c>
      <c r="AU495" t="s">
        <v>80</v>
      </c>
      <c r="AV495" t="s">
        <v>74</v>
      </c>
      <c r="AW495" t="s">
        <v>3915</v>
      </c>
      <c r="AY495" t="s">
        <v>3465</v>
      </c>
      <c r="AZ495" t="s">
        <v>665</v>
      </c>
      <c r="BA495" t="s">
        <v>3920</v>
      </c>
      <c r="BF495" t="s">
        <v>3921</v>
      </c>
      <c r="BH495" t="s">
        <v>4029</v>
      </c>
      <c r="BI495" t="s">
        <v>1125</v>
      </c>
      <c r="BK495" t="s">
        <v>1275</v>
      </c>
      <c r="BL495" t="s">
        <v>1276</v>
      </c>
      <c r="BP495" t="s">
        <v>4260</v>
      </c>
      <c r="BQ495" t="s">
        <v>3463</v>
      </c>
      <c r="BR495" t="s">
        <v>3463</v>
      </c>
      <c r="BS495" t="s">
        <v>3463</v>
      </c>
      <c r="BT495" t="s">
        <v>3463</v>
      </c>
      <c r="BU495" t="s">
        <v>3463</v>
      </c>
      <c r="BV495" t="s">
        <v>3463</v>
      </c>
      <c r="BW495" t="s">
        <v>3463</v>
      </c>
      <c r="BX495" t="s">
        <v>79</v>
      </c>
      <c r="BY495" t="s">
        <v>87</v>
      </c>
      <c r="BZ495" t="s">
        <v>79</v>
      </c>
      <c r="CA495" s="10">
        <v>45910</v>
      </c>
    </row>
    <row r="496" spans="1:79">
      <c r="A496">
        <v>502</v>
      </c>
      <c r="B496">
        <v>119</v>
      </c>
      <c r="C496">
        <v>48</v>
      </c>
      <c r="D496" t="s">
        <v>3466</v>
      </c>
      <c r="E496" t="s">
        <v>1005</v>
      </c>
      <c r="F496" t="s">
        <v>969</v>
      </c>
      <c r="G496" s="12" t="s">
        <v>3465</v>
      </c>
      <c r="H496" s="12" t="s">
        <v>88</v>
      </c>
      <c r="I496">
        <v>83</v>
      </c>
      <c r="K496">
        <v>134</v>
      </c>
      <c r="L496">
        <v>96</v>
      </c>
      <c r="M496" t="s">
        <v>72</v>
      </c>
      <c r="P496" t="s">
        <v>83</v>
      </c>
      <c r="Q496" t="s">
        <v>72</v>
      </c>
      <c r="R496">
        <v>97.3</v>
      </c>
      <c r="S496">
        <v>150</v>
      </c>
      <c r="T496" s="8">
        <f t="shared" si="14"/>
        <v>43.24444444444444</v>
      </c>
      <c r="U496" s="13" t="str" cm="1">
        <f t="array" ref="U496">IF(T496="","",_xlfn.IFS(T496&lt;18.5,"Bajo peso",T496&lt;25,"Peso normal",T496&lt;30,"Sobrepeso",T496&lt;35,"Obesidad clase I",T496&lt;40,"Obesidad clase II",T496&gt;=40,"Obesidad clase III"))</f>
        <v>Obesidad clase III</v>
      </c>
      <c r="V496">
        <v>135</v>
      </c>
      <c r="X496" t="s">
        <v>3463</v>
      </c>
      <c r="Y496">
        <v>0.53</v>
      </c>
      <c r="AA496">
        <v>90</v>
      </c>
      <c r="AB496" s="9">
        <f t="shared" si="15"/>
        <v>114.008868538535</v>
      </c>
      <c r="AD496" t="s">
        <v>73</v>
      </c>
      <c r="AF496" t="s">
        <v>73</v>
      </c>
      <c r="AH496" t="s">
        <v>3463</v>
      </c>
      <c r="AI496" t="s">
        <v>3463</v>
      </c>
      <c r="AJ496" t="s">
        <v>3463</v>
      </c>
      <c r="AK496" t="s">
        <v>3465</v>
      </c>
      <c r="AL496" t="s">
        <v>3465</v>
      </c>
      <c r="AM496" t="s">
        <v>1277</v>
      </c>
      <c r="AN496" t="s">
        <v>3721</v>
      </c>
      <c r="AP496" t="s">
        <v>3463</v>
      </c>
      <c r="AV496" t="s">
        <v>74</v>
      </c>
      <c r="AW496" t="s">
        <v>3915</v>
      </c>
      <c r="AX496" t="s">
        <v>3463</v>
      </c>
      <c r="AY496" t="s">
        <v>3465</v>
      </c>
      <c r="AZ496" t="s">
        <v>104</v>
      </c>
      <c r="BF496" t="s">
        <v>3921</v>
      </c>
      <c r="BH496" t="s">
        <v>4020</v>
      </c>
      <c r="BP496" t="s">
        <v>4260</v>
      </c>
      <c r="BQ496" t="s">
        <v>3463</v>
      </c>
      <c r="BR496" t="s">
        <v>3465</v>
      </c>
      <c r="BS496" t="s">
        <v>3465</v>
      </c>
      <c r="BT496" t="s">
        <v>3465</v>
      </c>
      <c r="BU496" t="s">
        <v>3463</v>
      </c>
      <c r="BV496" t="s">
        <v>3463</v>
      </c>
      <c r="BW496" t="s">
        <v>3463</v>
      </c>
      <c r="BX496" t="s">
        <v>79</v>
      </c>
      <c r="BY496" t="s">
        <v>87</v>
      </c>
      <c r="BZ496" t="s">
        <v>79</v>
      </c>
      <c r="CA496" s="10">
        <v>45910</v>
      </c>
    </row>
    <row r="497" spans="1:79">
      <c r="A497">
        <v>503</v>
      </c>
      <c r="B497">
        <v>120</v>
      </c>
      <c r="C497">
        <v>55</v>
      </c>
      <c r="D497" t="s">
        <v>3462</v>
      </c>
      <c r="E497" t="s">
        <v>1278</v>
      </c>
      <c r="F497" t="s">
        <v>969</v>
      </c>
      <c r="G497" s="12" t="s">
        <v>3465</v>
      </c>
      <c r="H497" t="s">
        <v>88</v>
      </c>
      <c r="I497">
        <v>65</v>
      </c>
      <c r="J497">
        <v>58</v>
      </c>
      <c r="K497">
        <v>140</v>
      </c>
      <c r="L497">
        <v>84</v>
      </c>
      <c r="M497" t="s">
        <v>72</v>
      </c>
      <c r="N497">
        <v>141</v>
      </c>
      <c r="O497">
        <v>79</v>
      </c>
      <c r="P497" t="s">
        <v>72</v>
      </c>
      <c r="Q497" t="s">
        <v>72</v>
      </c>
      <c r="R497">
        <v>87.4</v>
      </c>
      <c r="S497">
        <v>171.5</v>
      </c>
      <c r="T497" s="8">
        <f t="shared" si="14"/>
        <v>29.715509694090048</v>
      </c>
      <c r="U497" s="13" t="str" cm="1">
        <f t="array" ref="U497">IF(T497="","",_xlfn.IFS(T497&lt;18.5,"Bajo peso",T497&lt;25,"Peso normal",T497&lt;30,"Sobrepeso",T497&lt;35,"Obesidad clase I",T497&lt;40,"Obesidad clase II",T497&gt;=40,"Obesidad clase III"))</f>
        <v>Sobrepeso</v>
      </c>
      <c r="V497">
        <v>121</v>
      </c>
      <c r="X497" t="s">
        <v>3463</v>
      </c>
      <c r="Y497">
        <v>0.67</v>
      </c>
      <c r="AA497">
        <v>90</v>
      </c>
      <c r="AB497" s="9">
        <f t="shared" si="15"/>
        <v>110.26548050563167</v>
      </c>
      <c r="AD497" t="s">
        <v>73</v>
      </c>
      <c r="AF497" t="s">
        <v>73</v>
      </c>
      <c r="AH497" t="s">
        <v>3463</v>
      </c>
      <c r="AI497" t="s">
        <v>3463</v>
      </c>
      <c r="AJ497" t="s">
        <v>3463</v>
      </c>
      <c r="AK497" t="s">
        <v>3463</v>
      </c>
      <c r="AL497" t="s">
        <v>3463</v>
      </c>
      <c r="AP497" t="s">
        <v>3463</v>
      </c>
      <c r="AQ497" t="s">
        <v>159</v>
      </c>
      <c r="AR497" t="s">
        <v>3491</v>
      </c>
      <c r="AV497" t="s">
        <v>126</v>
      </c>
      <c r="AW497" t="s">
        <v>126</v>
      </c>
      <c r="BF497" t="s">
        <v>3921</v>
      </c>
      <c r="BH497" t="s">
        <v>4020</v>
      </c>
      <c r="BP497" t="s">
        <v>4260</v>
      </c>
      <c r="BQ497" t="s">
        <v>3463</v>
      </c>
      <c r="BR497" t="s">
        <v>3463</v>
      </c>
      <c r="BU497" t="s">
        <v>3463</v>
      </c>
      <c r="BX497" t="s">
        <v>79</v>
      </c>
      <c r="BY497" t="s">
        <v>87</v>
      </c>
      <c r="BZ497" t="s">
        <v>79</v>
      </c>
      <c r="CA497" s="10">
        <v>45910</v>
      </c>
    </row>
    <row r="498" spans="1:79">
      <c r="A498">
        <v>504</v>
      </c>
      <c r="B498">
        <v>121</v>
      </c>
      <c r="C498">
        <v>60</v>
      </c>
      <c r="D498" t="s">
        <v>3462</v>
      </c>
      <c r="G498" s="12" t="s">
        <v>3465</v>
      </c>
      <c r="H498" t="s">
        <v>88</v>
      </c>
      <c r="I498">
        <v>68</v>
      </c>
      <c r="K498">
        <v>136</v>
      </c>
      <c r="L498">
        <v>76</v>
      </c>
      <c r="M498" t="s">
        <v>82</v>
      </c>
      <c r="P498" t="s">
        <v>83</v>
      </c>
      <c r="Q498" t="s">
        <v>82</v>
      </c>
      <c r="R498">
        <v>108.4</v>
      </c>
      <c r="S498">
        <v>172</v>
      </c>
      <c r="T498" s="8">
        <f t="shared" si="14"/>
        <v>36.64142779881017</v>
      </c>
      <c r="U498" s="13" t="str" cm="1">
        <f t="array" ref="U498">IF(T498="","",_xlfn.IFS(T498&lt;18.5,"Bajo peso",T498&lt;25,"Peso normal",T498&lt;30,"Sobrepeso",T498&lt;35,"Obesidad clase I",T498&lt;40,"Obesidad clase II",T498&gt;=40,"Obesidad clase III"))</f>
        <v>Obesidad clase II</v>
      </c>
      <c r="V498">
        <v>308</v>
      </c>
      <c r="X498" t="s">
        <v>3465</v>
      </c>
      <c r="Y498">
        <v>0.69</v>
      </c>
      <c r="AA498">
        <v>90</v>
      </c>
      <c r="AB498" s="9">
        <f t="shared" si="15"/>
        <v>105.94408180924187</v>
      </c>
      <c r="AD498" t="s">
        <v>73</v>
      </c>
      <c r="AF498" t="s">
        <v>73</v>
      </c>
      <c r="AG498" t="s">
        <v>3465</v>
      </c>
      <c r="AH498" t="s">
        <v>3465</v>
      </c>
      <c r="AI498" t="s">
        <v>3465</v>
      </c>
      <c r="AJ498" t="s">
        <v>3463</v>
      </c>
      <c r="AK498" t="s">
        <v>3463</v>
      </c>
      <c r="AL498" t="s">
        <v>3463</v>
      </c>
      <c r="AP498" t="s">
        <v>3463</v>
      </c>
      <c r="AS498" t="s">
        <v>3465</v>
      </c>
      <c r="AV498" t="s">
        <v>126</v>
      </c>
      <c r="AW498" t="s">
        <v>126</v>
      </c>
      <c r="BA498" t="s">
        <v>3920</v>
      </c>
      <c r="BB498" t="s">
        <v>3485</v>
      </c>
      <c r="BC498" t="s">
        <v>128</v>
      </c>
      <c r="BE498" t="s">
        <v>472</v>
      </c>
      <c r="BF498" t="s">
        <v>457</v>
      </c>
      <c r="BG498" t="s">
        <v>1279</v>
      </c>
      <c r="BH498" t="s">
        <v>4133</v>
      </c>
      <c r="BI498" t="s">
        <v>411</v>
      </c>
      <c r="BK498" t="s">
        <v>1280</v>
      </c>
      <c r="BL498" t="s">
        <v>1281</v>
      </c>
      <c r="BP498" t="s">
        <v>4417</v>
      </c>
      <c r="BQ498" t="s">
        <v>3463</v>
      </c>
      <c r="BR498" t="s">
        <v>3463</v>
      </c>
      <c r="BS498" t="s">
        <v>3463</v>
      </c>
      <c r="BT498" t="s">
        <v>3463</v>
      </c>
      <c r="BU498" t="s">
        <v>3463</v>
      </c>
      <c r="BV498" t="s">
        <v>3463</v>
      </c>
      <c r="BW498" t="s">
        <v>3463</v>
      </c>
      <c r="BX498" t="s">
        <v>79</v>
      </c>
      <c r="BY498" t="s">
        <v>87</v>
      </c>
      <c r="BZ498" t="s">
        <v>79</v>
      </c>
      <c r="CA498" s="10">
        <v>45910</v>
      </c>
    </row>
    <row r="499" spans="1:79">
      <c r="A499">
        <v>505</v>
      </c>
      <c r="B499">
        <v>122</v>
      </c>
      <c r="C499">
        <v>42</v>
      </c>
      <c r="D499" t="s">
        <v>3466</v>
      </c>
      <c r="E499" t="s">
        <v>1178</v>
      </c>
      <c r="F499" t="s">
        <v>969</v>
      </c>
      <c r="G499" s="12" t="s">
        <v>3465</v>
      </c>
      <c r="H499" s="12" t="s">
        <v>88</v>
      </c>
      <c r="I499">
        <v>74</v>
      </c>
      <c r="K499">
        <v>128</v>
      </c>
      <c r="L499">
        <v>76</v>
      </c>
      <c r="M499" t="s">
        <v>118</v>
      </c>
      <c r="P499" t="s">
        <v>83</v>
      </c>
      <c r="Q499" t="s">
        <v>118</v>
      </c>
      <c r="R499">
        <v>83.4</v>
      </c>
      <c r="S499">
        <v>157</v>
      </c>
      <c r="T499" s="8">
        <f t="shared" si="14"/>
        <v>33.835044018012901</v>
      </c>
      <c r="U499" s="13" t="str" cm="1">
        <f t="array" ref="U499">IF(T499="","",_xlfn.IFS(T499&lt;18.5,"Bajo peso",T499&lt;25,"Peso normal",T499&lt;30,"Sobrepeso",T499&lt;35,"Obesidad clase I",T499&lt;40,"Obesidad clase II",T499&gt;=40,"Obesidad clase III"))</f>
        <v>Obesidad clase I</v>
      </c>
      <c r="V499">
        <v>108</v>
      </c>
      <c r="X499" t="s">
        <v>3463</v>
      </c>
      <c r="Y499">
        <v>0.72</v>
      </c>
      <c r="AA499">
        <v>90</v>
      </c>
      <c r="AB499" s="9">
        <f t="shared" si="15"/>
        <v>106.99049341456794</v>
      </c>
      <c r="AD499" t="s">
        <v>73</v>
      </c>
      <c r="AF499" t="s">
        <v>73</v>
      </c>
      <c r="AH499" t="s">
        <v>3463</v>
      </c>
      <c r="AI499" t="s">
        <v>3463</v>
      </c>
      <c r="AJ499" t="s">
        <v>3465</v>
      </c>
      <c r="AK499" t="s">
        <v>3463</v>
      </c>
      <c r="AL499" t="s">
        <v>3465</v>
      </c>
      <c r="AM499" t="s">
        <v>257</v>
      </c>
      <c r="AN499" t="s">
        <v>116</v>
      </c>
      <c r="AP499" t="s">
        <v>3463</v>
      </c>
      <c r="AQ499" t="s">
        <v>468</v>
      </c>
      <c r="AR499" t="s">
        <v>3488</v>
      </c>
      <c r="AT499" t="s">
        <v>3463</v>
      </c>
      <c r="AV499" t="s">
        <v>74</v>
      </c>
      <c r="AW499" t="s">
        <v>3915</v>
      </c>
      <c r="AX499" t="s">
        <v>3463</v>
      </c>
      <c r="AY499" t="s">
        <v>3465</v>
      </c>
      <c r="AZ499" t="s">
        <v>1094</v>
      </c>
      <c r="BF499" t="s">
        <v>3921</v>
      </c>
      <c r="BH499" t="s">
        <v>4020</v>
      </c>
      <c r="BP499" t="s">
        <v>4260</v>
      </c>
      <c r="BQ499" t="s">
        <v>3463</v>
      </c>
      <c r="BR499" t="s">
        <v>3465</v>
      </c>
      <c r="BS499" t="s">
        <v>3465</v>
      </c>
      <c r="BT499" t="s">
        <v>3465</v>
      </c>
      <c r="BU499" t="s">
        <v>3463</v>
      </c>
      <c r="BV499" t="s">
        <v>3463</v>
      </c>
      <c r="BW499" t="s">
        <v>3463</v>
      </c>
      <c r="BX499" t="s">
        <v>79</v>
      </c>
      <c r="BY499" t="s">
        <v>87</v>
      </c>
      <c r="BZ499" t="s">
        <v>79</v>
      </c>
      <c r="CA499" s="10">
        <v>45910</v>
      </c>
    </row>
    <row r="500" spans="1:79">
      <c r="A500">
        <v>506</v>
      </c>
      <c r="B500">
        <v>123</v>
      </c>
      <c r="C500">
        <v>69</v>
      </c>
      <c r="D500" t="s">
        <v>3466</v>
      </c>
      <c r="E500" t="s">
        <v>1282</v>
      </c>
      <c r="F500" t="s">
        <v>969</v>
      </c>
      <c r="G500" s="12" t="s">
        <v>3465</v>
      </c>
      <c r="H500" s="12" t="s">
        <v>88</v>
      </c>
      <c r="I500">
        <v>76</v>
      </c>
      <c r="J500">
        <v>75</v>
      </c>
      <c r="K500">
        <v>165</v>
      </c>
      <c r="L500">
        <v>68</v>
      </c>
      <c r="M500" t="s">
        <v>72</v>
      </c>
      <c r="N500">
        <v>152</v>
      </c>
      <c r="O500">
        <v>69</v>
      </c>
      <c r="P500" t="s">
        <v>72</v>
      </c>
      <c r="Q500" t="s">
        <v>72</v>
      </c>
      <c r="R500">
        <v>73.599999999999994</v>
      </c>
      <c r="S500">
        <v>144</v>
      </c>
      <c r="T500" s="8">
        <f t="shared" si="14"/>
        <v>35.493827160493822</v>
      </c>
      <c r="U500" s="13" t="str" cm="1">
        <f t="array" ref="U500">IF(T500="","",_xlfn.IFS(T500&lt;18.5,"Bajo peso",T500&lt;25,"Peso normal",T500&lt;30,"Sobrepeso",T500&lt;35,"Obesidad clase I",T500&lt;40,"Obesidad clase II",T500&gt;=40,"Obesidad clase III"))</f>
        <v>Obesidad clase II</v>
      </c>
      <c r="V500">
        <v>123</v>
      </c>
      <c r="X500" t="s">
        <v>3463</v>
      </c>
      <c r="Y500">
        <v>0.9</v>
      </c>
      <c r="AA500">
        <v>69</v>
      </c>
      <c r="AB500" s="9">
        <f t="shared" si="15"/>
        <v>69.203166992860503</v>
      </c>
      <c r="AD500" t="s">
        <v>73</v>
      </c>
      <c r="AF500" t="s">
        <v>73</v>
      </c>
      <c r="AG500" t="s">
        <v>3463</v>
      </c>
      <c r="AH500" t="s">
        <v>3465</v>
      </c>
      <c r="AI500" t="s">
        <v>3465</v>
      </c>
      <c r="AJ500" t="s">
        <v>3463</v>
      </c>
      <c r="AK500" t="s">
        <v>3463</v>
      </c>
      <c r="AL500" t="s">
        <v>3464</v>
      </c>
      <c r="AP500" t="s">
        <v>3464</v>
      </c>
      <c r="AS500" t="s">
        <v>3463</v>
      </c>
      <c r="AT500" t="s">
        <v>3465</v>
      </c>
      <c r="AU500" t="s">
        <v>80</v>
      </c>
      <c r="AV500" t="s">
        <v>74</v>
      </c>
      <c r="AW500" t="s">
        <v>3915</v>
      </c>
      <c r="AX500" t="s">
        <v>3463</v>
      </c>
      <c r="AY500" t="s">
        <v>3465</v>
      </c>
      <c r="AZ500" t="s">
        <v>104</v>
      </c>
      <c r="BC500" t="s">
        <v>128</v>
      </c>
      <c r="BE500" t="s">
        <v>1283</v>
      </c>
      <c r="BF500" t="s">
        <v>3953</v>
      </c>
      <c r="BH500" t="s">
        <v>4017</v>
      </c>
      <c r="BI500" t="s">
        <v>411</v>
      </c>
      <c r="BK500" t="s">
        <v>1284</v>
      </c>
      <c r="BL500" t="s">
        <v>1285</v>
      </c>
      <c r="BP500" t="s">
        <v>4418</v>
      </c>
      <c r="BQ500" t="s">
        <v>3463</v>
      </c>
      <c r="BR500" t="s">
        <v>3465</v>
      </c>
      <c r="BS500" t="s">
        <v>3463</v>
      </c>
      <c r="BT500" t="s">
        <v>3463</v>
      </c>
      <c r="BU500" t="s">
        <v>3463</v>
      </c>
      <c r="BV500" t="s">
        <v>3463</v>
      </c>
      <c r="BW500" t="s">
        <v>3463</v>
      </c>
      <c r="BX500" t="s">
        <v>79</v>
      </c>
      <c r="BY500" t="s">
        <v>87</v>
      </c>
      <c r="BZ500" t="s">
        <v>79</v>
      </c>
      <c r="CA500" s="10">
        <v>45910</v>
      </c>
    </row>
    <row r="501" spans="1:79">
      <c r="A501">
        <v>507</v>
      </c>
      <c r="B501">
        <v>124</v>
      </c>
      <c r="C501">
        <v>43</v>
      </c>
      <c r="D501" t="s">
        <v>3462</v>
      </c>
      <c r="E501" t="s">
        <v>1005</v>
      </c>
      <c r="F501" t="s">
        <v>969</v>
      </c>
      <c r="G501" s="12" t="s">
        <v>3465</v>
      </c>
      <c r="H501" s="12" t="s">
        <v>88</v>
      </c>
      <c r="I501">
        <v>62</v>
      </c>
      <c r="K501">
        <v>132</v>
      </c>
      <c r="L501">
        <v>73</v>
      </c>
      <c r="M501" t="s">
        <v>82</v>
      </c>
      <c r="P501" t="s">
        <v>83</v>
      </c>
      <c r="Q501" t="s">
        <v>82</v>
      </c>
      <c r="R501">
        <v>91.45</v>
      </c>
      <c r="S501">
        <v>178</v>
      </c>
      <c r="T501" s="8">
        <f t="shared" si="14"/>
        <v>28.86314859234945</v>
      </c>
      <c r="U501" s="13" t="str" cm="1">
        <f t="array" ref="U501">IF(T501="","",_xlfn.IFS(T501&lt;18.5,"Bajo peso",T501&lt;25,"Peso normal",T501&lt;30,"Sobrepeso",T501&lt;35,"Obesidad clase I",T501&lt;40,"Obesidad clase II",T501&gt;=40,"Obesidad clase III"))</f>
        <v>Sobrepeso</v>
      </c>
      <c r="V501">
        <v>98</v>
      </c>
      <c r="X501" t="s">
        <v>3463</v>
      </c>
      <c r="Y501">
        <v>0.98</v>
      </c>
      <c r="AA501">
        <v>90</v>
      </c>
      <c r="AB501" s="9">
        <f t="shared" si="15"/>
        <v>98.121626470634368</v>
      </c>
      <c r="AD501" t="s">
        <v>73</v>
      </c>
      <c r="AF501" t="s">
        <v>73</v>
      </c>
      <c r="AH501" t="s">
        <v>3463</v>
      </c>
      <c r="AI501" t="s">
        <v>3463</v>
      </c>
      <c r="AJ501" t="s">
        <v>3463</v>
      </c>
      <c r="AK501" t="s">
        <v>3464</v>
      </c>
      <c r="AL501" t="s">
        <v>3465</v>
      </c>
      <c r="AM501" t="s">
        <v>1286</v>
      </c>
      <c r="AN501" t="s">
        <v>3653</v>
      </c>
      <c r="AP501" t="s">
        <v>3463</v>
      </c>
      <c r="AQ501" t="s">
        <v>1287</v>
      </c>
      <c r="AR501" t="s">
        <v>3549</v>
      </c>
      <c r="AV501" t="s">
        <v>74</v>
      </c>
      <c r="AW501" t="s">
        <v>3915</v>
      </c>
      <c r="BF501" t="s">
        <v>3921</v>
      </c>
      <c r="BH501" t="s">
        <v>4020</v>
      </c>
      <c r="BP501" t="s">
        <v>4260</v>
      </c>
      <c r="BQ501" t="s">
        <v>3463</v>
      </c>
      <c r="BR501" t="s">
        <v>3465</v>
      </c>
      <c r="BS501" t="s">
        <v>3463</v>
      </c>
      <c r="BT501" t="s">
        <v>3465</v>
      </c>
      <c r="BU501" t="s">
        <v>3463</v>
      </c>
      <c r="BV501" t="s">
        <v>3463</v>
      </c>
      <c r="BW501" t="s">
        <v>3463</v>
      </c>
      <c r="BX501" t="s">
        <v>79</v>
      </c>
      <c r="BY501" t="s">
        <v>79</v>
      </c>
      <c r="BZ501" t="s">
        <v>79</v>
      </c>
      <c r="CA501" s="10">
        <v>45910</v>
      </c>
    </row>
    <row r="502" spans="1:79">
      <c r="A502">
        <v>508</v>
      </c>
      <c r="B502">
        <v>125</v>
      </c>
      <c r="C502">
        <v>67</v>
      </c>
      <c r="D502" t="s">
        <v>3466</v>
      </c>
      <c r="E502" t="s">
        <v>1113</v>
      </c>
      <c r="F502" t="s">
        <v>969</v>
      </c>
      <c r="G502" s="12" t="s">
        <v>3465</v>
      </c>
      <c r="H502" s="12" t="s">
        <v>88</v>
      </c>
      <c r="I502">
        <v>56</v>
      </c>
      <c r="J502">
        <v>55</v>
      </c>
      <c r="K502">
        <v>147</v>
      </c>
      <c r="L502">
        <v>66</v>
      </c>
      <c r="M502" t="s">
        <v>72</v>
      </c>
      <c r="N502">
        <v>151</v>
      </c>
      <c r="O502">
        <v>66</v>
      </c>
      <c r="P502" t="s">
        <v>72</v>
      </c>
      <c r="Q502" t="s">
        <v>72</v>
      </c>
      <c r="R502">
        <v>82.6</v>
      </c>
      <c r="S502">
        <v>134.6</v>
      </c>
      <c r="T502" s="8">
        <f t="shared" si="14"/>
        <v>45.592134749596511</v>
      </c>
      <c r="U502" s="13" t="str" cm="1">
        <f t="array" ref="U502">IF(T502="","",_xlfn.IFS(T502&lt;18.5,"Bajo peso",T502&lt;25,"Peso normal",T502&lt;30,"Sobrepeso",T502&lt;35,"Obesidad clase I",T502&lt;40,"Obesidad clase II",T502&gt;=40,"Obesidad clase III"))</f>
        <v>Obesidad clase III</v>
      </c>
      <c r="V502">
        <v>127</v>
      </c>
      <c r="X502" t="s">
        <v>3463</v>
      </c>
      <c r="Y502">
        <v>0.47</v>
      </c>
      <c r="AA502">
        <v>90</v>
      </c>
      <c r="AB502" s="9">
        <f t="shared" si="15"/>
        <v>104.27840798926567</v>
      </c>
      <c r="AD502" t="s">
        <v>73</v>
      </c>
      <c r="AF502" t="s">
        <v>73</v>
      </c>
      <c r="AG502" t="s">
        <v>3465</v>
      </c>
      <c r="AH502" t="s">
        <v>3465</v>
      </c>
      <c r="AI502" t="s">
        <v>3464</v>
      </c>
      <c r="AJ502" t="s">
        <v>3464</v>
      </c>
      <c r="AK502" t="s">
        <v>3465</v>
      </c>
      <c r="AL502" t="s">
        <v>3463</v>
      </c>
      <c r="AP502" t="s">
        <v>3464</v>
      </c>
      <c r="AT502" t="s">
        <v>3463</v>
      </c>
      <c r="AV502" t="s">
        <v>126</v>
      </c>
      <c r="AW502" t="s">
        <v>126</v>
      </c>
      <c r="AX502" t="s">
        <v>3463</v>
      </c>
      <c r="AY502" t="s">
        <v>3463</v>
      </c>
      <c r="BF502" t="s">
        <v>3921</v>
      </c>
      <c r="BG502" t="s">
        <v>1288</v>
      </c>
      <c r="BH502" t="s">
        <v>4134</v>
      </c>
      <c r="BI502" t="s">
        <v>1289</v>
      </c>
      <c r="BK502" t="s">
        <v>1290</v>
      </c>
      <c r="BL502" t="s">
        <v>1291</v>
      </c>
      <c r="BP502" t="s">
        <v>4419</v>
      </c>
      <c r="BQ502" t="s">
        <v>3463</v>
      </c>
      <c r="BR502" t="s">
        <v>3463</v>
      </c>
      <c r="BT502" t="s">
        <v>3463</v>
      </c>
      <c r="BU502" t="s">
        <v>3463</v>
      </c>
      <c r="BV502" t="s">
        <v>3463</v>
      </c>
      <c r="BW502" t="s">
        <v>3463</v>
      </c>
      <c r="BX502" t="s">
        <v>79</v>
      </c>
      <c r="BY502" t="s">
        <v>87</v>
      </c>
      <c r="BZ502" t="s">
        <v>79</v>
      </c>
      <c r="CA502" s="10">
        <v>45910</v>
      </c>
    </row>
    <row r="503" spans="1:79">
      <c r="A503">
        <v>509</v>
      </c>
      <c r="B503">
        <v>126</v>
      </c>
      <c r="C503">
        <v>69</v>
      </c>
      <c r="D503" t="s">
        <v>3462</v>
      </c>
      <c r="F503" t="s">
        <v>969</v>
      </c>
      <c r="G503" s="12" t="s">
        <v>3465</v>
      </c>
      <c r="H503" s="12" t="s">
        <v>88</v>
      </c>
      <c r="I503">
        <v>78</v>
      </c>
      <c r="J503">
        <v>78</v>
      </c>
      <c r="K503">
        <v>153</v>
      </c>
      <c r="L503">
        <v>81</v>
      </c>
      <c r="M503" t="s">
        <v>72</v>
      </c>
      <c r="N503">
        <v>151</v>
      </c>
      <c r="O503">
        <v>74</v>
      </c>
      <c r="P503" t="s">
        <v>72</v>
      </c>
      <c r="Q503" t="s">
        <v>72</v>
      </c>
      <c r="R503">
        <v>102.6</v>
      </c>
      <c r="S503">
        <v>173</v>
      </c>
      <c r="T503" s="8">
        <f t="shared" si="14"/>
        <v>34.281132012429417</v>
      </c>
      <c r="U503" s="13" t="str" cm="1">
        <f t="array" ref="U503">IF(T503="","",_xlfn.IFS(T503&lt;18.5,"Bajo peso",T503&lt;25,"Peso normal",T503&lt;30,"Sobrepeso",T503&lt;35,"Obesidad clase I",T503&lt;40,"Obesidad clase II",T503&gt;=40,"Obesidad clase III"))</f>
        <v>Obesidad clase I</v>
      </c>
      <c r="V503">
        <v>151</v>
      </c>
      <c r="X503" t="s">
        <v>3463</v>
      </c>
      <c r="Y503">
        <v>0.81</v>
      </c>
      <c r="AA503">
        <v>90</v>
      </c>
      <c r="AB503" s="9">
        <f t="shared" si="15"/>
        <v>95.441571755129317</v>
      </c>
      <c r="AD503" t="s">
        <v>73</v>
      </c>
      <c r="AF503" t="s">
        <v>73</v>
      </c>
      <c r="AH503" t="s">
        <v>3463</v>
      </c>
      <c r="AI503" t="s">
        <v>3465</v>
      </c>
      <c r="AJ503" t="s">
        <v>3463</v>
      </c>
      <c r="AK503" t="s">
        <v>3463</v>
      </c>
      <c r="AL503" t="s">
        <v>3465</v>
      </c>
      <c r="AM503" t="s">
        <v>1292</v>
      </c>
      <c r="AN503" t="s">
        <v>3722</v>
      </c>
      <c r="AP503" t="s">
        <v>3463</v>
      </c>
      <c r="AS503" t="s">
        <v>3465</v>
      </c>
      <c r="AV503" t="s">
        <v>126</v>
      </c>
      <c r="AW503" t="s">
        <v>126</v>
      </c>
      <c r="BA503" t="s">
        <v>3920</v>
      </c>
      <c r="BF503" t="s">
        <v>3921</v>
      </c>
      <c r="BH503" t="s">
        <v>4029</v>
      </c>
      <c r="BI503" t="s">
        <v>86</v>
      </c>
      <c r="BP503" t="s">
        <v>4391</v>
      </c>
      <c r="BQ503" t="s">
        <v>3463</v>
      </c>
      <c r="BR503" t="s">
        <v>3463</v>
      </c>
      <c r="BS503" t="s">
        <v>3463</v>
      </c>
      <c r="BT503" t="s">
        <v>3463</v>
      </c>
      <c r="BU503" t="s">
        <v>3463</v>
      </c>
      <c r="BV503" t="s">
        <v>3463</v>
      </c>
      <c r="BW503" t="s">
        <v>3463</v>
      </c>
      <c r="BX503" t="s">
        <v>79</v>
      </c>
      <c r="BY503" t="s">
        <v>87</v>
      </c>
      <c r="BZ503" t="s">
        <v>79</v>
      </c>
      <c r="CA503" s="10">
        <v>45910</v>
      </c>
    </row>
    <row r="504" spans="1:79">
      <c r="A504">
        <v>510</v>
      </c>
      <c r="B504">
        <v>127</v>
      </c>
      <c r="C504">
        <v>35</v>
      </c>
      <c r="D504" t="s">
        <v>3462</v>
      </c>
      <c r="E504" t="s">
        <v>1293</v>
      </c>
      <c r="F504" t="s">
        <v>969</v>
      </c>
      <c r="G504" s="12" t="s">
        <v>3465</v>
      </c>
      <c r="H504" s="12" t="s">
        <v>88</v>
      </c>
      <c r="I504">
        <v>70</v>
      </c>
      <c r="K504">
        <v>124</v>
      </c>
      <c r="L504">
        <v>74</v>
      </c>
      <c r="M504" t="s">
        <v>118</v>
      </c>
      <c r="P504" t="s">
        <v>83</v>
      </c>
      <c r="Q504" t="s">
        <v>118</v>
      </c>
      <c r="R504">
        <v>59.4</v>
      </c>
      <c r="S504">
        <v>162.5</v>
      </c>
      <c r="T504" s="8">
        <f t="shared" si="14"/>
        <v>22.494674556213017</v>
      </c>
      <c r="U504" s="13" t="str" cm="1">
        <f t="array" ref="U504">IF(T504="","",_xlfn.IFS(T504&lt;18.5,"Bajo peso",T504&lt;25,"Peso normal",T504&lt;30,"Sobrepeso",T504&lt;35,"Obesidad clase I",T504&lt;40,"Obesidad clase II",T504&gt;=40,"Obesidad clase III"))</f>
        <v>Peso normal</v>
      </c>
      <c r="V504">
        <v>118</v>
      </c>
      <c r="X504" t="s">
        <v>3463</v>
      </c>
      <c r="Y504">
        <v>0.8</v>
      </c>
      <c r="AA504">
        <v>90</v>
      </c>
      <c r="AB504" s="9">
        <f t="shared" si="15"/>
        <v>118.35896001672107</v>
      </c>
      <c r="AD504" t="s">
        <v>73</v>
      </c>
      <c r="AF504" t="s">
        <v>73</v>
      </c>
      <c r="AH504" t="s">
        <v>3463</v>
      </c>
      <c r="AI504" t="s">
        <v>3463</v>
      </c>
      <c r="AJ504" t="s">
        <v>3464</v>
      </c>
      <c r="AK504" t="s">
        <v>3463</v>
      </c>
      <c r="AL504" t="s">
        <v>3463</v>
      </c>
      <c r="AP504" t="s">
        <v>3463</v>
      </c>
      <c r="AV504" t="s">
        <v>178</v>
      </c>
      <c r="AW504" t="s">
        <v>3918</v>
      </c>
      <c r="BF504" t="s">
        <v>3921</v>
      </c>
      <c r="BH504" t="s">
        <v>4015</v>
      </c>
      <c r="BI504" t="s">
        <v>86</v>
      </c>
      <c r="BK504" t="s">
        <v>1294</v>
      </c>
      <c r="BP504" t="s">
        <v>4255</v>
      </c>
      <c r="BQ504" t="s">
        <v>3465</v>
      </c>
      <c r="BR504" t="s">
        <v>3463</v>
      </c>
      <c r="BS504" t="s">
        <v>3463</v>
      </c>
      <c r="BT504" t="s">
        <v>3463</v>
      </c>
      <c r="BU504" t="s">
        <v>3463</v>
      </c>
      <c r="BV504" t="s">
        <v>3463</v>
      </c>
      <c r="BW504" t="s">
        <v>3463</v>
      </c>
      <c r="BX504" t="s">
        <v>79</v>
      </c>
      <c r="BY504" t="s">
        <v>87</v>
      </c>
      <c r="BZ504" t="s">
        <v>79</v>
      </c>
      <c r="CA504" s="10">
        <v>45910</v>
      </c>
    </row>
    <row r="505" spans="1:79">
      <c r="A505">
        <v>511</v>
      </c>
      <c r="B505">
        <v>128</v>
      </c>
      <c r="C505">
        <v>59</v>
      </c>
      <c r="D505" t="s">
        <v>3462</v>
      </c>
      <c r="F505" t="s">
        <v>969</v>
      </c>
      <c r="G505" s="12" t="s">
        <v>3465</v>
      </c>
      <c r="H505" s="12" t="s">
        <v>88</v>
      </c>
      <c r="I505">
        <v>63</v>
      </c>
      <c r="J505">
        <v>66</v>
      </c>
      <c r="K505">
        <v>150</v>
      </c>
      <c r="L505">
        <v>89</v>
      </c>
      <c r="M505" t="s">
        <v>72</v>
      </c>
      <c r="N505">
        <v>132</v>
      </c>
      <c r="O505">
        <v>86</v>
      </c>
      <c r="P505" t="s">
        <v>82</v>
      </c>
      <c r="Q505" t="s">
        <v>82</v>
      </c>
      <c r="R505">
        <v>88.2</v>
      </c>
      <c r="S505">
        <v>170</v>
      </c>
      <c r="T505" s="8">
        <f t="shared" si="14"/>
        <v>30.519031141868513</v>
      </c>
      <c r="U505" s="13" t="str" cm="1">
        <f t="array" ref="U505">IF(T505="","",_xlfn.IFS(T505&lt;18.5,"Bajo peso",T505&lt;25,"Peso normal",T505&lt;30,"Sobrepeso",T505&lt;35,"Obesidad clase I",T505&lt;40,"Obesidad clase II",T505&gt;=40,"Obesidad clase III"))</f>
        <v>Obesidad clase I</v>
      </c>
      <c r="V505">
        <v>99</v>
      </c>
      <c r="X505" t="s">
        <v>3463</v>
      </c>
      <c r="Y505">
        <v>0.63</v>
      </c>
      <c r="AA505">
        <v>90</v>
      </c>
      <c r="AB505" s="9">
        <f t="shared" si="15"/>
        <v>109.57444723329967</v>
      </c>
      <c r="AD505" t="s">
        <v>73</v>
      </c>
      <c r="AF505" t="s">
        <v>73</v>
      </c>
      <c r="AH505" t="s">
        <v>3463</v>
      </c>
      <c r="AI505" t="s">
        <v>3464</v>
      </c>
      <c r="AJ505" t="s">
        <v>3465</v>
      </c>
      <c r="AK505" t="s">
        <v>3463</v>
      </c>
      <c r="AL505" t="s">
        <v>3463</v>
      </c>
      <c r="AP505" t="s">
        <v>3463</v>
      </c>
      <c r="AV505" t="s">
        <v>74</v>
      </c>
      <c r="AW505" t="s">
        <v>3915</v>
      </c>
      <c r="BF505" t="s">
        <v>3921</v>
      </c>
      <c r="BG505" t="s">
        <v>1295</v>
      </c>
      <c r="BH505" t="s">
        <v>4135</v>
      </c>
      <c r="BI505" t="s">
        <v>734</v>
      </c>
      <c r="BK505" t="s">
        <v>1296</v>
      </c>
      <c r="BL505" t="s">
        <v>1297</v>
      </c>
      <c r="BP505" t="s">
        <v>4420</v>
      </c>
      <c r="BQ505" t="s">
        <v>3463</v>
      </c>
      <c r="BR505" t="s">
        <v>3465</v>
      </c>
      <c r="BS505" t="s">
        <v>3463</v>
      </c>
      <c r="BT505" t="s">
        <v>3463</v>
      </c>
      <c r="BU505" t="s">
        <v>3463</v>
      </c>
      <c r="BV505" t="s">
        <v>3463</v>
      </c>
      <c r="BW505" t="s">
        <v>3463</v>
      </c>
      <c r="BX505" t="s">
        <v>518</v>
      </c>
      <c r="BY505" t="s">
        <v>87</v>
      </c>
      <c r="BZ505" t="s">
        <v>95</v>
      </c>
      <c r="CA505" s="10">
        <v>45910</v>
      </c>
    </row>
    <row r="506" spans="1:79">
      <c r="A506">
        <v>512</v>
      </c>
      <c r="B506">
        <v>129</v>
      </c>
      <c r="C506">
        <v>67</v>
      </c>
      <c r="D506" t="s">
        <v>3466</v>
      </c>
      <c r="E506" t="s">
        <v>1000</v>
      </c>
      <c r="F506" t="s">
        <v>969</v>
      </c>
      <c r="G506" s="12" t="s">
        <v>3465</v>
      </c>
      <c r="H506" s="12" t="s">
        <v>88</v>
      </c>
      <c r="I506">
        <v>91</v>
      </c>
      <c r="J506">
        <v>93</v>
      </c>
      <c r="K506">
        <v>171</v>
      </c>
      <c r="L506">
        <v>78</v>
      </c>
      <c r="M506" t="s">
        <v>72</v>
      </c>
      <c r="N506">
        <v>145</v>
      </c>
      <c r="O506">
        <v>75</v>
      </c>
      <c r="P506" t="s">
        <v>72</v>
      </c>
      <c r="Q506" t="s">
        <v>72</v>
      </c>
      <c r="R506">
        <v>94.2</v>
      </c>
      <c r="S506">
        <v>155</v>
      </c>
      <c r="T506" s="8">
        <f t="shared" si="14"/>
        <v>39.209157127991674</v>
      </c>
      <c r="U506" s="13" t="str" cm="1">
        <f t="array" ref="U506">IF(T506="","",_xlfn.IFS(T506&lt;18.5,"Bajo peso",T506&lt;25,"Peso normal",T506&lt;30,"Sobrepeso",T506&lt;35,"Obesidad clase I",T506&lt;40,"Obesidad clase II",T506&gt;=40,"Obesidad clase III"))</f>
        <v>Obesidad clase II</v>
      </c>
      <c r="V506">
        <v>151</v>
      </c>
      <c r="X506" t="s">
        <v>3463</v>
      </c>
      <c r="Y506">
        <v>1.01</v>
      </c>
      <c r="AA506">
        <v>61</v>
      </c>
      <c r="AB506" s="9">
        <f t="shared" si="15"/>
        <v>61.014540900462535</v>
      </c>
      <c r="AD506" t="s">
        <v>73</v>
      </c>
      <c r="AF506" t="s">
        <v>73</v>
      </c>
      <c r="AH506" t="s">
        <v>3463</v>
      </c>
      <c r="AI506" t="s">
        <v>3463</v>
      </c>
      <c r="AJ506" t="s">
        <v>3463</v>
      </c>
      <c r="AK506" t="s">
        <v>3463</v>
      </c>
      <c r="AL506" t="s">
        <v>3463</v>
      </c>
      <c r="AP506" t="s">
        <v>3463</v>
      </c>
      <c r="AT506" t="s">
        <v>3465</v>
      </c>
      <c r="AU506" t="s">
        <v>80</v>
      </c>
      <c r="AV506" t="s">
        <v>126</v>
      </c>
      <c r="AW506" t="s">
        <v>126</v>
      </c>
      <c r="AX506" t="s">
        <v>3463</v>
      </c>
      <c r="AY506" t="s">
        <v>3465</v>
      </c>
      <c r="AZ506" t="s">
        <v>104</v>
      </c>
      <c r="BF506" t="s">
        <v>3921</v>
      </c>
      <c r="BG506" t="s">
        <v>1298</v>
      </c>
      <c r="BH506" t="s">
        <v>4041</v>
      </c>
      <c r="BI506" t="s">
        <v>314</v>
      </c>
      <c r="BK506" t="s">
        <v>1299</v>
      </c>
      <c r="BL506" t="s">
        <v>1300</v>
      </c>
      <c r="BP506" t="s">
        <v>4421</v>
      </c>
      <c r="BQ506" t="s">
        <v>3463</v>
      </c>
      <c r="BR506" t="s">
        <v>3463</v>
      </c>
      <c r="BS506" t="s">
        <v>3463</v>
      </c>
      <c r="BT506" t="s">
        <v>3463</v>
      </c>
      <c r="BU506" t="s">
        <v>3463</v>
      </c>
      <c r="BV506" t="s">
        <v>3463</v>
      </c>
      <c r="BW506" t="s">
        <v>3463</v>
      </c>
      <c r="BX506" t="s">
        <v>518</v>
      </c>
      <c r="BY506" t="s">
        <v>87</v>
      </c>
      <c r="BZ506" t="s">
        <v>79</v>
      </c>
      <c r="CA506" s="10">
        <v>45910</v>
      </c>
    </row>
    <row r="507" spans="1:79">
      <c r="A507">
        <v>513</v>
      </c>
      <c r="B507">
        <v>130</v>
      </c>
      <c r="C507">
        <v>72</v>
      </c>
      <c r="D507" t="s">
        <v>3462</v>
      </c>
      <c r="E507" t="s">
        <v>1237</v>
      </c>
      <c r="F507" t="s">
        <v>969</v>
      </c>
      <c r="G507" s="12" t="s">
        <v>3465</v>
      </c>
      <c r="H507" s="12" t="s">
        <v>88</v>
      </c>
      <c r="I507">
        <v>71</v>
      </c>
      <c r="J507">
        <v>67</v>
      </c>
      <c r="K507">
        <v>196</v>
      </c>
      <c r="L507">
        <v>121</v>
      </c>
      <c r="M507" t="s">
        <v>96</v>
      </c>
      <c r="N507">
        <v>184</v>
      </c>
      <c r="O507">
        <v>96</v>
      </c>
      <c r="P507" t="s">
        <v>96</v>
      </c>
      <c r="Q507" t="s">
        <v>96</v>
      </c>
      <c r="R507">
        <v>86.7</v>
      </c>
      <c r="S507">
        <v>160</v>
      </c>
      <c r="T507" s="8">
        <f t="shared" si="14"/>
        <v>33.8671875</v>
      </c>
      <c r="U507" s="13" t="str" cm="1">
        <f t="array" ref="U507">IF(T507="","",_xlfn.IFS(T507&lt;18.5,"Bajo peso",T507&lt;25,"Peso normal",T507&lt;30,"Sobrepeso",T507&lt;35,"Obesidad clase I",T507&lt;40,"Obesidad clase II",T507&gt;=40,"Obesidad clase III"))</f>
        <v>Obesidad clase I</v>
      </c>
      <c r="V507">
        <v>180</v>
      </c>
      <c r="X507" t="s">
        <v>3463</v>
      </c>
      <c r="Y507">
        <v>1.07</v>
      </c>
      <c r="AA507">
        <v>74</v>
      </c>
      <c r="AB507" s="9">
        <f t="shared" si="15"/>
        <v>73.730346682203475</v>
      </c>
      <c r="AD507" t="s">
        <v>73</v>
      </c>
      <c r="AF507" t="s">
        <v>73</v>
      </c>
      <c r="AG507" t="s">
        <v>3465</v>
      </c>
      <c r="AH507" t="s">
        <v>3465</v>
      </c>
      <c r="AI507" t="s">
        <v>3463</v>
      </c>
      <c r="AJ507" t="s">
        <v>3463</v>
      </c>
      <c r="AK507" t="s">
        <v>3463</v>
      </c>
      <c r="AL507" t="s">
        <v>3465</v>
      </c>
      <c r="AM507" t="s">
        <v>1301</v>
      </c>
      <c r="AN507" t="s">
        <v>3723</v>
      </c>
      <c r="AP507" t="s">
        <v>3463</v>
      </c>
      <c r="AQ507" t="s">
        <v>159</v>
      </c>
      <c r="AR507" t="s">
        <v>3491</v>
      </c>
      <c r="AV507" t="s">
        <v>112</v>
      </c>
      <c r="AW507" t="s">
        <v>3917</v>
      </c>
      <c r="BA507" t="s">
        <v>3920</v>
      </c>
      <c r="BB507" t="s">
        <v>3485</v>
      </c>
      <c r="BF507" t="s">
        <v>3921</v>
      </c>
      <c r="BG507" t="s">
        <v>1302</v>
      </c>
      <c r="BH507" t="s">
        <v>4021</v>
      </c>
      <c r="BK507" t="s">
        <v>1303</v>
      </c>
      <c r="BL507" t="s">
        <v>1304</v>
      </c>
      <c r="BP507" t="s">
        <v>4422</v>
      </c>
      <c r="BQ507" t="s">
        <v>3463</v>
      </c>
      <c r="BR507" t="s">
        <v>3463</v>
      </c>
      <c r="BS507" t="s">
        <v>3463</v>
      </c>
      <c r="BT507" t="s">
        <v>3463</v>
      </c>
      <c r="BU507" t="s">
        <v>3463</v>
      </c>
      <c r="BV507" t="s">
        <v>3463</v>
      </c>
      <c r="BW507" t="s">
        <v>3463</v>
      </c>
      <c r="BX507" t="s">
        <v>79</v>
      </c>
      <c r="BY507" t="s">
        <v>87</v>
      </c>
      <c r="BZ507" t="s">
        <v>79</v>
      </c>
      <c r="CA507" s="10">
        <v>45910</v>
      </c>
    </row>
    <row r="508" spans="1:79">
      <c r="A508">
        <v>514</v>
      </c>
      <c r="B508">
        <v>131</v>
      </c>
      <c r="C508">
        <v>39</v>
      </c>
      <c r="D508" t="s">
        <v>3466</v>
      </c>
      <c r="E508" t="s">
        <v>1026</v>
      </c>
      <c r="F508" t="s">
        <v>969</v>
      </c>
      <c r="G508" s="12" t="s">
        <v>3463</v>
      </c>
      <c r="H508" s="12"/>
      <c r="I508">
        <v>84</v>
      </c>
      <c r="K508">
        <v>132</v>
      </c>
      <c r="L508">
        <v>81</v>
      </c>
      <c r="M508" t="s">
        <v>82</v>
      </c>
      <c r="P508" t="s">
        <v>83</v>
      </c>
      <c r="Q508" t="s">
        <v>82</v>
      </c>
      <c r="R508">
        <v>69.599999999999994</v>
      </c>
      <c r="S508">
        <v>151</v>
      </c>
      <c r="T508" s="8">
        <f t="shared" si="14"/>
        <v>30.524976974694091</v>
      </c>
      <c r="U508" s="13" t="str" cm="1">
        <f t="array" ref="U508">IF(T508="","",_xlfn.IFS(T508&lt;18.5,"Bajo peso",T508&lt;25,"Peso normal",T508&lt;30,"Sobrepeso",T508&lt;35,"Obesidad clase I",T508&lt;40,"Obesidad clase II",T508&gt;=40,"Obesidad clase III"))</f>
        <v>Obesidad clase I</v>
      </c>
      <c r="V508">
        <v>77</v>
      </c>
      <c r="X508" t="s">
        <v>3463</v>
      </c>
      <c r="Y508">
        <v>0.99</v>
      </c>
      <c r="AA508">
        <v>74</v>
      </c>
      <c r="AB508" s="9">
        <f t="shared" si="15"/>
        <v>74.384932861043708</v>
      </c>
      <c r="AD508" t="s">
        <v>73</v>
      </c>
      <c r="AF508" t="s">
        <v>73</v>
      </c>
      <c r="AH508" t="s">
        <v>3463</v>
      </c>
      <c r="AI508" t="s">
        <v>3463</v>
      </c>
      <c r="AJ508" t="s">
        <v>3463</v>
      </c>
      <c r="AK508" t="s">
        <v>3463</v>
      </c>
      <c r="AL508" t="s">
        <v>3463</v>
      </c>
      <c r="AP508" t="s">
        <v>3463</v>
      </c>
      <c r="AQ508" t="s">
        <v>1305</v>
      </c>
      <c r="AR508" t="s">
        <v>3504</v>
      </c>
      <c r="AT508" t="s">
        <v>3465</v>
      </c>
      <c r="AU508" t="s">
        <v>80</v>
      </c>
      <c r="AV508" t="s">
        <v>126</v>
      </c>
      <c r="AW508" t="s">
        <v>126</v>
      </c>
      <c r="AX508" t="s">
        <v>3463</v>
      </c>
      <c r="AY508" t="s">
        <v>3463</v>
      </c>
      <c r="AZ508" t="s">
        <v>1306</v>
      </c>
      <c r="BF508" t="s">
        <v>3921</v>
      </c>
      <c r="BH508" t="s">
        <v>4020</v>
      </c>
      <c r="BP508" t="s">
        <v>4260</v>
      </c>
      <c r="BQ508" t="s">
        <v>3465</v>
      </c>
      <c r="BR508" t="s">
        <v>3463</v>
      </c>
      <c r="BS508" t="s">
        <v>3465</v>
      </c>
      <c r="BT508" t="s">
        <v>3465</v>
      </c>
      <c r="BU508" t="s">
        <v>3463</v>
      </c>
      <c r="BV508" t="s">
        <v>3463</v>
      </c>
      <c r="BW508" t="s">
        <v>3463</v>
      </c>
      <c r="BX508" t="s">
        <v>79</v>
      </c>
      <c r="BY508" t="s">
        <v>87</v>
      </c>
      <c r="BZ508" t="s">
        <v>79</v>
      </c>
      <c r="CA508" s="10">
        <v>45910</v>
      </c>
    </row>
    <row r="509" spans="1:79">
      <c r="A509">
        <v>515</v>
      </c>
      <c r="B509">
        <v>132</v>
      </c>
      <c r="C509">
        <v>75</v>
      </c>
      <c r="D509" t="s">
        <v>3466</v>
      </c>
      <c r="E509" t="s">
        <v>1000</v>
      </c>
      <c r="F509" t="s">
        <v>969</v>
      </c>
      <c r="G509" s="12" t="s">
        <v>3463</v>
      </c>
      <c r="H509" s="12"/>
      <c r="I509">
        <v>76</v>
      </c>
      <c r="J509">
        <v>73</v>
      </c>
      <c r="K509">
        <v>158</v>
      </c>
      <c r="L509">
        <v>82</v>
      </c>
      <c r="M509" t="s">
        <v>72</v>
      </c>
      <c r="N509">
        <v>158</v>
      </c>
      <c r="O509">
        <v>81</v>
      </c>
      <c r="P509" t="s">
        <v>72</v>
      </c>
      <c r="Q509" t="s">
        <v>72</v>
      </c>
      <c r="R509">
        <v>78.8</v>
      </c>
      <c r="S509">
        <v>151.6</v>
      </c>
      <c r="T509" s="8">
        <f t="shared" si="14"/>
        <v>34.286867955528017</v>
      </c>
      <c r="U509" s="13" t="str" cm="1">
        <f t="array" ref="U509">IF(T509="","",_xlfn.IFS(T509&lt;18.5,"Bajo peso",T509&lt;25,"Peso normal",T509&lt;30,"Sobrepeso",T509&lt;35,"Obesidad clase I",T509&lt;40,"Obesidad clase II",T509&gt;=40,"Obesidad clase III"))</f>
        <v>Obesidad clase I</v>
      </c>
      <c r="V509">
        <v>83</v>
      </c>
      <c r="X509" t="s">
        <v>3463</v>
      </c>
      <c r="Y509">
        <v>0.82</v>
      </c>
      <c r="AA509">
        <v>75</v>
      </c>
      <c r="AB509" s="9">
        <f t="shared" si="15"/>
        <v>74.547710973974361</v>
      </c>
      <c r="AD509" t="s">
        <v>73</v>
      </c>
      <c r="AF509" t="s">
        <v>73</v>
      </c>
      <c r="AH509" t="s">
        <v>3463</v>
      </c>
      <c r="AI509" t="s">
        <v>3465</v>
      </c>
      <c r="AJ509" t="s">
        <v>3463</v>
      </c>
      <c r="AK509" t="s">
        <v>3465</v>
      </c>
      <c r="AL509" t="s">
        <v>3465</v>
      </c>
      <c r="AM509" t="s">
        <v>116</v>
      </c>
      <c r="AN509" t="s">
        <v>116</v>
      </c>
      <c r="AP509" t="s">
        <v>3464</v>
      </c>
      <c r="AQ509" t="s">
        <v>1307</v>
      </c>
      <c r="AR509" t="s">
        <v>3491</v>
      </c>
      <c r="AS509" t="s">
        <v>3465</v>
      </c>
      <c r="AT509" t="s">
        <v>3465</v>
      </c>
      <c r="AU509" t="s">
        <v>80</v>
      </c>
      <c r="AV509" t="s">
        <v>74</v>
      </c>
      <c r="AW509" t="s">
        <v>3915</v>
      </c>
      <c r="AX509" t="s">
        <v>3463</v>
      </c>
      <c r="AY509" t="s">
        <v>3463</v>
      </c>
      <c r="BA509" t="s">
        <v>3920</v>
      </c>
      <c r="BE509" t="s">
        <v>1308</v>
      </c>
      <c r="BF509" t="s">
        <v>3954</v>
      </c>
      <c r="BG509" t="s">
        <v>1309</v>
      </c>
      <c r="BH509" t="s">
        <v>4021</v>
      </c>
      <c r="BK509" t="s">
        <v>1310</v>
      </c>
      <c r="BL509" t="s">
        <v>1311</v>
      </c>
      <c r="BP509" t="s">
        <v>4423</v>
      </c>
      <c r="BQ509" t="s">
        <v>3463</v>
      </c>
      <c r="BR509" t="s">
        <v>3465</v>
      </c>
      <c r="BS509" t="s">
        <v>3463</v>
      </c>
      <c r="BT509" t="s">
        <v>3463</v>
      </c>
      <c r="BU509" t="s">
        <v>3463</v>
      </c>
      <c r="BV509" t="s">
        <v>3463</v>
      </c>
      <c r="BW509" t="s">
        <v>3463</v>
      </c>
      <c r="BX509" t="s">
        <v>79</v>
      </c>
      <c r="BY509" t="s">
        <v>79</v>
      </c>
      <c r="BZ509" t="s">
        <v>79</v>
      </c>
      <c r="CA509" s="10">
        <v>45910</v>
      </c>
    </row>
    <row r="510" spans="1:79">
      <c r="A510">
        <v>516</v>
      </c>
      <c r="B510">
        <v>133</v>
      </c>
      <c r="C510">
        <v>36</v>
      </c>
      <c r="D510" t="s">
        <v>3466</v>
      </c>
      <c r="E510" t="s">
        <v>1005</v>
      </c>
      <c r="F510" t="s">
        <v>969</v>
      </c>
      <c r="G510" s="12" t="s">
        <v>3465</v>
      </c>
      <c r="H510" s="12" t="s">
        <v>88</v>
      </c>
      <c r="I510">
        <v>71</v>
      </c>
      <c r="K510">
        <v>134</v>
      </c>
      <c r="L510">
        <v>93</v>
      </c>
      <c r="M510" t="s">
        <v>72</v>
      </c>
      <c r="P510" t="s">
        <v>83</v>
      </c>
      <c r="Q510" t="s">
        <v>72</v>
      </c>
      <c r="R510">
        <v>84.5</v>
      </c>
      <c r="S510">
        <v>158</v>
      </c>
      <c r="T510" s="8">
        <f t="shared" si="14"/>
        <v>33.8487421887518</v>
      </c>
      <c r="U510" s="13" t="str" cm="1">
        <f t="array" ref="U510">IF(T510="","",_xlfn.IFS(T510&lt;18.5,"Bajo peso",T510&lt;25,"Peso normal",T510&lt;30,"Sobrepeso",T510&lt;35,"Obesidad clase I",T510&lt;40,"Obesidad clase II",T510&gt;=40,"Obesidad clase III"))</f>
        <v>Obesidad clase I</v>
      </c>
      <c r="V510">
        <v>88</v>
      </c>
      <c r="X510" t="s">
        <v>3463</v>
      </c>
      <c r="Y510">
        <v>0.8</v>
      </c>
      <c r="AA510">
        <v>90</v>
      </c>
      <c r="AB510" s="9">
        <f t="shared" si="15"/>
        <v>97.868345676107182</v>
      </c>
      <c r="AD510" t="s">
        <v>73</v>
      </c>
      <c r="AF510" t="s">
        <v>73</v>
      </c>
      <c r="AH510" t="s">
        <v>3463</v>
      </c>
      <c r="AI510" t="s">
        <v>3465</v>
      </c>
      <c r="AJ510" t="s">
        <v>3464</v>
      </c>
      <c r="AK510" t="s">
        <v>3463</v>
      </c>
      <c r="AL510" t="s">
        <v>3463</v>
      </c>
      <c r="AP510" t="s">
        <v>3463</v>
      </c>
      <c r="AQ510" t="s">
        <v>270</v>
      </c>
      <c r="AR510" t="s">
        <v>3488</v>
      </c>
      <c r="AS510" t="s">
        <v>3465</v>
      </c>
      <c r="AV510" t="s">
        <v>178</v>
      </c>
      <c r="AW510" t="s">
        <v>3918</v>
      </c>
      <c r="AX510" t="s">
        <v>3463</v>
      </c>
      <c r="AY510" t="s">
        <v>3463</v>
      </c>
      <c r="BA510" t="s">
        <v>3920</v>
      </c>
      <c r="BF510" t="s">
        <v>3921</v>
      </c>
      <c r="BG510" t="s">
        <v>1312</v>
      </c>
      <c r="BH510" t="s">
        <v>4136</v>
      </c>
      <c r="BI510" t="s">
        <v>1313</v>
      </c>
      <c r="BK510" t="s">
        <v>1314</v>
      </c>
      <c r="BL510" t="s">
        <v>1315</v>
      </c>
      <c r="BP510" t="s">
        <v>4424</v>
      </c>
      <c r="BQ510" t="s">
        <v>3463</v>
      </c>
      <c r="BR510" t="s">
        <v>3463</v>
      </c>
      <c r="BS510" t="s">
        <v>3465</v>
      </c>
      <c r="BT510" t="s">
        <v>3465</v>
      </c>
      <c r="BU510" t="s">
        <v>3463</v>
      </c>
      <c r="BV510" t="s">
        <v>3463</v>
      </c>
      <c r="BW510" t="s">
        <v>3463</v>
      </c>
      <c r="BX510" t="s">
        <v>79</v>
      </c>
      <c r="BY510" t="s">
        <v>79</v>
      </c>
      <c r="BZ510" t="s">
        <v>79</v>
      </c>
      <c r="CA510" s="10">
        <v>45910</v>
      </c>
    </row>
    <row r="511" spans="1:79">
      <c r="A511">
        <v>517</v>
      </c>
      <c r="B511">
        <v>134</v>
      </c>
      <c r="C511">
        <v>40</v>
      </c>
      <c r="D511" t="s">
        <v>3462</v>
      </c>
      <c r="E511" t="s">
        <v>1316</v>
      </c>
      <c r="F511" t="s">
        <v>168</v>
      </c>
      <c r="G511" s="12" t="s">
        <v>3465</v>
      </c>
      <c r="H511" s="12" t="s">
        <v>88</v>
      </c>
      <c r="I511">
        <v>56</v>
      </c>
      <c r="K511">
        <v>124</v>
      </c>
      <c r="L511">
        <v>77</v>
      </c>
      <c r="M511" t="s">
        <v>118</v>
      </c>
      <c r="P511" t="s">
        <v>83</v>
      </c>
      <c r="Q511" t="s">
        <v>118</v>
      </c>
      <c r="R511">
        <v>78.7</v>
      </c>
      <c r="S511">
        <v>171</v>
      </c>
      <c r="T511" s="8">
        <f t="shared" si="14"/>
        <v>26.91426421805</v>
      </c>
      <c r="U511" s="13" t="str" cm="1">
        <f t="array" ref="U511">IF(T511="","",_xlfn.IFS(T511&lt;18.5,"Bajo peso",T511&lt;25,"Peso normal",T511&lt;30,"Sobrepeso",T511&lt;35,"Obesidad clase I",T511&lt;40,"Obesidad clase II",T511&gt;=40,"Obesidad clase III"))</f>
        <v>Sobrepeso</v>
      </c>
      <c r="V511">
        <v>121</v>
      </c>
      <c r="X511" t="s">
        <v>3463</v>
      </c>
      <c r="Y511">
        <v>0.82</v>
      </c>
      <c r="AA511">
        <v>90</v>
      </c>
      <c r="AB511" s="9">
        <f t="shared" si="15"/>
        <v>113.88263184284138</v>
      </c>
      <c r="AD511" t="s">
        <v>73</v>
      </c>
      <c r="AF511" t="s">
        <v>73</v>
      </c>
      <c r="AH511" t="s">
        <v>3463</v>
      </c>
      <c r="AI511" t="s">
        <v>3463</v>
      </c>
      <c r="AJ511" t="s">
        <v>3463</v>
      </c>
      <c r="AK511" t="s">
        <v>3463</v>
      </c>
      <c r="AL511" t="s">
        <v>3463</v>
      </c>
      <c r="AP511" t="s">
        <v>3463</v>
      </c>
      <c r="AQ511" t="s">
        <v>120</v>
      </c>
      <c r="AR511" t="s">
        <v>3491</v>
      </c>
      <c r="AV511" t="s">
        <v>74</v>
      </c>
      <c r="AW511" t="s">
        <v>3915</v>
      </c>
      <c r="BF511" t="s">
        <v>3921</v>
      </c>
      <c r="BH511" t="s">
        <v>4020</v>
      </c>
      <c r="BP511" t="s">
        <v>4260</v>
      </c>
      <c r="BQ511" t="s">
        <v>3465</v>
      </c>
      <c r="BR511" t="s">
        <v>3465</v>
      </c>
      <c r="BS511" t="s">
        <v>3463</v>
      </c>
      <c r="BT511" t="s">
        <v>3463</v>
      </c>
      <c r="BU511" t="s">
        <v>3463</v>
      </c>
      <c r="BV511" t="s">
        <v>3463</v>
      </c>
      <c r="BW511" t="s">
        <v>3463</v>
      </c>
      <c r="BX511" t="s">
        <v>79</v>
      </c>
      <c r="BY511" t="s">
        <v>79</v>
      </c>
      <c r="BZ511" t="s">
        <v>79</v>
      </c>
      <c r="CA511" s="10">
        <v>45910</v>
      </c>
    </row>
    <row r="512" spans="1:79">
      <c r="A512">
        <v>518</v>
      </c>
      <c r="B512">
        <v>135</v>
      </c>
      <c r="C512">
        <v>81</v>
      </c>
      <c r="D512" t="s">
        <v>3466</v>
      </c>
      <c r="E512" t="s">
        <v>1266</v>
      </c>
      <c r="F512" t="s">
        <v>969</v>
      </c>
      <c r="G512" s="12" t="s">
        <v>3463</v>
      </c>
      <c r="H512" s="12"/>
      <c r="I512">
        <v>80</v>
      </c>
      <c r="K512">
        <v>131</v>
      </c>
      <c r="L512">
        <v>71</v>
      </c>
      <c r="M512" t="s">
        <v>82</v>
      </c>
      <c r="P512" t="s">
        <v>83</v>
      </c>
      <c r="Q512" t="s">
        <v>82</v>
      </c>
      <c r="R512">
        <v>66</v>
      </c>
      <c r="S512">
        <v>154</v>
      </c>
      <c r="T512" s="8">
        <f t="shared" si="14"/>
        <v>27.829313543599259</v>
      </c>
      <c r="U512" s="13" t="str" cm="1">
        <f t="array" ref="U512">IF(T512="","",_xlfn.IFS(T512&lt;18.5,"Bajo peso",T512&lt;25,"Peso normal",T512&lt;30,"Sobrepeso",T512&lt;35,"Obesidad clase I",T512&lt;40,"Obesidad clase II",T512&gt;=40,"Obesidad clase III"))</f>
        <v>Sobrepeso</v>
      </c>
      <c r="V512">
        <v>81</v>
      </c>
      <c r="X512" t="s">
        <v>3463</v>
      </c>
      <c r="Y512">
        <v>1.07</v>
      </c>
      <c r="AA512">
        <v>52</v>
      </c>
      <c r="AB512" s="9">
        <f t="shared" si="15"/>
        <v>52.184840072643148</v>
      </c>
      <c r="AD512" t="s">
        <v>158</v>
      </c>
      <c r="AF512" t="s">
        <v>158</v>
      </c>
      <c r="AG512" t="s">
        <v>3465</v>
      </c>
      <c r="AH512" t="s">
        <v>3465</v>
      </c>
      <c r="AI512" t="s">
        <v>3465</v>
      </c>
      <c r="AJ512" t="s">
        <v>3463</v>
      </c>
      <c r="AK512" t="s">
        <v>3463</v>
      </c>
      <c r="AL512" t="s">
        <v>3463</v>
      </c>
      <c r="AO512" t="s">
        <v>3463</v>
      </c>
      <c r="AP512" t="s">
        <v>3465</v>
      </c>
      <c r="AS512" t="s">
        <v>3465</v>
      </c>
      <c r="AT512" t="s">
        <v>3465</v>
      </c>
      <c r="AV512" t="s">
        <v>74</v>
      </c>
      <c r="AW512" t="s">
        <v>3915</v>
      </c>
      <c r="AY512" t="s">
        <v>3465</v>
      </c>
      <c r="BA512" t="s">
        <v>3920</v>
      </c>
      <c r="BB512" t="s">
        <v>3485</v>
      </c>
      <c r="BE512" t="s">
        <v>472</v>
      </c>
      <c r="BF512" t="s">
        <v>457</v>
      </c>
      <c r="BG512" t="s">
        <v>1317</v>
      </c>
      <c r="BH512" t="s">
        <v>4137</v>
      </c>
      <c r="BK512" t="s">
        <v>1318</v>
      </c>
      <c r="BL512" t="s">
        <v>1319</v>
      </c>
      <c r="BP512" t="s">
        <v>4425</v>
      </c>
      <c r="BQ512" t="s">
        <v>3463</v>
      </c>
      <c r="BR512" t="s">
        <v>3463</v>
      </c>
      <c r="BS512" t="s">
        <v>3463</v>
      </c>
      <c r="BT512" t="s">
        <v>3463</v>
      </c>
      <c r="BU512" t="s">
        <v>3463</v>
      </c>
      <c r="BV512" t="s">
        <v>3463</v>
      </c>
      <c r="BX512" t="s">
        <v>79</v>
      </c>
      <c r="BY512" t="s">
        <v>79</v>
      </c>
      <c r="BZ512" t="s">
        <v>79</v>
      </c>
      <c r="CA512" s="10">
        <v>45910</v>
      </c>
    </row>
    <row r="513" spans="1:79">
      <c r="A513">
        <v>519</v>
      </c>
      <c r="B513">
        <v>136</v>
      </c>
      <c r="C513">
        <v>69</v>
      </c>
      <c r="D513" t="s">
        <v>3462</v>
      </c>
      <c r="F513" t="s">
        <v>168</v>
      </c>
      <c r="G513" s="12" t="s">
        <v>3463</v>
      </c>
      <c r="H513" s="12"/>
      <c r="I513">
        <v>79</v>
      </c>
      <c r="J513">
        <v>79</v>
      </c>
      <c r="K513">
        <v>174</v>
      </c>
      <c r="L513">
        <v>104</v>
      </c>
      <c r="M513" t="s">
        <v>72</v>
      </c>
      <c r="N513">
        <v>166</v>
      </c>
      <c r="O513">
        <v>100</v>
      </c>
      <c r="P513" t="s">
        <v>72</v>
      </c>
      <c r="Q513" t="s">
        <v>72</v>
      </c>
      <c r="R513">
        <v>111.1</v>
      </c>
      <c r="S513">
        <v>169</v>
      </c>
      <c r="T513" s="8">
        <f t="shared" si="14"/>
        <v>38.899198207345677</v>
      </c>
      <c r="U513" s="13" t="str" cm="1">
        <f t="array" ref="U513">IF(T513="","",_xlfn.IFS(T513&lt;18.5,"Bajo peso",T513&lt;25,"Peso normal",T513&lt;30,"Sobrepeso",T513&lt;35,"Obesidad clase I",T513&lt;40,"Obesidad clase II",T513&gt;=40,"Obesidad clase III"))</f>
        <v>Obesidad clase II</v>
      </c>
      <c r="V513">
        <v>89</v>
      </c>
      <c r="X513" t="s">
        <v>3463</v>
      </c>
      <c r="Y513">
        <v>0.94</v>
      </c>
      <c r="AA513">
        <v>88</v>
      </c>
      <c r="AB513" s="9">
        <f t="shared" si="15"/>
        <v>87.751875568127616</v>
      </c>
      <c r="AD513" t="s">
        <v>73</v>
      </c>
      <c r="AF513" t="s">
        <v>73</v>
      </c>
      <c r="AH513" t="s">
        <v>3463</v>
      </c>
      <c r="AI513" t="s">
        <v>3465</v>
      </c>
      <c r="AJ513" t="s">
        <v>3463</v>
      </c>
      <c r="AK513" t="s">
        <v>3463</v>
      </c>
      <c r="AL513" t="s">
        <v>3465</v>
      </c>
      <c r="AM513" t="s">
        <v>1320</v>
      </c>
      <c r="AN513" t="s">
        <v>3724</v>
      </c>
      <c r="AP513" t="s">
        <v>3463</v>
      </c>
      <c r="AQ513" t="s">
        <v>1321</v>
      </c>
      <c r="AR513" t="s">
        <v>3491</v>
      </c>
      <c r="AS513" t="s">
        <v>3465</v>
      </c>
      <c r="AV513" t="s">
        <v>74</v>
      </c>
      <c r="AW513" t="s">
        <v>3915</v>
      </c>
      <c r="BA513" t="s">
        <v>3920</v>
      </c>
      <c r="BF513" t="s">
        <v>3921</v>
      </c>
      <c r="BG513" t="s">
        <v>1322</v>
      </c>
      <c r="BH513" t="s">
        <v>4045</v>
      </c>
      <c r="BK513" t="s">
        <v>911</v>
      </c>
      <c r="BL513" t="s">
        <v>1323</v>
      </c>
      <c r="BP513" t="s">
        <v>4426</v>
      </c>
      <c r="BQ513" t="s">
        <v>3465</v>
      </c>
      <c r="BR513" t="s">
        <v>3465</v>
      </c>
      <c r="BS513" t="s">
        <v>3463</v>
      </c>
      <c r="BT513" t="s">
        <v>3463</v>
      </c>
      <c r="BU513" t="s">
        <v>3463</v>
      </c>
      <c r="BV513" t="s">
        <v>3463</v>
      </c>
      <c r="BW513" t="s">
        <v>3463</v>
      </c>
      <c r="BX513" t="s">
        <v>79</v>
      </c>
      <c r="BY513" t="s">
        <v>87</v>
      </c>
      <c r="BZ513" t="s">
        <v>79</v>
      </c>
      <c r="CA513" s="10">
        <v>45910</v>
      </c>
    </row>
    <row r="514" spans="1:79">
      <c r="A514">
        <v>520</v>
      </c>
      <c r="B514">
        <v>137</v>
      </c>
      <c r="C514">
        <v>74</v>
      </c>
      <c r="D514" t="s">
        <v>3462</v>
      </c>
      <c r="E514" t="s">
        <v>974</v>
      </c>
      <c r="F514" t="s">
        <v>969</v>
      </c>
      <c r="G514" s="12" t="s">
        <v>3465</v>
      </c>
      <c r="H514" s="12" t="s">
        <v>88</v>
      </c>
      <c r="I514">
        <v>75</v>
      </c>
      <c r="J514">
        <v>75</v>
      </c>
      <c r="K514">
        <v>198</v>
      </c>
      <c r="L514">
        <v>103</v>
      </c>
      <c r="M514" t="s">
        <v>96</v>
      </c>
      <c r="N514">
        <v>163</v>
      </c>
      <c r="O514">
        <v>101</v>
      </c>
      <c r="P514" t="s">
        <v>72</v>
      </c>
      <c r="Q514" t="s">
        <v>72</v>
      </c>
      <c r="R514">
        <v>78.5</v>
      </c>
      <c r="S514">
        <v>156</v>
      </c>
      <c r="T514" s="8">
        <f t="shared" ref="T514:T577" si="16">IFERROR(R514/(S514^2)*10000,"")</f>
        <v>32.256738987508214</v>
      </c>
      <c r="U514" s="13" t="str" cm="1">
        <f t="array" ref="U514">IF(T514="","",_xlfn.IFS(T514&lt;18.5,"Bajo peso",T514&lt;25,"Peso normal",T514&lt;30,"Sobrepeso",T514&lt;35,"Obesidad clase I",T514&lt;40,"Obesidad clase II",T514&gt;=40,"Obesidad clase III"))</f>
        <v>Obesidad clase I</v>
      </c>
      <c r="V514">
        <v>132</v>
      </c>
      <c r="X514" t="s">
        <v>3463</v>
      </c>
      <c r="Y514">
        <v>1.35</v>
      </c>
      <c r="AA514">
        <v>55</v>
      </c>
      <c r="AB514" s="9">
        <f t="shared" ref="AB514:AB577" si="17">IF(OR(C514="",D514="",Y514=""),"",142*POWER(MIN(Y514/IF(D514="Mujer",0.7,0.9),1),IF(D514="Mujer",-0.241,-0.302))*POWER(MAX(Y514/IF(D514="Mujer",0.7,0.9),1),-1.2)*POWER(0.9938,C514)*IF(D514="Mujer",1.012,1))</f>
        <v>55.093995831256002</v>
      </c>
      <c r="AD514" t="s">
        <v>158</v>
      </c>
      <c r="AF514" t="s">
        <v>158</v>
      </c>
      <c r="AH514" t="s">
        <v>3463</v>
      </c>
      <c r="AI514" t="s">
        <v>3465</v>
      </c>
      <c r="AJ514" t="s">
        <v>3465</v>
      </c>
      <c r="AK514" t="s">
        <v>3463</v>
      </c>
      <c r="AL514" t="s">
        <v>3465</v>
      </c>
      <c r="AM514" t="s">
        <v>1324</v>
      </c>
      <c r="AN514" t="s">
        <v>3725</v>
      </c>
      <c r="AO514" t="s">
        <v>3465</v>
      </c>
      <c r="AP514" t="s">
        <v>3465</v>
      </c>
      <c r="AQ514" t="s">
        <v>1325</v>
      </c>
      <c r="AR514" t="s">
        <v>3528</v>
      </c>
      <c r="AS514" t="s">
        <v>3465</v>
      </c>
      <c r="AV514" t="s">
        <v>74</v>
      </c>
      <c r="AW514" t="s">
        <v>3915</v>
      </c>
      <c r="BA514" t="s">
        <v>3920</v>
      </c>
      <c r="BC514" t="s">
        <v>128</v>
      </c>
      <c r="BF514" t="s">
        <v>3921</v>
      </c>
      <c r="BG514" t="s">
        <v>1326</v>
      </c>
      <c r="BH514" t="s">
        <v>4129</v>
      </c>
      <c r="BI514" t="s">
        <v>411</v>
      </c>
      <c r="BK514" t="s">
        <v>1327</v>
      </c>
      <c r="BL514" t="s">
        <v>1328</v>
      </c>
      <c r="BP514" t="s">
        <v>4427</v>
      </c>
      <c r="BQ514" t="s">
        <v>3463</v>
      </c>
      <c r="BR514" t="s">
        <v>3465</v>
      </c>
      <c r="BS514" t="s">
        <v>3463</v>
      </c>
      <c r="BT514" t="s">
        <v>3463</v>
      </c>
      <c r="BU514" t="s">
        <v>3463</v>
      </c>
      <c r="BV514" t="s">
        <v>3463</v>
      </c>
      <c r="BW514" t="s">
        <v>3463</v>
      </c>
      <c r="BX514" t="s">
        <v>79</v>
      </c>
      <c r="BY514" t="s">
        <v>87</v>
      </c>
      <c r="BZ514" t="s">
        <v>109</v>
      </c>
      <c r="CA514" s="10">
        <v>45910</v>
      </c>
    </row>
    <row r="515" spans="1:79">
      <c r="A515">
        <v>521</v>
      </c>
      <c r="B515">
        <v>138</v>
      </c>
      <c r="C515">
        <v>53</v>
      </c>
      <c r="D515" t="s">
        <v>3466</v>
      </c>
      <c r="F515" t="s">
        <v>969</v>
      </c>
      <c r="G515" s="12" t="s">
        <v>3465</v>
      </c>
      <c r="H515" t="s">
        <v>88</v>
      </c>
      <c r="I515">
        <v>91</v>
      </c>
      <c r="J515">
        <v>88</v>
      </c>
      <c r="K515">
        <v>155</v>
      </c>
      <c r="L515">
        <v>88</v>
      </c>
      <c r="M515" t="s">
        <v>72</v>
      </c>
      <c r="N515">
        <v>151</v>
      </c>
      <c r="O515">
        <v>94</v>
      </c>
      <c r="P515" t="s">
        <v>72</v>
      </c>
      <c r="Q515" t="s">
        <v>72</v>
      </c>
      <c r="R515">
        <v>102.45</v>
      </c>
      <c r="S515">
        <v>160</v>
      </c>
      <c r="T515" s="8">
        <f t="shared" si="16"/>
        <v>40.01953125</v>
      </c>
      <c r="U515" s="13" t="str" cm="1">
        <f t="array" ref="U515">IF(T515="","",_xlfn.IFS(T515&lt;18.5,"Bajo peso",T515&lt;25,"Peso normal",T515&lt;30,"Sobrepeso",T515&lt;35,"Obesidad clase I",T515&lt;40,"Obesidad clase II",T515&gt;=40,"Obesidad clase III"))</f>
        <v>Obesidad clase III</v>
      </c>
      <c r="V515">
        <v>118</v>
      </c>
      <c r="X515" t="s">
        <v>3463</v>
      </c>
      <c r="Y515">
        <v>0.71</v>
      </c>
      <c r="AA515">
        <v>90</v>
      </c>
      <c r="AB515" s="9">
        <f t="shared" si="17"/>
        <v>101.60687257776395</v>
      </c>
      <c r="AD515" t="s">
        <v>73</v>
      </c>
      <c r="AF515" t="s">
        <v>73</v>
      </c>
      <c r="AH515" t="s">
        <v>3463</v>
      </c>
      <c r="AI515" t="s">
        <v>3463</v>
      </c>
      <c r="AJ515" t="s">
        <v>3463</v>
      </c>
      <c r="AK515" t="s">
        <v>3463</v>
      </c>
      <c r="AL515" t="s">
        <v>3465</v>
      </c>
      <c r="AM515" t="s">
        <v>1329</v>
      </c>
      <c r="AN515" t="s">
        <v>3640</v>
      </c>
      <c r="AO515" t="s">
        <v>3465</v>
      </c>
      <c r="AP515" t="s">
        <v>3465</v>
      </c>
      <c r="AQ515" t="s">
        <v>1330</v>
      </c>
      <c r="AR515" t="s">
        <v>3553</v>
      </c>
      <c r="AT515" t="s">
        <v>3463</v>
      </c>
      <c r="AU515" t="s">
        <v>80</v>
      </c>
      <c r="AV515" t="s">
        <v>74</v>
      </c>
      <c r="AW515" t="s">
        <v>3915</v>
      </c>
      <c r="AX515" t="s">
        <v>3465</v>
      </c>
      <c r="AY515" t="s">
        <v>3463</v>
      </c>
      <c r="AZ515" t="s">
        <v>1331</v>
      </c>
      <c r="BF515" t="s">
        <v>3921</v>
      </c>
      <c r="BH515" t="s">
        <v>4020</v>
      </c>
      <c r="BP515" t="s">
        <v>4260</v>
      </c>
      <c r="BQ515" t="s">
        <v>3463</v>
      </c>
      <c r="BR515" t="s">
        <v>3465</v>
      </c>
      <c r="BS515" t="s">
        <v>3465</v>
      </c>
      <c r="BT515" t="s">
        <v>3465</v>
      </c>
      <c r="BU515" t="s">
        <v>3463</v>
      </c>
      <c r="BV515" t="s">
        <v>3463</v>
      </c>
      <c r="BW515" t="s">
        <v>3463</v>
      </c>
      <c r="BX515" t="s">
        <v>518</v>
      </c>
      <c r="BY515" t="s">
        <v>79</v>
      </c>
      <c r="BZ515" t="s">
        <v>79</v>
      </c>
      <c r="CA515" s="10">
        <v>45910</v>
      </c>
    </row>
    <row r="516" spans="1:79">
      <c r="A516">
        <v>522</v>
      </c>
      <c r="B516">
        <v>139</v>
      </c>
      <c r="C516">
        <v>73</v>
      </c>
      <c r="D516" t="s">
        <v>3466</v>
      </c>
      <c r="E516" t="s">
        <v>1282</v>
      </c>
      <c r="F516" t="s">
        <v>969</v>
      </c>
      <c r="G516" s="12" t="s">
        <v>3465</v>
      </c>
      <c r="H516" t="s">
        <v>88</v>
      </c>
      <c r="I516">
        <v>100</v>
      </c>
      <c r="J516">
        <v>99</v>
      </c>
      <c r="K516">
        <v>169</v>
      </c>
      <c r="L516">
        <v>74</v>
      </c>
      <c r="M516" t="s">
        <v>72</v>
      </c>
      <c r="N516">
        <v>158</v>
      </c>
      <c r="O516">
        <v>69</v>
      </c>
      <c r="P516" t="s">
        <v>72</v>
      </c>
      <c r="Q516" t="s">
        <v>72</v>
      </c>
      <c r="R516">
        <v>77.900000000000006</v>
      </c>
      <c r="S516">
        <v>148</v>
      </c>
      <c r="T516" s="8">
        <f t="shared" si="16"/>
        <v>35.564280496712932</v>
      </c>
      <c r="U516" s="13" t="str" cm="1">
        <f t="array" ref="U516">IF(T516="","",_xlfn.IFS(T516&lt;18.5,"Bajo peso",T516&lt;25,"Peso normal",T516&lt;30,"Sobrepeso",T516&lt;35,"Obesidad clase I",T516&lt;40,"Obesidad clase II",T516&gt;=40,"Obesidad clase III"))</f>
        <v>Obesidad clase II</v>
      </c>
      <c r="V516">
        <v>200</v>
      </c>
      <c r="X516" t="s">
        <v>3465</v>
      </c>
      <c r="Y516">
        <v>0.66</v>
      </c>
      <c r="AA516">
        <v>90</v>
      </c>
      <c r="AB516" s="9">
        <f t="shared" si="17"/>
        <v>92.566499760923733</v>
      </c>
      <c r="AD516" t="s">
        <v>73</v>
      </c>
      <c r="AF516" t="s">
        <v>73</v>
      </c>
      <c r="AG516" t="s">
        <v>3465</v>
      </c>
      <c r="AH516" t="s">
        <v>3465</v>
      </c>
      <c r="AI516" t="s">
        <v>3465</v>
      </c>
      <c r="AJ516" t="s">
        <v>3463</v>
      </c>
      <c r="AK516" t="s">
        <v>3463</v>
      </c>
      <c r="AL516" t="s">
        <v>3465</v>
      </c>
      <c r="AM516" t="s">
        <v>110</v>
      </c>
      <c r="AN516" t="s">
        <v>110</v>
      </c>
      <c r="AP516" t="s">
        <v>3463</v>
      </c>
      <c r="AS516" t="s">
        <v>3465</v>
      </c>
      <c r="AT516" t="s">
        <v>3463</v>
      </c>
      <c r="AU516" t="s">
        <v>80</v>
      </c>
      <c r="AV516" t="s">
        <v>74</v>
      </c>
      <c r="AW516" t="s">
        <v>3915</v>
      </c>
      <c r="AX516" t="s">
        <v>3463</v>
      </c>
      <c r="AY516" t="s">
        <v>3463</v>
      </c>
      <c r="BA516" t="s">
        <v>3920</v>
      </c>
      <c r="BB516" t="s">
        <v>3485</v>
      </c>
      <c r="BC516" t="s">
        <v>128</v>
      </c>
      <c r="BF516" t="s">
        <v>3921</v>
      </c>
      <c r="BG516" t="s">
        <v>1332</v>
      </c>
      <c r="BH516" t="s">
        <v>4138</v>
      </c>
      <c r="BI516" t="s">
        <v>1333</v>
      </c>
      <c r="BK516" t="s">
        <v>1334</v>
      </c>
      <c r="BL516" t="s">
        <v>1335</v>
      </c>
      <c r="BP516" t="s">
        <v>4392</v>
      </c>
      <c r="BQ516" t="s">
        <v>3463</v>
      </c>
      <c r="BR516" t="s">
        <v>3465</v>
      </c>
      <c r="BS516" t="s">
        <v>3463</v>
      </c>
      <c r="BT516" t="s">
        <v>3463</v>
      </c>
      <c r="BU516" t="s">
        <v>3463</v>
      </c>
      <c r="BV516" t="s">
        <v>3463</v>
      </c>
      <c r="BW516" t="s">
        <v>3463</v>
      </c>
      <c r="BX516" t="s">
        <v>79</v>
      </c>
      <c r="BY516" t="s">
        <v>87</v>
      </c>
      <c r="BZ516" t="s">
        <v>95</v>
      </c>
      <c r="CA516" s="10">
        <v>45910</v>
      </c>
    </row>
    <row r="517" spans="1:79">
      <c r="A517">
        <v>523</v>
      </c>
      <c r="B517">
        <v>140</v>
      </c>
      <c r="C517">
        <v>59</v>
      </c>
      <c r="D517" t="s">
        <v>3466</v>
      </c>
      <c r="E517" t="s">
        <v>1237</v>
      </c>
      <c r="F517" t="s">
        <v>969</v>
      </c>
      <c r="G517" s="12" t="s">
        <v>3463</v>
      </c>
      <c r="H517" s="12"/>
      <c r="I517">
        <v>86</v>
      </c>
      <c r="K517">
        <v>122</v>
      </c>
      <c r="L517">
        <v>90</v>
      </c>
      <c r="M517" t="s">
        <v>72</v>
      </c>
      <c r="P517" t="s">
        <v>83</v>
      </c>
      <c r="Q517" t="s">
        <v>72</v>
      </c>
      <c r="R517">
        <v>71.8</v>
      </c>
      <c r="S517">
        <v>158.69999999999999</v>
      </c>
      <c r="T517" s="8">
        <f t="shared" si="16"/>
        <v>28.50825210665263</v>
      </c>
      <c r="U517" s="13" t="str" cm="1">
        <f t="array" ref="U517">IF(T517="","",_xlfn.IFS(T517&lt;18.5,"Bajo peso",T517&lt;25,"Peso normal",T517&lt;30,"Sobrepeso",T517&lt;35,"Obesidad clase I",T517&lt;40,"Obesidad clase II",T517&gt;=40,"Obesidad clase III"))</f>
        <v>Sobrepeso</v>
      </c>
      <c r="V517">
        <v>101</v>
      </c>
      <c r="X517" t="s">
        <v>3463</v>
      </c>
      <c r="Y517">
        <v>0.72</v>
      </c>
      <c r="AA517">
        <v>90</v>
      </c>
      <c r="AB517" s="9">
        <f t="shared" si="17"/>
        <v>96.256055655050886</v>
      </c>
      <c r="AD517" t="s">
        <v>73</v>
      </c>
      <c r="AF517" t="s">
        <v>73</v>
      </c>
      <c r="AH517" t="s">
        <v>3463</v>
      </c>
      <c r="AI517" t="s">
        <v>3465</v>
      </c>
      <c r="AJ517" t="s">
        <v>3463</v>
      </c>
      <c r="AK517" t="s">
        <v>3463</v>
      </c>
      <c r="AL517" t="s">
        <v>3465</v>
      </c>
      <c r="AM517" t="s">
        <v>1336</v>
      </c>
      <c r="AN517" t="s">
        <v>116</v>
      </c>
      <c r="AP517" t="s">
        <v>3463</v>
      </c>
      <c r="AQ517" t="s">
        <v>1337</v>
      </c>
      <c r="AR517" t="s">
        <v>3488</v>
      </c>
      <c r="AS517" t="s">
        <v>3465</v>
      </c>
      <c r="AT517" t="s">
        <v>3463</v>
      </c>
      <c r="AV517" t="s">
        <v>126</v>
      </c>
      <c r="AW517" t="s">
        <v>126</v>
      </c>
      <c r="AY517" t="s">
        <v>3465</v>
      </c>
      <c r="AZ517" t="s">
        <v>665</v>
      </c>
      <c r="BF517" t="s">
        <v>3921</v>
      </c>
      <c r="BH517" t="s">
        <v>4020</v>
      </c>
      <c r="BP517" t="s">
        <v>4260</v>
      </c>
      <c r="BQ517" t="s">
        <v>3463</v>
      </c>
      <c r="BR517" t="s">
        <v>3463</v>
      </c>
      <c r="BS517" t="s">
        <v>3463</v>
      </c>
      <c r="BT517" t="s">
        <v>3463</v>
      </c>
      <c r="BU517" t="s">
        <v>3463</v>
      </c>
      <c r="BV517" t="s">
        <v>3463</v>
      </c>
      <c r="BW517" t="s">
        <v>3463</v>
      </c>
      <c r="BX517" t="s">
        <v>518</v>
      </c>
      <c r="BY517" t="s">
        <v>79</v>
      </c>
      <c r="BZ517" t="s">
        <v>79</v>
      </c>
      <c r="CA517" s="10">
        <v>45910</v>
      </c>
    </row>
    <row r="518" spans="1:79">
      <c r="A518">
        <v>524</v>
      </c>
      <c r="B518">
        <v>141</v>
      </c>
      <c r="C518">
        <v>73</v>
      </c>
      <c r="D518" t="s">
        <v>3466</v>
      </c>
      <c r="F518" t="s">
        <v>969</v>
      </c>
      <c r="G518" s="12" t="s">
        <v>3465</v>
      </c>
      <c r="H518" s="12" t="s">
        <v>88</v>
      </c>
      <c r="I518">
        <v>97</v>
      </c>
      <c r="J518">
        <v>97</v>
      </c>
      <c r="K518">
        <v>160</v>
      </c>
      <c r="L518">
        <v>80</v>
      </c>
      <c r="M518" t="s">
        <v>72</v>
      </c>
      <c r="N518">
        <v>157</v>
      </c>
      <c r="O518">
        <v>85</v>
      </c>
      <c r="P518" t="s">
        <v>72</v>
      </c>
      <c r="Q518" t="s">
        <v>72</v>
      </c>
      <c r="R518">
        <v>69.2</v>
      </c>
      <c r="S518">
        <v>150</v>
      </c>
      <c r="T518" s="8">
        <f t="shared" si="16"/>
        <v>30.755555555555556</v>
      </c>
      <c r="U518" s="13" t="str" cm="1">
        <f t="array" ref="U518">IF(T518="","",_xlfn.IFS(T518&lt;18.5,"Bajo peso",T518&lt;25,"Peso normal",T518&lt;30,"Sobrepeso",T518&lt;35,"Obesidad clase I",T518&lt;40,"Obesidad clase II",T518&gt;=40,"Obesidad clase III"))</f>
        <v>Obesidad clase I</v>
      </c>
      <c r="V518">
        <v>107</v>
      </c>
      <c r="X518" t="s">
        <v>3463</v>
      </c>
      <c r="Y518">
        <v>0.56000000000000005</v>
      </c>
      <c r="AA518">
        <v>90</v>
      </c>
      <c r="AB518" s="9">
        <f t="shared" si="17"/>
        <v>96.305394791710114</v>
      </c>
      <c r="AD518" t="s">
        <v>73</v>
      </c>
      <c r="AF518" t="s">
        <v>73</v>
      </c>
      <c r="AH518" t="s">
        <v>3463</v>
      </c>
      <c r="AI518" t="s">
        <v>3465</v>
      </c>
      <c r="AJ518" t="s">
        <v>3463</v>
      </c>
      <c r="AK518" t="s">
        <v>3463</v>
      </c>
      <c r="AL518" t="s">
        <v>3465</v>
      </c>
      <c r="AM518" t="s">
        <v>472</v>
      </c>
      <c r="AN518" t="s">
        <v>3617</v>
      </c>
      <c r="AP518" t="s">
        <v>3463</v>
      </c>
      <c r="AQ518" t="s">
        <v>1338</v>
      </c>
      <c r="AR518" t="s">
        <v>3488</v>
      </c>
      <c r="AS518" t="s">
        <v>3465</v>
      </c>
      <c r="AT518" t="s">
        <v>3463</v>
      </c>
      <c r="AU518" t="s">
        <v>80</v>
      </c>
      <c r="AV518" t="s">
        <v>178</v>
      </c>
      <c r="AW518" t="s">
        <v>3918</v>
      </c>
      <c r="AX518" t="s">
        <v>3465</v>
      </c>
      <c r="AY518" t="s">
        <v>3465</v>
      </c>
      <c r="AZ518" t="s">
        <v>1339</v>
      </c>
      <c r="BA518" t="s">
        <v>3920</v>
      </c>
      <c r="BF518" t="s">
        <v>3921</v>
      </c>
      <c r="BG518" t="s">
        <v>1340</v>
      </c>
      <c r="BH518" t="s">
        <v>4029</v>
      </c>
      <c r="BL518" t="s">
        <v>1341</v>
      </c>
      <c r="BP518" t="s">
        <v>4371</v>
      </c>
      <c r="BQ518" t="s">
        <v>3463</v>
      </c>
      <c r="BR518" t="s">
        <v>3465</v>
      </c>
      <c r="BS518" t="s">
        <v>3463</v>
      </c>
      <c r="BT518" t="s">
        <v>3463</v>
      </c>
      <c r="BU518" t="s">
        <v>3463</v>
      </c>
      <c r="BV518" t="s">
        <v>3463</v>
      </c>
      <c r="BW518" t="s">
        <v>3463</v>
      </c>
      <c r="BX518" t="s">
        <v>79</v>
      </c>
      <c r="BY518" t="s">
        <v>79</v>
      </c>
      <c r="BZ518" t="s">
        <v>79</v>
      </c>
      <c r="CA518" s="10">
        <v>45910</v>
      </c>
    </row>
    <row r="519" spans="1:79">
      <c r="A519">
        <v>525</v>
      </c>
      <c r="B519">
        <v>142</v>
      </c>
      <c r="C519">
        <v>50</v>
      </c>
      <c r="D519" t="s">
        <v>3466</v>
      </c>
      <c r="E519" t="s">
        <v>974</v>
      </c>
      <c r="F519" t="s">
        <v>969</v>
      </c>
      <c r="G519" s="12" t="s">
        <v>3463</v>
      </c>
      <c r="I519">
        <v>81</v>
      </c>
      <c r="K519">
        <v>140</v>
      </c>
      <c r="L519">
        <v>89</v>
      </c>
      <c r="M519" t="s">
        <v>72</v>
      </c>
      <c r="P519" t="s">
        <v>83</v>
      </c>
      <c r="Q519" t="s">
        <v>72</v>
      </c>
      <c r="R519">
        <v>71</v>
      </c>
      <c r="S519">
        <v>152.5</v>
      </c>
      <c r="T519" s="8">
        <f t="shared" si="16"/>
        <v>30.529427573233004</v>
      </c>
      <c r="U519" s="13" t="str" cm="1">
        <f t="array" ref="U519">IF(T519="","",_xlfn.IFS(T519&lt;18.5,"Bajo peso",T519&lt;25,"Peso normal",T519&lt;30,"Sobrepeso",T519&lt;35,"Obesidad clase I",T519&lt;40,"Obesidad clase II",T519&gt;=40,"Obesidad clase III"))</f>
        <v>Obesidad clase I</v>
      </c>
      <c r="V519">
        <v>87</v>
      </c>
      <c r="X519" t="s">
        <v>3463</v>
      </c>
      <c r="Y519">
        <v>0.75</v>
      </c>
      <c r="AA519">
        <v>90</v>
      </c>
      <c r="AB519" s="9">
        <f t="shared" si="17"/>
        <v>96.93098127406104</v>
      </c>
      <c r="AD519" t="s">
        <v>73</v>
      </c>
      <c r="AF519" t="s">
        <v>73</v>
      </c>
      <c r="AH519" t="s">
        <v>3463</v>
      </c>
      <c r="AI519" t="s">
        <v>3463</v>
      </c>
      <c r="AJ519" t="s">
        <v>3463</v>
      </c>
      <c r="AK519" t="s">
        <v>3463</v>
      </c>
      <c r="AL519" t="s">
        <v>3463</v>
      </c>
      <c r="AP519" t="s">
        <v>3463</v>
      </c>
      <c r="AT519" t="s">
        <v>3465</v>
      </c>
      <c r="AU519" t="s">
        <v>80</v>
      </c>
      <c r="AV519" t="s">
        <v>74</v>
      </c>
      <c r="AW519" t="s">
        <v>3915</v>
      </c>
      <c r="AX519" t="s">
        <v>3463</v>
      </c>
      <c r="AY519" t="s">
        <v>3465</v>
      </c>
      <c r="AZ519" t="s">
        <v>90</v>
      </c>
      <c r="BF519" t="s">
        <v>3921</v>
      </c>
      <c r="BH519" t="s">
        <v>4020</v>
      </c>
      <c r="BP519" t="s">
        <v>4260</v>
      </c>
      <c r="BQ519" t="s">
        <v>3463</v>
      </c>
      <c r="BR519" t="s">
        <v>3463</v>
      </c>
      <c r="BS519" t="s">
        <v>3465</v>
      </c>
      <c r="BT519" t="s">
        <v>3465</v>
      </c>
      <c r="BU519" t="s">
        <v>3463</v>
      </c>
      <c r="BV519" t="s">
        <v>3463</v>
      </c>
      <c r="BW519" t="s">
        <v>3463</v>
      </c>
      <c r="BX519" t="s">
        <v>79</v>
      </c>
      <c r="BY519" t="s">
        <v>79</v>
      </c>
      <c r="BZ519" t="s">
        <v>79</v>
      </c>
      <c r="CA519" s="10">
        <v>45910</v>
      </c>
    </row>
    <row r="520" spans="1:79">
      <c r="A520">
        <v>526</v>
      </c>
      <c r="B520">
        <v>143</v>
      </c>
      <c r="C520">
        <v>28</v>
      </c>
      <c r="D520" t="s">
        <v>3466</v>
      </c>
      <c r="F520" t="s">
        <v>969</v>
      </c>
      <c r="G520" s="12" t="s">
        <v>3465</v>
      </c>
      <c r="H520" t="s">
        <v>88</v>
      </c>
      <c r="I520">
        <v>83</v>
      </c>
      <c r="K520">
        <v>124</v>
      </c>
      <c r="L520">
        <v>70</v>
      </c>
      <c r="M520" t="s">
        <v>118</v>
      </c>
      <c r="P520" t="s">
        <v>83</v>
      </c>
      <c r="Q520" t="s">
        <v>118</v>
      </c>
      <c r="R520">
        <v>68.2</v>
      </c>
      <c r="S520">
        <v>156</v>
      </c>
      <c r="T520" s="8">
        <f t="shared" si="16"/>
        <v>28.02432610124918</v>
      </c>
      <c r="U520" s="13" t="str" cm="1">
        <f t="array" ref="U520">IF(T520="","",_xlfn.IFS(T520&lt;18.5,"Bajo peso",T520&lt;25,"Peso normal",T520&lt;30,"Sobrepeso",T520&lt;35,"Obesidad clase I",T520&lt;40,"Obesidad clase II",T520&gt;=40,"Obesidad clase III"))</f>
        <v>Sobrepeso</v>
      </c>
      <c r="V520">
        <v>90</v>
      </c>
      <c r="X520" t="s">
        <v>3463</v>
      </c>
      <c r="Y520">
        <v>0.65</v>
      </c>
      <c r="AA520">
        <v>90</v>
      </c>
      <c r="AB520" s="9">
        <f t="shared" si="17"/>
        <v>122.91281156632976</v>
      </c>
      <c r="AD520" t="s">
        <v>73</v>
      </c>
      <c r="AF520" t="s">
        <v>73</v>
      </c>
      <c r="AI520" t="s">
        <v>3463</v>
      </c>
      <c r="AJ520" t="s">
        <v>3463</v>
      </c>
      <c r="AK520" t="s">
        <v>3463</v>
      </c>
      <c r="AP520" t="s">
        <v>3463</v>
      </c>
      <c r="AQ520" t="s">
        <v>1078</v>
      </c>
      <c r="AR520" t="s">
        <v>3512</v>
      </c>
      <c r="AT520" t="s">
        <v>3463</v>
      </c>
      <c r="AV520" t="s">
        <v>74</v>
      </c>
      <c r="AW520" t="s">
        <v>3915</v>
      </c>
      <c r="AX520" t="s">
        <v>3463</v>
      </c>
      <c r="AY520" t="s">
        <v>3465</v>
      </c>
      <c r="AZ520" t="s">
        <v>137</v>
      </c>
      <c r="BF520" t="s">
        <v>3921</v>
      </c>
      <c r="BH520" t="s">
        <v>4020</v>
      </c>
      <c r="BP520" t="s">
        <v>4260</v>
      </c>
      <c r="BQ520" t="s">
        <v>3463</v>
      </c>
      <c r="BR520" t="s">
        <v>3463</v>
      </c>
      <c r="BS520" t="s">
        <v>3463</v>
      </c>
      <c r="BT520" t="s">
        <v>3463</v>
      </c>
      <c r="BU520" t="s">
        <v>3463</v>
      </c>
      <c r="BV520" t="s">
        <v>3463</v>
      </c>
      <c r="BW520" t="s">
        <v>3463</v>
      </c>
      <c r="BX520" t="s">
        <v>79</v>
      </c>
      <c r="BY520" t="s">
        <v>79</v>
      </c>
      <c r="BZ520" t="s">
        <v>79</v>
      </c>
      <c r="CA520" s="10">
        <v>45910</v>
      </c>
    </row>
    <row r="521" spans="1:79">
      <c r="A521">
        <v>527</v>
      </c>
      <c r="B521">
        <v>145</v>
      </c>
      <c r="C521">
        <v>21</v>
      </c>
      <c r="D521" t="s">
        <v>3466</v>
      </c>
      <c r="E521" t="s">
        <v>1342</v>
      </c>
      <c r="F521" t="s">
        <v>969</v>
      </c>
      <c r="G521" s="12" t="s">
        <v>3465</v>
      </c>
      <c r="H521" s="12" t="s">
        <v>88</v>
      </c>
      <c r="I521">
        <v>76</v>
      </c>
      <c r="K521">
        <v>132</v>
      </c>
      <c r="L521">
        <v>66</v>
      </c>
      <c r="M521" t="s">
        <v>82</v>
      </c>
      <c r="P521" t="s">
        <v>83</v>
      </c>
      <c r="Q521" t="s">
        <v>82</v>
      </c>
      <c r="R521">
        <v>98.7</v>
      </c>
      <c r="S521">
        <v>173</v>
      </c>
      <c r="T521" s="8">
        <f t="shared" si="16"/>
        <v>32.978048047044673</v>
      </c>
      <c r="U521" s="13" t="str" cm="1">
        <f t="array" ref="U521">IF(T521="","",_xlfn.IFS(T521&lt;18.5,"Bajo peso",T521&lt;25,"Peso normal",T521&lt;30,"Sobrepeso",T521&lt;35,"Obesidad clase I",T521&lt;40,"Obesidad clase II",T521&gt;=40,"Obesidad clase III"))</f>
        <v>Obesidad clase I</v>
      </c>
      <c r="V521">
        <v>87</v>
      </c>
      <c r="X521" t="s">
        <v>3463</v>
      </c>
      <c r="Y521">
        <v>0.77</v>
      </c>
      <c r="AA521">
        <v>90</v>
      </c>
      <c r="AB521" s="9">
        <f t="shared" si="17"/>
        <v>112.48030240814334</v>
      </c>
      <c r="AD521" t="s">
        <v>73</v>
      </c>
      <c r="AF521" t="s">
        <v>73</v>
      </c>
      <c r="AH521" t="s">
        <v>3463</v>
      </c>
      <c r="AI521" t="s">
        <v>3463</v>
      </c>
      <c r="AJ521" t="s">
        <v>3463</v>
      </c>
      <c r="AK521" t="s">
        <v>3463</v>
      </c>
      <c r="AL521" t="s">
        <v>3463</v>
      </c>
      <c r="AO521" t="s">
        <v>3465</v>
      </c>
      <c r="AP521" t="s">
        <v>3465</v>
      </c>
      <c r="AQ521" t="s">
        <v>1343</v>
      </c>
      <c r="AR521" t="s">
        <v>3554</v>
      </c>
      <c r="AV521" t="s">
        <v>74</v>
      </c>
      <c r="AW521" t="s">
        <v>3915</v>
      </c>
      <c r="AX521" t="s">
        <v>3463</v>
      </c>
      <c r="AY521" t="s">
        <v>3463</v>
      </c>
      <c r="BF521" t="s">
        <v>3921</v>
      </c>
      <c r="BH521" t="s">
        <v>4020</v>
      </c>
      <c r="BP521" t="s">
        <v>4260</v>
      </c>
      <c r="BQ521" t="s">
        <v>3463</v>
      </c>
      <c r="BR521" t="s">
        <v>3463</v>
      </c>
      <c r="BS521" t="s">
        <v>3463</v>
      </c>
      <c r="BT521" t="s">
        <v>3463</v>
      </c>
      <c r="BU521" t="s">
        <v>3463</v>
      </c>
      <c r="BV521" t="s">
        <v>3463</v>
      </c>
      <c r="BW521" t="s">
        <v>3463</v>
      </c>
      <c r="BX521" t="s">
        <v>654</v>
      </c>
      <c r="BY521" t="s">
        <v>79</v>
      </c>
      <c r="BZ521" t="s">
        <v>95</v>
      </c>
      <c r="CA521" s="10">
        <v>45910</v>
      </c>
    </row>
    <row r="522" spans="1:79">
      <c r="A522">
        <v>528</v>
      </c>
      <c r="B522">
        <v>146</v>
      </c>
      <c r="C522">
        <v>52</v>
      </c>
      <c r="D522" t="s">
        <v>3462</v>
      </c>
      <c r="E522" t="s">
        <v>1000</v>
      </c>
      <c r="F522" t="s">
        <v>969</v>
      </c>
      <c r="G522" s="12" t="s">
        <v>3465</v>
      </c>
      <c r="H522" s="12" t="s">
        <v>88</v>
      </c>
      <c r="I522">
        <v>66</v>
      </c>
      <c r="J522">
        <v>66</v>
      </c>
      <c r="K522">
        <v>142</v>
      </c>
      <c r="L522">
        <v>83</v>
      </c>
      <c r="M522" t="s">
        <v>72</v>
      </c>
      <c r="N522">
        <v>126</v>
      </c>
      <c r="O522">
        <v>78</v>
      </c>
      <c r="P522" t="s">
        <v>118</v>
      </c>
      <c r="Q522" t="s">
        <v>118</v>
      </c>
      <c r="R522">
        <v>99.7</v>
      </c>
      <c r="S522">
        <v>169</v>
      </c>
      <c r="T522" s="8">
        <f t="shared" si="16"/>
        <v>34.907741325583835</v>
      </c>
      <c r="U522" s="13" t="str" cm="1">
        <f t="array" ref="U522">IF(T522="","",_xlfn.IFS(T522&lt;18.5,"Bajo peso",T522&lt;25,"Peso normal",T522&lt;30,"Sobrepeso",T522&lt;35,"Obesidad clase I",T522&lt;40,"Obesidad clase II",T522&gt;=40,"Obesidad clase III"))</f>
        <v>Obesidad clase I</v>
      </c>
      <c r="V522">
        <v>80</v>
      </c>
      <c r="X522" t="s">
        <v>3463</v>
      </c>
      <c r="Y522">
        <v>0.6</v>
      </c>
      <c r="AA522">
        <v>90</v>
      </c>
      <c r="AB522" s="9">
        <f t="shared" si="17"/>
        <v>116.14900932717178</v>
      </c>
      <c r="AD522" t="s">
        <v>73</v>
      </c>
      <c r="AF522" t="s">
        <v>73</v>
      </c>
      <c r="AH522" t="s">
        <v>3463</v>
      </c>
      <c r="AI522" t="s">
        <v>3463</v>
      </c>
      <c r="AJ522" t="s">
        <v>3463</v>
      </c>
      <c r="AK522" t="s">
        <v>3463</v>
      </c>
      <c r="AL522" t="s">
        <v>3465</v>
      </c>
      <c r="AM522" t="s">
        <v>1344</v>
      </c>
      <c r="AN522" t="s">
        <v>3726</v>
      </c>
      <c r="AP522" t="s">
        <v>3463</v>
      </c>
      <c r="AV522" t="s">
        <v>74</v>
      </c>
      <c r="AW522" t="s">
        <v>3915</v>
      </c>
      <c r="BF522" t="s">
        <v>3921</v>
      </c>
      <c r="BH522" t="s">
        <v>4020</v>
      </c>
      <c r="BP522" t="s">
        <v>4260</v>
      </c>
      <c r="BQ522" t="s">
        <v>3463</v>
      </c>
      <c r="BR522" t="s">
        <v>3465</v>
      </c>
      <c r="BS522" t="s">
        <v>3463</v>
      </c>
      <c r="BT522" t="s">
        <v>3463</v>
      </c>
      <c r="BU522" t="s">
        <v>3463</v>
      </c>
      <c r="BV522" t="s">
        <v>3463</v>
      </c>
      <c r="BW522" t="s">
        <v>3463</v>
      </c>
      <c r="BX522" t="s">
        <v>79</v>
      </c>
      <c r="BY522" t="s">
        <v>79</v>
      </c>
      <c r="BZ522" t="s">
        <v>79</v>
      </c>
      <c r="CA522" s="10">
        <v>45910</v>
      </c>
    </row>
    <row r="523" spans="1:79">
      <c r="A523">
        <v>529</v>
      </c>
      <c r="B523">
        <v>147</v>
      </c>
      <c r="C523">
        <v>72</v>
      </c>
      <c r="D523" t="s">
        <v>3466</v>
      </c>
      <c r="E523" t="s">
        <v>1237</v>
      </c>
      <c r="F523" t="s">
        <v>969</v>
      </c>
      <c r="G523" s="12" t="s">
        <v>3465</v>
      </c>
      <c r="H523" s="12" t="s">
        <v>88</v>
      </c>
      <c r="I523">
        <v>82</v>
      </c>
      <c r="K523">
        <v>140</v>
      </c>
      <c r="L523">
        <v>79</v>
      </c>
      <c r="M523" t="s">
        <v>72</v>
      </c>
      <c r="P523" t="s">
        <v>83</v>
      </c>
      <c r="Q523" t="s">
        <v>72</v>
      </c>
      <c r="R523">
        <v>88.2</v>
      </c>
      <c r="S523">
        <v>156.5</v>
      </c>
      <c r="T523" s="8">
        <f t="shared" si="16"/>
        <v>36.011391358490954</v>
      </c>
      <c r="U523" s="13" t="str" cm="1">
        <f t="array" ref="U523">IF(T523="","",_xlfn.IFS(T523&lt;18.5,"Bajo peso",T523&lt;25,"Peso normal",T523&lt;30,"Sobrepeso",T523&lt;35,"Obesidad clase I",T523&lt;40,"Obesidad clase II",T523&gt;=40,"Obesidad clase III"))</f>
        <v>Obesidad clase II</v>
      </c>
      <c r="V523">
        <v>82</v>
      </c>
      <c r="X523" t="s">
        <v>3463</v>
      </c>
      <c r="Y523">
        <v>0.8</v>
      </c>
      <c r="AA523">
        <v>78</v>
      </c>
      <c r="AB523" s="9">
        <f t="shared" si="17"/>
        <v>78.235880380362957</v>
      </c>
      <c r="AD523" t="s">
        <v>73</v>
      </c>
      <c r="AF523" t="s">
        <v>73</v>
      </c>
      <c r="AH523" t="s">
        <v>3463</v>
      </c>
      <c r="AI523" t="s">
        <v>3463</v>
      </c>
      <c r="AJ523" t="s">
        <v>3465</v>
      </c>
      <c r="AK523" t="s">
        <v>3463</v>
      </c>
      <c r="AL523" t="s">
        <v>3465</v>
      </c>
      <c r="AM523" t="s">
        <v>1345</v>
      </c>
      <c r="AN523" t="s">
        <v>3727</v>
      </c>
      <c r="AP523" t="s">
        <v>3463</v>
      </c>
      <c r="AT523" t="s">
        <v>3465</v>
      </c>
      <c r="AU523" t="s">
        <v>80</v>
      </c>
      <c r="AV523" t="s">
        <v>1346</v>
      </c>
      <c r="AW523" t="s">
        <v>3919</v>
      </c>
      <c r="AY523" t="s">
        <v>3465</v>
      </c>
      <c r="AZ523" t="s">
        <v>665</v>
      </c>
      <c r="BF523" t="s">
        <v>3921</v>
      </c>
      <c r="BH523" t="s">
        <v>4020</v>
      </c>
      <c r="BP523" t="s">
        <v>4260</v>
      </c>
      <c r="BQ523" t="s">
        <v>3463</v>
      </c>
      <c r="BR523" t="s">
        <v>3463</v>
      </c>
      <c r="BS523" t="s">
        <v>3463</v>
      </c>
      <c r="BT523" t="s">
        <v>3463</v>
      </c>
      <c r="BU523" t="s">
        <v>3463</v>
      </c>
      <c r="BV523" t="s">
        <v>3463</v>
      </c>
      <c r="BW523" t="s">
        <v>3463</v>
      </c>
      <c r="BX523" t="s">
        <v>79</v>
      </c>
      <c r="BY523" t="s">
        <v>79</v>
      </c>
      <c r="BZ523" t="s">
        <v>79</v>
      </c>
      <c r="CA523" s="10">
        <v>45910</v>
      </c>
    </row>
    <row r="524" spans="1:79">
      <c r="A524">
        <v>530</v>
      </c>
      <c r="B524">
        <v>149</v>
      </c>
      <c r="C524">
        <v>55</v>
      </c>
      <c r="D524" t="s">
        <v>3466</v>
      </c>
      <c r="E524" t="s">
        <v>1150</v>
      </c>
      <c r="F524" t="s">
        <v>969</v>
      </c>
      <c r="G524" s="12" t="s">
        <v>3465</v>
      </c>
      <c r="H524" t="s">
        <v>88</v>
      </c>
      <c r="I524">
        <v>71</v>
      </c>
      <c r="J524">
        <v>70</v>
      </c>
      <c r="K524">
        <v>160</v>
      </c>
      <c r="L524">
        <v>85</v>
      </c>
      <c r="M524" t="s">
        <v>72</v>
      </c>
      <c r="N524">
        <v>159</v>
      </c>
      <c r="O524">
        <v>85</v>
      </c>
      <c r="P524" t="s">
        <v>72</v>
      </c>
      <c r="Q524" t="s">
        <v>72</v>
      </c>
      <c r="R524">
        <v>67.8</v>
      </c>
      <c r="S524">
        <v>146</v>
      </c>
      <c r="T524" s="8">
        <f t="shared" si="16"/>
        <v>31.807093263276411</v>
      </c>
      <c r="U524" s="13" t="str" cm="1">
        <f t="array" ref="U524">IF(T524="","",_xlfn.IFS(T524&lt;18.5,"Bajo peso",T524&lt;25,"Peso normal",T524&lt;30,"Sobrepeso",T524&lt;35,"Obesidad clase I",T524&lt;40,"Obesidad clase II",T524&gt;=40,"Obesidad clase III"))</f>
        <v>Obesidad clase I</v>
      </c>
      <c r="V524">
        <v>114</v>
      </c>
      <c r="X524" t="s">
        <v>3463</v>
      </c>
      <c r="Y524">
        <v>0.71</v>
      </c>
      <c r="AA524">
        <v>90</v>
      </c>
      <c r="AB524" s="9">
        <f t="shared" si="17"/>
        <v>100.35085312598159</v>
      </c>
      <c r="AD524" t="s">
        <v>73</v>
      </c>
      <c r="AF524" t="s">
        <v>73</v>
      </c>
      <c r="AG524" t="s">
        <v>3465</v>
      </c>
      <c r="AH524" t="s">
        <v>3465</v>
      </c>
      <c r="AI524" t="s">
        <v>3463</v>
      </c>
      <c r="AJ524" t="s">
        <v>3464</v>
      </c>
      <c r="AK524" t="s">
        <v>3463</v>
      </c>
      <c r="AL524" t="s">
        <v>3464</v>
      </c>
      <c r="AP524" t="s">
        <v>3463</v>
      </c>
      <c r="AQ524" t="s">
        <v>955</v>
      </c>
      <c r="AR524" t="s">
        <v>3512</v>
      </c>
      <c r="AV524" t="s">
        <v>74</v>
      </c>
      <c r="AW524" t="s">
        <v>3915</v>
      </c>
      <c r="BF524" t="s">
        <v>3921</v>
      </c>
      <c r="BG524" t="s">
        <v>1347</v>
      </c>
      <c r="BH524" t="s">
        <v>4139</v>
      </c>
      <c r="BI524" t="s">
        <v>425</v>
      </c>
      <c r="BK524" t="s">
        <v>120</v>
      </c>
      <c r="BL524" t="s">
        <v>1348</v>
      </c>
      <c r="BP524" t="s">
        <v>4428</v>
      </c>
      <c r="BQ524" t="s">
        <v>3463</v>
      </c>
      <c r="BR524" t="s">
        <v>3463</v>
      </c>
      <c r="BS524" t="s">
        <v>3465</v>
      </c>
      <c r="BT524" t="s">
        <v>3465</v>
      </c>
      <c r="BU524" t="s">
        <v>3463</v>
      </c>
      <c r="BV524" t="s">
        <v>3463</v>
      </c>
      <c r="BW524" t="s">
        <v>3463</v>
      </c>
      <c r="BX524" t="s">
        <v>79</v>
      </c>
      <c r="BY524" t="s">
        <v>79</v>
      </c>
      <c r="BZ524" t="s">
        <v>79</v>
      </c>
      <c r="CA524" s="10">
        <v>45910</v>
      </c>
    </row>
    <row r="525" spans="1:79">
      <c r="A525">
        <v>531</v>
      </c>
      <c r="B525">
        <v>150</v>
      </c>
      <c r="C525">
        <v>51</v>
      </c>
      <c r="D525" t="s">
        <v>3466</v>
      </c>
      <c r="E525" t="s">
        <v>1005</v>
      </c>
      <c r="F525" t="s">
        <v>969</v>
      </c>
      <c r="G525" s="12" t="s">
        <v>3463</v>
      </c>
      <c r="H525" s="12"/>
      <c r="I525">
        <v>93</v>
      </c>
      <c r="J525">
        <v>80</v>
      </c>
      <c r="K525">
        <v>155</v>
      </c>
      <c r="L525">
        <v>100</v>
      </c>
      <c r="M525" t="s">
        <v>72</v>
      </c>
      <c r="N525">
        <v>154</v>
      </c>
      <c r="O525">
        <v>99</v>
      </c>
      <c r="P525" t="s">
        <v>72</v>
      </c>
      <c r="Q525" t="s">
        <v>72</v>
      </c>
      <c r="R525">
        <v>66.3</v>
      </c>
      <c r="S525">
        <v>158</v>
      </c>
      <c r="T525" s="8">
        <f t="shared" si="16"/>
        <v>26.55824387117449</v>
      </c>
      <c r="U525" s="13" t="str" cm="1">
        <f t="array" ref="U525">IF(T525="","",_xlfn.IFS(T525&lt;18.5,"Bajo peso",T525&lt;25,"Peso normal",T525&lt;30,"Sobrepeso",T525&lt;35,"Obesidad clase I",T525&lt;40,"Obesidad clase II",T525&gt;=40,"Obesidad clase III"))</f>
        <v>Sobrepeso</v>
      </c>
      <c r="V525">
        <v>78</v>
      </c>
      <c r="X525" t="s">
        <v>3463</v>
      </c>
      <c r="Y525">
        <v>1.08</v>
      </c>
      <c r="AA525">
        <v>62</v>
      </c>
      <c r="AB525" s="9">
        <f t="shared" si="17"/>
        <v>62.190866981356812</v>
      </c>
      <c r="AD525" t="s">
        <v>73</v>
      </c>
      <c r="AF525" t="s">
        <v>73</v>
      </c>
      <c r="AH525" t="s">
        <v>3463</v>
      </c>
      <c r="AI525" t="s">
        <v>3463</v>
      </c>
      <c r="AJ525" t="s">
        <v>3463</v>
      </c>
      <c r="AK525" t="s">
        <v>3463</v>
      </c>
      <c r="AL525" t="s">
        <v>3465</v>
      </c>
      <c r="AM525" t="s">
        <v>697</v>
      </c>
      <c r="AN525" t="s">
        <v>697</v>
      </c>
      <c r="AP525" t="s">
        <v>3463</v>
      </c>
      <c r="AQ525" t="s">
        <v>551</v>
      </c>
      <c r="AR525" t="s">
        <v>3516</v>
      </c>
      <c r="AT525" t="s">
        <v>3465</v>
      </c>
      <c r="AU525" t="s">
        <v>80</v>
      </c>
      <c r="AV525" t="s">
        <v>178</v>
      </c>
      <c r="AW525" t="s">
        <v>3918</v>
      </c>
      <c r="AX525" t="s">
        <v>3463</v>
      </c>
      <c r="AY525" t="s">
        <v>3465</v>
      </c>
      <c r="AZ525" t="s">
        <v>104</v>
      </c>
      <c r="BF525" t="s">
        <v>3921</v>
      </c>
      <c r="BG525" t="s">
        <v>1349</v>
      </c>
      <c r="BH525" t="s">
        <v>4140</v>
      </c>
      <c r="BI525" t="s">
        <v>734</v>
      </c>
      <c r="BK525" t="s">
        <v>1350</v>
      </c>
      <c r="BL525" t="s">
        <v>1351</v>
      </c>
      <c r="BP525" t="s">
        <v>4373</v>
      </c>
      <c r="BQ525" t="s">
        <v>3463</v>
      </c>
      <c r="BR525" t="s">
        <v>3465</v>
      </c>
      <c r="BS525" t="s">
        <v>3463</v>
      </c>
      <c r="BT525" t="s">
        <v>3465</v>
      </c>
      <c r="BU525" t="s">
        <v>3463</v>
      </c>
      <c r="BV525" t="s">
        <v>3463</v>
      </c>
      <c r="BW525" t="s">
        <v>3463</v>
      </c>
      <c r="BX525" t="s">
        <v>79</v>
      </c>
      <c r="BY525" t="s">
        <v>87</v>
      </c>
      <c r="BZ525" t="s">
        <v>95</v>
      </c>
      <c r="CA525" s="10">
        <v>45910</v>
      </c>
    </row>
    <row r="526" spans="1:79">
      <c r="A526">
        <v>532</v>
      </c>
      <c r="B526">
        <v>151</v>
      </c>
      <c r="C526">
        <v>49</v>
      </c>
      <c r="D526" t="s">
        <v>3462</v>
      </c>
      <c r="E526" t="s">
        <v>1000</v>
      </c>
      <c r="F526" t="s">
        <v>969</v>
      </c>
      <c r="G526" s="12" t="s">
        <v>3465</v>
      </c>
      <c r="H526" t="s">
        <v>88</v>
      </c>
      <c r="I526">
        <v>82</v>
      </c>
      <c r="J526">
        <v>78</v>
      </c>
      <c r="K526">
        <v>195</v>
      </c>
      <c r="L526">
        <v>109</v>
      </c>
      <c r="M526" t="s">
        <v>96</v>
      </c>
      <c r="N526">
        <v>181</v>
      </c>
      <c r="O526">
        <v>116</v>
      </c>
      <c r="P526" t="s">
        <v>96</v>
      </c>
      <c r="Q526" t="s">
        <v>96</v>
      </c>
      <c r="R526">
        <v>104.05</v>
      </c>
      <c r="S526">
        <v>167.5</v>
      </c>
      <c r="T526" s="8">
        <f t="shared" si="16"/>
        <v>37.08621073735798</v>
      </c>
      <c r="U526" s="13" t="str" cm="1">
        <f t="array" ref="U526">IF(T526="","",_xlfn.IFS(T526&lt;18.5,"Bajo peso",T526&lt;25,"Peso normal",T526&lt;30,"Sobrepeso",T526&lt;35,"Obesidad clase I",T526&lt;40,"Obesidad clase II",T526&gt;=40,"Obesidad clase III"))</f>
        <v>Obesidad clase II</v>
      </c>
      <c r="V526">
        <v>91</v>
      </c>
      <c r="X526" t="s">
        <v>3463</v>
      </c>
      <c r="Y526">
        <v>1.04</v>
      </c>
      <c r="AA526">
        <v>88</v>
      </c>
      <c r="AB526" s="9">
        <f t="shared" si="17"/>
        <v>88.021745521071978</v>
      </c>
      <c r="AD526" t="s">
        <v>73</v>
      </c>
      <c r="AF526" t="s">
        <v>73</v>
      </c>
      <c r="AH526" t="s">
        <v>3463</v>
      </c>
      <c r="AI526" t="s">
        <v>3463</v>
      </c>
      <c r="AJ526" t="s">
        <v>3465</v>
      </c>
      <c r="AK526" t="s">
        <v>3463</v>
      </c>
      <c r="AL526" t="s">
        <v>3463</v>
      </c>
      <c r="AP526" t="s">
        <v>3464</v>
      </c>
      <c r="AQ526" t="s">
        <v>1352</v>
      </c>
      <c r="AR526" t="s">
        <v>3493</v>
      </c>
      <c r="AV526" t="s">
        <v>74</v>
      </c>
      <c r="AW526" t="s">
        <v>3915</v>
      </c>
      <c r="BF526" t="s">
        <v>3921</v>
      </c>
      <c r="BH526" t="s">
        <v>4021</v>
      </c>
      <c r="BI526" t="s">
        <v>425</v>
      </c>
      <c r="BK526" t="s">
        <v>1353</v>
      </c>
      <c r="BP526" t="s">
        <v>4282</v>
      </c>
      <c r="BQ526" t="s">
        <v>3463</v>
      </c>
      <c r="BR526" t="s">
        <v>3465</v>
      </c>
      <c r="BS526" t="s">
        <v>3463</v>
      </c>
      <c r="BT526" t="s">
        <v>3463</v>
      </c>
      <c r="BU526" t="s">
        <v>3463</v>
      </c>
      <c r="BV526" t="s">
        <v>3463</v>
      </c>
      <c r="BW526" t="s">
        <v>3463</v>
      </c>
      <c r="BX526" t="s">
        <v>518</v>
      </c>
      <c r="BY526" t="s">
        <v>79</v>
      </c>
      <c r="BZ526" t="s">
        <v>95</v>
      </c>
      <c r="CA526" s="10">
        <v>45910</v>
      </c>
    </row>
    <row r="527" spans="1:79">
      <c r="A527">
        <v>533</v>
      </c>
      <c r="B527">
        <v>152</v>
      </c>
      <c r="C527">
        <v>62</v>
      </c>
      <c r="D527" t="s">
        <v>3462</v>
      </c>
      <c r="E527" t="s">
        <v>974</v>
      </c>
      <c r="F527" t="s">
        <v>969</v>
      </c>
      <c r="G527" s="12" t="s">
        <v>3465</v>
      </c>
      <c r="H527" s="12" t="s">
        <v>88</v>
      </c>
      <c r="I527">
        <v>62</v>
      </c>
      <c r="J527">
        <v>64</v>
      </c>
      <c r="K527">
        <v>145</v>
      </c>
      <c r="L527">
        <v>77</v>
      </c>
      <c r="M527" t="s">
        <v>72</v>
      </c>
      <c r="N527">
        <v>140</v>
      </c>
      <c r="O527">
        <v>78</v>
      </c>
      <c r="P527" t="s">
        <v>72</v>
      </c>
      <c r="Q527" t="s">
        <v>72</v>
      </c>
      <c r="R527">
        <v>76.3</v>
      </c>
      <c r="S527">
        <v>159</v>
      </c>
      <c r="T527" s="8">
        <f t="shared" si="16"/>
        <v>30.180768165816225</v>
      </c>
      <c r="U527" s="13" t="str" cm="1">
        <f t="array" ref="U527">IF(T527="","",_xlfn.IFS(T527&lt;18.5,"Bajo peso",T527&lt;25,"Peso normal",T527&lt;30,"Sobrepeso",T527&lt;35,"Obesidad clase I",T527&lt;40,"Obesidad clase II",T527&gt;=40,"Obesidad clase III"))</f>
        <v>Obesidad clase I</v>
      </c>
      <c r="V527">
        <v>113</v>
      </c>
      <c r="X527" t="s">
        <v>3463</v>
      </c>
      <c r="Y527">
        <v>3.19</v>
      </c>
      <c r="Z527">
        <v>3.23</v>
      </c>
      <c r="AA527">
        <v>21</v>
      </c>
      <c r="AB527" s="9">
        <f t="shared" si="17"/>
        <v>21.152809852051231</v>
      </c>
      <c r="AC527">
        <v>21</v>
      </c>
      <c r="AD527" t="s">
        <v>303</v>
      </c>
      <c r="AE527" t="s">
        <v>303</v>
      </c>
      <c r="AF527" t="s">
        <v>303</v>
      </c>
      <c r="AH527" t="s">
        <v>3463</v>
      </c>
      <c r="AI527" t="s">
        <v>3465</v>
      </c>
      <c r="AJ527" t="s">
        <v>3463</v>
      </c>
      <c r="AK527" t="s">
        <v>3463</v>
      </c>
      <c r="AL527" t="s">
        <v>3463</v>
      </c>
      <c r="AO527" t="s">
        <v>3465</v>
      </c>
      <c r="AP527" t="s">
        <v>3465</v>
      </c>
      <c r="AQ527" t="s">
        <v>1055</v>
      </c>
      <c r="AR527" t="s">
        <v>3491</v>
      </c>
      <c r="AS527" t="s">
        <v>3465</v>
      </c>
      <c r="AV527" t="s">
        <v>74</v>
      </c>
      <c r="AW527" t="s">
        <v>3915</v>
      </c>
      <c r="BA527" t="s">
        <v>3920</v>
      </c>
      <c r="BD527" t="s">
        <v>105</v>
      </c>
      <c r="BE527" t="s">
        <v>1354</v>
      </c>
      <c r="BF527" t="s">
        <v>3955</v>
      </c>
      <c r="BG527" t="s">
        <v>1355</v>
      </c>
      <c r="BH527" t="s">
        <v>4141</v>
      </c>
      <c r="BI527" t="s">
        <v>629</v>
      </c>
      <c r="BP527" t="s">
        <v>4408</v>
      </c>
      <c r="BQ527" t="s">
        <v>3463</v>
      </c>
      <c r="BR527" t="s">
        <v>3465</v>
      </c>
      <c r="BS527" t="s">
        <v>3465</v>
      </c>
      <c r="BT527" t="s">
        <v>3465</v>
      </c>
      <c r="BU527" t="s">
        <v>3463</v>
      </c>
      <c r="BV527" t="s">
        <v>3463</v>
      </c>
      <c r="BW527" t="s">
        <v>3463</v>
      </c>
      <c r="BX527" t="s">
        <v>79</v>
      </c>
      <c r="BY527" t="s">
        <v>79</v>
      </c>
      <c r="BZ527" t="s">
        <v>563</v>
      </c>
      <c r="CA527" s="10">
        <v>45910</v>
      </c>
    </row>
    <row r="528" spans="1:79">
      <c r="A528">
        <v>534</v>
      </c>
      <c r="B528">
        <v>153</v>
      </c>
      <c r="C528">
        <v>53</v>
      </c>
      <c r="D528" t="s">
        <v>3462</v>
      </c>
      <c r="E528" t="s">
        <v>1237</v>
      </c>
      <c r="F528" t="s">
        <v>969</v>
      </c>
      <c r="G528" s="12" t="s">
        <v>3465</v>
      </c>
      <c r="H528" s="12" t="s">
        <v>88</v>
      </c>
      <c r="I528">
        <v>78</v>
      </c>
      <c r="J528">
        <v>67</v>
      </c>
      <c r="K528">
        <v>126</v>
      </c>
      <c r="L528">
        <v>106</v>
      </c>
      <c r="M528" t="s">
        <v>72</v>
      </c>
      <c r="N528">
        <v>149</v>
      </c>
      <c r="O528">
        <v>90</v>
      </c>
      <c r="P528" t="s">
        <v>72</v>
      </c>
      <c r="Q528" t="s">
        <v>72</v>
      </c>
      <c r="R528">
        <v>79</v>
      </c>
      <c r="S528">
        <v>165.8</v>
      </c>
      <c r="T528" s="8">
        <f t="shared" si="16"/>
        <v>28.738099152989996</v>
      </c>
      <c r="U528" s="13" t="str" cm="1">
        <f t="array" ref="U528">IF(T528="","",_xlfn.IFS(T528&lt;18.5,"Bajo peso",T528&lt;25,"Peso normal",T528&lt;30,"Sobrepeso",T528&lt;35,"Obesidad clase I",T528&lt;40,"Obesidad clase II",T528&gt;=40,"Obesidad clase III"))</f>
        <v>Sobrepeso</v>
      </c>
      <c r="V528">
        <v>80</v>
      </c>
      <c r="X528" t="s">
        <v>3463</v>
      </c>
      <c r="Y528">
        <v>1.07</v>
      </c>
      <c r="AA528">
        <v>83</v>
      </c>
      <c r="AB528" s="9">
        <f t="shared" si="17"/>
        <v>82.978469497883609</v>
      </c>
      <c r="AD528" t="s">
        <v>73</v>
      </c>
      <c r="AF528" t="s">
        <v>73</v>
      </c>
      <c r="AH528" t="s">
        <v>3463</v>
      </c>
      <c r="AI528" t="s">
        <v>3463</v>
      </c>
      <c r="AJ528" t="s">
        <v>3463</v>
      </c>
      <c r="AK528" t="s">
        <v>3463</v>
      </c>
      <c r="AL528" t="s">
        <v>3465</v>
      </c>
      <c r="AM528" t="s">
        <v>866</v>
      </c>
      <c r="AN528" t="s">
        <v>3617</v>
      </c>
      <c r="AP528" t="s">
        <v>3463</v>
      </c>
      <c r="AV528" t="s">
        <v>74</v>
      </c>
      <c r="AW528" t="s">
        <v>3915</v>
      </c>
      <c r="BF528" t="s">
        <v>3921</v>
      </c>
      <c r="BG528" t="s">
        <v>1356</v>
      </c>
      <c r="BH528" t="s">
        <v>4142</v>
      </c>
      <c r="BI528" t="s">
        <v>425</v>
      </c>
      <c r="BK528" t="s">
        <v>1357</v>
      </c>
      <c r="BL528" t="s">
        <v>1358</v>
      </c>
      <c r="BP528" t="s">
        <v>4429</v>
      </c>
      <c r="BQ528" t="s">
        <v>3463</v>
      </c>
      <c r="BR528" t="s">
        <v>3463</v>
      </c>
      <c r="BS528" t="s">
        <v>3463</v>
      </c>
      <c r="BT528" t="s">
        <v>3463</v>
      </c>
      <c r="BU528" t="s">
        <v>3463</v>
      </c>
      <c r="BV528" t="s">
        <v>3463</v>
      </c>
      <c r="BW528" t="s">
        <v>3463</v>
      </c>
      <c r="BX528" t="s">
        <v>79</v>
      </c>
      <c r="BY528" t="s">
        <v>79</v>
      </c>
      <c r="BZ528" t="s">
        <v>95</v>
      </c>
      <c r="CA528" s="10">
        <v>45910</v>
      </c>
    </row>
    <row r="529" spans="1:79">
      <c r="A529">
        <v>535</v>
      </c>
      <c r="B529">
        <v>154</v>
      </c>
      <c r="C529">
        <v>61</v>
      </c>
      <c r="D529" t="s">
        <v>3462</v>
      </c>
      <c r="E529" t="s">
        <v>1359</v>
      </c>
      <c r="F529" t="s">
        <v>969</v>
      </c>
      <c r="G529" s="12" t="s">
        <v>3465</v>
      </c>
      <c r="H529" s="12" t="s">
        <v>88</v>
      </c>
      <c r="I529">
        <v>91</v>
      </c>
      <c r="J529">
        <v>83</v>
      </c>
      <c r="K529">
        <v>168</v>
      </c>
      <c r="L529">
        <v>87</v>
      </c>
      <c r="M529" t="s">
        <v>72</v>
      </c>
      <c r="N529">
        <v>152</v>
      </c>
      <c r="O529">
        <v>97</v>
      </c>
      <c r="P529" t="s">
        <v>72</v>
      </c>
      <c r="Q529" t="s">
        <v>72</v>
      </c>
      <c r="R529">
        <v>81.7</v>
      </c>
      <c r="S529">
        <v>162</v>
      </c>
      <c r="T529" s="8">
        <f t="shared" si="16"/>
        <v>31.130925163846975</v>
      </c>
      <c r="U529" s="13" t="str" cm="1">
        <f t="array" ref="U529">IF(T529="","",_xlfn.IFS(T529&lt;18.5,"Bajo peso",T529&lt;25,"Peso normal",T529&lt;30,"Sobrepeso",T529&lt;35,"Obesidad clase I",T529&lt;40,"Obesidad clase II",T529&gt;=40,"Obesidad clase III"))</f>
        <v>Obesidad clase I</v>
      </c>
      <c r="V529">
        <v>77</v>
      </c>
      <c r="X529" t="s">
        <v>3463</v>
      </c>
      <c r="Y529">
        <v>0.91</v>
      </c>
      <c r="AA529">
        <v>90</v>
      </c>
      <c r="AB529" s="9">
        <f t="shared" si="17"/>
        <v>95.888874676355982</v>
      </c>
      <c r="AD529" t="s">
        <v>73</v>
      </c>
      <c r="AF529" t="s">
        <v>73</v>
      </c>
      <c r="AH529" t="s">
        <v>3463</v>
      </c>
      <c r="AI529" t="s">
        <v>3463</v>
      </c>
      <c r="AJ529" t="s">
        <v>3463</v>
      </c>
      <c r="AK529" t="s">
        <v>3463</v>
      </c>
      <c r="AL529" t="s">
        <v>3465</v>
      </c>
      <c r="AM529" t="s">
        <v>1360</v>
      </c>
      <c r="AN529" t="s">
        <v>3724</v>
      </c>
      <c r="AO529" t="s">
        <v>3463</v>
      </c>
      <c r="AP529" t="s">
        <v>3463</v>
      </c>
      <c r="AV529" t="s">
        <v>126</v>
      </c>
      <c r="AW529" t="s">
        <v>126</v>
      </c>
      <c r="BF529" t="s">
        <v>3921</v>
      </c>
      <c r="BG529" t="s">
        <v>1361</v>
      </c>
      <c r="BH529" t="s">
        <v>4017</v>
      </c>
      <c r="BI529" t="s">
        <v>76</v>
      </c>
      <c r="BK529" t="s">
        <v>883</v>
      </c>
      <c r="BL529" t="s">
        <v>1362</v>
      </c>
      <c r="BP529" t="s">
        <v>4261</v>
      </c>
      <c r="BQ529" t="s">
        <v>3463</v>
      </c>
      <c r="BR529" t="s">
        <v>3465</v>
      </c>
      <c r="BS529" t="s">
        <v>3463</v>
      </c>
      <c r="BT529" t="s">
        <v>3463</v>
      </c>
      <c r="BU529" t="s">
        <v>3463</v>
      </c>
      <c r="BV529" t="s">
        <v>3463</v>
      </c>
      <c r="BW529" t="s">
        <v>3463</v>
      </c>
      <c r="BX529" t="s">
        <v>518</v>
      </c>
      <c r="BY529" t="s">
        <v>79</v>
      </c>
      <c r="BZ529" t="s">
        <v>79</v>
      </c>
      <c r="CA529" s="10">
        <v>45910</v>
      </c>
    </row>
    <row r="530" spans="1:79">
      <c r="A530">
        <v>536</v>
      </c>
      <c r="B530">
        <v>156</v>
      </c>
      <c r="C530">
        <v>51</v>
      </c>
      <c r="D530" t="s">
        <v>3462</v>
      </c>
      <c r="E530" t="s">
        <v>1000</v>
      </c>
      <c r="F530" t="s">
        <v>969</v>
      </c>
      <c r="G530" s="12" t="s">
        <v>3463</v>
      </c>
      <c r="H530" s="12"/>
      <c r="I530">
        <v>72</v>
      </c>
      <c r="J530">
        <v>70</v>
      </c>
      <c r="K530">
        <v>160</v>
      </c>
      <c r="L530">
        <v>98</v>
      </c>
      <c r="M530" t="s">
        <v>72</v>
      </c>
      <c r="N530">
        <v>172</v>
      </c>
      <c r="O530">
        <v>98</v>
      </c>
      <c r="P530" t="s">
        <v>72</v>
      </c>
      <c r="Q530" t="s">
        <v>72</v>
      </c>
      <c r="R530">
        <v>96.6</v>
      </c>
      <c r="S530">
        <v>165</v>
      </c>
      <c r="T530" s="8">
        <f t="shared" si="16"/>
        <v>35.482093663911847</v>
      </c>
      <c r="U530" s="13" t="str" cm="1">
        <f t="array" ref="U530">IF(T530="","",_xlfn.IFS(T530&lt;18.5,"Bajo peso",T530&lt;25,"Peso normal",T530&lt;30,"Sobrepeso",T530&lt;35,"Obesidad clase I",T530&lt;40,"Obesidad clase II",T530&gt;=40,"Obesidad clase III"))</f>
        <v>Obesidad clase II</v>
      </c>
      <c r="V530">
        <v>86</v>
      </c>
      <c r="X530" t="s">
        <v>3463</v>
      </c>
      <c r="Y530">
        <v>0.97</v>
      </c>
      <c r="AA530">
        <v>90</v>
      </c>
      <c r="AB530" s="9">
        <f t="shared" si="17"/>
        <v>94.515250013453141</v>
      </c>
      <c r="AD530" t="s">
        <v>73</v>
      </c>
      <c r="AF530" t="s">
        <v>73</v>
      </c>
      <c r="AH530" t="s">
        <v>3463</v>
      </c>
      <c r="AI530" t="s">
        <v>3463</v>
      </c>
      <c r="AJ530" t="s">
        <v>3463</v>
      </c>
      <c r="AK530" t="s">
        <v>3463</v>
      </c>
      <c r="AL530" t="s">
        <v>3463</v>
      </c>
      <c r="AP530" t="s">
        <v>3463</v>
      </c>
      <c r="AQ530" t="s">
        <v>1101</v>
      </c>
      <c r="AR530" t="s">
        <v>3493</v>
      </c>
      <c r="AV530" t="s">
        <v>112</v>
      </c>
      <c r="AW530" t="s">
        <v>3917</v>
      </c>
      <c r="BF530" t="s">
        <v>3921</v>
      </c>
      <c r="BG530" t="s">
        <v>1363</v>
      </c>
      <c r="BH530" t="s">
        <v>4021</v>
      </c>
      <c r="BI530" t="s">
        <v>76</v>
      </c>
      <c r="BP530" t="s">
        <v>4261</v>
      </c>
      <c r="BQ530" t="s">
        <v>3465</v>
      </c>
      <c r="BR530" t="s">
        <v>3463</v>
      </c>
      <c r="BS530" t="s">
        <v>3463</v>
      </c>
      <c r="BT530" t="s">
        <v>3463</v>
      </c>
      <c r="BU530" t="s">
        <v>3463</v>
      </c>
      <c r="BV530" t="s">
        <v>3463</v>
      </c>
      <c r="BW530" t="s">
        <v>3463</v>
      </c>
      <c r="BX530" t="s">
        <v>79</v>
      </c>
      <c r="BY530" t="s">
        <v>79</v>
      </c>
      <c r="BZ530" t="s">
        <v>79</v>
      </c>
      <c r="CA530" s="10">
        <v>45910</v>
      </c>
    </row>
    <row r="531" spans="1:79">
      <c r="A531">
        <v>537</v>
      </c>
      <c r="B531">
        <v>157</v>
      </c>
      <c r="C531">
        <v>53</v>
      </c>
      <c r="D531" t="s">
        <v>3466</v>
      </c>
      <c r="E531" t="s">
        <v>1005</v>
      </c>
      <c r="F531" t="s">
        <v>969</v>
      </c>
      <c r="G531" s="12" t="s">
        <v>3465</v>
      </c>
      <c r="H531" s="12" t="s">
        <v>88</v>
      </c>
      <c r="I531">
        <v>59</v>
      </c>
      <c r="J531">
        <v>58</v>
      </c>
      <c r="K531">
        <v>185</v>
      </c>
      <c r="L531">
        <v>71</v>
      </c>
      <c r="M531" t="s">
        <v>96</v>
      </c>
      <c r="N531">
        <v>174</v>
      </c>
      <c r="O531">
        <v>76</v>
      </c>
      <c r="P531" t="s">
        <v>72</v>
      </c>
      <c r="Q531" t="s">
        <v>72</v>
      </c>
      <c r="R531">
        <v>79.8</v>
      </c>
      <c r="S531">
        <v>147.9</v>
      </c>
      <c r="T531" s="8">
        <f t="shared" si="16"/>
        <v>36.480983944252664</v>
      </c>
      <c r="U531" s="13" t="str" cm="1">
        <f t="array" ref="U531">IF(T531="","",_xlfn.IFS(T531&lt;18.5,"Bajo peso",T531&lt;25,"Peso normal",T531&lt;30,"Sobrepeso",T531&lt;35,"Obesidad clase I",T531&lt;40,"Obesidad clase II",T531&gt;=40,"Obesidad clase III"))</f>
        <v>Obesidad clase II</v>
      </c>
      <c r="V531">
        <v>87</v>
      </c>
      <c r="X531" t="s">
        <v>3463</v>
      </c>
      <c r="Y531">
        <v>0.63</v>
      </c>
      <c r="AA531">
        <v>90</v>
      </c>
      <c r="AB531" s="9">
        <f t="shared" si="17"/>
        <v>106.00906640769601</v>
      </c>
      <c r="AD531" t="s">
        <v>73</v>
      </c>
      <c r="AF531" t="s">
        <v>73</v>
      </c>
      <c r="AG531" t="s">
        <v>3465</v>
      </c>
      <c r="AH531" t="s">
        <v>3465</v>
      </c>
      <c r="AI531" t="s">
        <v>3465</v>
      </c>
      <c r="AJ531" t="s">
        <v>3463</v>
      </c>
      <c r="AK531" t="s">
        <v>3463</v>
      </c>
      <c r="AL531" t="s">
        <v>3465</v>
      </c>
      <c r="AM531" t="s">
        <v>568</v>
      </c>
      <c r="AN531" t="s">
        <v>3649</v>
      </c>
      <c r="AP531" t="s">
        <v>3463</v>
      </c>
      <c r="AQ531" t="s">
        <v>1364</v>
      </c>
      <c r="AR531" t="s">
        <v>3488</v>
      </c>
      <c r="AS531" t="s">
        <v>3465</v>
      </c>
      <c r="AT531" t="s">
        <v>3465</v>
      </c>
      <c r="AU531" t="s">
        <v>80</v>
      </c>
      <c r="AV531" t="s">
        <v>74</v>
      </c>
      <c r="AW531" t="s">
        <v>3915</v>
      </c>
      <c r="AX531" t="s">
        <v>3463</v>
      </c>
      <c r="AY531" t="s">
        <v>3465</v>
      </c>
      <c r="AZ531" t="s">
        <v>247</v>
      </c>
      <c r="BA531" t="s">
        <v>3920</v>
      </c>
      <c r="BB531" t="s">
        <v>3485</v>
      </c>
      <c r="BC531" t="s">
        <v>128</v>
      </c>
      <c r="BF531" t="s">
        <v>3921</v>
      </c>
      <c r="BG531" t="s">
        <v>1365</v>
      </c>
      <c r="BH531" t="s">
        <v>4021</v>
      </c>
      <c r="BK531" t="s">
        <v>1366</v>
      </c>
      <c r="BL531" t="s">
        <v>1367</v>
      </c>
      <c r="BP531" t="s">
        <v>4260</v>
      </c>
      <c r="BQ531" t="s">
        <v>3463</v>
      </c>
      <c r="BR531" t="s">
        <v>3463</v>
      </c>
      <c r="BS531" t="s">
        <v>3463</v>
      </c>
      <c r="BT531" t="s">
        <v>3463</v>
      </c>
      <c r="BU531" t="s">
        <v>3463</v>
      </c>
      <c r="BV531" t="s">
        <v>3463</v>
      </c>
      <c r="BW531" t="s">
        <v>3463</v>
      </c>
      <c r="BX531" t="s">
        <v>79</v>
      </c>
      <c r="BY531" t="s">
        <v>79</v>
      </c>
      <c r="BZ531" t="s">
        <v>79</v>
      </c>
      <c r="CA531" s="10">
        <v>45910</v>
      </c>
    </row>
    <row r="532" spans="1:79">
      <c r="A532">
        <v>538</v>
      </c>
      <c r="B532">
        <v>158</v>
      </c>
      <c r="C532">
        <v>44</v>
      </c>
      <c r="D532" t="s">
        <v>3466</v>
      </c>
      <c r="E532" t="s">
        <v>1005</v>
      </c>
      <c r="F532" t="s">
        <v>969</v>
      </c>
      <c r="G532" s="12" t="s">
        <v>3465</v>
      </c>
      <c r="H532" t="s">
        <v>88</v>
      </c>
      <c r="I532">
        <v>81</v>
      </c>
      <c r="J532">
        <v>74</v>
      </c>
      <c r="K532">
        <v>180</v>
      </c>
      <c r="L532">
        <v>99</v>
      </c>
      <c r="M532" t="s">
        <v>96</v>
      </c>
      <c r="N532">
        <v>172</v>
      </c>
      <c r="O532">
        <v>90</v>
      </c>
      <c r="P532" t="s">
        <v>72</v>
      </c>
      <c r="Q532" t="s">
        <v>72</v>
      </c>
      <c r="R532">
        <v>60</v>
      </c>
      <c r="S532">
        <v>155.6</v>
      </c>
      <c r="T532" s="8">
        <f t="shared" si="16"/>
        <v>24.781755341294339</v>
      </c>
      <c r="U532" s="13" t="str" cm="1">
        <f t="array" ref="U532">IF(T532="","",_xlfn.IFS(T532&lt;18.5,"Bajo peso",T532&lt;25,"Peso normal",T532&lt;30,"Sobrepeso",T532&lt;35,"Obesidad clase I",T532&lt;40,"Obesidad clase II",T532&gt;=40,"Obesidad clase III"))</f>
        <v>Peso normal</v>
      </c>
      <c r="V532">
        <v>108</v>
      </c>
      <c r="X532" t="s">
        <v>3463</v>
      </c>
      <c r="Y532">
        <v>7</v>
      </c>
      <c r="AA532">
        <v>15</v>
      </c>
      <c r="AB532" s="9">
        <f t="shared" si="17"/>
        <v>6.8964330251578758</v>
      </c>
      <c r="AD532" t="s">
        <v>303</v>
      </c>
      <c r="AF532" t="s">
        <v>303</v>
      </c>
      <c r="AH532" t="s">
        <v>3463</v>
      </c>
      <c r="AI532" t="s">
        <v>3465</v>
      </c>
      <c r="AJ532" t="s">
        <v>3463</v>
      </c>
      <c r="AK532" t="s">
        <v>3465</v>
      </c>
      <c r="AL532" t="s">
        <v>3465</v>
      </c>
      <c r="AM532" t="s">
        <v>1368</v>
      </c>
      <c r="AN532" t="s">
        <v>3728</v>
      </c>
      <c r="AO532" t="s">
        <v>3465</v>
      </c>
      <c r="AP532" t="s">
        <v>3465</v>
      </c>
      <c r="AQ532" t="s">
        <v>1369</v>
      </c>
      <c r="AR532" t="s">
        <v>3555</v>
      </c>
      <c r="AS532" t="s">
        <v>3465</v>
      </c>
      <c r="AV532" t="s">
        <v>126</v>
      </c>
      <c r="AW532" t="s">
        <v>126</v>
      </c>
      <c r="AX532" t="s">
        <v>3463</v>
      </c>
      <c r="AY532" t="s">
        <v>3465</v>
      </c>
      <c r="AZ532" t="s">
        <v>90</v>
      </c>
      <c r="BF532" t="s">
        <v>3921</v>
      </c>
      <c r="BH532" t="s">
        <v>4020</v>
      </c>
      <c r="BP532" t="s">
        <v>4260</v>
      </c>
      <c r="BQ532" t="s">
        <v>3463</v>
      </c>
      <c r="BR532" t="s">
        <v>3465</v>
      </c>
      <c r="BS532" t="s">
        <v>3465</v>
      </c>
      <c r="BT532" t="s">
        <v>3465</v>
      </c>
      <c r="BU532" t="s">
        <v>3463</v>
      </c>
      <c r="BV532" t="s">
        <v>3463</v>
      </c>
      <c r="BW532" t="s">
        <v>3463</v>
      </c>
      <c r="BX532" t="s">
        <v>79</v>
      </c>
      <c r="BY532" t="s">
        <v>87</v>
      </c>
      <c r="BZ532" t="s">
        <v>563</v>
      </c>
      <c r="CA532" s="10">
        <v>45910</v>
      </c>
    </row>
    <row r="533" spans="1:79">
      <c r="A533">
        <v>539</v>
      </c>
      <c r="B533">
        <v>159</v>
      </c>
      <c r="C533">
        <v>70</v>
      </c>
      <c r="D533" t="s">
        <v>3466</v>
      </c>
      <c r="E533" t="s">
        <v>1000</v>
      </c>
      <c r="F533" t="s">
        <v>969</v>
      </c>
      <c r="G533" s="12" t="s">
        <v>3465</v>
      </c>
      <c r="H533" s="12" t="s">
        <v>88</v>
      </c>
      <c r="I533">
        <v>91</v>
      </c>
      <c r="K533">
        <v>130</v>
      </c>
      <c r="L533">
        <v>74</v>
      </c>
      <c r="M533" t="s">
        <v>82</v>
      </c>
      <c r="P533" t="s">
        <v>83</v>
      </c>
      <c r="Q533" t="s">
        <v>82</v>
      </c>
      <c r="R533">
        <v>53.2</v>
      </c>
      <c r="S533">
        <v>142</v>
      </c>
      <c r="T533" s="8">
        <f t="shared" si="16"/>
        <v>26.38365403689744</v>
      </c>
      <c r="U533" s="13" t="str" cm="1">
        <f t="array" ref="U533">IF(T533="","",_xlfn.IFS(T533&lt;18.5,"Bajo peso",T533&lt;25,"Peso normal",T533&lt;30,"Sobrepeso",T533&lt;35,"Obesidad clase I",T533&lt;40,"Obesidad clase II",T533&gt;=40,"Obesidad clase III"))</f>
        <v>Sobrepeso</v>
      </c>
      <c r="V533">
        <v>79</v>
      </c>
      <c r="X533" t="s">
        <v>3463</v>
      </c>
      <c r="Y533">
        <v>4.29</v>
      </c>
      <c r="AA533">
        <v>15</v>
      </c>
      <c r="AB533" s="9">
        <f t="shared" si="17"/>
        <v>10.557649087859886</v>
      </c>
      <c r="AD533" t="s">
        <v>303</v>
      </c>
      <c r="AF533" t="s">
        <v>303</v>
      </c>
      <c r="AG533" t="s">
        <v>3465</v>
      </c>
      <c r="AH533" t="s">
        <v>3465</v>
      </c>
      <c r="AI533" t="s">
        <v>3465</v>
      </c>
      <c r="AJ533" t="s">
        <v>3463</v>
      </c>
      <c r="AK533" t="s">
        <v>3463</v>
      </c>
      <c r="AL533" t="s">
        <v>3463</v>
      </c>
      <c r="AO533" t="s">
        <v>3465</v>
      </c>
      <c r="AP533" t="s">
        <v>3465</v>
      </c>
      <c r="AQ533" t="s">
        <v>1112</v>
      </c>
      <c r="AR533" t="s">
        <v>3491</v>
      </c>
      <c r="AS533" t="s">
        <v>3465</v>
      </c>
      <c r="AT533" t="s">
        <v>3465</v>
      </c>
      <c r="AU533" t="s">
        <v>80</v>
      </c>
      <c r="AV533" t="s">
        <v>74</v>
      </c>
      <c r="AW533" t="s">
        <v>3915</v>
      </c>
      <c r="AX533" t="s">
        <v>3463</v>
      </c>
      <c r="AY533" t="s">
        <v>3463</v>
      </c>
      <c r="BF533" t="s">
        <v>3921</v>
      </c>
      <c r="BH533" t="s">
        <v>4020</v>
      </c>
      <c r="BP533" t="s">
        <v>4260</v>
      </c>
      <c r="BQ533" t="s">
        <v>3463</v>
      </c>
      <c r="BR533" t="s">
        <v>3463</v>
      </c>
      <c r="BS533" t="s">
        <v>3465</v>
      </c>
      <c r="BT533" t="s">
        <v>3465</v>
      </c>
      <c r="BU533" t="s">
        <v>3463</v>
      </c>
      <c r="BV533" t="s">
        <v>3463</v>
      </c>
      <c r="BW533" t="s">
        <v>3463</v>
      </c>
      <c r="CA533" s="10">
        <v>45910</v>
      </c>
    </row>
    <row r="534" spans="1:79">
      <c r="A534">
        <v>540</v>
      </c>
      <c r="B534">
        <v>160</v>
      </c>
      <c r="C534">
        <v>31</v>
      </c>
      <c r="D534" t="s">
        <v>3466</v>
      </c>
      <c r="E534" t="s">
        <v>1237</v>
      </c>
      <c r="F534" t="s">
        <v>969</v>
      </c>
      <c r="G534" s="12" t="s">
        <v>3463</v>
      </c>
      <c r="H534" s="12"/>
      <c r="I534">
        <v>74</v>
      </c>
      <c r="K534">
        <v>128</v>
      </c>
      <c r="L534">
        <v>86</v>
      </c>
      <c r="M534" t="s">
        <v>82</v>
      </c>
      <c r="P534" t="s">
        <v>83</v>
      </c>
      <c r="Q534" t="s">
        <v>82</v>
      </c>
      <c r="R534">
        <v>90.4</v>
      </c>
      <c r="S534">
        <v>160</v>
      </c>
      <c r="T534" s="8">
        <f t="shared" si="16"/>
        <v>35.3125</v>
      </c>
      <c r="U534" s="13" t="str" cm="1">
        <f t="array" ref="U534">IF(T534="","",_xlfn.IFS(T534&lt;18.5,"Bajo peso",T534&lt;25,"Peso normal",T534&lt;30,"Sobrepeso",T534&lt;35,"Obesidad clase I",T534&lt;40,"Obesidad clase II",T534&gt;=40,"Obesidad clase III"))</f>
        <v>Obesidad clase II</v>
      </c>
      <c r="V534">
        <v>95</v>
      </c>
      <c r="X534" t="s">
        <v>3463</v>
      </c>
      <c r="Y534">
        <v>0.98</v>
      </c>
      <c r="AA534">
        <v>79</v>
      </c>
      <c r="AB534" s="9">
        <f t="shared" si="17"/>
        <v>79.137801072813872</v>
      </c>
      <c r="AD534" t="s">
        <v>73</v>
      </c>
      <c r="AF534" t="s">
        <v>73</v>
      </c>
      <c r="AH534" t="s">
        <v>3463</v>
      </c>
      <c r="AI534" t="s">
        <v>3463</v>
      </c>
      <c r="AJ534" t="s">
        <v>3465</v>
      </c>
      <c r="AK534" t="s">
        <v>3463</v>
      </c>
      <c r="AL534" t="s">
        <v>3465</v>
      </c>
      <c r="AM534" t="s">
        <v>1370</v>
      </c>
      <c r="AN534" t="s">
        <v>3729</v>
      </c>
      <c r="AO534" t="s">
        <v>3463</v>
      </c>
      <c r="AP534" t="s">
        <v>3465</v>
      </c>
      <c r="AT534" t="s">
        <v>3463</v>
      </c>
      <c r="AV534" t="s">
        <v>126</v>
      </c>
      <c r="AW534" t="s">
        <v>126</v>
      </c>
      <c r="AY534" t="s">
        <v>3465</v>
      </c>
      <c r="AZ534" t="s">
        <v>665</v>
      </c>
      <c r="BF534" t="s">
        <v>3921</v>
      </c>
      <c r="BH534" t="s">
        <v>4020</v>
      </c>
      <c r="BP534" t="s">
        <v>4260</v>
      </c>
      <c r="BQ534" t="s">
        <v>3463</v>
      </c>
      <c r="BR534" t="s">
        <v>3463</v>
      </c>
      <c r="BS534" t="s">
        <v>3465</v>
      </c>
      <c r="BT534" t="s">
        <v>3465</v>
      </c>
      <c r="BU534" t="s">
        <v>3463</v>
      </c>
      <c r="BV534" t="s">
        <v>3463</v>
      </c>
      <c r="BW534" t="s">
        <v>3463</v>
      </c>
      <c r="BX534" t="s">
        <v>518</v>
      </c>
      <c r="BY534" t="s">
        <v>79</v>
      </c>
      <c r="BZ534" t="s">
        <v>79</v>
      </c>
      <c r="CA534" s="10">
        <v>45910</v>
      </c>
    </row>
    <row r="535" spans="1:79">
      <c r="A535">
        <v>541</v>
      </c>
      <c r="B535">
        <v>161</v>
      </c>
      <c r="C535">
        <v>36</v>
      </c>
      <c r="D535" t="s">
        <v>3462</v>
      </c>
      <c r="E535" t="s">
        <v>1371</v>
      </c>
      <c r="F535" t="s">
        <v>168</v>
      </c>
      <c r="G535" s="12" t="s">
        <v>3463</v>
      </c>
      <c r="H535" s="12"/>
      <c r="I535">
        <v>70</v>
      </c>
      <c r="J535">
        <v>73</v>
      </c>
      <c r="K535">
        <v>143</v>
      </c>
      <c r="L535">
        <v>69</v>
      </c>
      <c r="M535" t="s">
        <v>72</v>
      </c>
      <c r="N535">
        <v>135</v>
      </c>
      <c r="O535">
        <v>87</v>
      </c>
      <c r="P535" t="s">
        <v>82</v>
      </c>
      <c r="Q535" t="s">
        <v>82</v>
      </c>
      <c r="R535">
        <v>109.05</v>
      </c>
      <c r="S535">
        <v>175</v>
      </c>
      <c r="T535" s="8">
        <f t="shared" si="16"/>
        <v>35.608163265306118</v>
      </c>
      <c r="U535" s="13" t="str" cm="1">
        <f t="array" ref="U535">IF(T535="","",_xlfn.IFS(T535&lt;18.5,"Bajo peso",T535&lt;25,"Peso normal",T535&lt;30,"Sobrepeso",T535&lt;35,"Obesidad clase I",T535&lt;40,"Obesidad clase II",T535&gt;=40,"Obesidad clase III"))</f>
        <v>Obesidad clase II</v>
      </c>
      <c r="V535">
        <v>109</v>
      </c>
      <c r="X535" t="s">
        <v>3463</v>
      </c>
      <c r="Y535">
        <v>1.67</v>
      </c>
      <c r="AA535">
        <v>54</v>
      </c>
      <c r="AB535" s="9">
        <f t="shared" si="17"/>
        <v>54.060905671964072</v>
      </c>
      <c r="AD535" t="s">
        <v>158</v>
      </c>
      <c r="AF535" t="s">
        <v>158</v>
      </c>
      <c r="AH535" t="s">
        <v>3463</v>
      </c>
      <c r="AI535" t="s">
        <v>3463</v>
      </c>
      <c r="AJ535" t="s">
        <v>3463</v>
      </c>
      <c r="AK535" t="s">
        <v>3463</v>
      </c>
      <c r="AL535" t="s">
        <v>3463</v>
      </c>
      <c r="AP535" t="s">
        <v>3463</v>
      </c>
      <c r="AQ535" t="s">
        <v>1372</v>
      </c>
      <c r="AR535" t="s">
        <v>3493</v>
      </c>
      <c r="AV535" t="s">
        <v>74</v>
      </c>
      <c r="AW535" t="s">
        <v>3915</v>
      </c>
      <c r="BF535" t="s">
        <v>3921</v>
      </c>
      <c r="BH535" t="s">
        <v>4053</v>
      </c>
      <c r="BI535" t="s">
        <v>411</v>
      </c>
      <c r="BK535" t="s">
        <v>1373</v>
      </c>
      <c r="BL535" t="s">
        <v>1374</v>
      </c>
      <c r="BP535" t="s">
        <v>4320</v>
      </c>
      <c r="BQ535" t="s">
        <v>3463</v>
      </c>
      <c r="BR535" t="s">
        <v>3465</v>
      </c>
      <c r="BS535" t="s">
        <v>3463</v>
      </c>
      <c r="BT535" t="s">
        <v>3463</v>
      </c>
      <c r="BU535" t="s">
        <v>3463</v>
      </c>
      <c r="BV535" t="s">
        <v>3463</v>
      </c>
      <c r="BW535" t="s">
        <v>3463</v>
      </c>
      <c r="BX535" t="s">
        <v>79</v>
      </c>
      <c r="BY535" t="s">
        <v>87</v>
      </c>
      <c r="BZ535" t="s">
        <v>79</v>
      </c>
      <c r="CA535" s="10">
        <v>45910</v>
      </c>
    </row>
    <row r="536" spans="1:79">
      <c r="A536">
        <v>542</v>
      </c>
      <c r="B536">
        <v>162</v>
      </c>
      <c r="C536">
        <v>73</v>
      </c>
      <c r="D536" t="s">
        <v>3462</v>
      </c>
      <c r="F536" t="s">
        <v>969</v>
      </c>
      <c r="G536" s="12" t="s">
        <v>3465</v>
      </c>
      <c r="H536" s="12" t="s">
        <v>88</v>
      </c>
      <c r="I536">
        <v>60</v>
      </c>
      <c r="K536">
        <v>128</v>
      </c>
      <c r="L536">
        <v>76</v>
      </c>
      <c r="M536" t="s">
        <v>118</v>
      </c>
      <c r="P536" t="s">
        <v>83</v>
      </c>
      <c r="Q536" t="s">
        <v>118</v>
      </c>
      <c r="R536">
        <v>78.8</v>
      </c>
      <c r="S536">
        <v>156</v>
      </c>
      <c r="T536" s="8">
        <f t="shared" si="16"/>
        <v>32.380013149243915</v>
      </c>
      <c r="U536" s="13" t="str" cm="1">
        <f t="array" ref="U536">IF(T536="","",_xlfn.IFS(T536&lt;18.5,"Bajo peso",T536&lt;25,"Peso normal",T536&lt;30,"Sobrepeso",T536&lt;35,"Obesidad clase I",T536&lt;40,"Obesidad clase II",T536&gt;=40,"Obesidad clase III"))</f>
        <v>Obesidad clase I</v>
      </c>
      <c r="V536">
        <v>91</v>
      </c>
      <c r="X536" t="s">
        <v>3463</v>
      </c>
      <c r="Y536">
        <v>1.24</v>
      </c>
      <c r="AA536">
        <v>61</v>
      </c>
      <c r="AB536" s="9">
        <f t="shared" si="17"/>
        <v>61.390303354289934</v>
      </c>
      <c r="AD536" t="s">
        <v>73</v>
      </c>
      <c r="AF536" t="s">
        <v>73</v>
      </c>
      <c r="AH536" t="s">
        <v>3463</v>
      </c>
      <c r="AI536" t="s">
        <v>3465</v>
      </c>
      <c r="AJ536" t="s">
        <v>3463</v>
      </c>
      <c r="AK536" t="s">
        <v>3463</v>
      </c>
      <c r="AL536" t="s">
        <v>3463</v>
      </c>
      <c r="AP536" t="s">
        <v>3463</v>
      </c>
      <c r="AQ536" t="s">
        <v>1375</v>
      </c>
      <c r="AR536" t="s">
        <v>3488</v>
      </c>
      <c r="AS536" t="s">
        <v>3465</v>
      </c>
      <c r="AV536" t="s">
        <v>74</v>
      </c>
      <c r="AW536" t="s">
        <v>3915</v>
      </c>
      <c r="BF536" t="s">
        <v>3921</v>
      </c>
      <c r="BG536" t="s">
        <v>1376</v>
      </c>
      <c r="BH536" t="s">
        <v>4143</v>
      </c>
      <c r="BK536" t="s">
        <v>1377</v>
      </c>
      <c r="BL536" t="s">
        <v>1378</v>
      </c>
      <c r="BP536" t="s">
        <v>4310</v>
      </c>
      <c r="BQ536" t="s">
        <v>3463</v>
      </c>
      <c r="BR536" t="s">
        <v>3465</v>
      </c>
      <c r="BS536" t="s">
        <v>3463</v>
      </c>
      <c r="BT536" t="s">
        <v>3463</v>
      </c>
      <c r="BU536" t="s">
        <v>3463</v>
      </c>
      <c r="BV536" t="s">
        <v>3463</v>
      </c>
      <c r="BW536" t="s">
        <v>3463</v>
      </c>
      <c r="BX536" t="s">
        <v>79</v>
      </c>
      <c r="BY536" t="s">
        <v>87</v>
      </c>
      <c r="BZ536" t="s">
        <v>95</v>
      </c>
      <c r="CA536" s="10">
        <v>45910</v>
      </c>
    </row>
    <row r="537" spans="1:79">
      <c r="A537">
        <v>543</v>
      </c>
      <c r="B537">
        <v>163</v>
      </c>
      <c r="C537">
        <v>56</v>
      </c>
      <c r="D537" t="s">
        <v>3466</v>
      </c>
      <c r="E537" t="s">
        <v>1000</v>
      </c>
      <c r="F537" t="s">
        <v>969</v>
      </c>
      <c r="G537" s="12" t="s">
        <v>3465</v>
      </c>
      <c r="H537" t="s">
        <v>88</v>
      </c>
      <c r="I537">
        <v>77</v>
      </c>
      <c r="K537">
        <v>130</v>
      </c>
      <c r="L537">
        <v>73</v>
      </c>
      <c r="M537" t="s">
        <v>82</v>
      </c>
      <c r="P537" t="s">
        <v>83</v>
      </c>
      <c r="Q537" t="s">
        <v>82</v>
      </c>
      <c r="R537">
        <v>74.8</v>
      </c>
      <c r="S537">
        <v>151</v>
      </c>
      <c r="T537" s="8">
        <f t="shared" si="16"/>
        <v>32.805578702688479</v>
      </c>
      <c r="U537" s="13" t="str" cm="1">
        <f t="array" ref="U537">IF(T537="","",_xlfn.IFS(T537&lt;18.5,"Bajo peso",T537&lt;25,"Peso normal",T537&lt;30,"Sobrepeso",T537&lt;35,"Obesidad clase I",T537&lt;40,"Obesidad clase II",T537&gt;=40,"Obesidad clase III"))</f>
        <v>Obesidad clase I</v>
      </c>
      <c r="V537">
        <v>91</v>
      </c>
      <c r="X537" t="s">
        <v>3463</v>
      </c>
      <c r="Y537">
        <v>0.78</v>
      </c>
      <c r="AA537">
        <v>89</v>
      </c>
      <c r="AB537" s="9">
        <f t="shared" si="17"/>
        <v>89.08745585634594</v>
      </c>
      <c r="AD537" t="s">
        <v>73</v>
      </c>
      <c r="AF537" t="s">
        <v>73</v>
      </c>
      <c r="AG537" t="s">
        <v>3463</v>
      </c>
      <c r="AH537" t="s">
        <v>3465</v>
      </c>
      <c r="AI537" t="s">
        <v>3463</v>
      </c>
      <c r="AJ537" t="s">
        <v>3463</v>
      </c>
      <c r="AK537" t="s">
        <v>3463</v>
      </c>
      <c r="AL537" t="s">
        <v>3463</v>
      </c>
      <c r="AP537" t="s">
        <v>3463</v>
      </c>
      <c r="AQ537" t="s">
        <v>1101</v>
      </c>
      <c r="AR537" t="s">
        <v>3493</v>
      </c>
      <c r="AT537" t="s">
        <v>3465</v>
      </c>
      <c r="AU537" t="s">
        <v>80</v>
      </c>
      <c r="AV537" t="s">
        <v>74</v>
      </c>
      <c r="AW537" t="s">
        <v>3915</v>
      </c>
      <c r="AX537" t="s">
        <v>3463</v>
      </c>
      <c r="AY537" t="s">
        <v>3465</v>
      </c>
      <c r="AZ537" t="s">
        <v>104</v>
      </c>
      <c r="BF537" t="s">
        <v>3921</v>
      </c>
      <c r="BH537" t="s">
        <v>4020</v>
      </c>
      <c r="BP537" t="s">
        <v>4260</v>
      </c>
      <c r="BQ537" t="s">
        <v>3463</v>
      </c>
      <c r="BR537" t="s">
        <v>3463</v>
      </c>
      <c r="BS537" t="s">
        <v>3463</v>
      </c>
      <c r="BT537" t="s">
        <v>3463</v>
      </c>
      <c r="BU537" t="s">
        <v>3463</v>
      </c>
      <c r="BV537" t="s">
        <v>3463</v>
      </c>
      <c r="BW537" t="s">
        <v>3463</v>
      </c>
      <c r="BX537" t="s">
        <v>79</v>
      </c>
      <c r="BY537" t="s">
        <v>79</v>
      </c>
      <c r="BZ537" t="s">
        <v>79</v>
      </c>
      <c r="CA537" s="10">
        <v>45910</v>
      </c>
    </row>
    <row r="538" spans="1:79">
      <c r="A538">
        <v>544</v>
      </c>
      <c r="B538">
        <v>164</v>
      </c>
      <c r="C538">
        <v>59</v>
      </c>
      <c r="D538" t="s">
        <v>3462</v>
      </c>
      <c r="E538" t="s">
        <v>1379</v>
      </c>
      <c r="F538" t="s">
        <v>969</v>
      </c>
      <c r="G538" s="12" t="s">
        <v>3465</v>
      </c>
      <c r="H538" s="12" t="s">
        <v>88</v>
      </c>
      <c r="I538">
        <v>75</v>
      </c>
      <c r="K538">
        <v>138</v>
      </c>
      <c r="L538">
        <v>82</v>
      </c>
      <c r="M538" t="s">
        <v>82</v>
      </c>
      <c r="P538" t="s">
        <v>83</v>
      </c>
      <c r="Q538" t="s">
        <v>82</v>
      </c>
      <c r="R538">
        <v>76.099999999999994</v>
      </c>
      <c r="S538">
        <v>170</v>
      </c>
      <c r="T538" s="8">
        <f t="shared" si="16"/>
        <v>26.332179930795846</v>
      </c>
      <c r="U538" s="13" t="str" cm="1">
        <f t="array" ref="U538">IF(T538="","",_xlfn.IFS(T538&lt;18.5,"Bajo peso",T538&lt;25,"Peso normal",T538&lt;30,"Sobrepeso",T538&lt;35,"Obesidad clase I",T538&lt;40,"Obesidad clase II",T538&gt;=40,"Obesidad clase III"))</f>
        <v>Sobrepeso</v>
      </c>
      <c r="V538">
        <v>110</v>
      </c>
      <c r="X538" t="s">
        <v>3463</v>
      </c>
      <c r="Y538">
        <v>1.3</v>
      </c>
      <c r="AA538">
        <v>63</v>
      </c>
      <c r="AB538" s="9">
        <f t="shared" si="17"/>
        <v>63.283120348576034</v>
      </c>
      <c r="AD538" t="s">
        <v>73</v>
      </c>
      <c r="AF538" t="s">
        <v>73</v>
      </c>
      <c r="AH538" t="s">
        <v>3463</v>
      </c>
      <c r="AI538" t="s">
        <v>3463</v>
      </c>
      <c r="AJ538" t="s">
        <v>3465</v>
      </c>
      <c r="AK538" t="s">
        <v>3463</v>
      </c>
      <c r="AL538" t="s">
        <v>3463</v>
      </c>
      <c r="AP538" t="s">
        <v>3463</v>
      </c>
      <c r="AQ538" t="s">
        <v>1380</v>
      </c>
      <c r="AR538" t="s">
        <v>3536</v>
      </c>
      <c r="AV538" t="s">
        <v>74</v>
      </c>
      <c r="AW538" t="s">
        <v>3915</v>
      </c>
      <c r="BE538" t="s">
        <v>1381</v>
      </c>
      <c r="BF538" t="s">
        <v>3924</v>
      </c>
      <c r="BG538" t="s">
        <v>1382</v>
      </c>
      <c r="BH538" t="s">
        <v>4144</v>
      </c>
      <c r="BI538" t="s">
        <v>411</v>
      </c>
      <c r="BL538" t="s">
        <v>1383</v>
      </c>
      <c r="BP538" t="s">
        <v>4320</v>
      </c>
      <c r="BQ538" t="s">
        <v>3463</v>
      </c>
      <c r="BR538" t="s">
        <v>3463</v>
      </c>
      <c r="BS538" t="s">
        <v>3463</v>
      </c>
      <c r="BT538" t="s">
        <v>3463</v>
      </c>
      <c r="BU538" t="s">
        <v>3463</v>
      </c>
      <c r="BV538" t="s">
        <v>3463</v>
      </c>
      <c r="BW538" t="s">
        <v>3463</v>
      </c>
      <c r="BX538" t="s">
        <v>518</v>
      </c>
      <c r="BY538" t="s">
        <v>87</v>
      </c>
      <c r="BZ538" t="s">
        <v>95</v>
      </c>
      <c r="CA538" s="10">
        <v>45910</v>
      </c>
    </row>
    <row r="539" spans="1:79">
      <c r="A539">
        <v>545</v>
      </c>
      <c r="B539">
        <v>165</v>
      </c>
      <c r="C539">
        <v>70</v>
      </c>
      <c r="D539" t="s">
        <v>3462</v>
      </c>
      <c r="E539" t="s">
        <v>1384</v>
      </c>
      <c r="F539" t="s">
        <v>969</v>
      </c>
      <c r="G539" s="12" t="s">
        <v>3465</v>
      </c>
      <c r="H539" s="12" t="s">
        <v>88</v>
      </c>
      <c r="I539">
        <v>62</v>
      </c>
      <c r="K539">
        <v>119</v>
      </c>
      <c r="L539">
        <v>69</v>
      </c>
      <c r="M539" t="s">
        <v>80</v>
      </c>
      <c r="P539" t="s">
        <v>83</v>
      </c>
      <c r="Q539" t="s">
        <v>80</v>
      </c>
      <c r="R539">
        <v>57.85</v>
      </c>
      <c r="S539">
        <v>152.5</v>
      </c>
      <c r="T539" s="8">
        <f t="shared" si="16"/>
        <v>24.875033593120133</v>
      </c>
      <c r="U539" s="13" t="str" cm="1">
        <f t="array" ref="U539">IF(T539="","",_xlfn.IFS(T539&lt;18.5,"Bajo peso",T539&lt;25,"Peso normal",T539&lt;30,"Sobrepeso",T539&lt;35,"Obesidad clase I",T539&lt;40,"Obesidad clase II",T539&gt;=40,"Obesidad clase III"))</f>
        <v>Peso normal</v>
      </c>
      <c r="V539">
        <v>118</v>
      </c>
      <c r="X539" t="s">
        <v>3463</v>
      </c>
      <c r="Y539">
        <v>0.94</v>
      </c>
      <c r="AA539">
        <v>87</v>
      </c>
      <c r="AB539" s="9">
        <f t="shared" si="17"/>
        <v>87.207813939605231</v>
      </c>
      <c r="AD539" t="s">
        <v>73</v>
      </c>
      <c r="AF539" t="s">
        <v>73</v>
      </c>
      <c r="AG539" t="s">
        <v>3465</v>
      </c>
      <c r="AH539" t="s">
        <v>3465</v>
      </c>
      <c r="AI539" t="s">
        <v>3465</v>
      </c>
      <c r="AJ539" t="s">
        <v>3463</v>
      </c>
      <c r="AK539" t="s">
        <v>3463</v>
      </c>
      <c r="AL539" t="s">
        <v>3463</v>
      </c>
      <c r="AP539" t="s">
        <v>3463</v>
      </c>
      <c r="AQ539" t="s">
        <v>1385</v>
      </c>
      <c r="AR539" t="s">
        <v>3516</v>
      </c>
      <c r="AS539" t="s">
        <v>3465</v>
      </c>
      <c r="AV539" t="s">
        <v>178</v>
      </c>
      <c r="AW539" t="s">
        <v>3918</v>
      </c>
      <c r="BF539" t="s">
        <v>3921</v>
      </c>
      <c r="BH539" t="s">
        <v>4020</v>
      </c>
      <c r="BP539" t="s">
        <v>4260</v>
      </c>
      <c r="BQ539" t="s">
        <v>3463</v>
      </c>
      <c r="BR539" t="s">
        <v>3465</v>
      </c>
      <c r="BS539" t="s">
        <v>3463</v>
      </c>
      <c r="BT539" t="s">
        <v>3463</v>
      </c>
      <c r="BU539" t="s">
        <v>3463</v>
      </c>
      <c r="BV539" t="s">
        <v>3463</v>
      </c>
      <c r="BW539" t="s">
        <v>3463</v>
      </c>
      <c r="BX539" t="s">
        <v>79</v>
      </c>
      <c r="BY539" t="s">
        <v>79</v>
      </c>
      <c r="BZ539" t="s">
        <v>79</v>
      </c>
      <c r="CA539" s="10">
        <v>45910</v>
      </c>
    </row>
    <row r="540" spans="1:79">
      <c r="A540">
        <v>546</v>
      </c>
      <c r="B540">
        <v>166</v>
      </c>
      <c r="C540">
        <v>38</v>
      </c>
      <c r="D540" t="s">
        <v>3466</v>
      </c>
      <c r="E540" t="s">
        <v>974</v>
      </c>
      <c r="F540" t="s">
        <v>969</v>
      </c>
      <c r="G540" s="12" t="s">
        <v>3465</v>
      </c>
      <c r="H540" s="12" t="s">
        <v>88</v>
      </c>
      <c r="I540">
        <v>79</v>
      </c>
      <c r="J540">
        <v>79</v>
      </c>
      <c r="K540">
        <v>151</v>
      </c>
      <c r="L540">
        <v>86</v>
      </c>
      <c r="M540" t="s">
        <v>72</v>
      </c>
      <c r="N540">
        <v>137</v>
      </c>
      <c r="O540">
        <v>85</v>
      </c>
      <c r="P540" t="s">
        <v>82</v>
      </c>
      <c r="Q540" t="s">
        <v>82</v>
      </c>
      <c r="R540">
        <v>54.2</v>
      </c>
      <c r="S540">
        <v>146</v>
      </c>
      <c r="T540" s="8">
        <f t="shared" si="16"/>
        <v>25.426909363858137</v>
      </c>
      <c r="U540" s="13" t="str" cm="1">
        <f t="array" ref="U540">IF(T540="","",_xlfn.IFS(T540&lt;18.5,"Bajo peso",T540&lt;25,"Peso normal",T540&lt;30,"Sobrepeso",T540&lt;35,"Obesidad clase I",T540&lt;40,"Obesidad clase II",T540&gt;=40,"Obesidad clase III"))</f>
        <v>Sobrepeso</v>
      </c>
      <c r="V540">
        <v>100</v>
      </c>
      <c r="X540" t="s">
        <v>3463</v>
      </c>
      <c r="Y540">
        <v>0.97</v>
      </c>
      <c r="AA540">
        <v>76</v>
      </c>
      <c r="AB540" s="9">
        <f t="shared" si="17"/>
        <v>76.704728196017115</v>
      </c>
      <c r="AD540" t="s">
        <v>73</v>
      </c>
      <c r="AF540" t="s">
        <v>73</v>
      </c>
      <c r="AH540" t="s">
        <v>3463</v>
      </c>
      <c r="AI540" t="s">
        <v>3463</v>
      </c>
      <c r="AJ540" t="s">
        <v>3463</v>
      </c>
      <c r="AK540" t="s">
        <v>3465</v>
      </c>
      <c r="AL540" t="s">
        <v>3465</v>
      </c>
      <c r="AM540" t="s">
        <v>116</v>
      </c>
      <c r="AN540" t="s">
        <v>116</v>
      </c>
      <c r="AP540" t="s">
        <v>3463</v>
      </c>
      <c r="AQ540" t="s">
        <v>1386</v>
      </c>
      <c r="AR540" t="s">
        <v>3488</v>
      </c>
      <c r="AT540" t="s">
        <v>3465</v>
      </c>
      <c r="AV540" t="s">
        <v>74</v>
      </c>
      <c r="AW540" t="s">
        <v>3915</v>
      </c>
      <c r="AX540" t="s">
        <v>3463</v>
      </c>
      <c r="AY540" t="s">
        <v>3465</v>
      </c>
      <c r="AZ540" t="s">
        <v>1110</v>
      </c>
      <c r="BE540" t="s">
        <v>257</v>
      </c>
      <c r="BF540" t="s">
        <v>116</v>
      </c>
      <c r="BG540" t="s">
        <v>1387</v>
      </c>
      <c r="BH540" t="s">
        <v>4021</v>
      </c>
      <c r="BI540" t="s">
        <v>734</v>
      </c>
      <c r="BK540" t="s">
        <v>911</v>
      </c>
      <c r="BL540" t="s">
        <v>755</v>
      </c>
      <c r="BP540" t="s">
        <v>4270</v>
      </c>
      <c r="BQ540" t="s">
        <v>3463</v>
      </c>
      <c r="BR540" t="s">
        <v>3463</v>
      </c>
      <c r="BS540" t="s">
        <v>3463</v>
      </c>
      <c r="BT540" t="s">
        <v>3463</v>
      </c>
      <c r="BU540" t="s">
        <v>3463</v>
      </c>
      <c r="BV540" t="s">
        <v>3463</v>
      </c>
      <c r="BW540" t="s">
        <v>3463</v>
      </c>
      <c r="BX540" t="s">
        <v>79</v>
      </c>
      <c r="BY540" t="s">
        <v>79</v>
      </c>
      <c r="BZ540" t="s">
        <v>95</v>
      </c>
      <c r="CA540" s="10">
        <v>45910</v>
      </c>
    </row>
    <row r="541" spans="1:79">
      <c r="A541">
        <v>547</v>
      </c>
      <c r="B541">
        <v>167</v>
      </c>
      <c r="C541">
        <v>45</v>
      </c>
      <c r="D541" t="s">
        <v>3466</v>
      </c>
      <c r="E541" t="s">
        <v>1237</v>
      </c>
      <c r="F541" t="s">
        <v>969</v>
      </c>
      <c r="G541" s="12" t="s">
        <v>3463</v>
      </c>
      <c r="I541">
        <v>94</v>
      </c>
      <c r="K541">
        <v>139</v>
      </c>
      <c r="L541">
        <v>88</v>
      </c>
      <c r="M541" t="s">
        <v>82</v>
      </c>
      <c r="P541" t="s">
        <v>83</v>
      </c>
      <c r="Q541" t="s">
        <v>82</v>
      </c>
      <c r="R541">
        <v>83</v>
      </c>
      <c r="S541">
        <v>162</v>
      </c>
      <c r="T541" s="8">
        <f t="shared" si="16"/>
        <v>31.626276482243561</v>
      </c>
      <c r="U541" s="13" t="str" cm="1">
        <f t="array" ref="U541">IF(T541="","",_xlfn.IFS(T541&lt;18.5,"Bajo peso",T541&lt;25,"Peso normal",T541&lt;30,"Sobrepeso",T541&lt;35,"Obesidad clase I",T541&lt;40,"Obesidad clase II",T541&gt;=40,"Obesidad clase III"))</f>
        <v>Obesidad clase I</v>
      </c>
      <c r="V541">
        <v>99</v>
      </c>
      <c r="X541" t="s">
        <v>3463</v>
      </c>
      <c r="Y541">
        <v>1.03</v>
      </c>
      <c r="AA541">
        <v>68</v>
      </c>
      <c r="AB541" s="9">
        <f t="shared" si="17"/>
        <v>68.333944984569854</v>
      </c>
      <c r="AD541" t="s">
        <v>73</v>
      </c>
      <c r="AF541" t="s">
        <v>73</v>
      </c>
      <c r="AH541" t="s">
        <v>3463</v>
      </c>
      <c r="AI541" t="s">
        <v>3463</v>
      </c>
      <c r="AJ541" t="s">
        <v>3463</v>
      </c>
      <c r="AK541" t="s">
        <v>3463</v>
      </c>
      <c r="AL541" t="s">
        <v>3463</v>
      </c>
      <c r="AP541" t="s">
        <v>3463</v>
      </c>
      <c r="AQ541" t="s">
        <v>159</v>
      </c>
      <c r="AR541" t="s">
        <v>3491</v>
      </c>
      <c r="AT541" t="s">
        <v>3465</v>
      </c>
      <c r="AU541" t="s">
        <v>80</v>
      </c>
      <c r="AV541" t="s">
        <v>126</v>
      </c>
      <c r="AW541" t="s">
        <v>126</v>
      </c>
      <c r="AY541" t="s">
        <v>3465</v>
      </c>
      <c r="AZ541" t="s">
        <v>665</v>
      </c>
      <c r="BF541" t="s">
        <v>3921</v>
      </c>
      <c r="BG541" t="s">
        <v>1388</v>
      </c>
      <c r="BH541" t="s">
        <v>4145</v>
      </c>
      <c r="BI541" t="s">
        <v>76</v>
      </c>
      <c r="BL541" t="s">
        <v>1389</v>
      </c>
      <c r="BP541" t="s">
        <v>4430</v>
      </c>
      <c r="BQ541" t="s">
        <v>3463</v>
      </c>
      <c r="BR541" t="s">
        <v>3463</v>
      </c>
      <c r="BS541" t="s">
        <v>3463</v>
      </c>
      <c r="BT541" t="s">
        <v>3463</v>
      </c>
      <c r="BU541" t="s">
        <v>3463</v>
      </c>
      <c r="BV541" t="s">
        <v>3463</v>
      </c>
      <c r="BW541" t="s">
        <v>3463</v>
      </c>
      <c r="BX541" t="s">
        <v>654</v>
      </c>
      <c r="BY541" t="s">
        <v>79</v>
      </c>
      <c r="BZ541" t="s">
        <v>95</v>
      </c>
      <c r="CA541" s="10">
        <v>45910</v>
      </c>
    </row>
    <row r="542" spans="1:79">
      <c r="A542">
        <v>548</v>
      </c>
      <c r="B542">
        <v>168</v>
      </c>
      <c r="C542">
        <v>51</v>
      </c>
      <c r="D542" t="s">
        <v>3466</v>
      </c>
      <c r="E542" t="s">
        <v>1036</v>
      </c>
      <c r="F542" t="s">
        <v>969</v>
      </c>
      <c r="G542" s="12" t="s">
        <v>3465</v>
      </c>
      <c r="H542" t="s">
        <v>88</v>
      </c>
      <c r="I542">
        <v>73</v>
      </c>
      <c r="J542">
        <v>74</v>
      </c>
      <c r="K542">
        <v>138</v>
      </c>
      <c r="L542">
        <v>86</v>
      </c>
      <c r="M542" t="s">
        <v>82</v>
      </c>
      <c r="N542">
        <v>134</v>
      </c>
      <c r="O542">
        <v>86</v>
      </c>
      <c r="P542" t="s">
        <v>82</v>
      </c>
      <c r="Q542" t="s">
        <v>82</v>
      </c>
      <c r="R542">
        <v>88</v>
      </c>
      <c r="S542">
        <v>152</v>
      </c>
      <c r="T542" s="8">
        <f t="shared" si="16"/>
        <v>38.088642659279778</v>
      </c>
      <c r="U542" s="13" t="str" cm="1">
        <f t="array" ref="U542">IF(T542="","",_xlfn.IFS(T542&lt;18.5,"Bajo peso",T542&lt;25,"Peso normal",T542&lt;30,"Sobrepeso",T542&lt;35,"Obesidad clase I",T542&lt;40,"Obesidad clase II",T542&gt;=40,"Obesidad clase III"))</f>
        <v>Obesidad clase II</v>
      </c>
      <c r="V542">
        <v>88</v>
      </c>
      <c r="X542" t="s">
        <v>3463</v>
      </c>
      <c r="Y542">
        <v>0.62</v>
      </c>
      <c r="AA542">
        <v>90</v>
      </c>
      <c r="AB542" s="9">
        <f t="shared" si="17"/>
        <v>107.7506007629792</v>
      </c>
      <c r="AD542" t="s">
        <v>73</v>
      </c>
      <c r="AF542" t="s">
        <v>73</v>
      </c>
      <c r="AH542" t="s">
        <v>3463</v>
      </c>
      <c r="AI542" t="s">
        <v>3465</v>
      </c>
      <c r="AJ542" t="s">
        <v>3465</v>
      </c>
      <c r="AK542" t="s">
        <v>3464</v>
      </c>
      <c r="AL542" t="s">
        <v>3465</v>
      </c>
      <c r="AM542" t="s">
        <v>110</v>
      </c>
      <c r="AN542" t="s">
        <v>110</v>
      </c>
      <c r="AP542" t="s">
        <v>3463</v>
      </c>
      <c r="AQ542" t="s">
        <v>1112</v>
      </c>
      <c r="AR542" t="s">
        <v>3491</v>
      </c>
      <c r="AS542" t="s">
        <v>3465</v>
      </c>
      <c r="AT542" t="s">
        <v>3465</v>
      </c>
      <c r="AU542" t="s">
        <v>80</v>
      </c>
      <c r="AV542" t="s">
        <v>112</v>
      </c>
      <c r="AW542" t="s">
        <v>3917</v>
      </c>
      <c r="AX542" t="s">
        <v>3463</v>
      </c>
      <c r="AY542" t="s">
        <v>3465</v>
      </c>
      <c r="AZ542" t="s">
        <v>90</v>
      </c>
      <c r="BF542" t="s">
        <v>3921</v>
      </c>
      <c r="BH542" t="s">
        <v>4020</v>
      </c>
      <c r="BP542" t="s">
        <v>4260</v>
      </c>
      <c r="BQ542" t="s">
        <v>3463</v>
      </c>
      <c r="BR542" t="s">
        <v>3463</v>
      </c>
      <c r="BS542" t="s">
        <v>3465</v>
      </c>
      <c r="BT542" t="s">
        <v>3465</v>
      </c>
      <c r="BU542" t="s">
        <v>3463</v>
      </c>
      <c r="BV542" t="s">
        <v>3463</v>
      </c>
      <c r="BW542" t="s">
        <v>3463</v>
      </c>
      <c r="BX542" t="s">
        <v>79</v>
      </c>
      <c r="BY542" t="s">
        <v>79</v>
      </c>
      <c r="BZ542" t="s">
        <v>79</v>
      </c>
      <c r="CA542" s="10">
        <v>45910</v>
      </c>
    </row>
    <row r="543" spans="1:79">
      <c r="A543">
        <v>549</v>
      </c>
      <c r="B543">
        <v>169</v>
      </c>
      <c r="C543">
        <v>52</v>
      </c>
      <c r="D543" t="s">
        <v>3462</v>
      </c>
      <c r="E543" t="s">
        <v>974</v>
      </c>
      <c r="F543" t="s">
        <v>969</v>
      </c>
      <c r="G543" s="12" t="s">
        <v>3463</v>
      </c>
      <c r="H543" s="12"/>
      <c r="I543">
        <v>72</v>
      </c>
      <c r="K543">
        <v>139</v>
      </c>
      <c r="L543">
        <v>87</v>
      </c>
      <c r="M543" t="s">
        <v>82</v>
      </c>
      <c r="P543" t="s">
        <v>83</v>
      </c>
      <c r="Q543" t="s">
        <v>82</v>
      </c>
      <c r="R543">
        <v>89.5</v>
      </c>
      <c r="S543">
        <v>167</v>
      </c>
      <c r="T543" s="8">
        <f t="shared" si="16"/>
        <v>32.091505611531424</v>
      </c>
      <c r="U543" s="13" t="str" cm="1">
        <f t="array" ref="U543">IF(T543="","",_xlfn.IFS(T543&lt;18.5,"Bajo peso",T543&lt;25,"Peso normal",T543&lt;30,"Sobrepeso",T543&lt;35,"Obesidad clase I",T543&lt;40,"Obesidad clase II",T543&gt;=40,"Obesidad clase III"))</f>
        <v>Obesidad clase I</v>
      </c>
      <c r="V543">
        <v>126</v>
      </c>
      <c r="X543" t="s">
        <v>3463</v>
      </c>
      <c r="Y543">
        <v>1.52</v>
      </c>
      <c r="AA543">
        <v>55</v>
      </c>
      <c r="AB543" s="9">
        <f t="shared" si="17"/>
        <v>54.791684879115664</v>
      </c>
      <c r="AD543" t="s">
        <v>158</v>
      </c>
      <c r="AF543" t="s">
        <v>158</v>
      </c>
      <c r="AG543" t="s">
        <v>3465</v>
      </c>
      <c r="AH543" t="s">
        <v>3465</v>
      </c>
      <c r="AI543" t="s">
        <v>3465</v>
      </c>
      <c r="AJ543" t="s">
        <v>3463</v>
      </c>
      <c r="AK543" t="s">
        <v>3463</v>
      </c>
      <c r="AL543" t="s">
        <v>3465</v>
      </c>
      <c r="AM543" t="s">
        <v>1390</v>
      </c>
      <c r="AN543" t="s">
        <v>3730</v>
      </c>
      <c r="AP543" t="s">
        <v>3463</v>
      </c>
      <c r="AQ543" t="s">
        <v>1233</v>
      </c>
      <c r="AR543" t="s">
        <v>3490</v>
      </c>
      <c r="AS543" t="s">
        <v>3465</v>
      </c>
      <c r="AV543" t="s">
        <v>74</v>
      </c>
      <c r="AW543" t="s">
        <v>3915</v>
      </c>
      <c r="BA543" t="s">
        <v>3920</v>
      </c>
      <c r="BB543" t="s">
        <v>3485</v>
      </c>
      <c r="BC543" t="s">
        <v>128</v>
      </c>
      <c r="BE543" t="s">
        <v>1391</v>
      </c>
      <c r="BF543" t="s">
        <v>3947</v>
      </c>
      <c r="BG543" t="s">
        <v>1392</v>
      </c>
      <c r="BH543" t="s">
        <v>4146</v>
      </c>
      <c r="BI543" t="s">
        <v>411</v>
      </c>
      <c r="BK543" t="s">
        <v>1393</v>
      </c>
      <c r="BL543" t="s">
        <v>1394</v>
      </c>
      <c r="BP543" t="s">
        <v>4431</v>
      </c>
      <c r="BQ543" t="s">
        <v>3463</v>
      </c>
      <c r="BR543" t="s">
        <v>3465</v>
      </c>
      <c r="BS543" t="s">
        <v>3463</v>
      </c>
      <c r="BT543" t="s">
        <v>3463</v>
      </c>
      <c r="BU543" t="s">
        <v>3463</v>
      </c>
      <c r="BV543" t="s">
        <v>3463</v>
      </c>
      <c r="BW543" t="s">
        <v>3463</v>
      </c>
      <c r="BX543" t="s">
        <v>518</v>
      </c>
      <c r="BY543" t="s">
        <v>79</v>
      </c>
      <c r="BZ543" t="s">
        <v>79</v>
      </c>
      <c r="CA543" s="10">
        <v>45910</v>
      </c>
    </row>
    <row r="544" spans="1:79">
      <c r="A544">
        <v>550</v>
      </c>
      <c r="B544">
        <v>170</v>
      </c>
      <c r="C544">
        <v>61</v>
      </c>
      <c r="D544" t="s">
        <v>3466</v>
      </c>
      <c r="E544" t="s">
        <v>1036</v>
      </c>
      <c r="F544" t="s">
        <v>969</v>
      </c>
      <c r="G544" s="12" t="s">
        <v>3463</v>
      </c>
      <c r="H544" s="12"/>
      <c r="I544">
        <v>76</v>
      </c>
      <c r="K544">
        <v>112</v>
      </c>
      <c r="L544">
        <v>69</v>
      </c>
      <c r="M544" t="s">
        <v>80</v>
      </c>
      <c r="P544" t="s">
        <v>83</v>
      </c>
      <c r="Q544" t="s">
        <v>80</v>
      </c>
      <c r="R544">
        <v>52.6</v>
      </c>
      <c r="S544">
        <v>150.5</v>
      </c>
      <c r="T544" s="8">
        <f t="shared" si="16"/>
        <v>23.222701736183925</v>
      </c>
      <c r="U544" s="13" t="str" cm="1">
        <f t="array" ref="U544">IF(T544="","",_xlfn.IFS(T544&lt;18.5,"Bajo peso",T544&lt;25,"Peso normal",T544&lt;30,"Sobrepeso",T544&lt;35,"Obesidad clase I",T544&lt;40,"Obesidad clase II",T544&gt;=40,"Obesidad clase III"))</f>
        <v>Peso normal</v>
      </c>
      <c r="V544">
        <v>97</v>
      </c>
      <c r="X544" t="s">
        <v>3463</v>
      </c>
      <c r="Y544">
        <v>0.81</v>
      </c>
      <c r="AA544">
        <v>82</v>
      </c>
      <c r="AB544" s="9">
        <f t="shared" si="17"/>
        <v>82.535924303944512</v>
      </c>
      <c r="AD544" t="s">
        <v>73</v>
      </c>
      <c r="AF544" t="s">
        <v>73</v>
      </c>
      <c r="AG544" t="s">
        <v>3465</v>
      </c>
      <c r="AH544" t="s">
        <v>3465</v>
      </c>
      <c r="AI544" t="s">
        <v>3463</v>
      </c>
      <c r="AJ544" t="s">
        <v>3463</v>
      </c>
      <c r="AK544" t="s">
        <v>3463</v>
      </c>
      <c r="AL544" t="s">
        <v>3465</v>
      </c>
      <c r="AM544" t="s">
        <v>1395</v>
      </c>
      <c r="AN544" t="s">
        <v>1395</v>
      </c>
      <c r="AP544" t="s">
        <v>3463</v>
      </c>
      <c r="AT544" t="s">
        <v>3465</v>
      </c>
      <c r="AU544" t="s">
        <v>80</v>
      </c>
      <c r="AV544" t="s">
        <v>74</v>
      </c>
      <c r="AW544" t="s">
        <v>3915</v>
      </c>
      <c r="AX544" t="s">
        <v>3463</v>
      </c>
      <c r="AY544" t="s">
        <v>3465</v>
      </c>
      <c r="AZ544" t="s">
        <v>104</v>
      </c>
      <c r="BF544" t="s">
        <v>3921</v>
      </c>
      <c r="BH544" t="s">
        <v>4020</v>
      </c>
      <c r="BP544" t="s">
        <v>4260</v>
      </c>
      <c r="BQ544" t="s">
        <v>3463</v>
      </c>
      <c r="BR544" t="s">
        <v>3465</v>
      </c>
      <c r="BS544" t="s">
        <v>3463</v>
      </c>
      <c r="BT544" t="s">
        <v>3463</v>
      </c>
      <c r="BU544" t="s">
        <v>3463</v>
      </c>
      <c r="BV544" t="s">
        <v>3463</v>
      </c>
      <c r="BW544" t="s">
        <v>3463</v>
      </c>
      <c r="BX544" t="s">
        <v>79</v>
      </c>
      <c r="BY544" t="s">
        <v>87</v>
      </c>
      <c r="BZ544" t="s">
        <v>79</v>
      </c>
      <c r="CA544" s="10">
        <v>45910</v>
      </c>
    </row>
    <row r="545" spans="1:79">
      <c r="A545">
        <v>551</v>
      </c>
      <c r="B545">
        <v>171</v>
      </c>
      <c r="C545">
        <v>53</v>
      </c>
      <c r="D545" t="s">
        <v>3466</v>
      </c>
      <c r="E545" t="s">
        <v>1237</v>
      </c>
      <c r="F545" t="s">
        <v>969</v>
      </c>
      <c r="G545" s="12" t="s">
        <v>3463</v>
      </c>
      <c r="H545" s="12"/>
      <c r="I545">
        <v>80</v>
      </c>
      <c r="K545">
        <v>130</v>
      </c>
      <c r="L545">
        <v>79</v>
      </c>
      <c r="M545" t="s">
        <v>82</v>
      </c>
      <c r="P545" t="s">
        <v>83</v>
      </c>
      <c r="Q545" t="s">
        <v>82</v>
      </c>
      <c r="R545">
        <v>57.8</v>
      </c>
      <c r="S545">
        <v>158</v>
      </c>
      <c r="T545" s="8">
        <f t="shared" si="16"/>
        <v>23.153340810767503</v>
      </c>
      <c r="U545" s="13" t="str" cm="1">
        <f t="array" ref="U545">IF(T545="","",_xlfn.IFS(T545&lt;18.5,"Bajo peso",T545&lt;25,"Peso normal",T545&lt;30,"Sobrepeso",T545&lt;35,"Obesidad clase I",T545&lt;40,"Obesidad clase II",T545&gt;=40,"Obesidad clase III"))</f>
        <v>Peso normal</v>
      </c>
      <c r="V545">
        <v>95</v>
      </c>
      <c r="X545" t="s">
        <v>3463</v>
      </c>
      <c r="Y545">
        <v>0.61</v>
      </c>
      <c r="AA545">
        <v>90</v>
      </c>
      <c r="AB545" s="9">
        <f t="shared" si="17"/>
        <v>106.83648525208724</v>
      </c>
      <c r="AD545" t="s">
        <v>73</v>
      </c>
      <c r="AF545" t="s">
        <v>73</v>
      </c>
      <c r="AH545" t="s">
        <v>3463</v>
      </c>
      <c r="AI545" t="s">
        <v>3463</v>
      </c>
      <c r="AJ545" t="s">
        <v>3463</v>
      </c>
      <c r="AK545" t="s">
        <v>3465</v>
      </c>
      <c r="AL545" t="s">
        <v>3463</v>
      </c>
      <c r="AP545" t="s">
        <v>3463</v>
      </c>
      <c r="AT545" t="s">
        <v>3463</v>
      </c>
      <c r="AU545" t="s">
        <v>80</v>
      </c>
      <c r="AV545" t="s">
        <v>74</v>
      </c>
      <c r="AW545" t="s">
        <v>3915</v>
      </c>
      <c r="AX545" t="s">
        <v>3463</v>
      </c>
      <c r="AY545" t="s">
        <v>3465</v>
      </c>
      <c r="AZ545" t="s">
        <v>247</v>
      </c>
      <c r="BF545" t="s">
        <v>3921</v>
      </c>
      <c r="BH545" t="s">
        <v>4020</v>
      </c>
      <c r="BP545" t="s">
        <v>4260</v>
      </c>
      <c r="BQ545" t="s">
        <v>3463</v>
      </c>
      <c r="BR545" t="s">
        <v>3463</v>
      </c>
      <c r="BS545" t="s">
        <v>3463</v>
      </c>
      <c r="BT545" t="s">
        <v>3463</v>
      </c>
      <c r="BU545" t="s">
        <v>3463</v>
      </c>
      <c r="BV545" t="s">
        <v>3463</v>
      </c>
      <c r="BW545" t="s">
        <v>3463</v>
      </c>
      <c r="BX545" t="s">
        <v>79</v>
      </c>
      <c r="BY545" t="s">
        <v>87</v>
      </c>
      <c r="BZ545" t="s">
        <v>79</v>
      </c>
      <c r="CA545" s="10">
        <v>45910</v>
      </c>
    </row>
    <row r="546" spans="1:79">
      <c r="A546">
        <v>552</v>
      </c>
      <c r="B546">
        <v>172</v>
      </c>
      <c r="C546">
        <v>39</v>
      </c>
      <c r="D546" t="s">
        <v>3462</v>
      </c>
      <c r="E546" t="s">
        <v>1000</v>
      </c>
      <c r="F546" t="s">
        <v>168</v>
      </c>
      <c r="G546" s="12" t="s">
        <v>3463</v>
      </c>
      <c r="H546" s="12"/>
      <c r="I546">
        <v>83</v>
      </c>
      <c r="K546">
        <v>126</v>
      </c>
      <c r="L546">
        <v>78</v>
      </c>
      <c r="M546" t="s">
        <v>118</v>
      </c>
      <c r="P546" t="s">
        <v>83</v>
      </c>
      <c r="Q546" t="s">
        <v>118</v>
      </c>
      <c r="R546">
        <v>80.95</v>
      </c>
      <c r="S546">
        <v>182</v>
      </c>
      <c r="T546" s="8">
        <f t="shared" si="16"/>
        <v>24.438473614297791</v>
      </c>
      <c r="U546" s="13" t="str" cm="1">
        <f t="array" ref="U546">IF(T546="","",_xlfn.IFS(T546&lt;18.5,"Bajo peso",T546&lt;25,"Peso normal",T546&lt;30,"Sobrepeso",T546&lt;35,"Obesidad clase I",T546&lt;40,"Obesidad clase II",T546&gt;=40,"Obesidad clase III"))</f>
        <v>Peso normal</v>
      </c>
      <c r="V546">
        <v>87</v>
      </c>
      <c r="X546" t="s">
        <v>3463</v>
      </c>
      <c r="Y546">
        <v>0.78</v>
      </c>
      <c r="AA546">
        <v>90</v>
      </c>
      <c r="AB546" s="9">
        <f t="shared" si="17"/>
        <v>116.33696137329876</v>
      </c>
      <c r="AD546" t="s">
        <v>73</v>
      </c>
      <c r="AF546" t="s">
        <v>73</v>
      </c>
      <c r="AH546" t="s">
        <v>3463</v>
      </c>
      <c r="AI546" t="s">
        <v>3463</v>
      </c>
      <c r="AJ546" t="s">
        <v>3463</v>
      </c>
      <c r="AK546" t="s">
        <v>3463</v>
      </c>
      <c r="AL546" t="s">
        <v>3465</v>
      </c>
      <c r="AM546" t="s">
        <v>457</v>
      </c>
      <c r="AN546" t="s">
        <v>3617</v>
      </c>
      <c r="AP546" t="s">
        <v>3463</v>
      </c>
      <c r="AQ546" t="s">
        <v>1396</v>
      </c>
      <c r="AR546" t="s">
        <v>3488</v>
      </c>
      <c r="AV546" t="s">
        <v>178</v>
      </c>
      <c r="AW546" t="s">
        <v>3918</v>
      </c>
      <c r="BE546" t="s">
        <v>1397</v>
      </c>
      <c r="BF546" t="s">
        <v>3956</v>
      </c>
      <c r="BH546" t="s">
        <v>4076</v>
      </c>
      <c r="BK546" t="s">
        <v>68</v>
      </c>
      <c r="BL546" t="s">
        <v>1398</v>
      </c>
      <c r="BP546" t="s">
        <v>4310</v>
      </c>
      <c r="BQ546" t="s">
        <v>3463</v>
      </c>
      <c r="BR546" t="s">
        <v>3465</v>
      </c>
      <c r="BS546" t="s">
        <v>3465</v>
      </c>
      <c r="BT546" t="s">
        <v>3465</v>
      </c>
      <c r="BU546" t="s">
        <v>3463</v>
      </c>
      <c r="BV546" t="s">
        <v>3463</v>
      </c>
      <c r="BW546" t="s">
        <v>3463</v>
      </c>
      <c r="BX546" t="s">
        <v>518</v>
      </c>
      <c r="BY546" t="s">
        <v>87</v>
      </c>
      <c r="BZ546" t="s">
        <v>95</v>
      </c>
      <c r="CA546" s="10">
        <v>45910</v>
      </c>
    </row>
    <row r="547" spans="1:79">
      <c r="A547">
        <v>553</v>
      </c>
      <c r="B547">
        <v>173</v>
      </c>
      <c r="C547">
        <v>55</v>
      </c>
      <c r="D547" t="s">
        <v>3466</v>
      </c>
      <c r="E547" t="s">
        <v>1384</v>
      </c>
      <c r="F547" t="s">
        <v>969</v>
      </c>
      <c r="G547" s="12" t="s">
        <v>3465</v>
      </c>
      <c r="H547" s="12" t="s">
        <v>88</v>
      </c>
      <c r="I547">
        <v>94</v>
      </c>
      <c r="J547">
        <v>101</v>
      </c>
      <c r="K547">
        <v>157</v>
      </c>
      <c r="L547">
        <v>102</v>
      </c>
      <c r="M547" t="s">
        <v>72</v>
      </c>
      <c r="N547">
        <v>164</v>
      </c>
      <c r="O547">
        <v>98</v>
      </c>
      <c r="P547" t="s">
        <v>72</v>
      </c>
      <c r="Q547" t="s">
        <v>72</v>
      </c>
      <c r="R547">
        <v>79.150000000000006</v>
      </c>
      <c r="S547">
        <v>160</v>
      </c>
      <c r="T547" s="8">
        <f t="shared" si="16"/>
        <v>30.917968750000004</v>
      </c>
      <c r="U547" s="13" t="str" cm="1">
        <f t="array" ref="U547">IF(T547="","",_xlfn.IFS(T547&lt;18.5,"Bajo peso",T547&lt;25,"Peso normal",T547&lt;30,"Sobrepeso",T547&lt;35,"Obesidad clase I",T547&lt;40,"Obesidad clase II",T547&gt;=40,"Obesidad clase III"))</f>
        <v>Obesidad clase I</v>
      </c>
      <c r="V547">
        <v>100</v>
      </c>
      <c r="X547" t="s">
        <v>3463</v>
      </c>
      <c r="Y547">
        <v>0.93</v>
      </c>
      <c r="AA547">
        <v>73</v>
      </c>
      <c r="AB547" s="9">
        <f t="shared" si="17"/>
        <v>72.58578018138256</v>
      </c>
      <c r="AD547" t="s">
        <v>73</v>
      </c>
      <c r="AF547" t="s">
        <v>73</v>
      </c>
      <c r="AG547" t="s">
        <v>3465</v>
      </c>
      <c r="AH547" t="s">
        <v>3465</v>
      </c>
      <c r="AI547" t="s">
        <v>3465</v>
      </c>
      <c r="AJ547" t="s">
        <v>3463</v>
      </c>
      <c r="AK547" t="s">
        <v>3463</v>
      </c>
      <c r="AL547" t="s">
        <v>3465</v>
      </c>
      <c r="AM547" t="s">
        <v>1399</v>
      </c>
      <c r="AN547" t="s">
        <v>3731</v>
      </c>
      <c r="AP547" t="s">
        <v>3463</v>
      </c>
      <c r="AQ547" t="s">
        <v>1400</v>
      </c>
      <c r="AR547" t="s">
        <v>3543</v>
      </c>
      <c r="AS547" t="s">
        <v>3465</v>
      </c>
      <c r="AT547" t="s">
        <v>3465</v>
      </c>
      <c r="AU547" t="s">
        <v>125</v>
      </c>
      <c r="AV547" t="s">
        <v>112</v>
      </c>
      <c r="AW547" t="s">
        <v>3917</v>
      </c>
      <c r="AX547" t="s">
        <v>3463</v>
      </c>
      <c r="AY547" t="s">
        <v>3465</v>
      </c>
      <c r="AZ547" t="s">
        <v>90</v>
      </c>
      <c r="BF547" t="s">
        <v>3921</v>
      </c>
      <c r="BG547" t="s">
        <v>1401</v>
      </c>
      <c r="BH547" t="s">
        <v>4038</v>
      </c>
      <c r="BI547" t="s">
        <v>411</v>
      </c>
      <c r="BK547" t="s">
        <v>1402</v>
      </c>
      <c r="BL547" t="s">
        <v>1403</v>
      </c>
      <c r="BP547" t="s">
        <v>4432</v>
      </c>
      <c r="BQ547" t="s">
        <v>3463</v>
      </c>
      <c r="BR547" t="s">
        <v>3465</v>
      </c>
      <c r="BS547" t="s">
        <v>3465</v>
      </c>
      <c r="BT547" t="s">
        <v>3465</v>
      </c>
      <c r="BU547" t="s">
        <v>3463</v>
      </c>
      <c r="BV547" t="s">
        <v>3463</v>
      </c>
      <c r="BW547" t="s">
        <v>3463</v>
      </c>
      <c r="BX547" t="s">
        <v>79</v>
      </c>
      <c r="BY547" t="s">
        <v>87</v>
      </c>
      <c r="BZ547" t="s">
        <v>79</v>
      </c>
      <c r="CA547" s="10">
        <v>45910</v>
      </c>
    </row>
    <row r="548" spans="1:79">
      <c r="A548">
        <v>554</v>
      </c>
      <c r="B548">
        <v>174</v>
      </c>
      <c r="C548">
        <v>44</v>
      </c>
      <c r="D548" t="s">
        <v>3466</v>
      </c>
      <c r="E548" t="s">
        <v>1237</v>
      </c>
      <c r="F548" t="s">
        <v>969</v>
      </c>
      <c r="G548" s="12" t="s">
        <v>3463</v>
      </c>
      <c r="I548">
        <v>78</v>
      </c>
      <c r="J548">
        <v>76</v>
      </c>
      <c r="K548">
        <v>167</v>
      </c>
      <c r="L548">
        <v>90</v>
      </c>
      <c r="M548" t="s">
        <v>72</v>
      </c>
      <c r="N548">
        <v>163</v>
      </c>
      <c r="O548">
        <v>90</v>
      </c>
      <c r="P548" t="s">
        <v>72</v>
      </c>
      <c r="Q548" t="s">
        <v>72</v>
      </c>
      <c r="R548">
        <v>82</v>
      </c>
      <c r="S548">
        <v>160</v>
      </c>
      <c r="T548" s="8">
        <f t="shared" si="16"/>
        <v>32.03125</v>
      </c>
      <c r="U548" s="13" t="str" cm="1">
        <f t="array" ref="U548">IF(T548="","",_xlfn.IFS(T548&lt;18.5,"Bajo peso",T548&lt;25,"Peso normal",T548&lt;30,"Sobrepeso",T548&lt;35,"Obesidad clase I",T548&lt;40,"Obesidad clase II",T548&gt;=40,"Obesidad clase III"))</f>
        <v>Obesidad clase I</v>
      </c>
      <c r="V548">
        <v>114</v>
      </c>
      <c r="X548" t="s">
        <v>3463</v>
      </c>
      <c r="Y548">
        <v>0.95</v>
      </c>
      <c r="AA548">
        <v>76</v>
      </c>
      <c r="AB548" s="9">
        <f t="shared" si="17"/>
        <v>75.765910140457805</v>
      </c>
      <c r="AD548" t="s">
        <v>73</v>
      </c>
      <c r="AF548" t="s">
        <v>73</v>
      </c>
      <c r="AH548" t="s">
        <v>3463</v>
      </c>
      <c r="AI548" t="s">
        <v>3463</v>
      </c>
      <c r="AJ548" t="s">
        <v>3465</v>
      </c>
      <c r="AK548" t="s">
        <v>3463</v>
      </c>
      <c r="AL548" t="s">
        <v>3465</v>
      </c>
      <c r="AM548" t="s">
        <v>1404</v>
      </c>
      <c r="AN548" t="s">
        <v>3683</v>
      </c>
      <c r="AO548" t="s">
        <v>3463</v>
      </c>
      <c r="AP548" t="s">
        <v>3465</v>
      </c>
      <c r="AT548" t="s">
        <v>3465</v>
      </c>
      <c r="AU548" t="s">
        <v>125</v>
      </c>
      <c r="AV548" t="s">
        <v>74</v>
      </c>
      <c r="AW548" t="s">
        <v>3915</v>
      </c>
      <c r="AY548" t="s">
        <v>3465</v>
      </c>
      <c r="AZ548" t="s">
        <v>665</v>
      </c>
      <c r="BF548" t="s">
        <v>3921</v>
      </c>
      <c r="BH548" t="s">
        <v>4020</v>
      </c>
      <c r="BP548" t="s">
        <v>4260</v>
      </c>
      <c r="BQ548" t="s">
        <v>3463</v>
      </c>
      <c r="BR548" t="s">
        <v>3465</v>
      </c>
      <c r="BS548" t="s">
        <v>3463</v>
      </c>
      <c r="BT548" t="s">
        <v>3463</v>
      </c>
      <c r="BU548" t="s">
        <v>3463</v>
      </c>
      <c r="BV548" t="s">
        <v>3463</v>
      </c>
      <c r="BW548" t="s">
        <v>3463</v>
      </c>
      <c r="BX548" t="s">
        <v>79</v>
      </c>
      <c r="BY548" t="s">
        <v>87</v>
      </c>
      <c r="BZ548" t="s">
        <v>79</v>
      </c>
      <c r="CA548" s="10">
        <v>45910</v>
      </c>
    </row>
    <row r="549" spans="1:79">
      <c r="A549">
        <v>555</v>
      </c>
      <c r="B549">
        <v>175</v>
      </c>
      <c r="C549">
        <v>18</v>
      </c>
      <c r="D549" t="s">
        <v>3466</v>
      </c>
      <c r="E549" t="s">
        <v>1000</v>
      </c>
      <c r="F549" t="s">
        <v>969</v>
      </c>
      <c r="G549" s="12" t="s">
        <v>3465</v>
      </c>
      <c r="H549" s="12" t="s">
        <v>88</v>
      </c>
      <c r="I549">
        <v>78</v>
      </c>
      <c r="K549">
        <v>114</v>
      </c>
      <c r="L549">
        <v>73</v>
      </c>
      <c r="M549" t="s">
        <v>80</v>
      </c>
      <c r="P549" t="s">
        <v>83</v>
      </c>
      <c r="Q549" t="s">
        <v>80</v>
      </c>
      <c r="R549">
        <v>61.5</v>
      </c>
      <c r="S549">
        <v>156</v>
      </c>
      <c r="T549" s="8">
        <f t="shared" si="16"/>
        <v>25.27120315581854</v>
      </c>
      <c r="U549" s="13" t="str" cm="1">
        <f t="array" ref="U549">IF(T549="","",_xlfn.IFS(T549&lt;18.5,"Bajo peso",T549&lt;25,"Peso normal",T549&lt;30,"Sobrepeso",T549&lt;35,"Obesidad clase I",T549&lt;40,"Obesidad clase II",T549&gt;=40,"Obesidad clase III"))</f>
        <v>Sobrepeso</v>
      </c>
      <c r="V549">
        <v>85</v>
      </c>
      <c r="X549" t="s">
        <v>3463</v>
      </c>
      <c r="Y549">
        <v>0.94</v>
      </c>
      <c r="AA549">
        <v>90</v>
      </c>
      <c r="AB549" s="9">
        <f t="shared" si="17"/>
        <v>90.201745971635546</v>
      </c>
      <c r="AD549" t="s">
        <v>73</v>
      </c>
      <c r="AF549" t="s">
        <v>73</v>
      </c>
      <c r="AH549" t="s">
        <v>3463</v>
      </c>
      <c r="AI549" t="s">
        <v>3463</v>
      </c>
      <c r="AJ549" t="s">
        <v>3463</v>
      </c>
      <c r="AK549" t="s">
        <v>3463</v>
      </c>
      <c r="AL549" t="s">
        <v>3463</v>
      </c>
      <c r="AO549" t="s">
        <v>3465</v>
      </c>
      <c r="AP549" t="s">
        <v>3465</v>
      </c>
      <c r="AQ549" t="s">
        <v>89</v>
      </c>
      <c r="AR549" t="s">
        <v>3488</v>
      </c>
      <c r="AT549" t="s">
        <v>3463</v>
      </c>
      <c r="AV549" t="s">
        <v>126</v>
      </c>
      <c r="AW549" t="s">
        <v>126</v>
      </c>
      <c r="AX549" t="s">
        <v>3465</v>
      </c>
      <c r="AY549" t="s">
        <v>3463</v>
      </c>
      <c r="BF549" t="s">
        <v>3921</v>
      </c>
      <c r="BH549" t="s">
        <v>4020</v>
      </c>
      <c r="BP549" t="s">
        <v>4260</v>
      </c>
      <c r="BQ549" t="s">
        <v>3463</v>
      </c>
      <c r="BR549" t="s">
        <v>3463</v>
      </c>
      <c r="BS549" t="s">
        <v>3463</v>
      </c>
      <c r="BT549" t="s">
        <v>3463</v>
      </c>
      <c r="BU549" t="s">
        <v>3463</v>
      </c>
      <c r="BV549" t="s">
        <v>3463</v>
      </c>
      <c r="BW549" t="s">
        <v>3463</v>
      </c>
      <c r="BX549" t="s">
        <v>79</v>
      </c>
      <c r="BY549" t="s">
        <v>87</v>
      </c>
      <c r="BZ549" t="s">
        <v>79</v>
      </c>
      <c r="CA549" s="10">
        <v>45910</v>
      </c>
    </row>
    <row r="550" spans="1:79">
      <c r="A550">
        <v>556</v>
      </c>
      <c r="B550">
        <v>176</v>
      </c>
      <c r="C550">
        <v>84</v>
      </c>
      <c r="D550" t="s">
        <v>3466</v>
      </c>
      <c r="F550" t="s">
        <v>1405</v>
      </c>
      <c r="G550" s="12" t="s">
        <v>3465</v>
      </c>
      <c r="H550" t="s">
        <v>88</v>
      </c>
      <c r="I550">
        <v>66</v>
      </c>
      <c r="J550">
        <v>66</v>
      </c>
      <c r="K550">
        <v>142</v>
      </c>
      <c r="L550">
        <v>65</v>
      </c>
      <c r="M550" t="s">
        <v>72</v>
      </c>
      <c r="N550">
        <v>127</v>
      </c>
      <c r="O550">
        <v>57</v>
      </c>
      <c r="P550" t="s">
        <v>118</v>
      </c>
      <c r="Q550" t="s">
        <v>118</v>
      </c>
      <c r="R550">
        <v>51.7</v>
      </c>
      <c r="S550">
        <v>139.5</v>
      </c>
      <c r="T550" s="8">
        <f t="shared" si="16"/>
        <v>26.566976272144501</v>
      </c>
      <c r="U550" s="13" t="str" cm="1">
        <f t="array" ref="U550">IF(T550="","",_xlfn.IFS(T550&lt;18.5,"Bajo peso",T550&lt;25,"Peso normal",T550&lt;30,"Sobrepeso",T550&lt;35,"Obesidad clase I",T550&lt;40,"Obesidad clase II",T550&gt;=40,"Obesidad clase III"))</f>
        <v>Sobrepeso</v>
      </c>
      <c r="V550">
        <v>97</v>
      </c>
      <c r="X550" t="s">
        <v>3463</v>
      </c>
      <c r="Y550">
        <v>0.87</v>
      </c>
      <c r="AA550">
        <v>66</v>
      </c>
      <c r="AB550" s="9">
        <f t="shared" si="17"/>
        <v>65.656656684343048</v>
      </c>
      <c r="AD550" t="s">
        <v>73</v>
      </c>
      <c r="AF550" t="s">
        <v>73</v>
      </c>
      <c r="AH550" t="s">
        <v>3463</v>
      </c>
      <c r="AI550" t="s">
        <v>3465</v>
      </c>
      <c r="AJ550" t="s">
        <v>3463</v>
      </c>
      <c r="AK550" t="s">
        <v>3463</v>
      </c>
      <c r="AL550" t="s">
        <v>3463</v>
      </c>
      <c r="AP550" t="s">
        <v>3463</v>
      </c>
      <c r="AQ550" t="s">
        <v>1406</v>
      </c>
      <c r="AR550" t="s">
        <v>3493</v>
      </c>
      <c r="AS550" t="s">
        <v>3465</v>
      </c>
      <c r="AT550" t="s">
        <v>3463</v>
      </c>
      <c r="AV550" t="s">
        <v>74</v>
      </c>
      <c r="AW550" t="s">
        <v>3915</v>
      </c>
      <c r="AX550" t="s">
        <v>3465</v>
      </c>
      <c r="AY550" t="s">
        <v>3463</v>
      </c>
      <c r="BF550" t="s">
        <v>3921</v>
      </c>
      <c r="BH550" t="s">
        <v>4076</v>
      </c>
      <c r="BK550" t="s">
        <v>1407</v>
      </c>
      <c r="BL550" t="s">
        <v>1408</v>
      </c>
      <c r="BP550" t="s">
        <v>4310</v>
      </c>
      <c r="BQ550" t="s">
        <v>3463</v>
      </c>
      <c r="BR550" t="s">
        <v>3463</v>
      </c>
      <c r="BS550" t="s">
        <v>3463</v>
      </c>
      <c r="BT550" t="s">
        <v>3463</v>
      </c>
      <c r="BU550" t="s">
        <v>3463</v>
      </c>
      <c r="BV550" t="s">
        <v>3463</v>
      </c>
      <c r="BW550" t="s">
        <v>3463</v>
      </c>
      <c r="BX550" t="s">
        <v>79</v>
      </c>
      <c r="BY550" t="s">
        <v>87</v>
      </c>
      <c r="BZ550" t="s">
        <v>563</v>
      </c>
      <c r="CA550" s="10">
        <v>45910</v>
      </c>
    </row>
    <row r="551" spans="1:79">
      <c r="A551">
        <v>557</v>
      </c>
      <c r="B551">
        <v>177</v>
      </c>
      <c r="C551">
        <v>85</v>
      </c>
      <c r="D551" t="s">
        <v>3466</v>
      </c>
      <c r="E551" t="s">
        <v>1384</v>
      </c>
      <c r="F551" t="s">
        <v>969</v>
      </c>
      <c r="G551" s="12" t="s">
        <v>3465</v>
      </c>
      <c r="H551" t="s">
        <v>88</v>
      </c>
      <c r="I551">
        <v>91</v>
      </c>
      <c r="J551">
        <v>91</v>
      </c>
      <c r="K551">
        <v>196</v>
      </c>
      <c r="L551">
        <v>95</v>
      </c>
      <c r="M551" t="s">
        <v>96</v>
      </c>
      <c r="N551">
        <v>178</v>
      </c>
      <c r="O551">
        <v>80</v>
      </c>
      <c r="P551" t="s">
        <v>72</v>
      </c>
      <c r="Q551" t="s">
        <v>72</v>
      </c>
      <c r="R551">
        <v>78.8</v>
      </c>
      <c r="S551">
        <v>148.5</v>
      </c>
      <c r="T551" s="8">
        <f t="shared" si="16"/>
        <v>35.733315194594653</v>
      </c>
      <c r="U551" s="13" t="str" cm="1">
        <f t="array" ref="U551">IF(T551="","",_xlfn.IFS(T551&lt;18.5,"Bajo peso",T551&lt;25,"Peso normal",T551&lt;30,"Sobrepeso",T551&lt;35,"Obesidad clase I",T551&lt;40,"Obesidad clase II",T551&gt;=40,"Obesidad clase III"))</f>
        <v>Obesidad clase II</v>
      </c>
      <c r="V551">
        <v>81</v>
      </c>
      <c r="X551" t="s">
        <v>3463</v>
      </c>
      <c r="Y551">
        <v>0.68</v>
      </c>
      <c r="AA551">
        <v>85</v>
      </c>
      <c r="AB551" s="9">
        <f t="shared" si="17"/>
        <v>85.293746559742203</v>
      </c>
      <c r="AD551" t="s">
        <v>73</v>
      </c>
      <c r="AF551" t="s">
        <v>73</v>
      </c>
      <c r="AH551" t="s">
        <v>3463</v>
      </c>
      <c r="AI551" t="s">
        <v>3465</v>
      </c>
      <c r="AJ551" t="s">
        <v>3463</v>
      </c>
      <c r="AK551" t="s">
        <v>3463</v>
      </c>
      <c r="AL551" t="s">
        <v>3465</v>
      </c>
      <c r="AM551" t="s">
        <v>1409</v>
      </c>
      <c r="AN551" t="s">
        <v>3732</v>
      </c>
      <c r="AP551" t="s">
        <v>3463</v>
      </c>
      <c r="AQ551" t="s">
        <v>551</v>
      </c>
      <c r="AR551" t="s">
        <v>3516</v>
      </c>
      <c r="AS551" t="s">
        <v>3463</v>
      </c>
      <c r="AV551" t="s">
        <v>178</v>
      </c>
      <c r="AW551" t="s">
        <v>3918</v>
      </c>
      <c r="AX551" t="s">
        <v>3463</v>
      </c>
      <c r="BA551" t="s">
        <v>3920</v>
      </c>
      <c r="BF551" t="s">
        <v>3921</v>
      </c>
      <c r="BH551" t="s">
        <v>4021</v>
      </c>
      <c r="BI551" t="s">
        <v>411</v>
      </c>
      <c r="BK551" t="s">
        <v>1410</v>
      </c>
      <c r="BL551" t="s">
        <v>1411</v>
      </c>
      <c r="BP551" t="s">
        <v>4320</v>
      </c>
      <c r="BQ551" t="s">
        <v>3463</v>
      </c>
      <c r="BR551" t="s">
        <v>3465</v>
      </c>
      <c r="BS551" t="s">
        <v>3463</v>
      </c>
      <c r="BT551" t="s">
        <v>3463</v>
      </c>
      <c r="BU551" t="s">
        <v>3463</v>
      </c>
      <c r="BV551" t="s">
        <v>3463</v>
      </c>
      <c r="BW551" t="s">
        <v>3463</v>
      </c>
      <c r="CA551" s="10">
        <v>45910</v>
      </c>
    </row>
    <row r="552" spans="1:79">
      <c r="A552">
        <v>558</v>
      </c>
      <c r="B552">
        <v>178</v>
      </c>
      <c r="C552">
        <v>59</v>
      </c>
      <c r="D552" t="s">
        <v>3466</v>
      </c>
      <c r="E552" t="s">
        <v>1150</v>
      </c>
      <c r="F552" t="s">
        <v>969</v>
      </c>
      <c r="G552" s="12" t="s">
        <v>3465</v>
      </c>
      <c r="H552" t="s">
        <v>88</v>
      </c>
      <c r="I552">
        <v>67</v>
      </c>
      <c r="J552">
        <v>66</v>
      </c>
      <c r="K552">
        <v>156</v>
      </c>
      <c r="L552">
        <v>84</v>
      </c>
      <c r="M552" t="s">
        <v>72</v>
      </c>
      <c r="N552">
        <v>142</v>
      </c>
      <c r="O552">
        <v>69</v>
      </c>
      <c r="P552" t="s">
        <v>72</v>
      </c>
      <c r="Q552" t="s">
        <v>72</v>
      </c>
      <c r="R552">
        <v>91.8</v>
      </c>
      <c r="S552">
        <v>147.19999999999999</v>
      </c>
      <c r="T552" s="8">
        <f t="shared" si="16"/>
        <v>42.366936436672972</v>
      </c>
      <c r="U552" s="13" t="str" cm="1">
        <f t="array" ref="U552">IF(T552="","",_xlfn.IFS(T552&lt;18.5,"Bajo peso",T552&lt;25,"Peso normal",T552&lt;30,"Sobrepeso",T552&lt;35,"Obesidad clase I",T552&lt;40,"Obesidad clase II",T552&gt;=40,"Obesidad clase III"))</f>
        <v>Obesidad clase III</v>
      </c>
      <c r="V552">
        <v>99</v>
      </c>
      <c r="X552" t="s">
        <v>3463</v>
      </c>
      <c r="Y552">
        <v>0.97</v>
      </c>
      <c r="AA552">
        <v>67</v>
      </c>
      <c r="AB552" s="9">
        <f t="shared" si="17"/>
        <v>67.313314538951545</v>
      </c>
      <c r="AD552" t="s">
        <v>73</v>
      </c>
      <c r="AF552" t="s">
        <v>73</v>
      </c>
      <c r="AH552" t="s">
        <v>3463</v>
      </c>
      <c r="AI552" t="s">
        <v>3463</v>
      </c>
      <c r="AJ552" t="s">
        <v>3465</v>
      </c>
      <c r="AK552" t="s">
        <v>3463</v>
      </c>
      <c r="AL552" t="s">
        <v>3465</v>
      </c>
      <c r="AM552" t="s">
        <v>1412</v>
      </c>
      <c r="AN552" t="s">
        <v>3733</v>
      </c>
      <c r="AO552" t="s">
        <v>3463</v>
      </c>
      <c r="AP552" t="s">
        <v>3465</v>
      </c>
      <c r="AQ552" t="s">
        <v>1413</v>
      </c>
      <c r="AR552" t="s">
        <v>3556</v>
      </c>
      <c r="AT552" t="s">
        <v>3465</v>
      </c>
      <c r="AU552" t="s">
        <v>80</v>
      </c>
      <c r="AV552" t="s">
        <v>112</v>
      </c>
      <c r="AW552" t="s">
        <v>3917</v>
      </c>
      <c r="AX552" t="s">
        <v>3463</v>
      </c>
      <c r="AY552" t="s">
        <v>3465</v>
      </c>
      <c r="AZ552" t="s">
        <v>247</v>
      </c>
      <c r="BF552" t="s">
        <v>3921</v>
      </c>
      <c r="BG552" t="s">
        <v>1414</v>
      </c>
      <c r="BH552" t="s">
        <v>4147</v>
      </c>
      <c r="BK552" t="s">
        <v>1415</v>
      </c>
      <c r="BL552" t="s">
        <v>1416</v>
      </c>
      <c r="BP552" t="s">
        <v>4310</v>
      </c>
      <c r="BQ552" t="s">
        <v>3463</v>
      </c>
      <c r="BR552" t="s">
        <v>3463</v>
      </c>
      <c r="BS552" t="s">
        <v>3463</v>
      </c>
      <c r="BT552" t="s">
        <v>3463</v>
      </c>
      <c r="BU552" t="s">
        <v>3463</v>
      </c>
      <c r="BV552" t="s">
        <v>3463</v>
      </c>
      <c r="BW552" t="s">
        <v>3463</v>
      </c>
      <c r="BX552" t="s">
        <v>79</v>
      </c>
      <c r="BY552" t="s">
        <v>87</v>
      </c>
      <c r="BZ552" t="s">
        <v>95</v>
      </c>
      <c r="CA552" s="10">
        <v>45910</v>
      </c>
    </row>
    <row r="553" spans="1:79">
      <c r="A553">
        <v>559</v>
      </c>
      <c r="B553">
        <v>179</v>
      </c>
      <c r="C553">
        <v>61</v>
      </c>
      <c r="D553" t="s">
        <v>3466</v>
      </c>
      <c r="E553" t="s">
        <v>1417</v>
      </c>
      <c r="F553" t="s">
        <v>969</v>
      </c>
      <c r="G553" s="12" t="s">
        <v>3465</v>
      </c>
      <c r="H553" t="s">
        <v>88</v>
      </c>
      <c r="I553">
        <v>86</v>
      </c>
      <c r="K553">
        <v>133</v>
      </c>
      <c r="L553">
        <v>92</v>
      </c>
      <c r="M553" t="s">
        <v>72</v>
      </c>
      <c r="P553" t="s">
        <v>83</v>
      </c>
      <c r="Q553" t="s">
        <v>72</v>
      </c>
      <c r="R553">
        <v>98</v>
      </c>
      <c r="S553">
        <v>148</v>
      </c>
      <c r="T553" s="8">
        <f t="shared" si="16"/>
        <v>44.740686632578523</v>
      </c>
      <c r="U553" s="13" t="str" cm="1">
        <f t="array" ref="U553">IF(T553="","",_xlfn.IFS(T553&lt;18.5,"Bajo peso",T553&lt;25,"Peso normal",T553&lt;30,"Sobrepeso",T553&lt;35,"Obesidad clase I",T553&lt;40,"Obesidad clase II",T553&gt;=40,"Obesidad clase III"))</f>
        <v>Obesidad clase III</v>
      </c>
      <c r="V553">
        <v>119</v>
      </c>
      <c r="X553" t="s">
        <v>3463</v>
      </c>
      <c r="Y553">
        <v>0.92</v>
      </c>
      <c r="AA553">
        <v>71</v>
      </c>
      <c r="AB553" s="9">
        <f t="shared" si="17"/>
        <v>70.840178864379496</v>
      </c>
      <c r="AD553" t="s">
        <v>73</v>
      </c>
      <c r="AF553" t="s">
        <v>73</v>
      </c>
      <c r="AH553" t="s">
        <v>3463</v>
      </c>
      <c r="AI553" t="s">
        <v>3465</v>
      </c>
      <c r="AJ553" t="s">
        <v>3463</v>
      </c>
      <c r="AK553" t="s">
        <v>3463</v>
      </c>
      <c r="AL553" t="s">
        <v>3465</v>
      </c>
      <c r="AM553" t="s">
        <v>110</v>
      </c>
      <c r="AN553" t="s">
        <v>110</v>
      </c>
      <c r="AP553" t="s">
        <v>3463</v>
      </c>
      <c r="AS553" t="s">
        <v>3465</v>
      </c>
      <c r="AT553" t="s">
        <v>3465</v>
      </c>
      <c r="AU553" t="s">
        <v>80</v>
      </c>
      <c r="AV553" t="s">
        <v>112</v>
      </c>
      <c r="AW553" t="s">
        <v>3917</v>
      </c>
      <c r="AX553" t="s">
        <v>3463</v>
      </c>
      <c r="AY553" t="s">
        <v>3465</v>
      </c>
      <c r="AZ553" t="s">
        <v>247</v>
      </c>
      <c r="BF553" t="s">
        <v>3921</v>
      </c>
      <c r="BH553" t="s">
        <v>4020</v>
      </c>
      <c r="BP553" t="s">
        <v>4260</v>
      </c>
      <c r="BQ553" t="s">
        <v>3463</v>
      </c>
      <c r="BR553" t="s">
        <v>3463</v>
      </c>
      <c r="BS553" t="s">
        <v>3463</v>
      </c>
      <c r="BT553" t="s">
        <v>3463</v>
      </c>
      <c r="BU553" t="s">
        <v>3463</v>
      </c>
      <c r="BV553" t="s">
        <v>3463</v>
      </c>
      <c r="BW553" t="s">
        <v>3463</v>
      </c>
      <c r="BX553" t="s">
        <v>518</v>
      </c>
      <c r="BY553" t="s">
        <v>87</v>
      </c>
      <c r="BZ553" t="s">
        <v>79</v>
      </c>
      <c r="CA553" s="10">
        <v>45910</v>
      </c>
    </row>
    <row r="554" spans="1:79">
      <c r="A554">
        <v>560</v>
      </c>
      <c r="B554">
        <v>180</v>
      </c>
      <c r="C554">
        <v>61</v>
      </c>
      <c r="D554" t="s">
        <v>3462</v>
      </c>
      <c r="E554" t="s">
        <v>1237</v>
      </c>
      <c r="F554" t="s">
        <v>969</v>
      </c>
      <c r="G554" s="12" t="s">
        <v>3463</v>
      </c>
      <c r="H554" s="12"/>
      <c r="I554">
        <v>83</v>
      </c>
      <c r="J554">
        <v>75</v>
      </c>
      <c r="K554">
        <v>176</v>
      </c>
      <c r="L554">
        <v>98</v>
      </c>
      <c r="M554" t="s">
        <v>72</v>
      </c>
      <c r="N554">
        <v>163</v>
      </c>
      <c r="O554">
        <v>90</v>
      </c>
      <c r="P554" t="s">
        <v>72</v>
      </c>
      <c r="Q554" t="s">
        <v>72</v>
      </c>
      <c r="R554">
        <v>92.8</v>
      </c>
      <c r="S554">
        <v>165</v>
      </c>
      <c r="T554" s="8">
        <f t="shared" si="16"/>
        <v>34.086317722681358</v>
      </c>
      <c r="U554" s="13" t="str" cm="1">
        <f t="array" ref="U554">IF(T554="","",_xlfn.IFS(T554&lt;18.5,"Bajo peso",T554&lt;25,"Peso normal",T554&lt;30,"Sobrepeso",T554&lt;35,"Obesidad clase I",T554&lt;40,"Obesidad clase II",T554&gt;=40,"Obesidad clase III"))</f>
        <v>Obesidad clase I</v>
      </c>
      <c r="V554">
        <v>144</v>
      </c>
      <c r="X554" t="s">
        <v>3463</v>
      </c>
      <c r="Y554">
        <v>1.41</v>
      </c>
      <c r="AA554">
        <v>57</v>
      </c>
      <c r="AB554" s="9">
        <f t="shared" si="17"/>
        <v>56.696331297631268</v>
      </c>
      <c r="AD554" t="s">
        <v>158</v>
      </c>
      <c r="AF554" t="s">
        <v>158</v>
      </c>
      <c r="AG554" t="s">
        <v>3463</v>
      </c>
      <c r="AH554" t="s">
        <v>3465</v>
      </c>
      <c r="AI554" t="s">
        <v>3465</v>
      </c>
      <c r="AJ554" t="s">
        <v>3465</v>
      </c>
      <c r="AK554" t="s">
        <v>3463</v>
      </c>
      <c r="AL554" t="s">
        <v>3465</v>
      </c>
      <c r="AM554" t="s">
        <v>1399</v>
      </c>
      <c r="AN554" t="s">
        <v>3731</v>
      </c>
      <c r="AO554" t="s">
        <v>3463</v>
      </c>
      <c r="AP554" t="s">
        <v>3465</v>
      </c>
      <c r="AQ554" t="s">
        <v>1418</v>
      </c>
      <c r="AR554" t="s">
        <v>3557</v>
      </c>
      <c r="AS554" t="s">
        <v>3465</v>
      </c>
      <c r="AV554" t="s">
        <v>74</v>
      </c>
      <c r="AW554" t="s">
        <v>3915</v>
      </c>
      <c r="BA554" t="s">
        <v>3920</v>
      </c>
      <c r="BF554" t="s">
        <v>3921</v>
      </c>
      <c r="BG554" t="s">
        <v>1419</v>
      </c>
      <c r="BH554" t="s">
        <v>4140</v>
      </c>
      <c r="BI554" t="s">
        <v>411</v>
      </c>
      <c r="BK554" t="s">
        <v>1420</v>
      </c>
      <c r="BL554" t="s">
        <v>1421</v>
      </c>
      <c r="BP554" t="s">
        <v>4270</v>
      </c>
      <c r="BQ554" t="s">
        <v>3463</v>
      </c>
      <c r="BR554" t="s">
        <v>3463</v>
      </c>
      <c r="BS554" t="s">
        <v>3463</v>
      </c>
      <c r="BT554" t="s">
        <v>3463</v>
      </c>
      <c r="BU554" t="s">
        <v>3463</v>
      </c>
      <c r="BV554" t="s">
        <v>3463</v>
      </c>
      <c r="BW554" t="s">
        <v>3463</v>
      </c>
      <c r="BX554" t="s">
        <v>79</v>
      </c>
      <c r="BY554" t="s">
        <v>87</v>
      </c>
      <c r="BZ554" t="s">
        <v>95</v>
      </c>
      <c r="CA554" s="10">
        <v>45910</v>
      </c>
    </row>
    <row r="555" spans="1:79">
      <c r="A555">
        <v>561</v>
      </c>
      <c r="B555">
        <v>181</v>
      </c>
      <c r="C555">
        <v>21</v>
      </c>
      <c r="D555" t="s">
        <v>3466</v>
      </c>
      <c r="E555" t="s">
        <v>1237</v>
      </c>
      <c r="F555" t="s">
        <v>969</v>
      </c>
      <c r="G555" s="12" t="s">
        <v>3465</v>
      </c>
      <c r="H555" t="s">
        <v>88</v>
      </c>
      <c r="I555">
        <v>83</v>
      </c>
      <c r="J555">
        <v>86</v>
      </c>
      <c r="K555">
        <v>160</v>
      </c>
      <c r="L555">
        <v>86</v>
      </c>
      <c r="M555" t="s">
        <v>72</v>
      </c>
      <c r="N555">
        <v>144</v>
      </c>
      <c r="O555">
        <v>88</v>
      </c>
      <c r="P555" t="s">
        <v>72</v>
      </c>
      <c r="Q555" t="s">
        <v>72</v>
      </c>
      <c r="R555">
        <v>112.9</v>
      </c>
      <c r="S555">
        <v>177</v>
      </c>
      <c r="T555" s="8">
        <f t="shared" si="16"/>
        <v>36.036898720035751</v>
      </c>
      <c r="U555" s="13" t="str" cm="1">
        <f t="array" ref="U555">IF(T555="","",_xlfn.IFS(T555&lt;18.5,"Bajo peso",T555&lt;25,"Peso normal",T555&lt;30,"Sobrepeso",T555&lt;35,"Obesidad clase I",T555&lt;40,"Obesidad clase II",T555&gt;=40,"Obesidad clase III"))</f>
        <v>Obesidad clase II</v>
      </c>
      <c r="V555">
        <v>107</v>
      </c>
      <c r="X555" t="s">
        <v>3463</v>
      </c>
      <c r="Y555">
        <v>0.79</v>
      </c>
      <c r="AA555">
        <v>90</v>
      </c>
      <c r="AB555" s="9">
        <f t="shared" si="17"/>
        <v>109.07188931953384</v>
      </c>
      <c r="AD555" t="s">
        <v>73</v>
      </c>
      <c r="AF555" t="s">
        <v>73</v>
      </c>
      <c r="AH555" t="s">
        <v>3463</v>
      </c>
      <c r="AI555" t="s">
        <v>3463</v>
      </c>
      <c r="AJ555" t="s">
        <v>3463</v>
      </c>
      <c r="AK555" t="s">
        <v>3463</v>
      </c>
      <c r="AL555" t="s">
        <v>3465</v>
      </c>
      <c r="AM555" t="s">
        <v>1422</v>
      </c>
      <c r="AN555" t="s">
        <v>1511</v>
      </c>
      <c r="AP555" t="s">
        <v>3463</v>
      </c>
      <c r="AQ555" t="s">
        <v>89</v>
      </c>
      <c r="AR555" t="s">
        <v>3488</v>
      </c>
      <c r="AV555" t="s">
        <v>126</v>
      </c>
      <c r="AW555" t="s">
        <v>126</v>
      </c>
      <c r="BE555" t="s">
        <v>1423</v>
      </c>
      <c r="BF555" t="s">
        <v>3950</v>
      </c>
      <c r="BH555" t="s">
        <v>4107</v>
      </c>
      <c r="BI555" t="s">
        <v>734</v>
      </c>
      <c r="BK555" t="s">
        <v>1424</v>
      </c>
      <c r="BL555" t="s">
        <v>1425</v>
      </c>
      <c r="BP555" t="s">
        <v>4373</v>
      </c>
      <c r="BQ555" t="s">
        <v>3463</v>
      </c>
      <c r="BR555" t="s">
        <v>3463</v>
      </c>
      <c r="BX555" t="s">
        <v>121</v>
      </c>
      <c r="BY555" t="s">
        <v>87</v>
      </c>
      <c r="BZ555" t="s">
        <v>95</v>
      </c>
      <c r="CA555" s="10">
        <v>45910</v>
      </c>
    </row>
    <row r="556" spans="1:79">
      <c r="A556">
        <v>562</v>
      </c>
      <c r="B556">
        <v>182</v>
      </c>
      <c r="C556">
        <v>80</v>
      </c>
      <c r="D556" t="s">
        <v>3462</v>
      </c>
      <c r="E556" t="s">
        <v>1000</v>
      </c>
      <c r="F556" t="s">
        <v>969</v>
      </c>
      <c r="G556" s="12" t="s">
        <v>3463</v>
      </c>
      <c r="H556" s="12"/>
      <c r="I556">
        <v>74</v>
      </c>
      <c r="J556">
        <v>70</v>
      </c>
      <c r="K556">
        <v>143</v>
      </c>
      <c r="L556">
        <v>87</v>
      </c>
      <c r="M556" t="s">
        <v>72</v>
      </c>
      <c r="N556">
        <v>143</v>
      </c>
      <c r="O556">
        <v>84</v>
      </c>
      <c r="P556" t="s">
        <v>72</v>
      </c>
      <c r="Q556" t="s">
        <v>72</v>
      </c>
      <c r="R556">
        <v>74.7</v>
      </c>
      <c r="S556">
        <v>166</v>
      </c>
      <c r="T556" s="8">
        <f t="shared" si="16"/>
        <v>27.108433734939759</v>
      </c>
      <c r="U556" s="13" t="str" cm="1">
        <f t="array" ref="U556">IF(T556="","",_xlfn.IFS(T556&lt;18.5,"Bajo peso",T556&lt;25,"Peso normal",T556&lt;30,"Sobrepeso",T556&lt;35,"Obesidad clase I",T556&lt;40,"Obesidad clase II",T556&gt;=40,"Obesidad clase III"))</f>
        <v>Sobrepeso</v>
      </c>
      <c r="V556">
        <v>119</v>
      </c>
      <c r="X556" t="s">
        <v>3463</v>
      </c>
      <c r="Y556">
        <v>1.45</v>
      </c>
      <c r="AA556">
        <v>53</v>
      </c>
      <c r="AB556" s="9">
        <f t="shared" si="17"/>
        <v>48.714376213399206</v>
      </c>
      <c r="AD556" t="s">
        <v>158</v>
      </c>
      <c r="AF556" t="s">
        <v>158</v>
      </c>
      <c r="AG556" t="s">
        <v>3465</v>
      </c>
      <c r="AH556" t="s">
        <v>3465</v>
      </c>
      <c r="AI556" t="s">
        <v>3465</v>
      </c>
      <c r="AJ556" t="s">
        <v>3463</v>
      </c>
      <c r="AK556" t="s">
        <v>3463</v>
      </c>
      <c r="AL556" t="s">
        <v>3463</v>
      </c>
      <c r="AP556" t="s">
        <v>3463</v>
      </c>
      <c r="AS556" t="s">
        <v>3465</v>
      </c>
      <c r="AV556" t="s">
        <v>112</v>
      </c>
      <c r="AW556" t="s">
        <v>3917</v>
      </c>
      <c r="BA556" t="s">
        <v>3920</v>
      </c>
      <c r="BB556" t="s">
        <v>3485</v>
      </c>
      <c r="BF556" t="s">
        <v>3921</v>
      </c>
      <c r="BH556" t="s">
        <v>4053</v>
      </c>
      <c r="BI556" t="s">
        <v>411</v>
      </c>
      <c r="BK556" t="s">
        <v>1426</v>
      </c>
      <c r="BL556" t="s">
        <v>1427</v>
      </c>
      <c r="BP556" t="s">
        <v>4320</v>
      </c>
      <c r="BQ556" t="s">
        <v>3463</v>
      </c>
      <c r="BR556" t="s">
        <v>3463</v>
      </c>
      <c r="BS556" t="s">
        <v>3463</v>
      </c>
      <c r="BT556" t="s">
        <v>3463</v>
      </c>
      <c r="BU556" t="s">
        <v>3465</v>
      </c>
      <c r="BV556" t="s">
        <v>3465</v>
      </c>
      <c r="BW556" t="s">
        <v>3465</v>
      </c>
      <c r="BX556" t="s">
        <v>79</v>
      </c>
      <c r="BY556" t="s">
        <v>87</v>
      </c>
      <c r="BZ556" t="s">
        <v>79</v>
      </c>
      <c r="CA556" s="10">
        <v>45910</v>
      </c>
    </row>
    <row r="557" spans="1:79">
      <c r="A557">
        <v>563</v>
      </c>
      <c r="B557">
        <v>183</v>
      </c>
      <c r="C557">
        <v>41</v>
      </c>
      <c r="D557" t="s">
        <v>3462</v>
      </c>
      <c r="E557" t="s">
        <v>1150</v>
      </c>
      <c r="F557" t="s">
        <v>969</v>
      </c>
      <c r="G557" s="12" t="s">
        <v>3465</v>
      </c>
      <c r="H557" s="12" t="s">
        <v>88</v>
      </c>
      <c r="I557">
        <v>74</v>
      </c>
      <c r="J557">
        <v>64</v>
      </c>
      <c r="K557">
        <v>147</v>
      </c>
      <c r="L557">
        <v>99</v>
      </c>
      <c r="M557" t="s">
        <v>72</v>
      </c>
      <c r="N557">
        <v>149</v>
      </c>
      <c r="O557">
        <v>93</v>
      </c>
      <c r="P557" t="s">
        <v>72</v>
      </c>
      <c r="Q557" t="s">
        <v>72</v>
      </c>
      <c r="R557">
        <v>88.7</v>
      </c>
      <c r="S557">
        <v>165</v>
      </c>
      <c r="T557" s="8">
        <f t="shared" si="16"/>
        <v>32.580348943985307</v>
      </c>
      <c r="U557" s="13" t="str" cm="1">
        <f t="array" ref="U557">IF(T557="","",_xlfn.IFS(T557&lt;18.5,"Bajo peso",T557&lt;25,"Peso normal",T557&lt;30,"Sobrepeso",T557&lt;35,"Obesidad clase I",T557&lt;40,"Obesidad clase II",T557&gt;=40,"Obesidad clase III"))</f>
        <v>Obesidad clase I</v>
      </c>
      <c r="V557">
        <v>89</v>
      </c>
      <c r="X557" t="s">
        <v>3463</v>
      </c>
      <c r="Y557">
        <v>1.22</v>
      </c>
      <c r="AA557">
        <v>77</v>
      </c>
      <c r="AB557" s="9">
        <f t="shared" si="17"/>
        <v>76.384677207555754</v>
      </c>
      <c r="AD557" t="s">
        <v>73</v>
      </c>
      <c r="AF557" t="s">
        <v>73</v>
      </c>
      <c r="AH557" t="s">
        <v>3463</v>
      </c>
      <c r="AI557" t="s">
        <v>3463</v>
      </c>
      <c r="AJ557" t="s">
        <v>3465</v>
      </c>
      <c r="AK557" t="s">
        <v>3463</v>
      </c>
      <c r="AL557" t="s">
        <v>3463</v>
      </c>
      <c r="AP557" t="s">
        <v>3463</v>
      </c>
      <c r="AV557" t="s">
        <v>74</v>
      </c>
      <c r="AW557" t="s">
        <v>3915</v>
      </c>
      <c r="BF557" t="s">
        <v>3921</v>
      </c>
      <c r="BH557" t="s">
        <v>4021</v>
      </c>
      <c r="BI557" t="s">
        <v>76</v>
      </c>
      <c r="BP557" t="s">
        <v>4261</v>
      </c>
      <c r="BQ557" t="s">
        <v>3465</v>
      </c>
      <c r="BR557" t="s">
        <v>3465</v>
      </c>
      <c r="BS557" t="s">
        <v>3465</v>
      </c>
      <c r="BT557" t="s">
        <v>3465</v>
      </c>
      <c r="BU557" t="s">
        <v>3463</v>
      </c>
      <c r="BV557" t="s">
        <v>3463</v>
      </c>
      <c r="BW557" t="s">
        <v>3463</v>
      </c>
      <c r="BX557" t="s">
        <v>79</v>
      </c>
      <c r="BY557" t="s">
        <v>87</v>
      </c>
      <c r="BZ557" t="s">
        <v>79</v>
      </c>
      <c r="CA557" s="10">
        <v>45910</v>
      </c>
    </row>
    <row r="558" spans="1:79">
      <c r="A558">
        <v>564</v>
      </c>
      <c r="B558">
        <v>184</v>
      </c>
      <c r="C558">
        <v>45</v>
      </c>
      <c r="D558" t="s">
        <v>3462</v>
      </c>
      <c r="F558" t="s">
        <v>969</v>
      </c>
      <c r="G558" s="12" t="s">
        <v>3463</v>
      </c>
      <c r="H558" s="12"/>
      <c r="I558">
        <v>74</v>
      </c>
      <c r="K558">
        <v>126</v>
      </c>
      <c r="L558">
        <v>68</v>
      </c>
      <c r="M558" t="s">
        <v>118</v>
      </c>
      <c r="P558" t="s">
        <v>83</v>
      </c>
      <c r="Q558" t="s">
        <v>118</v>
      </c>
      <c r="R558">
        <v>78</v>
      </c>
      <c r="S558">
        <v>165</v>
      </c>
      <c r="T558" s="8">
        <f t="shared" si="16"/>
        <v>28.65013774104683</v>
      </c>
      <c r="U558" s="13" t="str" cm="1">
        <f t="array" ref="U558">IF(T558="","",_xlfn.IFS(T558&lt;18.5,"Bajo peso",T558&lt;25,"Peso normal",T558&lt;30,"Sobrepeso",T558&lt;35,"Obesidad clase I",T558&lt;40,"Obesidad clase II",T558&gt;=40,"Obesidad clase III"))</f>
        <v>Sobrepeso</v>
      </c>
      <c r="V558">
        <v>88</v>
      </c>
      <c r="X558" t="s">
        <v>3463</v>
      </c>
      <c r="Y558">
        <v>0.72</v>
      </c>
      <c r="AA558">
        <v>90</v>
      </c>
      <c r="AB558" s="9">
        <f t="shared" si="17"/>
        <v>114.81796009527525</v>
      </c>
      <c r="AD558" t="s">
        <v>73</v>
      </c>
      <c r="AF558" t="s">
        <v>73</v>
      </c>
      <c r="AH558" t="s">
        <v>3463</v>
      </c>
      <c r="AI558" t="s">
        <v>3463</v>
      </c>
      <c r="AJ558" t="s">
        <v>3463</v>
      </c>
      <c r="AK558" t="s">
        <v>3463</v>
      </c>
      <c r="AL558" t="s">
        <v>3463</v>
      </c>
      <c r="AP558" t="s">
        <v>3463</v>
      </c>
      <c r="AQ558" t="s">
        <v>177</v>
      </c>
      <c r="AR558" t="s">
        <v>3488</v>
      </c>
      <c r="AV558" t="s">
        <v>74</v>
      </c>
      <c r="AW558" t="s">
        <v>3915</v>
      </c>
      <c r="BF558" t="s">
        <v>3921</v>
      </c>
      <c r="BG558" t="s">
        <v>1428</v>
      </c>
      <c r="BH558" t="s">
        <v>4148</v>
      </c>
      <c r="BK558" t="s">
        <v>1415</v>
      </c>
      <c r="BL558" t="s">
        <v>1429</v>
      </c>
      <c r="BP558" t="s">
        <v>4310</v>
      </c>
      <c r="BQ558" t="s">
        <v>3465</v>
      </c>
      <c r="BR558" t="s">
        <v>3465</v>
      </c>
      <c r="BS558" t="s">
        <v>3463</v>
      </c>
      <c r="BT558" t="s">
        <v>3463</v>
      </c>
      <c r="BU558" t="s">
        <v>3463</v>
      </c>
      <c r="BV558" t="s">
        <v>3463</v>
      </c>
      <c r="BW558" t="s">
        <v>3463</v>
      </c>
      <c r="BX558" t="s">
        <v>79</v>
      </c>
      <c r="BY558" t="s">
        <v>87</v>
      </c>
      <c r="BZ558" t="s">
        <v>95</v>
      </c>
      <c r="CA558" s="10">
        <v>45910</v>
      </c>
    </row>
    <row r="559" spans="1:79">
      <c r="A559">
        <v>565</v>
      </c>
      <c r="B559">
        <v>185</v>
      </c>
      <c r="C559">
        <v>56</v>
      </c>
      <c r="D559" t="s">
        <v>3462</v>
      </c>
      <c r="E559" t="s">
        <v>1113</v>
      </c>
      <c r="F559" t="s">
        <v>969</v>
      </c>
      <c r="G559" s="12" t="s">
        <v>3465</v>
      </c>
      <c r="H559" s="12" t="s">
        <v>88</v>
      </c>
      <c r="I559">
        <v>90</v>
      </c>
      <c r="J559">
        <v>91</v>
      </c>
      <c r="K559">
        <v>224</v>
      </c>
      <c r="L559">
        <v>165</v>
      </c>
      <c r="M559" t="s">
        <v>96</v>
      </c>
      <c r="N559">
        <v>208</v>
      </c>
      <c r="O559">
        <v>152</v>
      </c>
      <c r="P559" t="s">
        <v>96</v>
      </c>
      <c r="Q559" t="s">
        <v>96</v>
      </c>
      <c r="R559">
        <v>92.1</v>
      </c>
      <c r="S559">
        <v>160</v>
      </c>
      <c r="T559" s="8">
        <f t="shared" si="16"/>
        <v>35.9765625</v>
      </c>
      <c r="U559" s="13" t="str" cm="1">
        <f t="array" ref="U559">IF(T559="","",_xlfn.IFS(T559&lt;18.5,"Bajo peso",T559&lt;25,"Peso normal",T559&lt;30,"Sobrepeso",T559&lt;35,"Obesidad clase I",T559&lt;40,"Obesidad clase II",T559&gt;=40,"Obesidad clase III"))</f>
        <v>Obesidad clase II</v>
      </c>
      <c r="V559">
        <v>110</v>
      </c>
      <c r="X559" t="s">
        <v>3463</v>
      </c>
      <c r="Y559">
        <v>1.99</v>
      </c>
      <c r="Z559">
        <v>1.8</v>
      </c>
      <c r="AA559">
        <v>39</v>
      </c>
      <c r="AB559" s="9">
        <f t="shared" si="17"/>
        <v>38.681137679224577</v>
      </c>
      <c r="AC559">
        <v>44</v>
      </c>
      <c r="AD559" t="s">
        <v>218</v>
      </c>
      <c r="AE559" t="s">
        <v>218</v>
      </c>
      <c r="AF559" t="s">
        <v>218</v>
      </c>
      <c r="AH559" t="s">
        <v>3463</v>
      </c>
      <c r="AI559" t="s">
        <v>3465</v>
      </c>
      <c r="AJ559" t="s">
        <v>3463</v>
      </c>
      <c r="AK559" t="s">
        <v>3463</v>
      </c>
      <c r="AL559" t="s">
        <v>3463</v>
      </c>
      <c r="AP559" t="s">
        <v>3463</v>
      </c>
      <c r="AS559" t="s">
        <v>3465</v>
      </c>
      <c r="AV559" t="s">
        <v>74</v>
      </c>
      <c r="AW559" t="s">
        <v>3915</v>
      </c>
      <c r="BA559" t="s">
        <v>3920</v>
      </c>
      <c r="BD559" t="s">
        <v>105</v>
      </c>
      <c r="BF559" t="s">
        <v>3921</v>
      </c>
      <c r="BG559" t="s">
        <v>1430</v>
      </c>
      <c r="BH559" t="s">
        <v>4149</v>
      </c>
      <c r="BI559" t="s">
        <v>411</v>
      </c>
      <c r="BK559" t="s">
        <v>1431</v>
      </c>
      <c r="BL559" t="s">
        <v>1432</v>
      </c>
      <c r="BP559" t="s">
        <v>4433</v>
      </c>
      <c r="BQ559" t="s">
        <v>3463</v>
      </c>
      <c r="BR559" t="s">
        <v>3463</v>
      </c>
      <c r="BS559" t="s">
        <v>3463</v>
      </c>
      <c r="BT559" t="s">
        <v>3463</v>
      </c>
      <c r="BU559" t="s">
        <v>3463</v>
      </c>
      <c r="BV559" t="s">
        <v>3463</v>
      </c>
      <c r="BW559" t="s">
        <v>3463</v>
      </c>
      <c r="BX559" t="s">
        <v>121</v>
      </c>
      <c r="BY559" t="s">
        <v>87</v>
      </c>
      <c r="BZ559" t="s">
        <v>95</v>
      </c>
      <c r="CA559" s="10">
        <v>45910</v>
      </c>
    </row>
    <row r="560" spans="1:79">
      <c r="A560">
        <v>566</v>
      </c>
      <c r="B560">
        <v>186</v>
      </c>
      <c r="C560">
        <v>26</v>
      </c>
      <c r="D560" t="s">
        <v>3466</v>
      </c>
      <c r="E560" t="s">
        <v>1384</v>
      </c>
      <c r="F560" t="s">
        <v>969</v>
      </c>
      <c r="G560" s="12" t="s">
        <v>3463</v>
      </c>
      <c r="H560" s="12"/>
      <c r="I560">
        <v>79</v>
      </c>
      <c r="K560">
        <v>137</v>
      </c>
      <c r="L560">
        <v>76</v>
      </c>
      <c r="M560" t="s">
        <v>82</v>
      </c>
      <c r="P560" t="s">
        <v>83</v>
      </c>
      <c r="Q560" t="s">
        <v>82</v>
      </c>
      <c r="R560">
        <v>68.95</v>
      </c>
      <c r="S560">
        <v>160</v>
      </c>
      <c r="T560" s="8">
        <f t="shared" si="16"/>
        <v>26.93359375</v>
      </c>
      <c r="U560" s="13" t="str" cm="1">
        <f t="array" ref="U560">IF(T560="","",_xlfn.IFS(T560&lt;18.5,"Bajo peso",T560&lt;25,"Peso normal",T560&lt;30,"Sobrepeso",T560&lt;35,"Obesidad clase I",T560&lt;40,"Obesidad clase II",T560&gt;=40,"Obesidad clase III"))</f>
        <v>Sobrepeso</v>
      </c>
      <c r="V560">
        <v>107</v>
      </c>
      <c r="X560" t="s">
        <v>3463</v>
      </c>
      <c r="Y560">
        <v>1.51</v>
      </c>
      <c r="AA560">
        <v>48</v>
      </c>
      <c r="AB560" s="9">
        <f t="shared" si="17"/>
        <v>48.594595430357316</v>
      </c>
      <c r="AD560" t="s">
        <v>158</v>
      </c>
      <c r="AF560" t="s">
        <v>158</v>
      </c>
      <c r="AH560" t="s">
        <v>3463</v>
      </c>
      <c r="AI560" t="s">
        <v>3463</v>
      </c>
      <c r="AJ560" t="s">
        <v>3463</v>
      </c>
      <c r="AK560" t="s">
        <v>3463</v>
      </c>
      <c r="AL560" t="s">
        <v>3463</v>
      </c>
      <c r="AP560" t="s">
        <v>3463</v>
      </c>
      <c r="AQ560" t="s">
        <v>698</v>
      </c>
      <c r="AR560" t="s">
        <v>3488</v>
      </c>
      <c r="AV560" t="s">
        <v>74</v>
      </c>
      <c r="AW560" t="s">
        <v>3915</v>
      </c>
      <c r="AX560" t="s">
        <v>3463</v>
      </c>
      <c r="AY560" t="s">
        <v>3465</v>
      </c>
      <c r="AZ560" t="s">
        <v>104</v>
      </c>
      <c r="BF560" t="s">
        <v>3921</v>
      </c>
      <c r="BH560" t="s">
        <v>4150</v>
      </c>
      <c r="BK560" t="s">
        <v>1433</v>
      </c>
      <c r="BL560" t="s">
        <v>1434</v>
      </c>
      <c r="BP560" t="s">
        <v>4325</v>
      </c>
      <c r="BQ560" t="s">
        <v>3465</v>
      </c>
      <c r="BR560" t="s">
        <v>3465</v>
      </c>
      <c r="BS560" t="s">
        <v>3465</v>
      </c>
      <c r="BT560" t="s">
        <v>3465</v>
      </c>
      <c r="BU560" t="s">
        <v>3463</v>
      </c>
      <c r="BV560" t="s">
        <v>3463</v>
      </c>
      <c r="BW560" t="s">
        <v>3463</v>
      </c>
      <c r="BX560" t="s">
        <v>79</v>
      </c>
      <c r="BY560" t="s">
        <v>79</v>
      </c>
      <c r="BZ560" t="s">
        <v>79</v>
      </c>
      <c r="CA560" s="10">
        <v>45910</v>
      </c>
    </row>
    <row r="561" spans="1:79">
      <c r="A561">
        <v>567</v>
      </c>
      <c r="B561">
        <v>187</v>
      </c>
      <c r="C561">
        <v>70</v>
      </c>
      <c r="D561" t="s">
        <v>3466</v>
      </c>
      <c r="F561" t="s">
        <v>969</v>
      </c>
      <c r="G561" s="12" t="s">
        <v>3465</v>
      </c>
      <c r="H561" t="s">
        <v>88</v>
      </c>
      <c r="I561">
        <v>69</v>
      </c>
      <c r="J561">
        <v>67</v>
      </c>
      <c r="K561">
        <v>163</v>
      </c>
      <c r="L561">
        <v>73</v>
      </c>
      <c r="M561" t="s">
        <v>72</v>
      </c>
      <c r="N561">
        <v>156</v>
      </c>
      <c r="O561">
        <v>63</v>
      </c>
      <c r="P561" t="s">
        <v>72</v>
      </c>
      <c r="Q561" t="s">
        <v>72</v>
      </c>
      <c r="R561">
        <v>70.5</v>
      </c>
      <c r="S561">
        <v>151</v>
      </c>
      <c r="T561" s="8">
        <f t="shared" si="16"/>
        <v>30.919696504539278</v>
      </c>
      <c r="U561" s="13" t="str" cm="1">
        <f t="array" ref="U561">IF(T561="","",_xlfn.IFS(T561&lt;18.5,"Bajo peso",T561&lt;25,"Peso normal",T561&lt;30,"Sobrepeso",T561&lt;35,"Obesidad clase I",T561&lt;40,"Obesidad clase II",T561&gt;=40,"Obesidad clase III"))</f>
        <v>Obesidad clase I</v>
      </c>
      <c r="V561">
        <v>137</v>
      </c>
      <c r="X561" t="s">
        <v>3463</v>
      </c>
      <c r="Y561">
        <v>1.2</v>
      </c>
      <c r="Z561">
        <v>1.18</v>
      </c>
      <c r="AA561">
        <v>49</v>
      </c>
      <c r="AB561" s="9">
        <f t="shared" si="17"/>
        <v>48.696581892506316</v>
      </c>
      <c r="AC561">
        <v>49</v>
      </c>
      <c r="AD561" t="s">
        <v>158</v>
      </c>
      <c r="AE561" t="s">
        <v>158</v>
      </c>
      <c r="AF561" t="s">
        <v>158</v>
      </c>
      <c r="AH561" t="s">
        <v>3463</v>
      </c>
      <c r="AI561" t="s">
        <v>3465</v>
      </c>
      <c r="AJ561" t="s">
        <v>3463</v>
      </c>
      <c r="AK561" t="s">
        <v>3463</v>
      </c>
      <c r="AL561" t="s">
        <v>3465</v>
      </c>
      <c r="AM561" t="s">
        <v>1435</v>
      </c>
      <c r="AN561" t="s">
        <v>3734</v>
      </c>
      <c r="AP561" t="s">
        <v>3463</v>
      </c>
      <c r="AQ561" t="s">
        <v>1436</v>
      </c>
      <c r="AR561" t="s">
        <v>3491</v>
      </c>
      <c r="AS561" t="s">
        <v>3465</v>
      </c>
      <c r="AT561" t="s">
        <v>3465</v>
      </c>
      <c r="AU561" t="s">
        <v>80</v>
      </c>
      <c r="AV561" t="s">
        <v>112</v>
      </c>
      <c r="AW561" t="s">
        <v>3917</v>
      </c>
      <c r="AX561" t="s">
        <v>3463</v>
      </c>
      <c r="AY561" t="s">
        <v>3465</v>
      </c>
      <c r="AZ561" t="s">
        <v>187</v>
      </c>
      <c r="BA561" t="s">
        <v>3920</v>
      </c>
      <c r="BF561" t="s">
        <v>3921</v>
      </c>
      <c r="BG561" t="s">
        <v>1437</v>
      </c>
      <c r="BH561" t="s">
        <v>4022</v>
      </c>
      <c r="BI561" t="s">
        <v>411</v>
      </c>
      <c r="BK561" t="s">
        <v>911</v>
      </c>
      <c r="BL561" t="s">
        <v>1438</v>
      </c>
      <c r="BP561" t="s">
        <v>4383</v>
      </c>
      <c r="BQ561" t="s">
        <v>3463</v>
      </c>
      <c r="BR561" t="s">
        <v>3463</v>
      </c>
      <c r="BS561" t="s">
        <v>3463</v>
      </c>
      <c r="BT561" t="s">
        <v>3463</v>
      </c>
      <c r="BU561" t="s">
        <v>3465</v>
      </c>
      <c r="BV561" t="s">
        <v>3465</v>
      </c>
      <c r="BW561" t="s">
        <v>3465</v>
      </c>
      <c r="BX561" t="s">
        <v>121</v>
      </c>
      <c r="BY561" t="s">
        <v>87</v>
      </c>
      <c r="BZ561" t="s">
        <v>79</v>
      </c>
      <c r="CA561" s="10">
        <v>45910</v>
      </c>
    </row>
    <row r="562" spans="1:79">
      <c r="A562">
        <v>568</v>
      </c>
      <c r="B562">
        <v>188</v>
      </c>
      <c r="C562">
        <v>54</v>
      </c>
      <c r="D562" t="s">
        <v>3462</v>
      </c>
      <c r="E562" t="s">
        <v>1000</v>
      </c>
      <c r="F562" t="s">
        <v>969</v>
      </c>
      <c r="G562" s="12" t="s">
        <v>3463</v>
      </c>
      <c r="H562" s="12"/>
      <c r="I562">
        <v>66</v>
      </c>
      <c r="J562">
        <v>69</v>
      </c>
      <c r="K562">
        <v>156</v>
      </c>
      <c r="L562">
        <v>80</v>
      </c>
      <c r="M562" t="s">
        <v>72</v>
      </c>
      <c r="N562">
        <v>149</v>
      </c>
      <c r="O562">
        <v>78</v>
      </c>
      <c r="P562" t="s">
        <v>72</v>
      </c>
      <c r="Q562" t="s">
        <v>72</v>
      </c>
      <c r="R562">
        <v>89.3</v>
      </c>
      <c r="S562">
        <v>167</v>
      </c>
      <c r="T562" s="8">
        <f t="shared" si="16"/>
        <v>32.019792749829683</v>
      </c>
      <c r="U562" s="13" t="str" cm="1">
        <f t="array" ref="U562">IF(T562="","",_xlfn.IFS(T562&lt;18.5,"Bajo peso",T562&lt;25,"Peso normal",T562&lt;30,"Sobrepeso",T562&lt;35,"Obesidad clase I",T562&lt;40,"Obesidad clase II",T562&gt;=40,"Obesidad clase III"))</f>
        <v>Obesidad clase I</v>
      </c>
      <c r="V562">
        <v>105</v>
      </c>
      <c r="X562" t="s">
        <v>3463</v>
      </c>
      <c r="Y562">
        <v>1.3</v>
      </c>
      <c r="AA562">
        <v>65</v>
      </c>
      <c r="AB562" s="9">
        <f t="shared" si="17"/>
        <v>65.281920620917845</v>
      </c>
      <c r="AD562" t="s">
        <v>73</v>
      </c>
      <c r="AF562" t="s">
        <v>73</v>
      </c>
      <c r="AH562" t="s">
        <v>3463</v>
      </c>
      <c r="AI562" t="s">
        <v>3463</v>
      </c>
      <c r="AJ562" t="s">
        <v>3463</v>
      </c>
      <c r="AK562" t="s">
        <v>3463</v>
      </c>
      <c r="AL562" t="s">
        <v>3463</v>
      </c>
      <c r="AP562" t="s">
        <v>3463</v>
      </c>
      <c r="AQ562" t="s">
        <v>1439</v>
      </c>
      <c r="AR562" t="s">
        <v>3490</v>
      </c>
      <c r="AV562" t="s">
        <v>74</v>
      </c>
      <c r="AW562" t="s">
        <v>3915</v>
      </c>
      <c r="BF562" t="s">
        <v>3921</v>
      </c>
      <c r="BH562" t="s">
        <v>4020</v>
      </c>
      <c r="BP562" t="s">
        <v>4260</v>
      </c>
      <c r="BQ562" t="s">
        <v>3463</v>
      </c>
      <c r="BR562" t="s">
        <v>3465</v>
      </c>
      <c r="BS562" t="s">
        <v>3465</v>
      </c>
      <c r="BT562" t="s">
        <v>3465</v>
      </c>
      <c r="BU562" t="s">
        <v>3463</v>
      </c>
      <c r="BV562" t="s">
        <v>3463</v>
      </c>
      <c r="BW562" t="s">
        <v>3463</v>
      </c>
      <c r="BX562" t="s">
        <v>79</v>
      </c>
      <c r="BY562" t="s">
        <v>87</v>
      </c>
      <c r="BZ562" t="s">
        <v>79</v>
      </c>
      <c r="CA562" s="10">
        <v>45910</v>
      </c>
    </row>
    <row r="563" spans="1:79">
      <c r="A563">
        <v>569</v>
      </c>
      <c r="B563">
        <v>189</v>
      </c>
      <c r="C563">
        <v>54</v>
      </c>
      <c r="D563" t="s">
        <v>3462</v>
      </c>
      <c r="F563" t="s">
        <v>969</v>
      </c>
      <c r="G563" s="12" t="s">
        <v>3465</v>
      </c>
      <c r="H563" t="s">
        <v>88</v>
      </c>
      <c r="I563">
        <v>69</v>
      </c>
      <c r="J563">
        <v>69</v>
      </c>
      <c r="K563">
        <v>143</v>
      </c>
      <c r="L563">
        <v>82</v>
      </c>
      <c r="M563" t="s">
        <v>72</v>
      </c>
      <c r="N563">
        <v>139</v>
      </c>
      <c r="O563">
        <v>80</v>
      </c>
      <c r="P563" t="s">
        <v>82</v>
      </c>
      <c r="Q563" t="s">
        <v>82</v>
      </c>
      <c r="R563">
        <v>92.1</v>
      </c>
      <c r="S563">
        <v>161.6</v>
      </c>
      <c r="T563" s="8">
        <f t="shared" si="16"/>
        <v>35.267682089991176</v>
      </c>
      <c r="U563" s="13" t="str" cm="1">
        <f t="array" ref="U563">IF(T563="","",_xlfn.IFS(T563&lt;18.5,"Bajo peso",T563&lt;25,"Peso normal",T563&lt;30,"Sobrepeso",T563&lt;35,"Obesidad clase I",T563&lt;40,"Obesidad clase II",T563&gt;=40,"Obesidad clase III"))</f>
        <v>Obesidad clase II</v>
      </c>
      <c r="V563">
        <v>94</v>
      </c>
      <c r="X563" t="s">
        <v>3463</v>
      </c>
      <c r="Y563">
        <v>1.57</v>
      </c>
      <c r="AA563">
        <v>52</v>
      </c>
      <c r="AB563" s="9">
        <f t="shared" si="17"/>
        <v>52.052951868718928</v>
      </c>
      <c r="AD563" t="s">
        <v>158</v>
      </c>
      <c r="AF563" t="s">
        <v>158</v>
      </c>
      <c r="AH563" t="s">
        <v>3463</v>
      </c>
      <c r="AI563" t="s">
        <v>3463</v>
      </c>
      <c r="AJ563" t="s">
        <v>3463</v>
      </c>
      <c r="AK563" t="s">
        <v>3463</v>
      </c>
      <c r="AL563" t="s">
        <v>3465</v>
      </c>
      <c r="AM563" t="s">
        <v>472</v>
      </c>
      <c r="AN563" t="s">
        <v>3617</v>
      </c>
      <c r="AP563" t="s">
        <v>3463</v>
      </c>
      <c r="AV563" t="s">
        <v>74</v>
      </c>
      <c r="AW563" t="s">
        <v>3915</v>
      </c>
      <c r="BF563" t="s">
        <v>3921</v>
      </c>
      <c r="BG563" t="s">
        <v>1440</v>
      </c>
      <c r="BH563" t="s">
        <v>4053</v>
      </c>
      <c r="BK563" t="s">
        <v>1441</v>
      </c>
      <c r="BL563" t="s">
        <v>1442</v>
      </c>
      <c r="BP563" t="s">
        <v>4325</v>
      </c>
      <c r="BQ563" t="s">
        <v>3463</v>
      </c>
      <c r="BR563" t="s">
        <v>3465</v>
      </c>
      <c r="BS563" t="s">
        <v>3463</v>
      </c>
      <c r="BT563" t="s">
        <v>3463</v>
      </c>
      <c r="BU563" t="s">
        <v>3463</v>
      </c>
      <c r="BV563" t="s">
        <v>3463</v>
      </c>
      <c r="BW563" t="s">
        <v>3463</v>
      </c>
      <c r="BX563" t="s">
        <v>79</v>
      </c>
      <c r="BY563" t="s">
        <v>87</v>
      </c>
      <c r="BZ563" t="s">
        <v>79</v>
      </c>
      <c r="CA563" s="10">
        <v>45910</v>
      </c>
    </row>
    <row r="564" spans="1:79">
      <c r="A564">
        <v>570</v>
      </c>
      <c r="B564">
        <v>190</v>
      </c>
      <c r="C564">
        <v>42</v>
      </c>
      <c r="D564" t="s">
        <v>3462</v>
      </c>
      <c r="E564" t="s">
        <v>1000</v>
      </c>
      <c r="F564" t="s">
        <v>969</v>
      </c>
      <c r="G564" s="12" t="s">
        <v>3463</v>
      </c>
      <c r="H564" s="12"/>
      <c r="I564">
        <v>70</v>
      </c>
      <c r="K564">
        <v>123</v>
      </c>
      <c r="L564">
        <v>74</v>
      </c>
      <c r="M564" t="s">
        <v>118</v>
      </c>
      <c r="P564" t="s">
        <v>83</v>
      </c>
      <c r="Q564" t="s">
        <v>118</v>
      </c>
      <c r="R564">
        <v>85.6</v>
      </c>
      <c r="S564">
        <v>172</v>
      </c>
      <c r="T564" s="8">
        <f t="shared" si="16"/>
        <v>28.934559221200647</v>
      </c>
      <c r="U564" s="13" t="str" cm="1">
        <f t="array" ref="U564">IF(T564="","",_xlfn.IFS(T564&lt;18.5,"Bajo peso",T564&lt;25,"Peso normal",T564&lt;30,"Sobrepeso",T564&lt;35,"Obesidad clase I",T564&lt;40,"Obesidad clase II",T564&gt;=40,"Obesidad clase III"))</f>
        <v>Sobrepeso</v>
      </c>
      <c r="V564">
        <v>68</v>
      </c>
      <c r="X564" t="s">
        <v>3463</v>
      </c>
      <c r="Y564">
        <v>0.92</v>
      </c>
      <c r="AA564">
        <v>90</v>
      </c>
      <c r="AB564" s="9">
        <f t="shared" si="17"/>
        <v>106.51030886870609</v>
      </c>
      <c r="AD564" t="s">
        <v>73</v>
      </c>
      <c r="AF564" t="s">
        <v>73</v>
      </c>
      <c r="AH564" t="s">
        <v>3463</v>
      </c>
      <c r="AI564" t="s">
        <v>3463</v>
      </c>
      <c r="AJ564" t="s">
        <v>3463</v>
      </c>
      <c r="AK564" t="s">
        <v>3463</v>
      </c>
      <c r="AL564" t="s">
        <v>3463</v>
      </c>
      <c r="AP564" t="s">
        <v>3463</v>
      </c>
      <c r="AV564" t="s">
        <v>126</v>
      </c>
      <c r="AW564" t="s">
        <v>126</v>
      </c>
      <c r="BF564" t="s">
        <v>3921</v>
      </c>
      <c r="BH564" t="s">
        <v>4020</v>
      </c>
      <c r="BP564" t="s">
        <v>4260</v>
      </c>
      <c r="BQ564" t="s">
        <v>3463</v>
      </c>
      <c r="BR564" t="s">
        <v>3465</v>
      </c>
      <c r="BS564" t="s">
        <v>3463</v>
      </c>
      <c r="BT564" t="s">
        <v>3463</v>
      </c>
      <c r="BU564" t="s">
        <v>3463</v>
      </c>
      <c r="BV564" t="s">
        <v>3463</v>
      </c>
      <c r="BW564" t="s">
        <v>3463</v>
      </c>
      <c r="BX564" t="s">
        <v>79</v>
      </c>
      <c r="BY564" t="s">
        <v>87</v>
      </c>
      <c r="BZ564" t="s">
        <v>79</v>
      </c>
      <c r="CA564" s="10">
        <v>45910</v>
      </c>
    </row>
    <row r="565" spans="1:79">
      <c r="A565">
        <v>571</v>
      </c>
      <c r="B565">
        <v>191</v>
      </c>
      <c r="C565">
        <v>50</v>
      </c>
      <c r="D565" t="s">
        <v>3466</v>
      </c>
      <c r="E565" t="s">
        <v>1384</v>
      </c>
      <c r="F565" t="s">
        <v>969</v>
      </c>
      <c r="G565" s="12" t="s">
        <v>3463</v>
      </c>
      <c r="I565">
        <v>92</v>
      </c>
      <c r="J565">
        <v>95</v>
      </c>
      <c r="K565">
        <v>153</v>
      </c>
      <c r="L565">
        <v>92</v>
      </c>
      <c r="M565" t="s">
        <v>72</v>
      </c>
      <c r="N565">
        <v>149</v>
      </c>
      <c r="O565">
        <v>90</v>
      </c>
      <c r="P565" t="s">
        <v>72</v>
      </c>
      <c r="Q565" t="s">
        <v>72</v>
      </c>
      <c r="R565">
        <v>102.7</v>
      </c>
      <c r="S565">
        <v>165</v>
      </c>
      <c r="T565" s="8">
        <f t="shared" si="16"/>
        <v>37.722681359044998</v>
      </c>
      <c r="U565" s="13" t="str" cm="1">
        <f t="array" ref="U565">IF(T565="","",_xlfn.IFS(T565&lt;18.5,"Bajo peso",T565&lt;25,"Peso normal",T565&lt;30,"Sobrepeso",T565&lt;35,"Obesidad clase I",T565&lt;40,"Obesidad clase II",T565&gt;=40,"Obesidad clase III"))</f>
        <v>Obesidad clase II</v>
      </c>
      <c r="V565">
        <v>165</v>
      </c>
      <c r="X565" t="s">
        <v>3463</v>
      </c>
      <c r="Y565">
        <v>1.0900000000000001</v>
      </c>
      <c r="AA565">
        <v>62</v>
      </c>
      <c r="AB565" s="9">
        <f t="shared" si="17"/>
        <v>61.890547964335504</v>
      </c>
      <c r="AD565" t="s">
        <v>73</v>
      </c>
      <c r="AF565" t="s">
        <v>73</v>
      </c>
      <c r="AG565" t="s">
        <v>3465</v>
      </c>
      <c r="AH565" t="s">
        <v>3465</v>
      </c>
      <c r="AI565" t="s">
        <v>3465</v>
      </c>
      <c r="AJ565" t="s">
        <v>3464</v>
      </c>
      <c r="AK565" t="s">
        <v>3463</v>
      </c>
      <c r="AL565" t="s">
        <v>3465</v>
      </c>
      <c r="AM565" t="s">
        <v>1443</v>
      </c>
      <c r="AN565" t="s">
        <v>3735</v>
      </c>
      <c r="AP565" t="s">
        <v>3463</v>
      </c>
      <c r="AQ565" t="s">
        <v>1444</v>
      </c>
      <c r="AR565" t="s">
        <v>3516</v>
      </c>
      <c r="AS565" t="s">
        <v>3463</v>
      </c>
      <c r="AT565" t="s">
        <v>3465</v>
      </c>
      <c r="AU565" t="s">
        <v>80</v>
      </c>
      <c r="AV565" t="s">
        <v>74</v>
      </c>
      <c r="AW565" t="s">
        <v>3915</v>
      </c>
      <c r="AX565" t="s">
        <v>3463</v>
      </c>
      <c r="AY565" t="s">
        <v>3465</v>
      </c>
      <c r="AZ565" t="s">
        <v>247</v>
      </c>
      <c r="BB565" t="s">
        <v>3485</v>
      </c>
      <c r="BE565" t="s">
        <v>257</v>
      </c>
      <c r="BF565" t="s">
        <v>116</v>
      </c>
      <c r="BH565" t="s">
        <v>4021</v>
      </c>
      <c r="BI565" t="s">
        <v>76</v>
      </c>
      <c r="BP565" t="s">
        <v>4261</v>
      </c>
      <c r="BQ565" t="s">
        <v>3463</v>
      </c>
      <c r="BR565" t="s">
        <v>3465</v>
      </c>
      <c r="BS565" t="s">
        <v>3465</v>
      </c>
      <c r="BT565" t="s">
        <v>3465</v>
      </c>
      <c r="BU565" t="s">
        <v>3463</v>
      </c>
      <c r="BV565" t="s">
        <v>3463</v>
      </c>
      <c r="BW565" t="s">
        <v>3463</v>
      </c>
      <c r="BX565" t="s">
        <v>79</v>
      </c>
      <c r="BY565" t="s">
        <v>79</v>
      </c>
      <c r="BZ565" t="s">
        <v>79</v>
      </c>
      <c r="CA565" s="10">
        <v>45910</v>
      </c>
    </row>
    <row r="566" spans="1:79">
      <c r="A566">
        <v>572</v>
      </c>
      <c r="B566">
        <v>193</v>
      </c>
      <c r="C566">
        <v>42</v>
      </c>
      <c r="D566" t="s">
        <v>3466</v>
      </c>
      <c r="F566" t="s">
        <v>969</v>
      </c>
      <c r="G566" s="12" t="s">
        <v>3465</v>
      </c>
      <c r="H566" s="12" t="s">
        <v>88</v>
      </c>
      <c r="I566">
        <v>85</v>
      </c>
      <c r="K566">
        <v>125</v>
      </c>
      <c r="L566">
        <v>78</v>
      </c>
      <c r="M566" t="s">
        <v>118</v>
      </c>
      <c r="P566" t="s">
        <v>83</v>
      </c>
      <c r="Q566" t="s">
        <v>118</v>
      </c>
      <c r="R566">
        <v>99.45</v>
      </c>
      <c r="S566">
        <v>160.5</v>
      </c>
      <c r="T566" s="8">
        <f t="shared" si="16"/>
        <v>38.605991789675954</v>
      </c>
      <c r="U566" s="13" t="str" cm="1">
        <f t="array" ref="U566">IF(T566="","",_xlfn.IFS(T566&lt;18.5,"Bajo peso",T566&lt;25,"Peso normal",T566&lt;30,"Sobrepeso",T566&lt;35,"Obesidad clase I",T566&lt;40,"Obesidad clase II",T566&gt;=40,"Obesidad clase III"))</f>
        <v>Obesidad clase II</v>
      </c>
      <c r="V566">
        <v>116</v>
      </c>
      <c r="X566" t="s">
        <v>3463</v>
      </c>
      <c r="Y566">
        <v>1</v>
      </c>
      <c r="AA566">
        <v>72</v>
      </c>
      <c r="AB566" s="9">
        <f t="shared" si="17"/>
        <v>72.134692716938247</v>
      </c>
      <c r="AD566" t="s">
        <v>73</v>
      </c>
      <c r="AF566" t="s">
        <v>73</v>
      </c>
      <c r="AH566" t="s">
        <v>3463</v>
      </c>
      <c r="AI566" t="s">
        <v>3463</v>
      </c>
      <c r="AJ566" t="s">
        <v>3463</v>
      </c>
      <c r="AK566" t="s">
        <v>3463</v>
      </c>
      <c r="AL566" t="s">
        <v>3463</v>
      </c>
      <c r="AO566" t="s">
        <v>3465</v>
      </c>
      <c r="AP566" t="s">
        <v>3465</v>
      </c>
      <c r="AQ566" t="s">
        <v>1445</v>
      </c>
      <c r="AR566" t="s">
        <v>3491</v>
      </c>
      <c r="AT566" t="s">
        <v>3465</v>
      </c>
      <c r="AU566" t="s">
        <v>80</v>
      </c>
      <c r="AV566" t="s">
        <v>112</v>
      </c>
      <c r="AW566" t="s">
        <v>3917</v>
      </c>
      <c r="AX566" t="s">
        <v>3463</v>
      </c>
      <c r="AY566" t="s">
        <v>3465</v>
      </c>
      <c r="AZ566" t="s">
        <v>1446</v>
      </c>
      <c r="BF566" t="s">
        <v>3921</v>
      </c>
      <c r="BH566" t="s">
        <v>4020</v>
      </c>
      <c r="BP566" t="s">
        <v>4260</v>
      </c>
      <c r="BQ566" t="s">
        <v>3465</v>
      </c>
      <c r="BR566" t="s">
        <v>3465</v>
      </c>
      <c r="BS566" t="s">
        <v>3465</v>
      </c>
      <c r="BT566" t="s">
        <v>3465</v>
      </c>
      <c r="BU566" t="s">
        <v>3463</v>
      </c>
      <c r="BV566" t="s">
        <v>3463</v>
      </c>
      <c r="BW566" t="s">
        <v>3463</v>
      </c>
      <c r="BX566" t="s">
        <v>79</v>
      </c>
      <c r="BY566" t="s">
        <v>87</v>
      </c>
      <c r="BZ566" t="s">
        <v>79</v>
      </c>
      <c r="CA566" s="10">
        <v>45910</v>
      </c>
    </row>
    <row r="567" spans="1:79">
      <c r="A567">
        <v>573</v>
      </c>
      <c r="B567">
        <v>194</v>
      </c>
      <c r="C567">
        <v>30</v>
      </c>
      <c r="D567" t="s">
        <v>3466</v>
      </c>
      <c r="E567" t="s">
        <v>1000</v>
      </c>
      <c r="F567" t="s">
        <v>969</v>
      </c>
      <c r="G567" s="12" t="s">
        <v>3465</v>
      </c>
      <c r="H567" t="s">
        <v>88</v>
      </c>
      <c r="I567">
        <v>66</v>
      </c>
      <c r="K567">
        <v>123</v>
      </c>
      <c r="L567">
        <v>79</v>
      </c>
      <c r="M567" t="s">
        <v>118</v>
      </c>
      <c r="P567" t="s">
        <v>83</v>
      </c>
      <c r="Q567" t="s">
        <v>118</v>
      </c>
      <c r="R567">
        <v>83.15</v>
      </c>
      <c r="S567">
        <v>155</v>
      </c>
      <c r="T567" s="8">
        <f t="shared" si="16"/>
        <v>34.609781477627472</v>
      </c>
      <c r="U567" s="13" t="str" cm="1">
        <f t="array" ref="U567">IF(T567="","",_xlfn.IFS(T567&lt;18.5,"Bajo peso",T567&lt;25,"Peso normal",T567&lt;30,"Sobrepeso",T567&lt;35,"Obesidad clase I",T567&lt;40,"Obesidad clase II",T567&gt;=40,"Obesidad clase III"))</f>
        <v>Obesidad clase I</v>
      </c>
      <c r="V567">
        <v>99</v>
      </c>
      <c r="X567" t="s">
        <v>3463</v>
      </c>
      <c r="Y567">
        <v>1</v>
      </c>
      <c r="AA567">
        <v>73</v>
      </c>
      <c r="AB567" s="9">
        <f t="shared" si="17"/>
        <v>77.724202963570917</v>
      </c>
      <c r="AD567" t="s">
        <v>73</v>
      </c>
      <c r="AF567" t="s">
        <v>73</v>
      </c>
      <c r="AH567" t="s">
        <v>3463</v>
      </c>
      <c r="AI567" t="s">
        <v>3463</v>
      </c>
      <c r="AJ567" t="s">
        <v>3465</v>
      </c>
      <c r="AK567" t="s">
        <v>3463</v>
      </c>
      <c r="AL567" t="s">
        <v>3463</v>
      </c>
      <c r="AP567" t="s">
        <v>3463</v>
      </c>
      <c r="AQ567" t="s">
        <v>1123</v>
      </c>
      <c r="AR567" t="s">
        <v>3491</v>
      </c>
      <c r="AV567" t="s">
        <v>74</v>
      </c>
      <c r="AW567" t="s">
        <v>3915</v>
      </c>
      <c r="AX567" t="s">
        <v>3463</v>
      </c>
      <c r="AY567" t="s">
        <v>3465</v>
      </c>
      <c r="AZ567" t="s">
        <v>137</v>
      </c>
      <c r="BF567" t="s">
        <v>3921</v>
      </c>
      <c r="BH567" t="s">
        <v>4020</v>
      </c>
      <c r="BP567" t="s">
        <v>4260</v>
      </c>
      <c r="BQ567" t="s">
        <v>3463</v>
      </c>
      <c r="BR567" t="s">
        <v>3463</v>
      </c>
      <c r="BS567" t="s">
        <v>3465</v>
      </c>
      <c r="BT567" t="s">
        <v>3465</v>
      </c>
      <c r="BU567" t="s">
        <v>3463</v>
      </c>
      <c r="BV567" t="s">
        <v>3463</v>
      </c>
      <c r="BW567" t="s">
        <v>3463</v>
      </c>
      <c r="BX567" t="s">
        <v>79</v>
      </c>
      <c r="BY567" t="s">
        <v>87</v>
      </c>
      <c r="BZ567" t="s">
        <v>79</v>
      </c>
      <c r="CA567" s="10">
        <v>45910</v>
      </c>
    </row>
    <row r="568" spans="1:79">
      <c r="A568">
        <v>574</v>
      </c>
      <c r="B568">
        <v>195</v>
      </c>
      <c r="C568">
        <v>68</v>
      </c>
      <c r="D568" t="s">
        <v>3466</v>
      </c>
      <c r="E568" t="s">
        <v>1384</v>
      </c>
      <c r="F568" t="s">
        <v>969</v>
      </c>
      <c r="G568" s="12" t="s">
        <v>3463</v>
      </c>
      <c r="H568" s="12"/>
      <c r="I568">
        <v>66</v>
      </c>
      <c r="K568">
        <v>134</v>
      </c>
      <c r="L568">
        <v>72</v>
      </c>
      <c r="M568" t="s">
        <v>82</v>
      </c>
      <c r="P568" t="s">
        <v>83</v>
      </c>
      <c r="Q568" t="s">
        <v>82</v>
      </c>
      <c r="R568">
        <v>61.3</v>
      </c>
      <c r="S568">
        <v>142</v>
      </c>
      <c r="T568" s="8">
        <f t="shared" si="16"/>
        <v>30.400714144019044</v>
      </c>
      <c r="U568" s="13" t="str" cm="1">
        <f t="array" ref="U568">IF(T568="","",_xlfn.IFS(T568&lt;18.5,"Bajo peso",T568&lt;25,"Peso normal",T568&lt;30,"Sobrepeso",T568&lt;35,"Obesidad clase I",T568&lt;40,"Obesidad clase II",T568&gt;=40,"Obesidad clase III"))</f>
        <v>Obesidad clase I</v>
      </c>
      <c r="V568">
        <v>89</v>
      </c>
      <c r="X568" t="s">
        <v>3463</v>
      </c>
      <c r="Y568">
        <v>1.59</v>
      </c>
      <c r="Z568">
        <v>1.62</v>
      </c>
      <c r="AA568">
        <v>35</v>
      </c>
      <c r="AB568" s="9">
        <f t="shared" si="17"/>
        <v>35.175593967063975</v>
      </c>
      <c r="AC568">
        <v>35</v>
      </c>
      <c r="AD568" t="s">
        <v>218</v>
      </c>
      <c r="AE568" t="s">
        <v>218</v>
      </c>
      <c r="AF568" t="s">
        <v>218</v>
      </c>
      <c r="AH568" t="s">
        <v>3463</v>
      </c>
      <c r="AI568" t="s">
        <v>3463</v>
      </c>
      <c r="AJ568" t="s">
        <v>3463</v>
      </c>
      <c r="AK568" t="s">
        <v>3465</v>
      </c>
      <c r="AL568" t="s">
        <v>3465</v>
      </c>
      <c r="AM568" t="s">
        <v>1447</v>
      </c>
      <c r="AN568" t="s">
        <v>3736</v>
      </c>
      <c r="AO568" t="s">
        <v>3465</v>
      </c>
      <c r="AP568" t="s">
        <v>3465</v>
      </c>
      <c r="AQ568" t="s">
        <v>1448</v>
      </c>
      <c r="AR568" t="s">
        <v>3506</v>
      </c>
      <c r="AT568" t="s">
        <v>3465</v>
      </c>
      <c r="AU568" t="s">
        <v>80</v>
      </c>
      <c r="AV568" t="s">
        <v>178</v>
      </c>
      <c r="AW568" t="s">
        <v>3918</v>
      </c>
      <c r="AX568" t="s">
        <v>3463</v>
      </c>
      <c r="BF568" t="s">
        <v>3921</v>
      </c>
      <c r="BG568" t="s">
        <v>1449</v>
      </c>
      <c r="BH568" t="s">
        <v>4151</v>
      </c>
      <c r="BI568" t="s">
        <v>314</v>
      </c>
      <c r="BL568" t="s">
        <v>1450</v>
      </c>
      <c r="BP568" t="s">
        <v>4419</v>
      </c>
      <c r="BQ568" t="s">
        <v>3463</v>
      </c>
      <c r="BR568" t="s">
        <v>3465</v>
      </c>
      <c r="BS568" t="s">
        <v>3463</v>
      </c>
      <c r="BT568" t="s">
        <v>3463</v>
      </c>
      <c r="BU568" t="s">
        <v>3463</v>
      </c>
      <c r="BV568" t="s">
        <v>3463</v>
      </c>
      <c r="BW568" t="s">
        <v>3463</v>
      </c>
      <c r="BX568" t="s">
        <v>79</v>
      </c>
      <c r="BY568" t="s">
        <v>87</v>
      </c>
      <c r="BZ568" t="s">
        <v>79</v>
      </c>
      <c r="CA568" s="10">
        <v>45910</v>
      </c>
    </row>
    <row r="569" spans="1:79">
      <c r="A569">
        <v>575</v>
      </c>
      <c r="B569">
        <v>197</v>
      </c>
      <c r="C569">
        <v>33</v>
      </c>
      <c r="D569" t="s">
        <v>3466</v>
      </c>
      <c r="E569" t="s">
        <v>968</v>
      </c>
      <c r="F569" t="s">
        <v>969</v>
      </c>
      <c r="G569" s="12" t="s">
        <v>3465</v>
      </c>
      <c r="H569" t="s">
        <v>88</v>
      </c>
      <c r="I569">
        <v>81</v>
      </c>
      <c r="K569">
        <v>129</v>
      </c>
      <c r="L569">
        <v>74</v>
      </c>
      <c r="M569" t="s">
        <v>118</v>
      </c>
      <c r="P569" t="s">
        <v>83</v>
      </c>
      <c r="Q569" t="s">
        <v>118</v>
      </c>
      <c r="R569">
        <v>79.900000000000006</v>
      </c>
      <c r="S569">
        <v>166</v>
      </c>
      <c r="T569" s="8">
        <f t="shared" si="16"/>
        <v>28.995500072579475</v>
      </c>
      <c r="U569" s="13" t="str" cm="1">
        <f t="array" ref="U569">IF(T569="","",_xlfn.IFS(T569&lt;18.5,"Bajo peso",T569&lt;25,"Peso normal",T569&lt;30,"Sobrepeso",T569&lt;35,"Obesidad clase I",T569&lt;40,"Obesidad clase II",T569&gt;=40,"Obesidad clase III"))</f>
        <v>Sobrepeso</v>
      </c>
      <c r="V569">
        <v>118</v>
      </c>
      <c r="X569" t="s">
        <v>3463</v>
      </c>
      <c r="Y569">
        <v>0.95</v>
      </c>
      <c r="AA569">
        <v>82</v>
      </c>
      <c r="AB569" s="9">
        <f t="shared" si="17"/>
        <v>81.130644883748857</v>
      </c>
      <c r="AD569" t="s">
        <v>73</v>
      </c>
      <c r="AF569" t="s">
        <v>73</v>
      </c>
      <c r="AH569" t="s">
        <v>3463</v>
      </c>
      <c r="AI569" t="s">
        <v>3463</v>
      </c>
      <c r="AJ569" t="s">
        <v>3463</v>
      </c>
      <c r="AK569" t="s">
        <v>3463</v>
      </c>
      <c r="AL569" t="s">
        <v>3463</v>
      </c>
      <c r="AP569" t="s">
        <v>3463</v>
      </c>
      <c r="AQ569" t="s">
        <v>1451</v>
      </c>
      <c r="AR569" t="s">
        <v>3488</v>
      </c>
      <c r="AT569" t="s">
        <v>3463</v>
      </c>
      <c r="AV569" t="s">
        <v>74</v>
      </c>
      <c r="AW569" t="s">
        <v>3915</v>
      </c>
      <c r="AX569" t="s">
        <v>3463</v>
      </c>
      <c r="AY569" t="s">
        <v>3463</v>
      </c>
      <c r="AZ569" t="s">
        <v>137</v>
      </c>
      <c r="BF569" t="s">
        <v>3921</v>
      </c>
      <c r="BH569" t="s">
        <v>4020</v>
      </c>
      <c r="BP569" t="s">
        <v>4260</v>
      </c>
      <c r="BQ569" t="s">
        <v>3463</v>
      </c>
      <c r="BR569" t="s">
        <v>3463</v>
      </c>
      <c r="BS569" t="s">
        <v>3465</v>
      </c>
      <c r="BT569" t="s">
        <v>3465</v>
      </c>
      <c r="BU569" t="s">
        <v>3463</v>
      </c>
      <c r="BV569" t="s">
        <v>3463</v>
      </c>
      <c r="BW569" t="s">
        <v>3463</v>
      </c>
      <c r="BX569" t="s">
        <v>79</v>
      </c>
      <c r="BY569" t="s">
        <v>79</v>
      </c>
      <c r="BZ569" t="s">
        <v>79</v>
      </c>
      <c r="CA569" s="10">
        <v>45910</v>
      </c>
    </row>
    <row r="570" spans="1:79">
      <c r="A570">
        <v>576</v>
      </c>
      <c r="B570">
        <v>198</v>
      </c>
      <c r="C570">
        <v>51</v>
      </c>
      <c r="D570" t="s">
        <v>3466</v>
      </c>
      <c r="F570" t="s">
        <v>969</v>
      </c>
      <c r="G570" s="12" t="s">
        <v>3465</v>
      </c>
      <c r="H570" s="12" t="s">
        <v>88</v>
      </c>
      <c r="I570">
        <v>65</v>
      </c>
      <c r="K570">
        <v>137</v>
      </c>
      <c r="L570">
        <v>70</v>
      </c>
      <c r="M570" t="s">
        <v>82</v>
      </c>
      <c r="P570" t="s">
        <v>83</v>
      </c>
      <c r="Q570" t="s">
        <v>82</v>
      </c>
      <c r="R570">
        <v>73.5</v>
      </c>
      <c r="S570">
        <v>153</v>
      </c>
      <c r="T570" s="8">
        <f t="shared" si="16"/>
        <v>31.398180187107521</v>
      </c>
      <c r="U570" s="13" t="str" cm="1">
        <f t="array" ref="U570">IF(T570="","",_xlfn.IFS(T570&lt;18.5,"Bajo peso",T570&lt;25,"Peso normal",T570&lt;30,"Sobrepeso",T570&lt;35,"Obesidad clase I",T570&lt;40,"Obesidad clase II",T570&gt;=40,"Obesidad clase III"))</f>
        <v>Obesidad clase I</v>
      </c>
      <c r="V570">
        <v>102</v>
      </c>
      <c r="X570" t="s">
        <v>3463</v>
      </c>
      <c r="Y570">
        <v>1.03</v>
      </c>
      <c r="AA570">
        <v>66</v>
      </c>
      <c r="AB570" s="9">
        <f t="shared" si="17"/>
        <v>65.830999376808848</v>
      </c>
      <c r="AD570" t="s">
        <v>73</v>
      </c>
      <c r="AF570" t="s">
        <v>73</v>
      </c>
      <c r="AG570" t="s">
        <v>3463</v>
      </c>
      <c r="AH570" t="s">
        <v>3465</v>
      </c>
      <c r="AI570" t="s">
        <v>3465</v>
      </c>
      <c r="AJ570" t="s">
        <v>3463</v>
      </c>
      <c r="AK570" t="s">
        <v>3465</v>
      </c>
      <c r="AL570" t="s">
        <v>3463</v>
      </c>
      <c r="AP570" t="s">
        <v>3463</v>
      </c>
      <c r="AQ570" t="s">
        <v>1078</v>
      </c>
      <c r="AR570" t="s">
        <v>3512</v>
      </c>
      <c r="AS570" t="s">
        <v>3465</v>
      </c>
      <c r="AT570" t="s">
        <v>3465</v>
      </c>
      <c r="AU570" t="s">
        <v>80</v>
      </c>
      <c r="AV570" t="s">
        <v>74</v>
      </c>
      <c r="AW570" t="s">
        <v>3915</v>
      </c>
      <c r="AX570" t="s">
        <v>3463</v>
      </c>
      <c r="AY570" t="s">
        <v>3465</v>
      </c>
      <c r="AZ570" t="s">
        <v>90</v>
      </c>
      <c r="BF570" t="s">
        <v>3921</v>
      </c>
      <c r="BH570" t="s">
        <v>4020</v>
      </c>
      <c r="BP570" t="s">
        <v>4260</v>
      </c>
      <c r="BQ570" t="s">
        <v>3463</v>
      </c>
      <c r="BR570" t="s">
        <v>3463</v>
      </c>
      <c r="BS570" t="s">
        <v>3465</v>
      </c>
      <c r="BT570" t="s">
        <v>3465</v>
      </c>
      <c r="BU570" t="s">
        <v>3463</v>
      </c>
      <c r="BV570" t="s">
        <v>3463</v>
      </c>
      <c r="BW570" t="s">
        <v>3463</v>
      </c>
      <c r="BX570" t="s">
        <v>79</v>
      </c>
      <c r="BY570" t="s">
        <v>87</v>
      </c>
      <c r="BZ570" t="s">
        <v>79</v>
      </c>
      <c r="CA570" s="10">
        <v>45910</v>
      </c>
    </row>
    <row r="571" spans="1:79">
      <c r="A571">
        <v>577</v>
      </c>
      <c r="B571">
        <v>199</v>
      </c>
      <c r="C571">
        <v>37</v>
      </c>
      <c r="D571" t="s">
        <v>3462</v>
      </c>
      <c r="E571" t="s">
        <v>1005</v>
      </c>
      <c r="F571" t="s">
        <v>969</v>
      </c>
      <c r="G571" s="12" t="s">
        <v>3463</v>
      </c>
      <c r="I571">
        <v>80</v>
      </c>
      <c r="K571">
        <v>135</v>
      </c>
      <c r="L571">
        <v>78</v>
      </c>
      <c r="M571" t="s">
        <v>82</v>
      </c>
      <c r="P571" t="s">
        <v>83</v>
      </c>
      <c r="Q571" t="s">
        <v>82</v>
      </c>
      <c r="R571">
        <v>99.4</v>
      </c>
      <c r="S571">
        <v>169</v>
      </c>
      <c r="T571" s="8">
        <f t="shared" si="16"/>
        <v>34.802702986590106</v>
      </c>
      <c r="U571" s="13" t="str" cm="1">
        <f t="array" ref="U571">IF(T571="","",_xlfn.IFS(T571&lt;18.5,"Bajo peso",T571&lt;25,"Peso normal",T571&lt;30,"Sobrepeso",T571&lt;35,"Obesidad clase I",T571&lt;40,"Obesidad clase II",T571&gt;=40,"Obesidad clase III"))</f>
        <v>Obesidad clase I</v>
      </c>
      <c r="V571">
        <v>126</v>
      </c>
      <c r="X571" t="s">
        <v>3463</v>
      </c>
      <c r="Y571">
        <v>1.29</v>
      </c>
      <c r="AA571">
        <v>73</v>
      </c>
      <c r="AB571" s="9">
        <f t="shared" si="17"/>
        <v>73.237653709396142</v>
      </c>
      <c r="AD571" t="s">
        <v>73</v>
      </c>
      <c r="AF571" t="s">
        <v>73</v>
      </c>
      <c r="AH571" t="s">
        <v>3463</v>
      </c>
      <c r="AI571" t="s">
        <v>3463</v>
      </c>
      <c r="AJ571" t="s">
        <v>3463</v>
      </c>
      <c r="AK571" t="s">
        <v>3463</v>
      </c>
      <c r="AL571" t="s">
        <v>3465</v>
      </c>
      <c r="AM571" t="s">
        <v>1452</v>
      </c>
      <c r="AN571" t="s">
        <v>3737</v>
      </c>
      <c r="AP571" t="s">
        <v>3463</v>
      </c>
      <c r="AQ571" t="s">
        <v>1453</v>
      </c>
      <c r="AR571" t="s">
        <v>3536</v>
      </c>
      <c r="AV571" t="s">
        <v>178</v>
      </c>
      <c r="AW571" t="s">
        <v>3918</v>
      </c>
      <c r="BF571" t="s">
        <v>3921</v>
      </c>
      <c r="BG571" t="s">
        <v>1454</v>
      </c>
      <c r="BH571" t="s">
        <v>4029</v>
      </c>
      <c r="BI571" t="s">
        <v>411</v>
      </c>
      <c r="BL571" t="s">
        <v>1455</v>
      </c>
      <c r="BP571" t="s">
        <v>4320</v>
      </c>
      <c r="BQ571" t="s">
        <v>3463</v>
      </c>
      <c r="BR571" t="s">
        <v>3465</v>
      </c>
      <c r="BS571" t="s">
        <v>3463</v>
      </c>
      <c r="BT571" t="s">
        <v>3463</v>
      </c>
      <c r="BU571" t="s">
        <v>3463</v>
      </c>
      <c r="BV571" t="s">
        <v>3463</v>
      </c>
      <c r="BW571" t="s">
        <v>3463</v>
      </c>
      <c r="BX571" t="s">
        <v>79</v>
      </c>
      <c r="BY571" t="s">
        <v>87</v>
      </c>
      <c r="BZ571" t="s">
        <v>79</v>
      </c>
      <c r="CA571" s="10">
        <v>45910</v>
      </c>
    </row>
    <row r="572" spans="1:79">
      <c r="A572">
        <v>578</v>
      </c>
      <c r="B572">
        <v>200</v>
      </c>
      <c r="C572">
        <v>18</v>
      </c>
      <c r="D572" t="s">
        <v>3462</v>
      </c>
      <c r="E572" t="s">
        <v>1000</v>
      </c>
      <c r="F572" t="s">
        <v>969</v>
      </c>
      <c r="G572" s="12" t="s">
        <v>3463</v>
      </c>
      <c r="I572">
        <v>83</v>
      </c>
      <c r="J572">
        <v>85</v>
      </c>
      <c r="K572">
        <v>137</v>
      </c>
      <c r="L572">
        <v>77</v>
      </c>
      <c r="M572" t="s">
        <v>82</v>
      </c>
      <c r="N572">
        <v>134</v>
      </c>
      <c r="O572">
        <v>82</v>
      </c>
      <c r="P572" t="s">
        <v>82</v>
      </c>
      <c r="Q572" t="s">
        <v>82</v>
      </c>
      <c r="R572">
        <v>76.8</v>
      </c>
      <c r="S572">
        <v>170.4</v>
      </c>
      <c r="T572" s="8">
        <f t="shared" si="16"/>
        <v>26.449778483105202</v>
      </c>
      <c r="U572" s="13" t="str" cm="1">
        <f t="array" ref="U572">IF(T572="","",_xlfn.IFS(T572&lt;18.5,"Bajo peso",T572&lt;25,"Peso normal",T572&lt;30,"Sobrepeso",T572&lt;35,"Obesidad clase I",T572&lt;40,"Obesidad clase II",T572&gt;=40,"Obesidad clase III"))</f>
        <v>Sobrepeso</v>
      </c>
      <c r="V572">
        <v>99</v>
      </c>
      <c r="X572" t="s">
        <v>3463</v>
      </c>
      <c r="Y572">
        <v>1.25</v>
      </c>
      <c r="AA572">
        <v>86</v>
      </c>
      <c r="AB572" s="9">
        <f t="shared" si="17"/>
        <v>85.599100985295465</v>
      </c>
      <c r="AD572" t="s">
        <v>73</v>
      </c>
      <c r="AF572" t="s">
        <v>73</v>
      </c>
      <c r="AH572" t="s">
        <v>3463</v>
      </c>
      <c r="AI572" t="s">
        <v>3463</v>
      </c>
      <c r="AJ572" t="s">
        <v>3463</v>
      </c>
      <c r="AK572" t="s">
        <v>3463</v>
      </c>
      <c r="AL572" t="s">
        <v>3463</v>
      </c>
      <c r="AP572" t="s">
        <v>3463</v>
      </c>
      <c r="AV572" t="s">
        <v>74</v>
      </c>
      <c r="AW572" t="s">
        <v>3915</v>
      </c>
      <c r="BF572" t="s">
        <v>3921</v>
      </c>
      <c r="BH572" t="s">
        <v>4020</v>
      </c>
      <c r="BP572" t="s">
        <v>4260</v>
      </c>
      <c r="BQ572" t="s">
        <v>3463</v>
      </c>
      <c r="BR572" t="s">
        <v>3465</v>
      </c>
      <c r="BS572" t="s">
        <v>3465</v>
      </c>
      <c r="BT572" t="s">
        <v>3465</v>
      </c>
      <c r="BU572" t="s">
        <v>3463</v>
      </c>
      <c r="BV572" t="s">
        <v>3463</v>
      </c>
      <c r="BW572" t="s">
        <v>3463</v>
      </c>
      <c r="BX572" t="s">
        <v>79</v>
      </c>
      <c r="BY572" t="s">
        <v>87</v>
      </c>
      <c r="BZ572" t="s">
        <v>79</v>
      </c>
      <c r="CA572" s="10">
        <v>45910</v>
      </c>
    </row>
    <row r="573" spans="1:79">
      <c r="A573">
        <v>579</v>
      </c>
      <c r="B573">
        <v>203</v>
      </c>
      <c r="C573">
        <v>53</v>
      </c>
      <c r="D573" t="s">
        <v>3466</v>
      </c>
      <c r="F573" t="s">
        <v>969</v>
      </c>
      <c r="G573" s="12" t="s">
        <v>3465</v>
      </c>
      <c r="H573" s="12" t="s">
        <v>88</v>
      </c>
      <c r="I573">
        <v>88</v>
      </c>
      <c r="K573">
        <v>123</v>
      </c>
      <c r="L573">
        <v>74</v>
      </c>
      <c r="M573" t="s">
        <v>118</v>
      </c>
      <c r="P573" t="s">
        <v>83</v>
      </c>
      <c r="Q573" t="s">
        <v>118</v>
      </c>
      <c r="R573">
        <v>73.8</v>
      </c>
      <c r="S573">
        <v>147.4</v>
      </c>
      <c r="T573" s="8">
        <f t="shared" si="16"/>
        <v>33.96732876876257</v>
      </c>
      <c r="U573" s="13" t="str" cm="1">
        <f t="array" ref="U573">IF(T573="","",_xlfn.IFS(T573&lt;18.5,"Bajo peso",T573&lt;25,"Peso normal",T573&lt;30,"Sobrepeso",T573&lt;35,"Obesidad clase I",T573&lt;40,"Obesidad clase II",T573&gt;=40,"Obesidad clase III"))</f>
        <v>Obesidad clase I</v>
      </c>
      <c r="V573">
        <v>109</v>
      </c>
      <c r="X573" t="s">
        <v>3463</v>
      </c>
      <c r="Y573">
        <v>0.61</v>
      </c>
      <c r="AA573">
        <v>90</v>
      </c>
      <c r="AB573" s="9">
        <f t="shared" si="17"/>
        <v>106.83648525208724</v>
      </c>
      <c r="AD573" t="s">
        <v>73</v>
      </c>
      <c r="AF573" t="s">
        <v>73</v>
      </c>
      <c r="AH573" t="s">
        <v>3463</v>
      </c>
      <c r="AI573" t="s">
        <v>3463</v>
      </c>
      <c r="AJ573" t="s">
        <v>3463</v>
      </c>
      <c r="AK573" t="s">
        <v>3463</v>
      </c>
      <c r="AL573" t="s">
        <v>3465</v>
      </c>
      <c r="AM573" t="s">
        <v>1456</v>
      </c>
      <c r="AN573" t="s">
        <v>3738</v>
      </c>
      <c r="AP573" t="s">
        <v>3463</v>
      </c>
      <c r="AT573" t="s">
        <v>3465</v>
      </c>
      <c r="AU573" t="s">
        <v>80</v>
      </c>
      <c r="AV573" t="s">
        <v>178</v>
      </c>
      <c r="AW573" t="s">
        <v>3918</v>
      </c>
      <c r="AY573" t="s">
        <v>3465</v>
      </c>
      <c r="AZ573" t="s">
        <v>1094</v>
      </c>
      <c r="BF573" t="s">
        <v>3921</v>
      </c>
      <c r="BH573" t="s">
        <v>4020</v>
      </c>
      <c r="BP573" t="s">
        <v>4260</v>
      </c>
      <c r="BQ573" t="s">
        <v>3463</v>
      </c>
      <c r="BR573" t="s">
        <v>3463</v>
      </c>
      <c r="BS573" t="s">
        <v>3463</v>
      </c>
      <c r="BT573" t="s">
        <v>3463</v>
      </c>
      <c r="BU573" t="s">
        <v>3463</v>
      </c>
      <c r="BV573" t="s">
        <v>3463</v>
      </c>
      <c r="BW573" t="s">
        <v>3463</v>
      </c>
      <c r="BX573" t="s">
        <v>518</v>
      </c>
      <c r="BY573" t="s">
        <v>79</v>
      </c>
      <c r="BZ573" t="s">
        <v>79</v>
      </c>
      <c r="CA573" s="10">
        <v>45910</v>
      </c>
    </row>
    <row r="574" spans="1:79">
      <c r="A574">
        <v>580</v>
      </c>
      <c r="B574">
        <v>204</v>
      </c>
      <c r="C574">
        <v>57</v>
      </c>
      <c r="D574" t="s">
        <v>3466</v>
      </c>
      <c r="E574" t="s">
        <v>1020</v>
      </c>
      <c r="F574" t="s">
        <v>969</v>
      </c>
      <c r="G574" s="12" t="s">
        <v>3465</v>
      </c>
      <c r="H574" s="12" t="s">
        <v>88</v>
      </c>
      <c r="I574">
        <v>86</v>
      </c>
      <c r="K574">
        <v>130</v>
      </c>
      <c r="L574">
        <v>74</v>
      </c>
      <c r="M574" t="s">
        <v>82</v>
      </c>
      <c r="P574" t="s">
        <v>83</v>
      </c>
      <c r="Q574" t="s">
        <v>82</v>
      </c>
      <c r="R574">
        <v>69.5</v>
      </c>
      <c r="S574">
        <v>160.4</v>
      </c>
      <c r="T574" s="8">
        <f t="shared" si="16"/>
        <v>27.013202654212346</v>
      </c>
      <c r="U574" s="13" t="str" cm="1">
        <f t="array" ref="U574">IF(T574="","",_xlfn.IFS(T574&lt;18.5,"Bajo peso",T574&lt;25,"Peso normal",T574&lt;30,"Sobrepeso",T574&lt;35,"Obesidad clase I",T574&lt;40,"Obesidad clase II",T574&gt;=40,"Obesidad clase III"))</f>
        <v>Sobrepeso</v>
      </c>
      <c r="V574">
        <v>81</v>
      </c>
      <c r="X574" t="s">
        <v>3463</v>
      </c>
      <c r="Y574">
        <v>0.74</v>
      </c>
      <c r="AA574">
        <v>90</v>
      </c>
      <c r="AB574" s="9">
        <f t="shared" si="17"/>
        <v>94.30853718135613</v>
      </c>
      <c r="AD574" t="s">
        <v>73</v>
      </c>
      <c r="AF574" t="s">
        <v>73</v>
      </c>
      <c r="AH574" t="s">
        <v>3463</v>
      </c>
      <c r="AI574" t="s">
        <v>3463</v>
      </c>
      <c r="AJ574" t="s">
        <v>3463</v>
      </c>
      <c r="AK574" t="s">
        <v>3465</v>
      </c>
      <c r="AL574" t="s">
        <v>3465</v>
      </c>
      <c r="AM574" t="s">
        <v>1457</v>
      </c>
      <c r="AN574" t="s">
        <v>3731</v>
      </c>
      <c r="AP574" t="s">
        <v>3463</v>
      </c>
      <c r="AT574" t="s">
        <v>3463</v>
      </c>
      <c r="AV574" t="s">
        <v>74</v>
      </c>
      <c r="AW574" t="s">
        <v>3915</v>
      </c>
      <c r="AX574" t="s">
        <v>3463</v>
      </c>
      <c r="AY574" t="s">
        <v>3465</v>
      </c>
      <c r="AZ574" t="s">
        <v>1458</v>
      </c>
      <c r="BE574" t="s">
        <v>1459</v>
      </c>
      <c r="BF574" t="s">
        <v>1459</v>
      </c>
      <c r="BG574" t="s">
        <v>1460</v>
      </c>
      <c r="BH574" t="s">
        <v>4152</v>
      </c>
      <c r="BI574" t="s">
        <v>411</v>
      </c>
      <c r="BK574" t="s">
        <v>68</v>
      </c>
      <c r="BL574" t="s">
        <v>1374</v>
      </c>
      <c r="BP574" t="s">
        <v>4336</v>
      </c>
      <c r="BQ574" t="s">
        <v>3463</v>
      </c>
      <c r="BR574" t="s">
        <v>3465</v>
      </c>
      <c r="BS574" t="s">
        <v>3465</v>
      </c>
      <c r="BT574" t="s">
        <v>3465</v>
      </c>
      <c r="BU574" t="s">
        <v>3463</v>
      </c>
      <c r="BV574" t="s">
        <v>3463</v>
      </c>
      <c r="BW574" t="s">
        <v>3463</v>
      </c>
      <c r="BX574" t="s">
        <v>518</v>
      </c>
      <c r="BY574" t="s">
        <v>87</v>
      </c>
      <c r="BZ574" t="s">
        <v>95</v>
      </c>
      <c r="CA574" s="10">
        <v>45910</v>
      </c>
    </row>
    <row r="575" spans="1:79">
      <c r="A575">
        <v>581</v>
      </c>
      <c r="B575">
        <v>205</v>
      </c>
      <c r="C575">
        <v>40</v>
      </c>
      <c r="D575" t="s">
        <v>3466</v>
      </c>
      <c r="F575" t="s">
        <v>969</v>
      </c>
      <c r="G575" s="12" t="s">
        <v>3463</v>
      </c>
      <c r="I575">
        <v>113</v>
      </c>
      <c r="J575">
        <v>87</v>
      </c>
      <c r="K575">
        <v>150</v>
      </c>
      <c r="L575">
        <v>98</v>
      </c>
      <c r="M575" t="s">
        <v>72</v>
      </c>
      <c r="N575">
        <v>124</v>
      </c>
      <c r="O575">
        <v>84</v>
      </c>
      <c r="P575" t="s">
        <v>82</v>
      </c>
      <c r="Q575" t="s">
        <v>82</v>
      </c>
      <c r="R575">
        <v>72.2</v>
      </c>
      <c r="S575">
        <v>164</v>
      </c>
      <c r="T575" s="8">
        <f t="shared" si="16"/>
        <v>26.844140392623437</v>
      </c>
      <c r="U575" s="13" t="str" cm="1">
        <f t="array" ref="U575">IF(T575="","",_xlfn.IFS(T575&lt;18.5,"Bajo peso",T575&lt;25,"Peso normal",T575&lt;30,"Sobrepeso",T575&lt;35,"Obesidad clase I",T575&lt;40,"Obesidad clase II",T575&gt;=40,"Obesidad clase III"))</f>
        <v>Sobrepeso</v>
      </c>
      <c r="V575">
        <v>90</v>
      </c>
      <c r="X575" t="s">
        <v>3463</v>
      </c>
      <c r="Y575">
        <v>0.75</v>
      </c>
      <c r="AA575">
        <v>90</v>
      </c>
      <c r="AB575" s="9">
        <f t="shared" si="17"/>
        <v>103.15082010850193</v>
      </c>
      <c r="AD575" t="s">
        <v>73</v>
      </c>
      <c r="AF575" t="s">
        <v>73</v>
      </c>
      <c r="AH575" t="s">
        <v>3463</v>
      </c>
      <c r="AI575" t="s">
        <v>3463</v>
      </c>
      <c r="AJ575" t="s">
        <v>3463</v>
      </c>
      <c r="AK575" t="s">
        <v>3463</v>
      </c>
      <c r="AL575" t="s">
        <v>3463</v>
      </c>
      <c r="AP575" t="s">
        <v>3463</v>
      </c>
      <c r="AQ575" t="s">
        <v>120</v>
      </c>
      <c r="AR575" t="s">
        <v>3491</v>
      </c>
      <c r="AV575" t="s">
        <v>178</v>
      </c>
      <c r="AW575" t="s">
        <v>3918</v>
      </c>
      <c r="AX575" t="s">
        <v>3463</v>
      </c>
      <c r="AY575" t="s">
        <v>3465</v>
      </c>
      <c r="AZ575" t="s">
        <v>90</v>
      </c>
      <c r="BF575" t="s">
        <v>3921</v>
      </c>
      <c r="BH575" t="s">
        <v>4020</v>
      </c>
      <c r="BP575" t="s">
        <v>4260</v>
      </c>
      <c r="BQ575" t="s">
        <v>3465</v>
      </c>
      <c r="BR575" t="s">
        <v>3463</v>
      </c>
      <c r="BS575" t="s">
        <v>3465</v>
      </c>
      <c r="BT575" t="s">
        <v>3465</v>
      </c>
      <c r="BU575" t="s">
        <v>3463</v>
      </c>
      <c r="BV575" t="s">
        <v>3463</v>
      </c>
      <c r="BW575" t="s">
        <v>3463</v>
      </c>
      <c r="CA575" s="10">
        <v>45910</v>
      </c>
    </row>
    <row r="576" spans="1:79">
      <c r="A576">
        <v>582</v>
      </c>
      <c r="B576">
        <v>206</v>
      </c>
      <c r="C576">
        <v>29</v>
      </c>
      <c r="D576" t="s">
        <v>3466</v>
      </c>
      <c r="E576" t="s">
        <v>968</v>
      </c>
      <c r="F576" t="s">
        <v>969</v>
      </c>
      <c r="G576" s="12" t="s">
        <v>3465</v>
      </c>
      <c r="H576" s="12" t="s">
        <v>88</v>
      </c>
      <c r="I576">
        <v>79</v>
      </c>
      <c r="K576">
        <v>111</v>
      </c>
      <c r="L576">
        <v>68</v>
      </c>
      <c r="M576" t="s">
        <v>80</v>
      </c>
      <c r="P576" t="s">
        <v>83</v>
      </c>
      <c r="Q576" t="s">
        <v>80</v>
      </c>
      <c r="R576">
        <v>68.650000000000006</v>
      </c>
      <c r="S576">
        <v>169.5</v>
      </c>
      <c r="T576" s="8">
        <f t="shared" si="16"/>
        <v>23.894675472716042</v>
      </c>
      <c r="U576" s="13" t="str" cm="1">
        <f t="array" ref="U576">IF(T576="","",_xlfn.IFS(T576&lt;18.5,"Bajo peso",T576&lt;25,"Peso normal",T576&lt;30,"Sobrepeso",T576&lt;35,"Obesidad clase I",T576&lt;40,"Obesidad clase II",T576&gt;=40,"Obesidad clase III"))</f>
        <v>Peso normal</v>
      </c>
      <c r="V576">
        <v>100</v>
      </c>
      <c r="X576" t="s">
        <v>3463</v>
      </c>
      <c r="Y576">
        <v>0.9</v>
      </c>
      <c r="AA576">
        <v>89</v>
      </c>
      <c r="AB576" s="9">
        <f t="shared" si="17"/>
        <v>88.749573252893043</v>
      </c>
      <c r="AD576" t="s">
        <v>73</v>
      </c>
      <c r="AF576" t="s">
        <v>73</v>
      </c>
      <c r="AH576" t="s">
        <v>3463</v>
      </c>
      <c r="AI576" t="s">
        <v>3463</v>
      </c>
      <c r="AJ576" t="s">
        <v>3463</v>
      </c>
      <c r="AK576" t="s">
        <v>3463</v>
      </c>
      <c r="AL576" t="s">
        <v>3463</v>
      </c>
      <c r="AO576" t="s">
        <v>3465</v>
      </c>
      <c r="AP576" t="s">
        <v>3465</v>
      </c>
      <c r="AQ576" t="s">
        <v>1461</v>
      </c>
      <c r="AR576" t="s">
        <v>3558</v>
      </c>
      <c r="AT576" t="s">
        <v>3463</v>
      </c>
      <c r="AV576" t="s">
        <v>74</v>
      </c>
      <c r="AW576" t="s">
        <v>3915</v>
      </c>
      <c r="AX576" t="s">
        <v>3463</v>
      </c>
      <c r="AY576" t="s">
        <v>3465</v>
      </c>
      <c r="AZ576" t="s">
        <v>247</v>
      </c>
      <c r="BF576" t="s">
        <v>3921</v>
      </c>
      <c r="BH576" t="s">
        <v>4020</v>
      </c>
      <c r="BP576" t="s">
        <v>4260</v>
      </c>
      <c r="BQ576" t="s">
        <v>3463</v>
      </c>
      <c r="BR576" t="s">
        <v>3463</v>
      </c>
      <c r="BS576" t="s">
        <v>3463</v>
      </c>
      <c r="BT576" t="s">
        <v>3465</v>
      </c>
      <c r="BU576" t="s">
        <v>3463</v>
      </c>
      <c r="BV576" t="s">
        <v>3463</v>
      </c>
      <c r="BW576" t="s">
        <v>3463</v>
      </c>
      <c r="BX576" t="s">
        <v>79</v>
      </c>
      <c r="BY576" t="s">
        <v>87</v>
      </c>
      <c r="BZ576" t="s">
        <v>79</v>
      </c>
      <c r="CA576" s="10">
        <v>45910</v>
      </c>
    </row>
    <row r="577" spans="1:79">
      <c r="A577">
        <v>583</v>
      </c>
      <c r="B577">
        <v>207</v>
      </c>
      <c r="C577">
        <v>23</v>
      </c>
      <c r="D577" t="s">
        <v>3466</v>
      </c>
      <c r="E577" t="s">
        <v>1150</v>
      </c>
      <c r="F577" t="s">
        <v>969</v>
      </c>
      <c r="G577" s="12" t="s">
        <v>3465</v>
      </c>
      <c r="H577" s="12" t="s">
        <v>88</v>
      </c>
      <c r="I577">
        <v>83</v>
      </c>
      <c r="J577">
        <v>69</v>
      </c>
      <c r="K577">
        <v>146</v>
      </c>
      <c r="L577">
        <v>78</v>
      </c>
      <c r="M577" t="s">
        <v>72</v>
      </c>
      <c r="N577">
        <v>129</v>
      </c>
      <c r="O577">
        <v>66</v>
      </c>
      <c r="P577" t="s">
        <v>118</v>
      </c>
      <c r="Q577" t="s">
        <v>118</v>
      </c>
      <c r="R577">
        <v>50.7</v>
      </c>
      <c r="S577">
        <v>148</v>
      </c>
      <c r="T577" s="8">
        <f t="shared" si="16"/>
        <v>23.14645726807889</v>
      </c>
      <c r="U577" s="13" t="str" cm="1">
        <f t="array" ref="U577">IF(T577="","",_xlfn.IFS(T577&lt;18.5,"Bajo peso",T577&lt;25,"Peso normal",T577&lt;30,"Sobrepeso",T577&lt;35,"Obesidad clase I",T577&lt;40,"Obesidad clase II",T577&gt;=40,"Obesidad clase III"))</f>
        <v>Peso normal</v>
      </c>
      <c r="V577">
        <v>87</v>
      </c>
      <c r="X577" t="s">
        <v>3463</v>
      </c>
      <c r="Y577">
        <v>0.77</v>
      </c>
      <c r="AA577">
        <v>90</v>
      </c>
      <c r="AB577" s="9">
        <f t="shared" si="17"/>
        <v>111.08987040110696</v>
      </c>
      <c r="AD577" t="s">
        <v>73</v>
      </c>
      <c r="AF577" t="s">
        <v>73</v>
      </c>
      <c r="AH577" t="s">
        <v>3463</v>
      </c>
      <c r="AI577" t="s">
        <v>3463</v>
      </c>
      <c r="AJ577" t="s">
        <v>3463</v>
      </c>
      <c r="AK577" t="s">
        <v>3463</v>
      </c>
      <c r="AL577" t="s">
        <v>3463</v>
      </c>
      <c r="AP577" t="s">
        <v>3463</v>
      </c>
      <c r="AQ577" t="s">
        <v>955</v>
      </c>
      <c r="AR577" t="s">
        <v>3512</v>
      </c>
      <c r="AT577" t="s">
        <v>3463</v>
      </c>
      <c r="AV577" t="s">
        <v>126</v>
      </c>
      <c r="AW577" t="s">
        <v>126</v>
      </c>
      <c r="AX577" t="s">
        <v>3463</v>
      </c>
      <c r="AY577" t="s">
        <v>3463</v>
      </c>
      <c r="BF577" t="s">
        <v>3921</v>
      </c>
      <c r="BH577" t="s">
        <v>4020</v>
      </c>
      <c r="BP577" t="s">
        <v>4260</v>
      </c>
      <c r="BQ577" t="s">
        <v>3463</v>
      </c>
      <c r="BR577" t="s">
        <v>3463</v>
      </c>
      <c r="BS577" t="s">
        <v>3463</v>
      </c>
      <c r="BT577" t="s">
        <v>3463</v>
      </c>
      <c r="BU577" t="s">
        <v>3463</v>
      </c>
      <c r="BV577" t="s">
        <v>3463</v>
      </c>
      <c r="BW577" t="s">
        <v>3463</v>
      </c>
      <c r="BX577" t="s">
        <v>79</v>
      </c>
      <c r="BY577" t="s">
        <v>87</v>
      </c>
      <c r="BZ577" t="s">
        <v>79</v>
      </c>
      <c r="CA577" s="10">
        <v>45910</v>
      </c>
    </row>
    <row r="578" spans="1:79">
      <c r="A578">
        <v>584</v>
      </c>
      <c r="B578">
        <v>208</v>
      </c>
      <c r="C578">
        <v>45</v>
      </c>
      <c r="D578" t="s">
        <v>3462</v>
      </c>
      <c r="E578" t="s">
        <v>1005</v>
      </c>
      <c r="F578" t="s">
        <v>969</v>
      </c>
      <c r="G578" s="12" t="s">
        <v>3465</v>
      </c>
      <c r="H578" t="s">
        <v>88</v>
      </c>
      <c r="I578">
        <v>72</v>
      </c>
      <c r="K578">
        <v>125</v>
      </c>
      <c r="L578">
        <v>77</v>
      </c>
      <c r="M578" t="s">
        <v>118</v>
      </c>
      <c r="P578" t="s">
        <v>83</v>
      </c>
      <c r="Q578" t="s">
        <v>118</v>
      </c>
      <c r="R578">
        <v>81.099999999999994</v>
      </c>
      <c r="S578">
        <v>172</v>
      </c>
      <c r="T578" s="8">
        <f t="shared" ref="T578:T641" si="18">IFERROR(R578/(S578^2)*10000,"")</f>
        <v>27.413466738777718</v>
      </c>
      <c r="U578" s="13" t="str" cm="1">
        <f t="array" ref="U578">IF(T578="","",_xlfn.IFS(T578&lt;18.5,"Bajo peso",T578&lt;25,"Peso normal",T578&lt;30,"Sobrepeso",T578&lt;35,"Obesidad clase I",T578&lt;40,"Obesidad clase II",T578&gt;=40,"Obesidad clase III"))</f>
        <v>Sobrepeso</v>
      </c>
      <c r="V578">
        <v>128</v>
      </c>
      <c r="X578" t="s">
        <v>3463</v>
      </c>
      <c r="Y578">
        <v>1.07</v>
      </c>
      <c r="AA578">
        <v>87</v>
      </c>
      <c r="AB578" s="9">
        <f t="shared" ref="AB578:AB641" si="19">IF(OR(C578="",D578="",Y578=""),"",142*POWER(MIN(Y578/IF(D578="Mujer",0.7,0.9),1),IF(D578="Mujer",-0.241,-0.302))*POWER(MAX(Y578/IF(D578="Mujer",0.7,0.9),1),-1.2)*POWER(0.9938,C578)*IF(D578="Mujer",1.012,1))</f>
        <v>87.211444713477817</v>
      </c>
      <c r="AD578" t="s">
        <v>73</v>
      </c>
      <c r="AF578" t="s">
        <v>73</v>
      </c>
      <c r="AH578" t="s">
        <v>3463</v>
      </c>
      <c r="AI578" t="s">
        <v>3463</v>
      </c>
      <c r="AJ578" t="s">
        <v>3463</v>
      </c>
      <c r="AK578" t="s">
        <v>3463</v>
      </c>
      <c r="AL578" t="s">
        <v>3463</v>
      </c>
      <c r="AP578" t="s">
        <v>3463</v>
      </c>
      <c r="AV578" t="s">
        <v>74</v>
      </c>
      <c r="AW578" t="s">
        <v>3915</v>
      </c>
      <c r="BF578" t="s">
        <v>3921</v>
      </c>
      <c r="BH578" t="s">
        <v>4020</v>
      </c>
      <c r="BP578" t="s">
        <v>4260</v>
      </c>
      <c r="BQ578" t="s">
        <v>3463</v>
      </c>
      <c r="BR578" t="s">
        <v>3463</v>
      </c>
      <c r="BS578" t="s">
        <v>3465</v>
      </c>
      <c r="BT578" t="s">
        <v>3465</v>
      </c>
      <c r="BU578" t="s">
        <v>3463</v>
      </c>
      <c r="BV578" t="s">
        <v>3463</v>
      </c>
      <c r="BW578" t="s">
        <v>3463</v>
      </c>
      <c r="BX578" t="s">
        <v>79</v>
      </c>
      <c r="BY578" t="s">
        <v>87</v>
      </c>
      <c r="BZ578" t="s">
        <v>79</v>
      </c>
      <c r="CA578" s="10">
        <v>45910</v>
      </c>
    </row>
    <row r="579" spans="1:79">
      <c r="A579">
        <v>585</v>
      </c>
      <c r="B579">
        <v>209</v>
      </c>
      <c r="C579">
        <v>83</v>
      </c>
      <c r="D579" t="s">
        <v>3462</v>
      </c>
      <c r="E579" t="s">
        <v>1209</v>
      </c>
      <c r="F579" t="s">
        <v>969</v>
      </c>
      <c r="G579" s="12" t="s">
        <v>3463</v>
      </c>
      <c r="I579">
        <v>69</v>
      </c>
      <c r="K579">
        <v>137</v>
      </c>
      <c r="L579">
        <v>81</v>
      </c>
      <c r="M579" t="s">
        <v>82</v>
      </c>
      <c r="P579" t="s">
        <v>83</v>
      </c>
      <c r="Q579" t="s">
        <v>82</v>
      </c>
      <c r="R579">
        <v>82.3</v>
      </c>
      <c r="S579">
        <v>167.5</v>
      </c>
      <c r="T579" s="8">
        <f t="shared" si="18"/>
        <v>29.333927378035195</v>
      </c>
      <c r="U579" s="13" t="str" cm="1">
        <f t="array" ref="U579">IF(T579="","",_xlfn.IFS(T579&lt;18.5,"Bajo peso",T579&lt;25,"Peso normal",T579&lt;30,"Sobrepeso",T579&lt;35,"Obesidad clase I",T579&lt;40,"Obesidad clase II",T579&gt;=40,"Obesidad clase III"))</f>
        <v>Sobrepeso</v>
      </c>
      <c r="V579">
        <v>106</v>
      </c>
      <c r="X579" t="s">
        <v>3463</v>
      </c>
      <c r="Y579">
        <v>2.74</v>
      </c>
      <c r="Z579">
        <v>1.63</v>
      </c>
      <c r="AA579">
        <v>22</v>
      </c>
      <c r="AB579" s="9">
        <f t="shared" si="19"/>
        <v>22.278967005458345</v>
      </c>
      <c r="AC579">
        <v>42</v>
      </c>
      <c r="AD579" t="s">
        <v>303</v>
      </c>
      <c r="AE579" t="s">
        <v>218</v>
      </c>
      <c r="AF579" t="s">
        <v>218</v>
      </c>
      <c r="AH579" t="s">
        <v>3463</v>
      </c>
      <c r="AI579" t="s">
        <v>3463</v>
      </c>
      <c r="AJ579" t="s">
        <v>3463</v>
      </c>
      <c r="AK579" t="s">
        <v>3463</v>
      </c>
      <c r="AL579" t="s">
        <v>3463</v>
      </c>
      <c r="AP579" t="s">
        <v>3463</v>
      </c>
      <c r="AV579" t="s">
        <v>74</v>
      </c>
      <c r="AW579" t="s">
        <v>3915</v>
      </c>
      <c r="BF579" t="s">
        <v>3921</v>
      </c>
      <c r="BH579" t="s">
        <v>4053</v>
      </c>
      <c r="BI579" t="s">
        <v>411</v>
      </c>
      <c r="BK579" t="s">
        <v>1462</v>
      </c>
      <c r="BL579" t="s">
        <v>1463</v>
      </c>
      <c r="BP579" t="s">
        <v>4383</v>
      </c>
      <c r="BQ579" t="s">
        <v>3463</v>
      </c>
      <c r="BR579" t="s">
        <v>3465</v>
      </c>
      <c r="BS579" t="s">
        <v>3463</v>
      </c>
      <c r="BT579" t="s">
        <v>3463</v>
      </c>
      <c r="BU579" t="s">
        <v>3463</v>
      </c>
      <c r="BV579" t="s">
        <v>3463</v>
      </c>
      <c r="BW579" t="s">
        <v>3463</v>
      </c>
      <c r="BX579" t="s">
        <v>79</v>
      </c>
      <c r="BY579" t="s">
        <v>87</v>
      </c>
      <c r="BZ579" t="s">
        <v>79</v>
      </c>
      <c r="CA579" s="10">
        <v>45910</v>
      </c>
    </row>
    <row r="580" spans="1:79">
      <c r="A580">
        <v>586</v>
      </c>
      <c r="B580">
        <v>210</v>
      </c>
      <c r="C580">
        <v>33</v>
      </c>
      <c r="D580" t="s">
        <v>3462</v>
      </c>
      <c r="E580" t="s">
        <v>1150</v>
      </c>
      <c r="F580" t="s">
        <v>969</v>
      </c>
      <c r="G580" s="12" t="s">
        <v>3465</v>
      </c>
      <c r="H580" s="12" t="s">
        <v>88</v>
      </c>
      <c r="I580">
        <v>61</v>
      </c>
      <c r="K580">
        <v>122</v>
      </c>
      <c r="L580">
        <v>73</v>
      </c>
      <c r="M580" t="s">
        <v>118</v>
      </c>
      <c r="P580" t="s">
        <v>83</v>
      </c>
      <c r="Q580" t="s">
        <v>118</v>
      </c>
      <c r="R580">
        <v>90.35</v>
      </c>
      <c r="S580">
        <v>169</v>
      </c>
      <c r="T580" s="8">
        <f t="shared" si="18"/>
        <v>31.634046426945833</v>
      </c>
      <c r="U580" s="13" t="str" cm="1">
        <f t="array" ref="U580">IF(T580="","",_xlfn.IFS(T580&lt;18.5,"Bajo peso",T580&lt;25,"Peso normal",T580&lt;30,"Sobrepeso",T580&lt;35,"Obesidad clase I",T580&lt;40,"Obesidad clase II",T580&gt;=40,"Obesidad clase III"))</f>
        <v>Obesidad clase I</v>
      </c>
      <c r="V580">
        <v>90</v>
      </c>
      <c r="X580" t="s">
        <v>3463</v>
      </c>
      <c r="Y580">
        <v>0.9</v>
      </c>
      <c r="AA580">
        <v>90</v>
      </c>
      <c r="AB580" s="9">
        <f t="shared" si="19"/>
        <v>115.65251831363403</v>
      </c>
      <c r="AD580" t="s">
        <v>73</v>
      </c>
      <c r="AF580" t="s">
        <v>73</v>
      </c>
      <c r="AH580" t="s">
        <v>3463</v>
      </c>
      <c r="AI580" t="s">
        <v>3463</v>
      </c>
      <c r="AJ580" t="s">
        <v>3463</v>
      </c>
      <c r="AK580" t="s">
        <v>3463</v>
      </c>
      <c r="AL580" t="s">
        <v>3463</v>
      </c>
      <c r="AO580" t="s">
        <v>3465</v>
      </c>
      <c r="AP580" t="s">
        <v>3465</v>
      </c>
      <c r="AQ580" t="s">
        <v>1464</v>
      </c>
      <c r="AR580" t="s">
        <v>3509</v>
      </c>
      <c r="AV580" t="s">
        <v>126</v>
      </c>
      <c r="AW580" t="s">
        <v>126</v>
      </c>
      <c r="BF580" t="s">
        <v>3921</v>
      </c>
      <c r="BH580" t="s">
        <v>4020</v>
      </c>
      <c r="BP580" t="s">
        <v>4260</v>
      </c>
      <c r="BQ580" t="s">
        <v>3465</v>
      </c>
      <c r="BR580" t="s">
        <v>3465</v>
      </c>
      <c r="BS580" t="s">
        <v>3463</v>
      </c>
      <c r="BT580" t="s">
        <v>3465</v>
      </c>
      <c r="BU580" t="s">
        <v>3463</v>
      </c>
      <c r="BV580" t="s">
        <v>3463</v>
      </c>
      <c r="BW580" t="s">
        <v>3463</v>
      </c>
      <c r="BX580" t="s">
        <v>79</v>
      </c>
      <c r="BY580" t="s">
        <v>87</v>
      </c>
      <c r="BZ580" t="s">
        <v>79</v>
      </c>
      <c r="CA580" s="10">
        <v>45910</v>
      </c>
    </row>
    <row r="581" spans="1:79">
      <c r="A581">
        <v>587</v>
      </c>
      <c r="B581">
        <v>211</v>
      </c>
      <c r="C581">
        <v>39</v>
      </c>
      <c r="D581" t="s">
        <v>3462</v>
      </c>
      <c r="E581" t="s">
        <v>974</v>
      </c>
      <c r="F581" t="s">
        <v>969</v>
      </c>
      <c r="G581" s="12" t="s">
        <v>3463</v>
      </c>
      <c r="H581" s="12"/>
      <c r="I581">
        <v>74</v>
      </c>
      <c r="K581">
        <v>118</v>
      </c>
      <c r="L581">
        <v>77</v>
      </c>
      <c r="M581" t="s">
        <v>80</v>
      </c>
      <c r="P581" t="s">
        <v>83</v>
      </c>
      <c r="Q581" t="s">
        <v>80</v>
      </c>
      <c r="R581">
        <v>92.8</v>
      </c>
      <c r="S581">
        <v>170</v>
      </c>
      <c r="T581" s="8">
        <f t="shared" si="18"/>
        <v>32.110726643598618</v>
      </c>
      <c r="U581" s="13" t="str" cm="1">
        <f t="array" ref="U581">IF(T581="","",_xlfn.IFS(T581&lt;18.5,"Bajo peso",T581&lt;25,"Peso normal",T581&lt;30,"Sobrepeso",T581&lt;35,"Obesidad clase I",T581&lt;40,"Obesidad clase II",T581&gt;=40,"Obesidad clase III"))</f>
        <v>Obesidad clase I</v>
      </c>
      <c r="V581">
        <v>168</v>
      </c>
      <c r="X581" t="s">
        <v>3463</v>
      </c>
      <c r="Y581">
        <v>1.08</v>
      </c>
      <c r="AA581">
        <v>89</v>
      </c>
      <c r="AB581" s="9">
        <f t="shared" si="19"/>
        <v>89.522366286764438</v>
      </c>
      <c r="AD581" t="s">
        <v>73</v>
      </c>
      <c r="AF581" t="s">
        <v>73</v>
      </c>
      <c r="AG581" t="s">
        <v>3463</v>
      </c>
      <c r="AH581" t="s">
        <v>3465</v>
      </c>
      <c r="AI581" t="s">
        <v>3463</v>
      </c>
      <c r="AJ581" t="s">
        <v>3463</v>
      </c>
      <c r="AK581" t="s">
        <v>3463</v>
      </c>
      <c r="AL581" t="s">
        <v>3463</v>
      </c>
      <c r="AP581" t="s">
        <v>3463</v>
      </c>
      <c r="AQ581" t="s">
        <v>1465</v>
      </c>
      <c r="AR581" t="s">
        <v>3559</v>
      </c>
      <c r="AV581" t="s">
        <v>74</v>
      </c>
      <c r="AW581" t="s">
        <v>3915</v>
      </c>
      <c r="BB581" t="s">
        <v>3485</v>
      </c>
      <c r="BC581" t="s">
        <v>128</v>
      </c>
      <c r="BE581" t="s">
        <v>1466</v>
      </c>
      <c r="BF581" t="s">
        <v>3957</v>
      </c>
      <c r="BG581" t="s">
        <v>1467</v>
      </c>
      <c r="BH581" t="s">
        <v>4153</v>
      </c>
      <c r="BI581" t="s">
        <v>411</v>
      </c>
      <c r="BK581" t="s">
        <v>1468</v>
      </c>
      <c r="BL581" t="s">
        <v>1469</v>
      </c>
      <c r="BP581" t="s">
        <v>4380</v>
      </c>
      <c r="BQ581" t="s">
        <v>3463</v>
      </c>
      <c r="BR581" t="s">
        <v>3463</v>
      </c>
      <c r="BS581" t="s">
        <v>3465</v>
      </c>
      <c r="BT581" t="s">
        <v>3465</v>
      </c>
      <c r="BU581" t="s">
        <v>3463</v>
      </c>
      <c r="BV581" t="s">
        <v>3463</v>
      </c>
      <c r="BW581" t="s">
        <v>3463</v>
      </c>
      <c r="BX581" t="s">
        <v>79</v>
      </c>
      <c r="BY581" t="s">
        <v>121</v>
      </c>
      <c r="BZ581" t="s">
        <v>79</v>
      </c>
      <c r="CA581" s="10">
        <v>45910</v>
      </c>
    </row>
    <row r="582" spans="1:79">
      <c r="A582">
        <v>588</v>
      </c>
      <c r="B582">
        <v>212</v>
      </c>
      <c r="C582">
        <v>69</v>
      </c>
      <c r="D582" t="s">
        <v>3466</v>
      </c>
      <c r="E582" t="s">
        <v>1384</v>
      </c>
      <c r="F582" t="s">
        <v>969</v>
      </c>
      <c r="G582" s="12" t="s">
        <v>3463</v>
      </c>
      <c r="I582">
        <v>61</v>
      </c>
      <c r="K582">
        <v>132</v>
      </c>
      <c r="L582">
        <v>65</v>
      </c>
      <c r="M582" t="s">
        <v>82</v>
      </c>
      <c r="P582" t="s">
        <v>83</v>
      </c>
      <c r="Q582" t="s">
        <v>82</v>
      </c>
      <c r="R582">
        <v>62.75</v>
      </c>
      <c r="S582">
        <v>155.5</v>
      </c>
      <c r="T582" s="8">
        <f t="shared" si="18"/>
        <v>25.950931028421955</v>
      </c>
      <c r="U582" s="13" t="str" cm="1">
        <f t="array" ref="U582">IF(T582="","",_xlfn.IFS(T582&lt;18.5,"Bajo peso",T582&lt;25,"Peso normal",T582&lt;30,"Sobrepeso",T582&lt;35,"Obesidad clase I",T582&lt;40,"Obesidad clase II",T582&gt;=40,"Obesidad clase III"))</f>
        <v>Sobrepeso</v>
      </c>
      <c r="V582">
        <v>123</v>
      </c>
      <c r="X582" t="s">
        <v>3463</v>
      </c>
      <c r="Y582">
        <v>1.23</v>
      </c>
      <c r="AA582">
        <v>47</v>
      </c>
      <c r="AB582" s="9">
        <f t="shared" si="19"/>
        <v>47.569747635845125</v>
      </c>
      <c r="AD582" t="s">
        <v>158</v>
      </c>
      <c r="AF582" t="s">
        <v>158</v>
      </c>
      <c r="AH582" t="s">
        <v>3463</v>
      </c>
      <c r="AI582" t="s">
        <v>3465</v>
      </c>
      <c r="AJ582" t="s">
        <v>3463</v>
      </c>
      <c r="AK582" t="s">
        <v>3463</v>
      </c>
      <c r="AL582" t="s">
        <v>3465</v>
      </c>
      <c r="AM582" t="s">
        <v>1470</v>
      </c>
      <c r="AN582" t="s">
        <v>3739</v>
      </c>
      <c r="AP582" t="s">
        <v>3463</v>
      </c>
      <c r="AQ582" t="s">
        <v>1471</v>
      </c>
      <c r="AR582" t="s">
        <v>3560</v>
      </c>
      <c r="AS582" t="s">
        <v>3465</v>
      </c>
      <c r="AT582" t="s">
        <v>3465</v>
      </c>
      <c r="AU582" t="s">
        <v>80</v>
      </c>
      <c r="AV582" t="s">
        <v>74</v>
      </c>
      <c r="AW582" t="s">
        <v>3915</v>
      </c>
      <c r="AX582" t="s">
        <v>3463</v>
      </c>
      <c r="BA582" t="s">
        <v>3920</v>
      </c>
      <c r="BF582" t="s">
        <v>3921</v>
      </c>
      <c r="BG582" t="s">
        <v>1472</v>
      </c>
      <c r="BH582" t="s">
        <v>4129</v>
      </c>
      <c r="BI582" t="s">
        <v>86</v>
      </c>
      <c r="BL582" t="s">
        <v>1473</v>
      </c>
      <c r="BP582" t="s">
        <v>4434</v>
      </c>
      <c r="BQ582" t="s">
        <v>3463</v>
      </c>
      <c r="BR582" t="s">
        <v>3463</v>
      </c>
      <c r="BS582" t="s">
        <v>3463</v>
      </c>
      <c r="BT582" t="s">
        <v>3463</v>
      </c>
      <c r="BU582" t="s">
        <v>3463</v>
      </c>
      <c r="BV582" t="s">
        <v>3463</v>
      </c>
      <c r="BW582" t="s">
        <v>3463</v>
      </c>
      <c r="BX582" t="s">
        <v>79</v>
      </c>
      <c r="BY582" t="s">
        <v>87</v>
      </c>
      <c r="BZ582" t="s">
        <v>95</v>
      </c>
      <c r="CA582" s="10">
        <v>45910</v>
      </c>
    </row>
    <row r="583" spans="1:79">
      <c r="A583">
        <v>589</v>
      </c>
      <c r="B583">
        <v>213</v>
      </c>
      <c r="C583">
        <v>41</v>
      </c>
      <c r="D583" t="s">
        <v>3466</v>
      </c>
      <c r="E583" t="s">
        <v>974</v>
      </c>
      <c r="F583" t="s">
        <v>969</v>
      </c>
      <c r="G583" s="12" t="s">
        <v>3463</v>
      </c>
      <c r="H583" s="12"/>
      <c r="I583">
        <v>70</v>
      </c>
      <c r="K583">
        <v>139</v>
      </c>
      <c r="L583">
        <v>97</v>
      </c>
      <c r="M583" t="s">
        <v>72</v>
      </c>
      <c r="P583" t="s">
        <v>83</v>
      </c>
      <c r="Q583" t="s">
        <v>72</v>
      </c>
      <c r="R583">
        <v>75.75</v>
      </c>
      <c r="S583">
        <v>160</v>
      </c>
      <c r="T583" s="8">
        <f t="shared" si="18"/>
        <v>29.589843749999996</v>
      </c>
      <c r="U583" s="13" t="str" cm="1">
        <f t="array" ref="U583">IF(T583="","",_xlfn.IFS(T583&lt;18.5,"Bajo peso",T583&lt;25,"Peso normal",T583&lt;30,"Sobrepeso",T583&lt;35,"Obesidad clase I",T583&lt;40,"Obesidad clase II",T583&gt;=40,"Obesidad clase III"))</f>
        <v>Sobrepeso</v>
      </c>
      <c r="V583">
        <v>88</v>
      </c>
      <c r="W583">
        <v>88</v>
      </c>
      <c r="X583" t="s">
        <v>3463</v>
      </c>
      <c r="Y583">
        <v>1.58</v>
      </c>
      <c r="Z583">
        <v>1.71</v>
      </c>
      <c r="AA583">
        <v>42</v>
      </c>
      <c r="AB583" s="9">
        <f t="shared" si="19"/>
        <v>41.923418585853995</v>
      </c>
      <c r="AC583">
        <v>38</v>
      </c>
      <c r="AD583" t="s">
        <v>218</v>
      </c>
      <c r="AE583" t="s">
        <v>218</v>
      </c>
      <c r="AF583" t="s">
        <v>218</v>
      </c>
      <c r="AH583" t="s">
        <v>3463</v>
      </c>
      <c r="AI583" t="s">
        <v>3465</v>
      </c>
      <c r="AJ583" t="s">
        <v>3465</v>
      </c>
      <c r="AK583" t="s">
        <v>3463</v>
      </c>
      <c r="AL583" t="s">
        <v>3463</v>
      </c>
      <c r="AP583" t="s">
        <v>3463</v>
      </c>
      <c r="AQ583" t="s">
        <v>1474</v>
      </c>
      <c r="AR583" t="s">
        <v>3516</v>
      </c>
      <c r="AS583" t="s">
        <v>3465</v>
      </c>
      <c r="AT583" t="s">
        <v>3465</v>
      </c>
      <c r="AU583" t="s">
        <v>80</v>
      </c>
      <c r="AV583" t="s">
        <v>112</v>
      </c>
      <c r="AW583" t="s">
        <v>3917</v>
      </c>
      <c r="AX583" t="s">
        <v>3463</v>
      </c>
      <c r="AY583" t="s">
        <v>3465</v>
      </c>
      <c r="AZ583" t="s">
        <v>247</v>
      </c>
      <c r="BF583" t="s">
        <v>3921</v>
      </c>
      <c r="BH583" t="s">
        <v>4020</v>
      </c>
      <c r="BP583" t="s">
        <v>4260</v>
      </c>
      <c r="BQ583" t="s">
        <v>3463</v>
      </c>
      <c r="BR583" t="s">
        <v>3465</v>
      </c>
      <c r="BS583" t="s">
        <v>3465</v>
      </c>
      <c r="BT583" t="s">
        <v>3465</v>
      </c>
      <c r="BU583" t="s">
        <v>3463</v>
      </c>
      <c r="BV583" t="s">
        <v>3463</v>
      </c>
      <c r="BW583" t="s">
        <v>3463</v>
      </c>
      <c r="BX583" t="s">
        <v>79</v>
      </c>
      <c r="BY583" t="s">
        <v>87</v>
      </c>
      <c r="BZ583" t="s">
        <v>95</v>
      </c>
      <c r="CA583" s="10">
        <v>45910</v>
      </c>
    </row>
    <row r="584" spans="1:79">
      <c r="A584">
        <v>590</v>
      </c>
      <c r="B584">
        <v>214</v>
      </c>
      <c r="C584">
        <v>69</v>
      </c>
      <c r="D584" t="s">
        <v>3466</v>
      </c>
      <c r="E584" t="s">
        <v>1000</v>
      </c>
      <c r="F584" t="s">
        <v>969</v>
      </c>
      <c r="G584" s="12" t="s">
        <v>3463</v>
      </c>
      <c r="H584" s="12"/>
      <c r="I584">
        <v>65</v>
      </c>
      <c r="J584">
        <v>63</v>
      </c>
      <c r="K584">
        <v>165</v>
      </c>
      <c r="L584">
        <v>79</v>
      </c>
      <c r="M584" t="s">
        <v>72</v>
      </c>
      <c r="N584">
        <v>157</v>
      </c>
      <c r="O584">
        <v>78</v>
      </c>
      <c r="P584" t="s">
        <v>72</v>
      </c>
      <c r="Q584" t="s">
        <v>72</v>
      </c>
      <c r="R584">
        <v>77.5</v>
      </c>
      <c r="S584">
        <v>150.5</v>
      </c>
      <c r="T584" s="8">
        <f t="shared" si="18"/>
        <v>34.215957881259591</v>
      </c>
      <c r="U584" s="13" t="str" cm="1">
        <f t="array" ref="U584">IF(T584="","",_xlfn.IFS(T584&lt;18.5,"Bajo peso",T584&lt;25,"Peso normal",T584&lt;30,"Sobrepeso",T584&lt;35,"Obesidad clase I",T584&lt;40,"Obesidad clase II",T584&gt;=40,"Obesidad clase III"))</f>
        <v>Obesidad clase I</v>
      </c>
      <c r="V584">
        <v>100</v>
      </c>
      <c r="X584" t="s">
        <v>3463</v>
      </c>
      <c r="Y584">
        <v>0.92</v>
      </c>
      <c r="AA584">
        <v>68</v>
      </c>
      <c r="AB584" s="9">
        <f t="shared" si="19"/>
        <v>67.401814526002283</v>
      </c>
      <c r="AD584" t="s">
        <v>73</v>
      </c>
      <c r="AF584" t="s">
        <v>73</v>
      </c>
      <c r="AH584" t="s">
        <v>3463</v>
      </c>
      <c r="AI584" t="s">
        <v>3465</v>
      </c>
      <c r="AJ584" t="s">
        <v>3465</v>
      </c>
      <c r="AK584" t="s">
        <v>3463</v>
      </c>
      <c r="AL584" t="s">
        <v>3463</v>
      </c>
      <c r="AP584" t="s">
        <v>3463</v>
      </c>
      <c r="AQ584" t="s">
        <v>1475</v>
      </c>
      <c r="AR584" t="s">
        <v>3488</v>
      </c>
      <c r="AS584" t="s">
        <v>3465</v>
      </c>
      <c r="AT584" t="s">
        <v>3465</v>
      </c>
      <c r="AU584" t="s">
        <v>125</v>
      </c>
      <c r="AV584" t="s">
        <v>74</v>
      </c>
      <c r="AW584" t="s">
        <v>3915</v>
      </c>
      <c r="AY584" t="s">
        <v>3463</v>
      </c>
      <c r="BA584" t="s">
        <v>3920</v>
      </c>
      <c r="BF584" t="s">
        <v>3921</v>
      </c>
      <c r="BG584" t="s">
        <v>1476</v>
      </c>
      <c r="BH584" t="s">
        <v>4021</v>
      </c>
      <c r="BI584" t="s">
        <v>411</v>
      </c>
      <c r="BK584" t="s">
        <v>911</v>
      </c>
      <c r="BL584" t="s">
        <v>1477</v>
      </c>
      <c r="BP584" t="s">
        <v>4320</v>
      </c>
      <c r="BQ584" t="s">
        <v>3463</v>
      </c>
      <c r="BR584" t="s">
        <v>3463</v>
      </c>
      <c r="BS584" t="s">
        <v>3463</v>
      </c>
      <c r="BT584" t="s">
        <v>3463</v>
      </c>
      <c r="BU584" t="s">
        <v>3463</v>
      </c>
      <c r="BV584" t="s">
        <v>3463</v>
      </c>
      <c r="BW584" t="s">
        <v>3463</v>
      </c>
      <c r="BX584" t="s">
        <v>518</v>
      </c>
      <c r="BY584" t="s">
        <v>87</v>
      </c>
      <c r="BZ584" t="s">
        <v>79</v>
      </c>
      <c r="CA584" s="10">
        <v>45910</v>
      </c>
    </row>
    <row r="585" spans="1:79">
      <c r="A585">
        <v>591</v>
      </c>
      <c r="B585">
        <v>215</v>
      </c>
      <c r="C585">
        <v>80</v>
      </c>
      <c r="D585" t="s">
        <v>3466</v>
      </c>
      <c r="E585" t="s">
        <v>1005</v>
      </c>
      <c r="F585" t="s">
        <v>969</v>
      </c>
      <c r="G585" s="12" t="s">
        <v>3465</v>
      </c>
      <c r="H585" s="12" t="s">
        <v>88</v>
      </c>
      <c r="I585">
        <v>81</v>
      </c>
      <c r="J585">
        <v>73</v>
      </c>
      <c r="K585">
        <v>151</v>
      </c>
      <c r="L585">
        <v>86</v>
      </c>
      <c r="M585" t="s">
        <v>72</v>
      </c>
      <c r="N585">
        <v>152</v>
      </c>
      <c r="O585">
        <v>86</v>
      </c>
      <c r="P585" t="s">
        <v>72</v>
      </c>
      <c r="Q585" t="s">
        <v>72</v>
      </c>
      <c r="R585">
        <v>53.5</v>
      </c>
      <c r="S585">
        <v>143.5</v>
      </c>
      <c r="T585" s="8">
        <f t="shared" si="18"/>
        <v>25.980648059342712</v>
      </c>
      <c r="U585" s="13" t="str" cm="1">
        <f t="array" ref="U585">IF(T585="","",_xlfn.IFS(T585&lt;18.5,"Bajo peso",T585&lt;25,"Peso normal",T585&lt;30,"Sobrepeso",T585&lt;35,"Obesidad clase I",T585&lt;40,"Obesidad clase II",T585&gt;=40,"Obesidad clase III"))</f>
        <v>Sobrepeso</v>
      </c>
      <c r="V585">
        <v>144</v>
      </c>
      <c r="X585" t="s">
        <v>3463</v>
      </c>
      <c r="Y585">
        <v>0.82</v>
      </c>
      <c r="AA585">
        <v>72</v>
      </c>
      <c r="AB585" s="9">
        <f t="shared" si="19"/>
        <v>72.265210955898979</v>
      </c>
      <c r="AD585" t="s">
        <v>73</v>
      </c>
      <c r="AF585" t="s">
        <v>73</v>
      </c>
      <c r="AH585" t="s">
        <v>3463</v>
      </c>
      <c r="AI585" t="s">
        <v>3465</v>
      </c>
      <c r="AJ585" t="s">
        <v>3463</v>
      </c>
      <c r="AK585" t="s">
        <v>3463</v>
      </c>
      <c r="AL585" t="s">
        <v>3465</v>
      </c>
      <c r="AM585" t="s">
        <v>1478</v>
      </c>
      <c r="AN585" t="s">
        <v>3740</v>
      </c>
      <c r="AP585" t="s">
        <v>3463</v>
      </c>
      <c r="AQ585" t="s">
        <v>1436</v>
      </c>
      <c r="AR585" t="s">
        <v>3491</v>
      </c>
      <c r="AS585" t="s">
        <v>3465</v>
      </c>
      <c r="AT585" t="s">
        <v>3465</v>
      </c>
      <c r="AU585" t="s">
        <v>80</v>
      </c>
      <c r="AV585" t="s">
        <v>178</v>
      </c>
      <c r="AW585" t="s">
        <v>3918</v>
      </c>
      <c r="AY585" t="s">
        <v>3463</v>
      </c>
      <c r="AZ585" t="s">
        <v>1479</v>
      </c>
      <c r="BA585" t="s">
        <v>3920</v>
      </c>
      <c r="BE585" t="s">
        <v>1480</v>
      </c>
      <c r="BF585" t="s">
        <v>3958</v>
      </c>
      <c r="BG585" t="s">
        <v>1481</v>
      </c>
      <c r="BH585" t="s">
        <v>4140</v>
      </c>
      <c r="BI585" t="s">
        <v>411</v>
      </c>
      <c r="BK585" t="s">
        <v>1482</v>
      </c>
      <c r="BL585" t="s">
        <v>1483</v>
      </c>
      <c r="BP585" t="s">
        <v>4435</v>
      </c>
      <c r="BQ585" t="s">
        <v>3463</v>
      </c>
      <c r="BR585" t="s">
        <v>3463</v>
      </c>
      <c r="BS585" t="s">
        <v>3465</v>
      </c>
      <c r="BT585" t="s">
        <v>3465</v>
      </c>
      <c r="BU585" t="s">
        <v>3463</v>
      </c>
      <c r="BV585" t="s">
        <v>3463</v>
      </c>
      <c r="BW585" t="s">
        <v>3463</v>
      </c>
      <c r="BX585" t="s">
        <v>79</v>
      </c>
      <c r="BY585" t="s">
        <v>87</v>
      </c>
      <c r="BZ585" t="s">
        <v>563</v>
      </c>
      <c r="CA585" s="10">
        <v>45910</v>
      </c>
    </row>
    <row r="586" spans="1:79">
      <c r="A586">
        <v>592</v>
      </c>
      <c r="B586">
        <v>216</v>
      </c>
      <c r="C586">
        <v>56</v>
      </c>
      <c r="D586" t="s">
        <v>3466</v>
      </c>
      <c r="E586" t="s">
        <v>1384</v>
      </c>
      <c r="F586" t="s">
        <v>969</v>
      </c>
      <c r="G586" s="12" t="s">
        <v>3463</v>
      </c>
      <c r="I586">
        <v>94</v>
      </c>
      <c r="K586">
        <v>134</v>
      </c>
      <c r="L586">
        <v>86</v>
      </c>
      <c r="M586" t="s">
        <v>82</v>
      </c>
      <c r="P586" t="s">
        <v>83</v>
      </c>
      <c r="Q586" t="s">
        <v>82</v>
      </c>
      <c r="R586">
        <v>77.7</v>
      </c>
      <c r="S586">
        <v>156.5</v>
      </c>
      <c r="T586" s="8">
        <f t="shared" si="18"/>
        <v>31.724320958670603</v>
      </c>
      <c r="U586" s="13" t="str" cm="1">
        <f t="array" ref="U586">IF(T586="","",_xlfn.IFS(T586&lt;18.5,"Bajo peso",T586&lt;25,"Peso normal",T586&lt;30,"Sobrepeso",T586&lt;35,"Obesidad clase I",T586&lt;40,"Obesidad clase II",T586&gt;=40,"Obesidad clase III"))</f>
        <v>Obesidad clase I</v>
      </c>
      <c r="V586">
        <v>98</v>
      </c>
      <c r="X586" t="s">
        <v>3463</v>
      </c>
      <c r="Y586">
        <v>1.02</v>
      </c>
      <c r="AA586">
        <v>65</v>
      </c>
      <c r="AB586" s="9">
        <f t="shared" si="19"/>
        <v>64.566890820599156</v>
      </c>
      <c r="AD586" t="s">
        <v>73</v>
      </c>
      <c r="AF586" t="s">
        <v>73</v>
      </c>
      <c r="AH586" t="s">
        <v>3463</v>
      </c>
      <c r="AI586" t="s">
        <v>3465</v>
      </c>
      <c r="AJ586" t="s">
        <v>3465</v>
      </c>
      <c r="AK586" t="s">
        <v>3463</v>
      </c>
      <c r="AL586" t="s">
        <v>3465</v>
      </c>
      <c r="AM586" t="s">
        <v>1484</v>
      </c>
      <c r="AN586" t="s">
        <v>3672</v>
      </c>
      <c r="AP586" t="s">
        <v>3463</v>
      </c>
      <c r="AQ586" t="s">
        <v>1485</v>
      </c>
      <c r="AR586" t="s">
        <v>3555</v>
      </c>
      <c r="AS586" t="s">
        <v>3465</v>
      </c>
      <c r="AT586" t="s">
        <v>3465</v>
      </c>
      <c r="AU586" t="s">
        <v>80</v>
      </c>
      <c r="AV586" t="s">
        <v>74</v>
      </c>
      <c r="AW586" t="s">
        <v>3915</v>
      </c>
      <c r="AX586" t="s">
        <v>3463</v>
      </c>
      <c r="AY586" t="s">
        <v>3465</v>
      </c>
      <c r="AZ586" t="s">
        <v>247</v>
      </c>
      <c r="BA586" t="s">
        <v>3920</v>
      </c>
      <c r="BE586" t="s">
        <v>1486</v>
      </c>
      <c r="BF586" t="s">
        <v>3959</v>
      </c>
      <c r="BH586" t="s">
        <v>4076</v>
      </c>
      <c r="BK586" t="s">
        <v>68</v>
      </c>
      <c r="BL586" t="s">
        <v>1487</v>
      </c>
      <c r="BP586" t="s">
        <v>4310</v>
      </c>
      <c r="BQ586" t="s">
        <v>3463</v>
      </c>
      <c r="BR586" t="s">
        <v>3463</v>
      </c>
      <c r="BS586" t="s">
        <v>3465</v>
      </c>
      <c r="BT586" t="s">
        <v>3465</v>
      </c>
      <c r="BU586" t="s">
        <v>3463</v>
      </c>
      <c r="BV586" t="s">
        <v>3463</v>
      </c>
      <c r="BW586" t="s">
        <v>3463</v>
      </c>
      <c r="BX586" t="s">
        <v>79</v>
      </c>
      <c r="BY586" t="s">
        <v>87</v>
      </c>
      <c r="BZ586" t="s">
        <v>95</v>
      </c>
      <c r="CA586" s="10">
        <v>45910</v>
      </c>
    </row>
    <row r="587" spans="1:79">
      <c r="A587">
        <v>593</v>
      </c>
      <c r="B587">
        <v>217</v>
      </c>
      <c r="C587">
        <v>39</v>
      </c>
      <c r="D587" t="s">
        <v>3466</v>
      </c>
      <c r="E587" t="s">
        <v>1000</v>
      </c>
      <c r="F587" t="s">
        <v>969</v>
      </c>
      <c r="G587" s="12" t="s">
        <v>3465</v>
      </c>
      <c r="H587" s="12" t="s">
        <v>88</v>
      </c>
      <c r="I587">
        <v>97</v>
      </c>
      <c r="J587">
        <v>90</v>
      </c>
      <c r="K587">
        <v>143</v>
      </c>
      <c r="L587">
        <v>98</v>
      </c>
      <c r="M587" t="s">
        <v>72</v>
      </c>
      <c r="N587">
        <v>135</v>
      </c>
      <c r="O587">
        <v>84</v>
      </c>
      <c r="P587" t="s">
        <v>82</v>
      </c>
      <c r="Q587" t="s">
        <v>82</v>
      </c>
      <c r="R587">
        <v>87.8</v>
      </c>
      <c r="S587">
        <v>146</v>
      </c>
      <c r="T587" s="8">
        <f t="shared" si="18"/>
        <v>41.189716644773881</v>
      </c>
      <c r="U587" s="13" t="str" cm="1">
        <f t="array" ref="U587">IF(T587="","",_xlfn.IFS(T587&lt;18.5,"Bajo peso",T587&lt;25,"Peso normal",T587&lt;30,"Sobrepeso",T587&lt;35,"Obesidad clase I",T587&lt;40,"Obesidad clase II",T587&gt;=40,"Obesidad clase III"))</f>
        <v>Obesidad clase III</v>
      </c>
      <c r="V587">
        <v>91</v>
      </c>
      <c r="X587" t="s">
        <v>3463</v>
      </c>
      <c r="Y587">
        <v>0.92</v>
      </c>
      <c r="AA587">
        <v>81</v>
      </c>
      <c r="AB587" s="9">
        <f t="shared" si="19"/>
        <v>81.227262323931797</v>
      </c>
      <c r="AD587" t="s">
        <v>73</v>
      </c>
      <c r="AF587" t="s">
        <v>73</v>
      </c>
      <c r="AH587" t="s">
        <v>3463</v>
      </c>
      <c r="AI587" t="s">
        <v>3465</v>
      </c>
      <c r="AJ587" t="s">
        <v>3463</v>
      </c>
      <c r="AK587" t="s">
        <v>3465</v>
      </c>
      <c r="AL587" t="s">
        <v>3465</v>
      </c>
      <c r="AM587" t="s">
        <v>1488</v>
      </c>
      <c r="AN587" t="s">
        <v>116</v>
      </c>
      <c r="AP587" t="s">
        <v>3463</v>
      </c>
      <c r="AQ587" t="s">
        <v>1489</v>
      </c>
      <c r="AR587" t="s">
        <v>3489</v>
      </c>
      <c r="AS587" t="s">
        <v>3463</v>
      </c>
      <c r="AV587" t="s">
        <v>74</v>
      </c>
      <c r="AW587" t="s">
        <v>3915</v>
      </c>
      <c r="AX587" t="s">
        <v>3465</v>
      </c>
      <c r="AY587" t="s">
        <v>3465</v>
      </c>
      <c r="AZ587" t="s">
        <v>104</v>
      </c>
      <c r="BE587" t="s">
        <v>1490</v>
      </c>
      <c r="BF587" t="s">
        <v>3960</v>
      </c>
      <c r="BH587" t="s">
        <v>4021</v>
      </c>
      <c r="BI587" t="s">
        <v>76</v>
      </c>
      <c r="BP587" t="s">
        <v>4261</v>
      </c>
      <c r="BQ587" t="s">
        <v>3463</v>
      </c>
      <c r="BR587" t="s">
        <v>3463</v>
      </c>
      <c r="BS587" t="s">
        <v>3465</v>
      </c>
      <c r="BT587" t="s">
        <v>3465</v>
      </c>
      <c r="BU587" t="s">
        <v>3463</v>
      </c>
      <c r="BV587" t="s">
        <v>3463</v>
      </c>
      <c r="BW587" t="s">
        <v>3463</v>
      </c>
      <c r="BX587" t="s">
        <v>79</v>
      </c>
      <c r="BY587" t="s">
        <v>87</v>
      </c>
      <c r="BZ587" t="s">
        <v>79</v>
      </c>
      <c r="CA587" s="10">
        <v>45910</v>
      </c>
    </row>
    <row r="588" spans="1:79">
      <c r="A588">
        <v>594</v>
      </c>
      <c r="B588">
        <v>218</v>
      </c>
      <c r="C588">
        <v>75</v>
      </c>
      <c r="D588" t="s">
        <v>3466</v>
      </c>
      <c r="E588" t="s">
        <v>1026</v>
      </c>
      <c r="F588" t="s">
        <v>969</v>
      </c>
      <c r="G588" s="12" t="s">
        <v>3463</v>
      </c>
      <c r="I588">
        <v>67</v>
      </c>
      <c r="J588">
        <v>65</v>
      </c>
      <c r="K588">
        <v>150</v>
      </c>
      <c r="L588">
        <v>60</v>
      </c>
      <c r="M588" t="s">
        <v>72</v>
      </c>
      <c r="N588">
        <v>151</v>
      </c>
      <c r="O588">
        <v>57</v>
      </c>
      <c r="P588" t="s">
        <v>72</v>
      </c>
      <c r="Q588" t="s">
        <v>72</v>
      </c>
      <c r="R588">
        <v>76.7</v>
      </c>
      <c r="S588">
        <v>150</v>
      </c>
      <c r="T588" s="8">
        <f t="shared" si="18"/>
        <v>34.088888888888889</v>
      </c>
      <c r="U588" s="13" t="str" cm="1">
        <f t="array" ref="U588">IF(T588="","",_xlfn.IFS(T588&lt;18.5,"Bajo peso",T588&lt;25,"Peso normal",T588&lt;30,"Sobrepeso",T588&lt;35,"Obesidad clase I",T588&lt;40,"Obesidad clase II",T588&gt;=40,"Obesidad clase III"))</f>
        <v>Obesidad clase I</v>
      </c>
      <c r="V588">
        <v>97</v>
      </c>
      <c r="X588" t="s">
        <v>3463</v>
      </c>
      <c r="Y588">
        <v>1.25</v>
      </c>
      <c r="AA588">
        <v>45</v>
      </c>
      <c r="AB588" s="9">
        <f t="shared" si="19"/>
        <v>44.948884678549561</v>
      </c>
      <c r="AD588" t="s">
        <v>158</v>
      </c>
      <c r="AF588" t="s">
        <v>158</v>
      </c>
      <c r="AG588" t="s">
        <v>3463</v>
      </c>
      <c r="AH588" t="s">
        <v>3465</v>
      </c>
      <c r="AI588" t="s">
        <v>3465</v>
      </c>
      <c r="AJ588" t="s">
        <v>3464</v>
      </c>
      <c r="AK588" t="s">
        <v>3464</v>
      </c>
      <c r="AP588" t="s">
        <v>3463</v>
      </c>
      <c r="AQ588" t="s">
        <v>1491</v>
      </c>
      <c r="AR588" t="s">
        <v>3512</v>
      </c>
      <c r="AS588" t="s">
        <v>3465</v>
      </c>
      <c r="AT588" t="s">
        <v>3465</v>
      </c>
      <c r="AU588" t="s">
        <v>125</v>
      </c>
      <c r="AV588" t="s">
        <v>74</v>
      </c>
      <c r="AW588" t="s">
        <v>3915</v>
      </c>
      <c r="AX588" t="s">
        <v>3463</v>
      </c>
      <c r="AY588" t="s">
        <v>3463</v>
      </c>
      <c r="BA588" t="s">
        <v>3920</v>
      </c>
      <c r="BF588" t="s">
        <v>3921</v>
      </c>
      <c r="BG588" t="s">
        <v>1492</v>
      </c>
      <c r="BH588" t="s">
        <v>4029</v>
      </c>
      <c r="BL588" t="s">
        <v>1416</v>
      </c>
      <c r="BP588" t="s">
        <v>4260</v>
      </c>
      <c r="BQ588" t="s">
        <v>3463</v>
      </c>
      <c r="BR588" t="s">
        <v>3463</v>
      </c>
      <c r="BS588" t="s">
        <v>3463</v>
      </c>
      <c r="BT588" t="s">
        <v>3463</v>
      </c>
      <c r="BU588" t="s">
        <v>3463</v>
      </c>
      <c r="BV588" t="s">
        <v>3463</v>
      </c>
      <c r="BW588" t="s">
        <v>3463</v>
      </c>
      <c r="BX588" t="s">
        <v>79</v>
      </c>
      <c r="BY588" t="s">
        <v>87</v>
      </c>
      <c r="BZ588" t="s">
        <v>79</v>
      </c>
      <c r="CA588" s="10">
        <v>45910</v>
      </c>
    </row>
    <row r="589" spans="1:79">
      <c r="A589">
        <v>595</v>
      </c>
      <c r="B589">
        <v>219</v>
      </c>
      <c r="C589">
        <v>45</v>
      </c>
      <c r="D589" t="s">
        <v>3462</v>
      </c>
      <c r="E589" t="s">
        <v>974</v>
      </c>
      <c r="F589" t="s">
        <v>969</v>
      </c>
      <c r="G589" s="12" t="s">
        <v>3465</v>
      </c>
      <c r="H589" t="s">
        <v>88</v>
      </c>
      <c r="I589">
        <v>64</v>
      </c>
      <c r="K589">
        <v>113</v>
      </c>
      <c r="L589">
        <v>66</v>
      </c>
      <c r="M589" t="s">
        <v>80</v>
      </c>
      <c r="P589" t="s">
        <v>83</v>
      </c>
      <c r="Q589" t="s">
        <v>80</v>
      </c>
      <c r="R589">
        <v>66.400000000000006</v>
      </c>
      <c r="S589">
        <v>159</v>
      </c>
      <c r="T589" s="8">
        <f t="shared" si="18"/>
        <v>26.264783829753576</v>
      </c>
      <c r="U589" s="13" t="str" cm="1">
        <f t="array" ref="U589">IF(T589="","",_xlfn.IFS(T589&lt;18.5,"Bajo peso",T589&lt;25,"Peso normal",T589&lt;30,"Sobrepeso",T589&lt;35,"Obesidad clase I",T589&lt;40,"Obesidad clase II",T589&gt;=40,"Obesidad clase III"))</f>
        <v>Sobrepeso</v>
      </c>
      <c r="V589">
        <v>112</v>
      </c>
      <c r="X589" t="s">
        <v>3463</v>
      </c>
      <c r="Y589">
        <v>0.91</v>
      </c>
      <c r="AA589">
        <v>90</v>
      </c>
      <c r="AB589" s="9">
        <f t="shared" si="19"/>
        <v>105.9215538961837</v>
      </c>
      <c r="AD589" t="s">
        <v>73</v>
      </c>
      <c r="AF589" t="s">
        <v>73</v>
      </c>
      <c r="AH589" t="s">
        <v>3463</v>
      </c>
      <c r="AI589" t="s">
        <v>3463</v>
      </c>
      <c r="AJ589" t="s">
        <v>3463</v>
      </c>
      <c r="AK589" t="s">
        <v>3463</v>
      </c>
      <c r="AL589" t="s">
        <v>3463</v>
      </c>
      <c r="AO589" t="s">
        <v>3463</v>
      </c>
      <c r="AP589" t="s">
        <v>3465</v>
      </c>
      <c r="AV589" t="s">
        <v>74</v>
      </c>
      <c r="AW589" t="s">
        <v>3915</v>
      </c>
      <c r="BF589" t="s">
        <v>3921</v>
      </c>
      <c r="BH589" t="s">
        <v>4020</v>
      </c>
      <c r="BP589" t="s">
        <v>4260</v>
      </c>
      <c r="BQ589" t="s">
        <v>3463</v>
      </c>
      <c r="BR589" t="s">
        <v>3465</v>
      </c>
      <c r="BS589" t="s">
        <v>3465</v>
      </c>
      <c r="BT589" t="s">
        <v>3465</v>
      </c>
      <c r="BU589" t="s">
        <v>3463</v>
      </c>
      <c r="BV589" t="s">
        <v>3463</v>
      </c>
      <c r="BW589" t="s">
        <v>3463</v>
      </c>
      <c r="BX589" t="s">
        <v>79</v>
      </c>
      <c r="BY589" t="s">
        <v>87</v>
      </c>
      <c r="BZ589" t="s">
        <v>79</v>
      </c>
      <c r="CA589" s="10">
        <v>45910</v>
      </c>
    </row>
    <row r="590" spans="1:79">
      <c r="A590">
        <v>596</v>
      </c>
      <c r="B590">
        <v>220</v>
      </c>
      <c r="C590">
        <v>67</v>
      </c>
      <c r="D590" t="s">
        <v>3466</v>
      </c>
      <c r="E590" t="s">
        <v>1493</v>
      </c>
      <c r="F590" t="s">
        <v>969</v>
      </c>
      <c r="G590" s="12" t="s">
        <v>3463</v>
      </c>
      <c r="I590">
        <v>85</v>
      </c>
      <c r="K590">
        <v>132</v>
      </c>
      <c r="L590">
        <v>71</v>
      </c>
      <c r="M590" t="s">
        <v>82</v>
      </c>
      <c r="P590" t="s">
        <v>83</v>
      </c>
      <c r="Q590" t="s">
        <v>82</v>
      </c>
      <c r="R590">
        <v>87.9</v>
      </c>
      <c r="S590">
        <v>165</v>
      </c>
      <c r="T590" s="8">
        <f t="shared" si="18"/>
        <v>32.286501377410467</v>
      </c>
      <c r="U590" s="13" t="str" cm="1">
        <f t="array" ref="U590">IF(T590="","",_xlfn.IFS(T590&lt;18.5,"Bajo peso",T590&lt;25,"Peso normal",T590&lt;30,"Sobrepeso",T590&lt;35,"Obesidad clase I",T590&lt;40,"Obesidad clase II",T590&gt;=40,"Obesidad clase III"))</f>
        <v>Obesidad clase I</v>
      </c>
      <c r="V590">
        <v>141</v>
      </c>
      <c r="X590" t="s">
        <v>3463</v>
      </c>
      <c r="Y590">
        <v>0.89</v>
      </c>
      <c r="AA590">
        <v>71</v>
      </c>
      <c r="AB590" s="9">
        <f t="shared" si="19"/>
        <v>71.015146673231214</v>
      </c>
      <c r="AD590" t="s">
        <v>73</v>
      </c>
      <c r="AF590" t="s">
        <v>73</v>
      </c>
      <c r="AG590" t="s">
        <v>3465</v>
      </c>
      <c r="AH590" t="s">
        <v>3465</v>
      </c>
      <c r="AI590" t="s">
        <v>3465</v>
      </c>
      <c r="AJ590" t="s">
        <v>3463</v>
      </c>
      <c r="AK590" t="s">
        <v>3465</v>
      </c>
      <c r="AL590" t="s">
        <v>3465</v>
      </c>
      <c r="AM590" t="s">
        <v>1494</v>
      </c>
      <c r="AN590" t="s">
        <v>3741</v>
      </c>
      <c r="AP590" t="s">
        <v>3463</v>
      </c>
      <c r="AQ590" t="s">
        <v>1495</v>
      </c>
      <c r="AR590" t="s">
        <v>3493</v>
      </c>
      <c r="AS590" t="s">
        <v>3465</v>
      </c>
      <c r="AT590" t="s">
        <v>3463</v>
      </c>
      <c r="AU590" t="s">
        <v>80</v>
      </c>
      <c r="AV590" t="s">
        <v>74</v>
      </c>
      <c r="AW590" t="s">
        <v>3915</v>
      </c>
      <c r="AY590" t="s">
        <v>3463</v>
      </c>
      <c r="AZ590" t="s">
        <v>490</v>
      </c>
      <c r="BA590" t="s">
        <v>3920</v>
      </c>
      <c r="BB590" t="s">
        <v>3485</v>
      </c>
      <c r="BF590" t="s">
        <v>3921</v>
      </c>
      <c r="BG590" t="s">
        <v>1496</v>
      </c>
      <c r="BH590" t="s">
        <v>4154</v>
      </c>
      <c r="BL590" t="s">
        <v>1497</v>
      </c>
      <c r="BP590" t="s">
        <v>4260</v>
      </c>
      <c r="BQ590" t="s">
        <v>3463</v>
      </c>
      <c r="BR590" t="s">
        <v>3463</v>
      </c>
      <c r="BS590" t="s">
        <v>3465</v>
      </c>
      <c r="BT590" t="s">
        <v>3465</v>
      </c>
      <c r="BU590" t="s">
        <v>3463</v>
      </c>
      <c r="BV590" t="s">
        <v>3463</v>
      </c>
      <c r="BW590" t="s">
        <v>3463</v>
      </c>
      <c r="BX590" t="s">
        <v>79</v>
      </c>
      <c r="BY590" t="s">
        <v>121</v>
      </c>
      <c r="BZ590" t="s">
        <v>79</v>
      </c>
      <c r="CA590" s="10">
        <v>45910</v>
      </c>
    </row>
    <row r="591" spans="1:79">
      <c r="A591">
        <v>597</v>
      </c>
      <c r="B591">
        <v>221</v>
      </c>
      <c r="C591">
        <v>39</v>
      </c>
      <c r="D591" t="s">
        <v>3466</v>
      </c>
      <c r="E591" t="s">
        <v>1498</v>
      </c>
      <c r="F591" t="s">
        <v>3470</v>
      </c>
      <c r="G591" s="12" t="s">
        <v>3463</v>
      </c>
      <c r="I591">
        <v>76</v>
      </c>
      <c r="J591">
        <v>78</v>
      </c>
      <c r="K591">
        <v>142</v>
      </c>
      <c r="L591">
        <v>84</v>
      </c>
      <c r="M591" t="s">
        <v>72</v>
      </c>
      <c r="N591">
        <v>137</v>
      </c>
      <c r="O591">
        <v>92</v>
      </c>
      <c r="P591" t="s">
        <v>72</v>
      </c>
      <c r="Q591" t="s">
        <v>72</v>
      </c>
      <c r="R591">
        <v>91</v>
      </c>
      <c r="S591">
        <v>167.5</v>
      </c>
      <c r="T591" s="8">
        <f t="shared" si="18"/>
        <v>32.43484072176431</v>
      </c>
      <c r="U591" s="13" t="str" cm="1">
        <f t="array" ref="U591">IF(T591="","",_xlfn.IFS(T591&lt;18.5,"Bajo peso",T591&lt;25,"Peso normal",T591&lt;30,"Sobrepeso",T591&lt;35,"Obesidad clase I",T591&lt;40,"Obesidad clase II",T591&gt;=40,"Obesidad clase III"))</f>
        <v>Obesidad clase I</v>
      </c>
      <c r="V591">
        <v>86</v>
      </c>
      <c r="W591">
        <v>86</v>
      </c>
      <c r="X591" t="s">
        <v>3463</v>
      </c>
      <c r="Y591">
        <v>1.67</v>
      </c>
      <c r="Z591">
        <v>1.94</v>
      </c>
      <c r="AA591">
        <v>40</v>
      </c>
      <c r="AB591" s="9">
        <f t="shared" si="19"/>
        <v>39.718006586870544</v>
      </c>
      <c r="AC591">
        <v>33</v>
      </c>
      <c r="AD591" t="s">
        <v>218</v>
      </c>
      <c r="AE591" t="s">
        <v>218</v>
      </c>
      <c r="AF591" t="s">
        <v>218</v>
      </c>
      <c r="AH591" t="s">
        <v>3463</v>
      </c>
      <c r="AI591" t="s">
        <v>3463</v>
      </c>
      <c r="AJ591" t="s">
        <v>3463</v>
      </c>
      <c r="AK591" t="s">
        <v>3463</v>
      </c>
      <c r="AL591" t="s">
        <v>3465</v>
      </c>
      <c r="AM591" t="s">
        <v>1499</v>
      </c>
      <c r="AN591" t="s">
        <v>1499</v>
      </c>
      <c r="AP591" t="s">
        <v>3463</v>
      </c>
      <c r="AQ591" t="s">
        <v>120</v>
      </c>
      <c r="AR591" t="s">
        <v>3491</v>
      </c>
      <c r="AV591" t="s">
        <v>178</v>
      </c>
      <c r="AW591" t="s">
        <v>3918</v>
      </c>
      <c r="AX591" t="s">
        <v>3463</v>
      </c>
      <c r="AY591" t="s">
        <v>3465</v>
      </c>
      <c r="AZ591" t="s">
        <v>247</v>
      </c>
      <c r="BC591" t="s">
        <v>128</v>
      </c>
      <c r="BE591" t="s">
        <v>1500</v>
      </c>
      <c r="BF591" t="s">
        <v>3961</v>
      </c>
      <c r="BG591" t="s">
        <v>1501</v>
      </c>
      <c r="BH591" t="s">
        <v>4022</v>
      </c>
      <c r="BI591" t="s">
        <v>1502</v>
      </c>
      <c r="BK591" t="s">
        <v>1441</v>
      </c>
      <c r="BL591" t="s">
        <v>1503</v>
      </c>
      <c r="BP591" t="s">
        <v>4436</v>
      </c>
      <c r="BQ591" t="s">
        <v>3465</v>
      </c>
      <c r="BR591" t="s">
        <v>3465</v>
      </c>
      <c r="BT591" t="s">
        <v>3465</v>
      </c>
      <c r="BU591" t="s">
        <v>3463</v>
      </c>
      <c r="BV591" t="s">
        <v>3463</v>
      </c>
      <c r="BW591" t="s">
        <v>3463</v>
      </c>
      <c r="BX591" t="s">
        <v>79</v>
      </c>
      <c r="BY591" t="s">
        <v>87</v>
      </c>
      <c r="BZ591" t="s">
        <v>79</v>
      </c>
      <c r="CA591" s="10">
        <v>45910</v>
      </c>
    </row>
    <row r="592" spans="1:79">
      <c r="A592">
        <v>598</v>
      </c>
      <c r="B592">
        <v>222</v>
      </c>
      <c r="C592">
        <v>29</v>
      </c>
      <c r="D592" t="s">
        <v>3466</v>
      </c>
      <c r="E592" t="s">
        <v>1005</v>
      </c>
      <c r="F592" t="s">
        <v>969</v>
      </c>
      <c r="G592" s="12" t="s">
        <v>3465</v>
      </c>
      <c r="H592" s="12" t="s">
        <v>88</v>
      </c>
      <c r="I592">
        <v>80</v>
      </c>
      <c r="K592">
        <v>125</v>
      </c>
      <c r="L592">
        <v>85</v>
      </c>
      <c r="M592" t="s">
        <v>82</v>
      </c>
      <c r="P592" t="s">
        <v>83</v>
      </c>
      <c r="Q592" t="s">
        <v>82</v>
      </c>
      <c r="R592">
        <v>88.3</v>
      </c>
      <c r="S592">
        <v>153.6</v>
      </c>
      <c r="T592" s="8">
        <f t="shared" si="18"/>
        <v>37.426418728298607</v>
      </c>
      <c r="U592" s="13" t="str" cm="1">
        <f t="array" ref="U592">IF(T592="","",_xlfn.IFS(T592&lt;18.5,"Bajo peso",T592&lt;25,"Peso normal",T592&lt;30,"Sobrepeso",T592&lt;35,"Obesidad clase I",T592&lt;40,"Obesidad clase II",T592&gt;=40,"Obesidad clase III"))</f>
        <v>Obesidad clase II</v>
      </c>
      <c r="V592">
        <v>111</v>
      </c>
      <c r="X592" t="s">
        <v>3463</v>
      </c>
      <c r="Y592">
        <v>1.0900000000000001</v>
      </c>
      <c r="AA592">
        <v>70</v>
      </c>
      <c r="AB592" s="9">
        <f t="shared" si="19"/>
        <v>70.525388506308701</v>
      </c>
      <c r="AD592" t="s">
        <v>73</v>
      </c>
      <c r="AF592" t="s">
        <v>73</v>
      </c>
      <c r="AH592" t="s">
        <v>3463</v>
      </c>
      <c r="AI592" t="s">
        <v>3463</v>
      </c>
      <c r="AJ592" t="s">
        <v>3463</v>
      </c>
      <c r="AK592" t="s">
        <v>3463</v>
      </c>
      <c r="AL592" t="s">
        <v>3465</v>
      </c>
      <c r="AM592" t="s">
        <v>472</v>
      </c>
      <c r="AN592" t="s">
        <v>3617</v>
      </c>
      <c r="AO592" t="s">
        <v>3463</v>
      </c>
      <c r="AP592" t="s">
        <v>3465</v>
      </c>
      <c r="AQ592" t="s">
        <v>1504</v>
      </c>
      <c r="AR592" t="s">
        <v>3493</v>
      </c>
      <c r="AT592" t="s">
        <v>3463</v>
      </c>
      <c r="AV592" t="s">
        <v>178</v>
      </c>
      <c r="AW592" t="s">
        <v>3918</v>
      </c>
      <c r="AY592" t="s">
        <v>3465</v>
      </c>
      <c r="AZ592" t="s">
        <v>1505</v>
      </c>
      <c r="BF592" t="s">
        <v>3921</v>
      </c>
      <c r="BH592" t="s">
        <v>4020</v>
      </c>
      <c r="BP592" t="s">
        <v>4260</v>
      </c>
      <c r="BQ592" t="s">
        <v>3463</v>
      </c>
      <c r="BR592" t="s">
        <v>3465</v>
      </c>
      <c r="BS592" t="s">
        <v>3465</v>
      </c>
      <c r="BT592" t="s">
        <v>3465</v>
      </c>
      <c r="BU592" t="s">
        <v>3463</v>
      </c>
      <c r="BV592" t="s">
        <v>3463</v>
      </c>
      <c r="BW592" t="s">
        <v>3463</v>
      </c>
      <c r="BX592" t="s">
        <v>79</v>
      </c>
      <c r="BY592" t="s">
        <v>87</v>
      </c>
      <c r="BZ592" t="s">
        <v>79</v>
      </c>
      <c r="CA592" s="10">
        <v>45910</v>
      </c>
    </row>
    <row r="593" spans="1:79">
      <c r="A593">
        <v>599</v>
      </c>
      <c r="B593">
        <v>223</v>
      </c>
      <c r="C593">
        <v>64</v>
      </c>
      <c r="D593" t="s">
        <v>3462</v>
      </c>
      <c r="E593" t="s">
        <v>974</v>
      </c>
      <c r="F593" t="s">
        <v>969</v>
      </c>
      <c r="G593" s="12" t="s">
        <v>3463</v>
      </c>
      <c r="I593">
        <v>72</v>
      </c>
      <c r="K593">
        <v>122</v>
      </c>
      <c r="L593">
        <v>76</v>
      </c>
      <c r="M593" t="s">
        <v>118</v>
      </c>
      <c r="P593" t="s">
        <v>83</v>
      </c>
      <c r="Q593" t="s">
        <v>118</v>
      </c>
      <c r="R593">
        <v>91</v>
      </c>
      <c r="S593">
        <v>182</v>
      </c>
      <c r="T593" s="8">
        <f t="shared" si="18"/>
        <v>27.472527472527474</v>
      </c>
      <c r="U593" s="13" t="str" cm="1">
        <f t="array" ref="U593">IF(T593="","",_xlfn.IFS(T593&lt;18.5,"Bajo peso",T593&lt;25,"Peso normal",T593&lt;30,"Sobrepeso",T593&lt;35,"Obesidad clase I",T593&lt;40,"Obesidad clase II",T593&gt;=40,"Obesidad clase III"))</f>
        <v>Sobrepeso</v>
      </c>
      <c r="V593">
        <v>98</v>
      </c>
      <c r="X593" t="s">
        <v>3463</v>
      </c>
      <c r="Y593">
        <v>2.93</v>
      </c>
      <c r="Z593">
        <v>2.0299999999999998</v>
      </c>
      <c r="AA593">
        <v>23</v>
      </c>
      <c r="AB593" s="9">
        <f t="shared" si="19"/>
        <v>23.135224890122739</v>
      </c>
      <c r="AC593">
        <v>36</v>
      </c>
      <c r="AD593" t="s">
        <v>303</v>
      </c>
      <c r="AE593" t="s">
        <v>218</v>
      </c>
      <c r="AF593" t="s">
        <v>218</v>
      </c>
      <c r="AH593" t="s">
        <v>3463</v>
      </c>
      <c r="AI593" t="s">
        <v>3465</v>
      </c>
      <c r="AJ593" t="s">
        <v>3463</v>
      </c>
      <c r="AK593" t="s">
        <v>3463</v>
      </c>
      <c r="AL593" t="s">
        <v>3465</v>
      </c>
      <c r="AM593" t="s">
        <v>1506</v>
      </c>
      <c r="AN593" t="s">
        <v>3742</v>
      </c>
      <c r="AO593" t="s">
        <v>3465</v>
      </c>
      <c r="AP593" t="s">
        <v>3463</v>
      </c>
      <c r="AQ593" t="s">
        <v>1507</v>
      </c>
      <c r="AR593" t="s">
        <v>3516</v>
      </c>
      <c r="AS593" t="s">
        <v>3465</v>
      </c>
      <c r="AV593" t="s">
        <v>178</v>
      </c>
      <c r="AW593" t="s">
        <v>3918</v>
      </c>
      <c r="BF593" t="s">
        <v>3921</v>
      </c>
      <c r="BG593" t="s">
        <v>1508</v>
      </c>
      <c r="BH593" t="s">
        <v>4155</v>
      </c>
      <c r="BI593" t="s">
        <v>677</v>
      </c>
      <c r="BK593" t="s">
        <v>1509</v>
      </c>
      <c r="BL593" t="s">
        <v>1510</v>
      </c>
      <c r="BP593" t="s">
        <v>4437</v>
      </c>
      <c r="BQ593" t="s">
        <v>3463</v>
      </c>
      <c r="BR593" t="s">
        <v>3465</v>
      </c>
      <c r="BS593" t="s">
        <v>3465</v>
      </c>
      <c r="BT593" t="s">
        <v>3465</v>
      </c>
      <c r="BU593" t="s">
        <v>3463</v>
      </c>
      <c r="BV593" t="s">
        <v>3463</v>
      </c>
      <c r="BW593" t="s">
        <v>3463</v>
      </c>
      <c r="BX593" t="s">
        <v>654</v>
      </c>
      <c r="BY593" t="s">
        <v>87</v>
      </c>
      <c r="BZ593" t="s">
        <v>563</v>
      </c>
      <c r="CA593" s="10">
        <v>45910</v>
      </c>
    </row>
    <row r="594" spans="1:79">
      <c r="A594">
        <v>600</v>
      </c>
      <c r="B594">
        <v>224</v>
      </c>
      <c r="C594">
        <v>49</v>
      </c>
      <c r="D594" t="s">
        <v>3466</v>
      </c>
      <c r="E594" t="s">
        <v>1384</v>
      </c>
      <c r="F594" t="s">
        <v>969</v>
      </c>
      <c r="G594" s="12" t="s">
        <v>3465</v>
      </c>
      <c r="H594" s="12" t="s">
        <v>88</v>
      </c>
      <c r="I594">
        <v>78</v>
      </c>
      <c r="K594">
        <v>129</v>
      </c>
      <c r="L594">
        <v>72</v>
      </c>
      <c r="M594" t="s">
        <v>118</v>
      </c>
      <c r="P594" t="s">
        <v>83</v>
      </c>
      <c r="Q594" t="s">
        <v>118</v>
      </c>
      <c r="R594">
        <v>88.6</v>
      </c>
      <c r="S594">
        <v>155.5</v>
      </c>
      <c r="T594" s="8">
        <f t="shared" si="18"/>
        <v>36.641473930170285</v>
      </c>
      <c r="U594" s="13" t="str" cm="1">
        <f t="array" ref="U594">IF(T594="","",_xlfn.IFS(T594&lt;18.5,"Bajo peso",T594&lt;25,"Peso normal",T594&lt;30,"Sobrepeso",T594&lt;35,"Obesidad clase I",T594&lt;40,"Obesidad clase II",T594&gt;=40,"Obesidad clase III"))</f>
        <v>Obesidad clase II</v>
      </c>
      <c r="V594">
        <v>100</v>
      </c>
      <c r="W594">
        <v>100</v>
      </c>
      <c r="X594" t="s">
        <v>3463</v>
      </c>
      <c r="Y594">
        <v>1.61</v>
      </c>
      <c r="Z594">
        <v>1.34</v>
      </c>
      <c r="AA594">
        <v>39</v>
      </c>
      <c r="AB594" s="9">
        <f t="shared" si="19"/>
        <v>38.998336448861167</v>
      </c>
      <c r="AC594">
        <v>49</v>
      </c>
      <c r="AD594" t="s">
        <v>218</v>
      </c>
      <c r="AE594" t="s">
        <v>158</v>
      </c>
      <c r="AF594" t="s">
        <v>158</v>
      </c>
      <c r="AH594" t="s">
        <v>3463</v>
      </c>
      <c r="AI594" t="s">
        <v>3465</v>
      </c>
      <c r="AJ594" t="s">
        <v>3465</v>
      </c>
      <c r="AK594" t="s">
        <v>3463</v>
      </c>
      <c r="AL594" t="s">
        <v>3465</v>
      </c>
      <c r="AM594" t="s">
        <v>1511</v>
      </c>
      <c r="AN594" t="s">
        <v>1511</v>
      </c>
      <c r="AO594" t="s">
        <v>3465</v>
      </c>
      <c r="AP594" t="s">
        <v>3465</v>
      </c>
      <c r="AQ594" t="s">
        <v>1512</v>
      </c>
      <c r="AR594" t="s">
        <v>3562</v>
      </c>
      <c r="AS594" t="s">
        <v>3465</v>
      </c>
      <c r="AT594" t="s">
        <v>3465</v>
      </c>
      <c r="AV594" t="s">
        <v>74</v>
      </c>
      <c r="AW594" t="s">
        <v>3915</v>
      </c>
      <c r="AX594" t="s">
        <v>3463</v>
      </c>
      <c r="AY594" t="s">
        <v>3465</v>
      </c>
      <c r="AZ594" t="s">
        <v>247</v>
      </c>
      <c r="BA594" t="s">
        <v>3920</v>
      </c>
      <c r="BF594" t="s">
        <v>3921</v>
      </c>
      <c r="BG594" t="s">
        <v>1513</v>
      </c>
      <c r="BH594" t="s">
        <v>4156</v>
      </c>
      <c r="BK594" t="s">
        <v>1514</v>
      </c>
      <c r="BL594" t="s">
        <v>1515</v>
      </c>
      <c r="BP594" t="s">
        <v>4260</v>
      </c>
      <c r="BQ594" t="s">
        <v>3465</v>
      </c>
      <c r="BR594" t="s">
        <v>3463</v>
      </c>
      <c r="BS594" t="s">
        <v>3465</v>
      </c>
      <c r="BT594" t="s">
        <v>3465</v>
      </c>
      <c r="BU594" t="s">
        <v>3463</v>
      </c>
      <c r="BV594" t="s">
        <v>3463</v>
      </c>
      <c r="BW594" t="s">
        <v>3463</v>
      </c>
      <c r="BX594" t="s">
        <v>79</v>
      </c>
      <c r="BY594" t="s">
        <v>87</v>
      </c>
      <c r="BZ594" t="s">
        <v>79</v>
      </c>
      <c r="CA594" s="10">
        <v>45910</v>
      </c>
    </row>
    <row r="595" spans="1:79">
      <c r="A595">
        <v>601</v>
      </c>
      <c r="B595">
        <v>225</v>
      </c>
      <c r="C595">
        <v>50</v>
      </c>
      <c r="D595" t="s">
        <v>3466</v>
      </c>
      <c r="E595" t="s">
        <v>1000</v>
      </c>
      <c r="F595" t="s">
        <v>969</v>
      </c>
      <c r="G595" s="12" t="s">
        <v>3465</v>
      </c>
      <c r="H595" t="s">
        <v>88</v>
      </c>
      <c r="I595">
        <v>62</v>
      </c>
      <c r="J595">
        <v>65</v>
      </c>
      <c r="K595">
        <v>177</v>
      </c>
      <c r="L595">
        <v>89</v>
      </c>
      <c r="M595" t="s">
        <v>72</v>
      </c>
      <c r="N595">
        <v>170</v>
      </c>
      <c r="O595">
        <v>112</v>
      </c>
      <c r="P595" t="s">
        <v>72</v>
      </c>
      <c r="Q595" t="s">
        <v>72</v>
      </c>
      <c r="R595">
        <v>80.5</v>
      </c>
      <c r="S595">
        <v>157</v>
      </c>
      <c r="T595" s="8">
        <f t="shared" si="18"/>
        <v>32.658525700839789</v>
      </c>
      <c r="U595" s="13" t="str" cm="1">
        <f t="array" ref="U595">IF(T595="","",_xlfn.IFS(T595&lt;18.5,"Bajo peso",T595&lt;25,"Peso normal",T595&lt;30,"Sobrepeso",T595&lt;35,"Obesidad clase I",T595&lt;40,"Obesidad clase II",T595&gt;=40,"Obesidad clase III"))</f>
        <v>Obesidad clase I</v>
      </c>
      <c r="V595">
        <v>101</v>
      </c>
      <c r="X595" t="s">
        <v>3463</v>
      </c>
      <c r="Y595">
        <v>0.71</v>
      </c>
      <c r="AA595">
        <v>90</v>
      </c>
      <c r="AB595" s="9">
        <f t="shared" si="19"/>
        <v>103.52043944620576</v>
      </c>
      <c r="AD595" t="s">
        <v>73</v>
      </c>
      <c r="AF595" t="s">
        <v>73</v>
      </c>
      <c r="AG595" t="s">
        <v>3463</v>
      </c>
      <c r="AH595" t="s">
        <v>3465</v>
      </c>
      <c r="AI595" t="s">
        <v>3465</v>
      </c>
      <c r="AJ595" t="s">
        <v>3463</v>
      </c>
      <c r="AK595" t="s">
        <v>3463</v>
      </c>
      <c r="AL595" t="s">
        <v>3463</v>
      </c>
      <c r="AP595" t="s">
        <v>3463</v>
      </c>
      <c r="AQ595" t="s">
        <v>1112</v>
      </c>
      <c r="AR595" t="s">
        <v>3491</v>
      </c>
      <c r="AS595" t="s">
        <v>3463</v>
      </c>
      <c r="AT595" t="s">
        <v>3465</v>
      </c>
      <c r="AU595" t="s">
        <v>80</v>
      </c>
      <c r="AV595" t="s">
        <v>74</v>
      </c>
      <c r="AW595" t="s">
        <v>3915</v>
      </c>
      <c r="AX595" t="s">
        <v>3463</v>
      </c>
      <c r="AY595" t="s">
        <v>3465</v>
      </c>
      <c r="AZ595" t="s">
        <v>90</v>
      </c>
      <c r="BE595" t="s">
        <v>1516</v>
      </c>
      <c r="BF595" t="s">
        <v>3962</v>
      </c>
      <c r="BH595" t="s">
        <v>4021</v>
      </c>
      <c r="BI595" t="s">
        <v>76</v>
      </c>
      <c r="BP595" t="s">
        <v>4261</v>
      </c>
      <c r="BQ595" t="s">
        <v>3463</v>
      </c>
      <c r="BR595" t="s">
        <v>3463</v>
      </c>
      <c r="BS595" t="s">
        <v>3465</v>
      </c>
      <c r="BT595" t="s">
        <v>3465</v>
      </c>
      <c r="BU595" t="s">
        <v>3463</v>
      </c>
      <c r="BV595" t="s">
        <v>3463</v>
      </c>
      <c r="BW595" t="s">
        <v>3463</v>
      </c>
      <c r="BX595" t="s">
        <v>79</v>
      </c>
      <c r="BY595" t="s">
        <v>87</v>
      </c>
      <c r="BZ595" t="s">
        <v>79</v>
      </c>
      <c r="CA595" s="10">
        <v>45910</v>
      </c>
    </row>
    <row r="596" spans="1:79">
      <c r="A596">
        <v>602</v>
      </c>
      <c r="B596">
        <v>227</v>
      </c>
      <c r="C596">
        <v>21</v>
      </c>
      <c r="D596" t="s">
        <v>3462</v>
      </c>
      <c r="F596" t="s">
        <v>969</v>
      </c>
      <c r="G596" s="12" t="s">
        <v>3463</v>
      </c>
      <c r="H596" s="12"/>
      <c r="I596">
        <v>71</v>
      </c>
      <c r="K596">
        <v>117</v>
      </c>
      <c r="L596">
        <v>77</v>
      </c>
      <c r="M596" t="s">
        <v>80</v>
      </c>
      <c r="P596" t="s">
        <v>83</v>
      </c>
      <c r="Q596" t="s">
        <v>80</v>
      </c>
      <c r="R596">
        <v>59.9</v>
      </c>
      <c r="S596">
        <v>168.8</v>
      </c>
      <c r="T596" s="8">
        <f t="shared" si="18"/>
        <v>21.022382695806471</v>
      </c>
      <c r="U596" s="13" t="str" cm="1">
        <f t="array" ref="U596">IF(T596="","",_xlfn.IFS(T596&lt;18.5,"Bajo peso",T596&lt;25,"Peso normal",T596&lt;30,"Sobrepeso",T596&lt;35,"Obesidad clase I",T596&lt;40,"Obesidad clase II",T596&gt;=40,"Obesidad clase III"))</f>
        <v>Peso normal</v>
      </c>
      <c r="V596">
        <v>97</v>
      </c>
      <c r="X596" t="s">
        <v>3463</v>
      </c>
      <c r="Y596">
        <v>1.1299999999999999</v>
      </c>
      <c r="AA596">
        <v>90</v>
      </c>
      <c r="AB596" s="9">
        <f t="shared" si="19"/>
        <v>94.833998928373205</v>
      </c>
      <c r="AD596" t="s">
        <v>73</v>
      </c>
      <c r="AF596" t="s">
        <v>73</v>
      </c>
      <c r="AH596" t="s">
        <v>3463</v>
      </c>
      <c r="AI596" t="s">
        <v>3463</v>
      </c>
      <c r="AJ596" t="s">
        <v>3463</v>
      </c>
      <c r="AK596" t="s">
        <v>3463</v>
      </c>
      <c r="AL596" t="s">
        <v>3463</v>
      </c>
      <c r="AP596" t="s">
        <v>3463</v>
      </c>
      <c r="AQ596" t="s">
        <v>955</v>
      </c>
      <c r="AR596" t="s">
        <v>3512</v>
      </c>
      <c r="AV596" t="s">
        <v>126</v>
      </c>
      <c r="AW596" t="s">
        <v>126</v>
      </c>
      <c r="BF596" t="s">
        <v>3921</v>
      </c>
      <c r="BH596" t="s">
        <v>4020</v>
      </c>
      <c r="BP596" t="s">
        <v>4260</v>
      </c>
      <c r="BQ596" t="s">
        <v>3463</v>
      </c>
      <c r="BR596" t="s">
        <v>3463</v>
      </c>
      <c r="BS596" t="s">
        <v>3463</v>
      </c>
      <c r="BT596" t="s">
        <v>3463</v>
      </c>
      <c r="BU596" t="s">
        <v>3463</v>
      </c>
      <c r="BV596" t="s">
        <v>3463</v>
      </c>
      <c r="BW596" t="s">
        <v>3463</v>
      </c>
      <c r="BX596" t="s">
        <v>79</v>
      </c>
      <c r="BY596" t="s">
        <v>87</v>
      </c>
      <c r="BZ596" t="s">
        <v>79</v>
      </c>
      <c r="CA596" s="10">
        <v>45910</v>
      </c>
    </row>
    <row r="597" spans="1:79">
      <c r="A597">
        <v>603</v>
      </c>
      <c r="B597">
        <v>228</v>
      </c>
      <c r="C597">
        <v>49</v>
      </c>
      <c r="D597" t="s">
        <v>3466</v>
      </c>
      <c r="E597" t="s">
        <v>1128</v>
      </c>
      <c r="F597" t="s">
        <v>969</v>
      </c>
      <c r="G597" s="12" t="s">
        <v>3465</v>
      </c>
      <c r="H597" t="s">
        <v>88</v>
      </c>
      <c r="I597">
        <v>68</v>
      </c>
      <c r="J597">
        <v>68</v>
      </c>
      <c r="K597">
        <v>152</v>
      </c>
      <c r="L597">
        <v>82</v>
      </c>
      <c r="M597" t="s">
        <v>72</v>
      </c>
      <c r="N597">
        <v>128</v>
      </c>
      <c r="O597">
        <v>77</v>
      </c>
      <c r="P597" t="s">
        <v>118</v>
      </c>
      <c r="Q597" t="s">
        <v>118</v>
      </c>
      <c r="R597">
        <v>67.8</v>
      </c>
      <c r="S597">
        <v>152</v>
      </c>
      <c r="T597" s="8">
        <f t="shared" si="18"/>
        <v>29.345567867036014</v>
      </c>
      <c r="U597" s="13" t="str" cm="1">
        <f t="array" ref="U597">IF(T597="","",_xlfn.IFS(T597&lt;18.5,"Bajo peso",T597&lt;25,"Peso normal",T597&lt;30,"Sobrepeso",T597&lt;35,"Obesidad clase I",T597&lt;40,"Obesidad clase II",T597&gt;=40,"Obesidad clase III"))</f>
        <v>Sobrepeso</v>
      </c>
      <c r="V597">
        <v>87</v>
      </c>
      <c r="X597" t="s">
        <v>3463</v>
      </c>
      <c r="Y597">
        <v>0.96</v>
      </c>
      <c r="AA597">
        <v>73</v>
      </c>
      <c r="AB597" s="9">
        <f t="shared" si="19"/>
        <v>72.528993936610632</v>
      </c>
      <c r="AD597" t="s">
        <v>73</v>
      </c>
      <c r="AF597" t="s">
        <v>73</v>
      </c>
      <c r="AH597" t="s">
        <v>3463</v>
      </c>
      <c r="AI597" t="s">
        <v>3463</v>
      </c>
      <c r="AJ597" t="s">
        <v>3463</v>
      </c>
      <c r="AK597" t="s">
        <v>3463</v>
      </c>
      <c r="AL597" t="s">
        <v>3465</v>
      </c>
      <c r="AM597" t="s">
        <v>1517</v>
      </c>
      <c r="AN597" t="s">
        <v>3609</v>
      </c>
      <c r="AP597" t="s">
        <v>3463</v>
      </c>
      <c r="AT597" t="s">
        <v>3465</v>
      </c>
      <c r="AU597" t="s">
        <v>80</v>
      </c>
      <c r="AV597" t="s">
        <v>74</v>
      </c>
      <c r="AW597" t="s">
        <v>3915</v>
      </c>
      <c r="AX597" t="s">
        <v>3463</v>
      </c>
      <c r="AY597" t="s">
        <v>3465</v>
      </c>
      <c r="AZ597" t="s">
        <v>104</v>
      </c>
      <c r="BF597" t="s">
        <v>3921</v>
      </c>
      <c r="BG597" t="s">
        <v>1518</v>
      </c>
      <c r="BH597" t="s">
        <v>4147</v>
      </c>
      <c r="BL597" t="s">
        <v>1519</v>
      </c>
      <c r="BP597" t="s">
        <v>4310</v>
      </c>
      <c r="BQ597" t="s">
        <v>3463</v>
      </c>
      <c r="BR597" t="s">
        <v>3463</v>
      </c>
      <c r="BS597" t="s">
        <v>3465</v>
      </c>
      <c r="BT597" t="s">
        <v>3465</v>
      </c>
      <c r="BU597" t="s">
        <v>3463</v>
      </c>
      <c r="BV597" t="s">
        <v>3463</v>
      </c>
      <c r="BW597" t="s">
        <v>3463</v>
      </c>
      <c r="BX597" t="s">
        <v>79</v>
      </c>
      <c r="BY597" t="s">
        <v>87</v>
      </c>
      <c r="BZ597" t="s">
        <v>95</v>
      </c>
      <c r="CA597" s="10">
        <v>45910</v>
      </c>
    </row>
    <row r="598" spans="1:79">
      <c r="A598">
        <v>604</v>
      </c>
      <c r="B598">
        <v>229</v>
      </c>
      <c r="C598">
        <v>33</v>
      </c>
      <c r="D598" t="s">
        <v>3466</v>
      </c>
      <c r="E598" t="s">
        <v>1000</v>
      </c>
      <c r="F598" t="s">
        <v>168</v>
      </c>
      <c r="G598" s="12" t="s">
        <v>3463</v>
      </c>
      <c r="I598">
        <v>93</v>
      </c>
      <c r="J598">
        <v>90</v>
      </c>
      <c r="K598">
        <v>157</v>
      </c>
      <c r="L598">
        <v>93</v>
      </c>
      <c r="M598" t="s">
        <v>72</v>
      </c>
      <c r="N598">
        <v>158</v>
      </c>
      <c r="O598">
        <v>83</v>
      </c>
      <c r="P598" t="s">
        <v>72</v>
      </c>
      <c r="Q598" t="s">
        <v>72</v>
      </c>
      <c r="R598">
        <v>88.7</v>
      </c>
      <c r="S598">
        <v>165.5</v>
      </c>
      <c r="T598" s="8">
        <f t="shared" si="18"/>
        <v>32.383786201294257</v>
      </c>
      <c r="U598" s="13" t="str" cm="1">
        <f t="array" ref="U598">IF(T598="","",_xlfn.IFS(T598&lt;18.5,"Bajo peso",T598&lt;25,"Peso normal",T598&lt;30,"Sobrepeso",T598&lt;35,"Obesidad clase I",T598&lt;40,"Obesidad clase II",T598&gt;=40,"Obesidad clase III"))</f>
        <v>Obesidad clase I</v>
      </c>
      <c r="V598">
        <v>92</v>
      </c>
      <c r="X598" t="s">
        <v>3463</v>
      </c>
      <c r="Y598">
        <v>1.01</v>
      </c>
      <c r="AA598">
        <v>76</v>
      </c>
      <c r="AB598" s="9">
        <f t="shared" si="19"/>
        <v>75.381991341119985</v>
      </c>
      <c r="AD598" t="s">
        <v>73</v>
      </c>
      <c r="AF598" t="s">
        <v>73</v>
      </c>
      <c r="AH598" t="s">
        <v>3463</v>
      </c>
      <c r="AI598" t="s">
        <v>3465</v>
      </c>
      <c r="AJ598" t="s">
        <v>3463</v>
      </c>
      <c r="AK598" t="s">
        <v>3463</v>
      </c>
      <c r="AL598" t="s">
        <v>3463</v>
      </c>
      <c r="AP598" t="s">
        <v>3463</v>
      </c>
      <c r="AQ598" t="s">
        <v>1520</v>
      </c>
      <c r="AR598" t="s">
        <v>3491</v>
      </c>
      <c r="AS598" t="s">
        <v>3465</v>
      </c>
      <c r="AV598" t="s">
        <v>74</v>
      </c>
      <c r="AW598" t="s">
        <v>3915</v>
      </c>
      <c r="AX598" t="s">
        <v>3463</v>
      </c>
      <c r="AY598" t="s">
        <v>3465</v>
      </c>
      <c r="AZ598" t="s">
        <v>90</v>
      </c>
      <c r="BA598" t="s">
        <v>3920</v>
      </c>
      <c r="BF598" t="s">
        <v>3921</v>
      </c>
      <c r="BG598" t="s">
        <v>1521</v>
      </c>
      <c r="BH598" t="s">
        <v>4021</v>
      </c>
      <c r="BI598" t="s">
        <v>629</v>
      </c>
      <c r="BL598" t="s">
        <v>1522</v>
      </c>
      <c r="BP598" t="s">
        <v>4438</v>
      </c>
      <c r="BQ598" t="s">
        <v>3463</v>
      </c>
      <c r="BR598" t="s">
        <v>3463</v>
      </c>
      <c r="BS598" t="s">
        <v>3465</v>
      </c>
      <c r="BT598" t="s">
        <v>3465</v>
      </c>
      <c r="BU598" t="s">
        <v>3463</v>
      </c>
      <c r="BV598" t="s">
        <v>3463</v>
      </c>
      <c r="BW598" t="s">
        <v>3463</v>
      </c>
      <c r="BX598" t="s">
        <v>79</v>
      </c>
      <c r="BY598" t="s">
        <v>87</v>
      </c>
      <c r="BZ598" t="s">
        <v>95</v>
      </c>
      <c r="CA598" s="10">
        <v>45910</v>
      </c>
    </row>
    <row r="599" spans="1:79">
      <c r="A599">
        <v>605</v>
      </c>
      <c r="B599">
        <v>230</v>
      </c>
      <c r="C599">
        <v>46</v>
      </c>
      <c r="D599" t="s">
        <v>3462</v>
      </c>
      <c r="E599" t="s">
        <v>974</v>
      </c>
      <c r="F599" t="s">
        <v>969</v>
      </c>
      <c r="G599" s="12" t="s">
        <v>3463</v>
      </c>
      <c r="H599" s="12"/>
      <c r="I599">
        <v>90</v>
      </c>
      <c r="J599">
        <v>86</v>
      </c>
      <c r="K599">
        <v>164</v>
      </c>
      <c r="L599">
        <v>85</v>
      </c>
      <c r="M599" t="s">
        <v>72</v>
      </c>
      <c r="N599">
        <v>137</v>
      </c>
      <c r="O599">
        <v>90</v>
      </c>
      <c r="P599" t="s">
        <v>72</v>
      </c>
      <c r="Q599" t="s">
        <v>72</v>
      </c>
      <c r="R599">
        <v>67.599999999999994</v>
      </c>
      <c r="S599">
        <v>156.1</v>
      </c>
      <c r="T599" s="8">
        <f t="shared" si="18"/>
        <v>27.742199455744011</v>
      </c>
      <c r="U599" s="13" t="str" cm="1">
        <f t="array" ref="U599">IF(T599="","",_xlfn.IFS(T599&lt;18.5,"Bajo peso",T599&lt;25,"Peso normal",T599&lt;30,"Sobrepeso",T599&lt;35,"Obesidad clase I",T599&lt;40,"Obesidad clase II",T599&gt;=40,"Obesidad clase III"))</f>
        <v>Sobrepeso</v>
      </c>
      <c r="V599">
        <v>121</v>
      </c>
      <c r="X599" t="s">
        <v>3463</v>
      </c>
      <c r="Y599">
        <v>1.67</v>
      </c>
      <c r="AA599">
        <v>51</v>
      </c>
      <c r="AB599" s="9">
        <f t="shared" si="19"/>
        <v>50.801114618729265</v>
      </c>
      <c r="AD599" t="s">
        <v>158</v>
      </c>
      <c r="AF599" t="s">
        <v>158</v>
      </c>
      <c r="AH599" t="s">
        <v>3463</v>
      </c>
      <c r="AI599" t="s">
        <v>3463</v>
      </c>
      <c r="AJ599" t="s">
        <v>3463</v>
      </c>
      <c r="AK599" t="s">
        <v>3463</v>
      </c>
      <c r="AL599" t="s">
        <v>3463</v>
      </c>
      <c r="AO599" t="s">
        <v>3465</v>
      </c>
      <c r="AP599" t="s">
        <v>3465</v>
      </c>
      <c r="AV599" t="s">
        <v>74</v>
      </c>
      <c r="AW599" t="s">
        <v>3915</v>
      </c>
      <c r="BF599" t="s">
        <v>3921</v>
      </c>
      <c r="BH599" t="s">
        <v>4107</v>
      </c>
      <c r="BI599" t="s">
        <v>734</v>
      </c>
      <c r="BK599" t="s">
        <v>1523</v>
      </c>
      <c r="BL599" t="s">
        <v>1524</v>
      </c>
      <c r="BP599" t="s">
        <v>4373</v>
      </c>
      <c r="BQ599" t="s">
        <v>3463</v>
      </c>
      <c r="BR599" t="s">
        <v>3465</v>
      </c>
      <c r="BS599" t="s">
        <v>3463</v>
      </c>
      <c r="BT599" t="s">
        <v>3463</v>
      </c>
      <c r="BU599" t="s">
        <v>3463</v>
      </c>
      <c r="BV599" t="s">
        <v>3463</v>
      </c>
      <c r="BW599" t="s">
        <v>3463</v>
      </c>
      <c r="BX599" t="s">
        <v>79</v>
      </c>
      <c r="BY599" t="s">
        <v>87</v>
      </c>
      <c r="BZ599" t="s">
        <v>95</v>
      </c>
      <c r="CA599" s="10">
        <v>45910</v>
      </c>
    </row>
    <row r="600" spans="1:79">
      <c r="A600">
        <v>606</v>
      </c>
      <c r="B600">
        <v>231</v>
      </c>
      <c r="C600">
        <v>38</v>
      </c>
      <c r="D600" t="s">
        <v>3466</v>
      </c>
      <c r="F600" t="s">
        <v>168</v>
      </c>
      <c r="G600" s="12" t="s">
        <v>3465</v>
      </c>
      <c r="H600" t="s">
        <v>88</v>
      </c>
      <c r="I600">
        <v>78</v>
      </c>
      <c r="K600">
        <v>130</v>
      </c>
      <c r="L600">
        <v>78</v>
      </c>
      <c r="M600" t="s">
        <v>82</v>
      </c>
      <c r="P600" t="s">
        <v>83</v>
      </c>
      <c r="Q600" t="s">
        <v>82</v>
      </c>
      <c r="R600">
        <v>72.099999999999994</v>
      </c>
      <c r="S600">
        <v>154</v>
      </c>
      <c r="T600" s="8">
        <f t="shared" si="18"/>
        <v>30.401416765053128</v>
      </c>
      <c r="U600" s="13" t="str" cm="1">
        <f t="array" ref="U600">IF(T600="","",_xlfn.IFS(T600&lt;18.5,"Bajo peso",T600&lt;25,"Peso normal",T600&lt;30,"Sobrepeso",T600&lt;35,"Obesidad clase I",T600&lt;40,"Obesidad clase II",T600&gt;=40,"Obesidad clase III"))</f>
        <v>Obesidad clase I</v>
      </c>
      <c r="V600">
        <v>93</v>
      </c>
      <c r="X600" t="s">
        <v>3463</v>
      </c>
      <c r="Y600">
        <v>1.1599999999999999</v>
      </c>
      <c r="AA600">
        <v>62</v>
      </c>
      <c r="AB600" s="9">
        <f t="shared" si="19"/>
        <v>61.886885830367802</v>
      </c>
      <c r="AD600" t="s">
        <v>73</v>
      </c>
      <c r="AF600" t="s">
        <v>73</v>
      </c>
      <c r="AH600" t="s">
        <v>3463</v>
      </c>
      <c r="AI600" t="s">
        <v>3463</v>
      </c>
      <c r="AJ600" t="s">
        <v>3463</v>
      </c>
      <c r="AK600" t="s">
        <v>3463</v>
      </c>
      <c r="AL600" t="s">
        <v>3463</v>
      </c>
      <c r="AP600" t="s">
        <v>3463</v>
      </c>
      <c r="AQ600" t="s">
        <v>1525</v>
      </c>
      <c r="AR600" t="s">
        <v>3536</v>
      </c>
      <c r="AT600" t="s">
        <v>3463</v>
      </c>
      <c r="AV600" t="s">
        <v>178</v>
      </c>
      <c r="AW600" t="s">
        <v>3918</v>
      </c>
      <c r="AX600" t="s">
        <v>3463</v>
      </c>
      <c r="AY600" t="s">
        <v>3465</v>
      </c>
      <c r="AZ600" t="s">
        <v>1526</v>
      </c>
      <c r="BF600" t="s">
        <v>3921</v>
      </c>
      <c r="BH600" t="s">
        <v>4020</v>
      </c>
      <c r="BP600" t="s">
        <v>4260</v>
      </c>
      <c r="BQ600" t="s">
        <v>3463</v>
      </c>
      <c r="BR600" t="s">
        <v>3465</v>
      </c>
      <c r="BS600" t="s">
        <v>3465</v>
      </c>
      <c r="BT600" t="s">
        <v>3465</v>
      </c>
      <c r="BU600" t="s">
        <v>3463</v>
      </c>
      <c r="BV600" t="s">
        <v>3463</v>
      </c>
      <c r="BW600" t="s">
        <v>3463</v>
      </c>
      <c r="BX600" t="s">
        <v>79</v>
      </c>
      <c r="BY600" t="s">
        <v>87</v>
      </c>
      <c r="BZ600" t="s">
        <v>79</v>
      </c>
      <c r="CA600" s="10">
        <v>45910</v>
      </c>
    </row>
    <row r="601" spans="1:79">
      <c r="A601">
        <v>607</v>
      </c>
      <c r="B601">
        <v>232</v>
      </c>
      <c r="C601">
        <v>51</v>
      </c>
      <c r="D601" t="s">
        <v>3462</v>
      </c>
      <c r="E601" t="s">
        <v>1150</v>
      </c>
      <c r="F601" t="s">
        <v>969</v>
      </c>
      <c r="G601" s="12" t="s">
        <v>3465</v>
      </c>
      <c r="H601" s="12" t="s">
        <v>88</v>
      </c>
      <c r="I601">
        <v>75</v>
      </c>
      <c r="J601">
        <v>73</v>
      </c>
      <c r="K601">
        <v>140</v>
      </c>
      <c r="L601">
        <v>82</v>
      </c>
      <c r="M601" t="s">
        <v>72</v>
      </c>
      <c r="N601">
        <v>147</v>
      </c>
      <c r="O601">
        <v>84</v>
      </c>
      <c r="P601" t="s">
        <v>72</v>
      </c>
      <c r="Q601" t="s">
        <v>72</v>
      </c>
      <c r="R601">
        <v>74.099999999999994</v>
      </c>
      <c r="S601">
        <v>166.5</v>
      </c>
      <c r="T601" s="8">
        <f t="shared" si="18"/>
        <v>26.729432134837538</v>
      </c>
      <c r="U601" s="13" t="str" cm="1">
        <f t="array" ref="U601">IF(T601="","",_xlfn.IFS(T601&lt;18.5,"Bajo peso",T601&lt;25,"Peso normal",T601&lt;30,"Sobrepeso",T601&lt;35,"Obesidad clase I",T601&lt;40,"Obesidad clase II",T601&gt;=40,"Obesidad clase III"))</f>
        <v>Sobrepeso</v>
      </c>
      <c r="V601">
        <v>109</v>
      </c>
      <c r="X601" t="s">
        <v>3463</v>
      </c>
      <c r="Y601">
        <v>1.35</v>
      </c>
      <c r="AA601">
        <v>64</v>
      </c>
      <c r="AB601" s="9">
        <f t="shared" si="19"/>
        <v>63.566375113951956</v>
      </c>
      <c r="AD601" t="s">
        <v>73</v>
      </c>
      <c r="AF601" t="s">
        <v>73</v>
      </c>
      <c r="AH601" t="s">
        <v>3463</v>
      </c>
      <c r="AI601" t="s">
        <v>3465</v>
      </c>
      <c r="AJ601" t="s">
        <v>3465</v>
      </c>
      <c r="AK601" t="s">
        <v>3463</v>
      </c>
      <c r="AL601" t="s">
        <v>3463</v>
      </c>
      <c r="AP601" t="s">
        <v>3463</v>
      </c>
      <c r="AQ601" t="s">
        <v>120</v>
      </c>
      <c r="AR601" t="s">
        <v>3491</v>
      </c>
      <c r="AS601" t="s">
        <v>3465</v>
      </c>
      <c r="AV601" t="s">
        <v>74</v>
      </c>
      <c r="AW601" t="s">
        <v>3915</v>
      </c>
      <c r="BF601" t="s">
        <v>3921</v>
      </c>
      <c r="BH601" t="s">
        <v>4020</v>
      </c>
      <c r="BP601" t="s">
        <v>4260</v>
      </c>
      <c r="BQ601" t="s">
        <v>3463</v>
      </c>
      <c r="BR601" t="s">
        <v>3463</v>
      </c>
      <c r="BS601" t="s">
        <v>3463</v>
      </c>
      <c r="BT601" t="s">
        <v>3465</v>
      </c>
      <c r="BU601" t="s">
        <v>3463</v>
      </c>
      <c r="BV601" t="s">
        <v>3463</v>
      </c>
      <c r="BW601" t="s">
        <v>3463</v>
      </c>
      <c r="BX601" t="s">
        <v>79</v>
      </c>
      <c r="BY601" t="s">
        <v>87</v>
      </c>
      <c r="BZ601" t="s">
        <v>79</v>
      </c>
      <c r="CA601" s="10">
        <v>45910</v>
      </c>
    </row>
    <row r="602" spans="1:79">
      <c r="A602">
        <v>608</v>
      </c>
      <c r="B602">
        <v>233</v>
      </c>
      <c r="C602">
        <v>49</v>
      </c>
      <c r="D602" t="s">
        <v>3466</v>
      </c>
      <c r="E602" t="s">
        <v>974</v>
      </c>
      <c r="F602" t="s">
        <v>168</v>
      </c>
      <c r="G602" s="12" t="s">
        <v>3463</v>
      </c>
      <c r="H602" s="12"/>
      <c r="I602">
        <v>88</v>
      </c>
      <c r="J602">
        <v>68</v>
      </c>
      <c r="K602">
        <v>181</v>
      </c>
      <c r="L602">
        <v>87</v>
      </c>
      <c r="M602" t="s">
        <v>96</v>
      </c>
      <c r="N602">
        <v>177</v>
      </c>
      <c r="O602">
        <v>89</v>
      </c>
      <c r="P602" t="s">
        <v>72</v>
      </c>
      <c r="Q602" t="s">
        <v>72</v>
      </c>
      <c r="R602">
        <v>75</v>
      </c>
      <c r="S602">
        <v>155</v>
      </c>
      <c r="T602" s="8">
        <f t="shared" si="18"/>
        <v>31.217481789802289</v>
      </c>
      <c r="U602" s="13" t="str" cm="1">
        <f t="array" ref="U602">IF(T602="","",_xlfn.IFS(T602&lt;18.5,"Bajo peso",T602&lt;25,"Peso normal",T602&lt;30,"Sobrepeso",T602&lt;35,"Obesidad clase I",T602&lt;40,"Obesidad clase II",T602&gt;=40,"Obesidad clase III"))</f>
        <v>Obesidad clase I</v>
      </c>
      <c r="V602">
        <v>93</v>
      </c>
      <c r="W602">
        <v>93</v>
      </c>
      <c r="X602" t="s">
        <v>3463</v>
      </c>
      <c r="Y602">
        <v>2.0299999999999998</v>
      </c>
      <c r="Z602">
        <v>2.14</v>
      </c>
      <c r="AA602">
        <v>30</v>
      </c>
      <c r="AB602" s="9">
        <f t="shared" si="19"/>
        <v>29.528534091526122</v>
      </c>
      <c r="AC602">
        <v>28</v>
      </c>
      <c r="AD602" t="s">
        <v>218</v>
      </c>
      <c r="AE602" t="s">
        <v>303</v>
      </c>
      <c r="AF602" t="s">
        <v>218</v>
      </c>
      <c r="AH602" t="s">
        <v>3463</v>
      </c>
      <c r="AI602" t="s">
        <v>3463</v>
      </c>
      <c r="AJ602" t="s">
        <v>3463</v>
      </c>
      <c r="AK602" t="s">
        <v>3463</v>
      </c>
      <c r="AL602" t="s">
        <v>3465</v>
      </c>
      <c r="AM602" t="s">
        <v>1527</v>
      </c>
      <c r="AN602" t="s">
        <v>116</v>
      </c>
      <c r="AO602" t="s">
        <v>3463</v>
      </c>
      <c r="AP602" t="s">
        <v>3465</v>
      </c>
      <c r="AQ602" t="s">
        <v>1528</v>
      </c>
      <c r="AR602" t="s">
        <v>3516</v>
      </c>
      <c r="AT602" t="s">
        <v>3463</v>
      </c>
      <c r="AV602" t="s">
        <v>74</v>
      </c>
      <c r="AW602" t="s">
        <v>3915</v>
      </c>
      <c r="AX602" t="s">
        <v>3463</v>
      </c>
      <c r="AY602" t="s">
        <v>3465</v>
      </c>
      <c r="AZ602" t="s">
        <v>1110</v>
      </c>
      <c r="BF602" t="s">
        <v>3921</v>
      </c>
      <c r="BG602" t="s">
        <v>1501</v>
      </c>
      <c r="BH602" t="s">
        <v>4022</v>
      </c>
      <c r="BI602" t="s">
        <v>734</v>
      </c>
      <c r="BK602" t="s">
        <v>1529</v>
      </c>
      <c r="BL602" t="s">
        <v>1530</v>
      </c>
      <c r="BP602" t="s">
        <v>4373</v>
      </c>
      <c r="BQ602" t="s">
        <v>3463</v>
      </c>
      <c r="BR602" t="s">
        <v>3463</v>
      </c>
      <c r="BS602" t="s">
        <v>3465</v>
      </c>
      <c r="BT602" t="s">
        <v>3465</v>
      </c>
      <c r="BU602" t="s">
        <v>3463</v>
      </c>
      <c r="BV602" t="s">
        <v>3463</v>
      </c>
      <c r="BW602" t="s">
        <v>3463</v>
      </c>
      <c r="BX602" t="s">
        <v>518</v>
      </c>
      <c r="BY602" t="s">
        <v>87</v>
      </c>
      <c r="BZ602" t="s">
        <v>79</v>
      </c>
      <c r="CA602" s="10">
        <v>45910</v>
      </c>
    </row>
    <row r="603" spans="1:79">
      <c r="A603">
        <v>609</v>
      </c>
      <c r="B603">
        <v>234</v>
      </c>
      <c r="C603">
        <v>33</v>
      </c>
      <c r="D603" t="s">
        <v>3466</v>
      </c>
      <c r="F603" t="s">
        <v>168</v>
      </c>
      <c r="G603" s="12" t="s">
        <v>3463</v>
      </c>
      <c r="M603" t="s">
        <v>83</v>
      </c>
      <c r="P603" t="s">
        <v>83</v>
      </c>
      <c r="Q603" t="s">
        <v>83</v>
      </c>
      <c r="T603" s="8" t="str">
        <f t="shared" si="18"/>
        <v/>
      </c>
      <c r="U603" s="13" t="str" cm="1">
        <f t="array" ref="U603">IF(T603="","",_xlfn.IFS(T603&lt;18.5,"Bajo peso",T603&lt;25,"Peso normal",T603&lt;30,"Sobrepeso",T603&lt;35,"Obesidad clase I",T603&lt;40,"Obesidad clase II",T603&gt;=40,"Obesidad clase III"))</f>
        <v/>
      </c>
      <c r="AB603" s="9" t="str">
        <f t="shared" si="19"/>
        <v/>
      </c>
      <c r="AH603" t="s">
        <v>3463</v>
      </c>
      <c r="AI603" t="s">
        <v>3463</v>
      </c>
      <c r="AJ603" t="s">
        <v>3463</v>
      </c>
      <c r="AK603" t="s">
        <v>3463</v>
      </c>
      <c r="AL603" t="s">
        <v>3463</v>
      </c>
      <c r="AP603" t="s">
        <v>3463</v>
      </c>
      <c r="AQ603" t="s">
        <v>1531</v>
      </c>
      <c r="AR603" t="s">
        <v>3504</v>
      </c>
      <c r="AV603" t="s">
        <v>74</v>
      </c>
      <c r="AW603" t="s">
        <v>3915</v>
      </c>
      <c r="AX603" t="s">
        <v>3463</v>
      </c>
      <c r="AY603" t="s">
        <v>3465</v>
      </c>
      <c r="AZ603" t="s">
        <v>90</v>
      </c>
      <c r="BF603" t="s">
        <v>3921</v>
      </c>
      <c r="BH603" t="s">
        <v>4020</v>
      </c>
      <c r="BP603" t="s">
        <v>4260</v>
      </c>
      <c r="BQ603" t="s">
        <v>3463</v>
      </c>
      <c r="BR603" t="s">
        <v>3465</v>
      </c>
      <c r="BS603" t="s">
        <v>3465</v>
      </c>
      <c r="BT603" t="s">
        <v>3465</v>
      </c>
      <c r="BU603" t="s">
        <v>3463</v>
      </c>
      <c r="BV603" t="s">
        <v>3463</v>
      </c>
      <c r="BW603" t="s">
        <v>3463</v>
      </c>
      <c r="BX603" t="s">
        <v>79</v>
      </c>
      <c r="BY603" t="s">
        <v>87</v>
      </c>
      <c r="BZ603" t="s">
        <v>79</v>
      </c>
      <c r="CA603" s="10">
        <v>45910</v>
      </c>
    </row>
    <row r="604" spans="1:79">
      <c r="A604">
        <v>610</v>
      </c>
      <c r="B604">
        <v>235</v>
      </c>
      <c r="C604">
        <v>35</v>
      </c>
      <c r="D604" t="s">
        <v>3466</v>
      </c>
      <c r="F604" t="s">
        <v>1532</v>
      </c>
      <c r="G604" s="12" t="s">
        <v>3465</v>
      </c>
      <c r="H604" s="12" t="s">
        <v>88</v>
      </c>
      <c r="I604">
        <v>79</v>
      </c>
      <c r="K604">
        <v>116</v>
      </c>
      <c r="L604">
        <v>70</v>
      </c>
      <c r="M604" t="s">
        <v>80</v>
      </c>
      <c r="P604" t="s">
        <v>83</v>
      </c>
      <c r="Q604" t="s">
        <v>80</v>
      </c>
      <c r="R604">
        <v>69.2</v>
      </c>
      <c r="S604">
        <v>151.5</v>
      </c>
      <c r="T604" s="8">
        <f t="shared" si="18"/>
        <v>30.149549608426192</v>
      </c>
      <c r="U604" s="13" t="str" cm="1">
        <f t="array" ref="U604">IF(T604="","",_xlfn.IFS(T604&lt;18.5,"Bajo peso",T604&lt;25,"Peso normal",T604&lt;30,"Sobrepeso",T604&lt;35,"Obesidad clase I",T604&lt;40,"Obesidad clase II",T604&gt;=40,"Obesidad clase III"))</f>
        <v>Obesidad clase I</v>
      </c>
      <c r="V604">
        <v>93</v>
      </c>
      <c r="X604" t="s">
        <v>3463</v>
      </c>
      <c r="Y604">
        <v>1</v>
      </c>
      <c r="AA604">
        <v>76</v>
      </c>
      <c r="AB604" s="9">
        <f t="shared" si="19"/>
        <v>75.344445190308363</v>
      </c>
      <c r="AD604" t="s">
        <v>73</v>
      </c>
      <c r="AF604" t="s">
        <v>73</v>
      </c>
      <c r="AH604" t="s">
        <v>3463</v>
      </c>
      <c r="AI604" t="s">
        <v>3463</v>
      </c>
      <c r="AJ604" t="s">
        <v>3463</v>
      </c>
      <c r="AK604" t="s">
        <v>3463</v>
      </c>
      <c r="AL604" t="s">
        <v>3465</v>
      </c>
      <c r="AM604" t="s">
        <v>1533</v>
      </c>
      <c r="AN604" t="s">
        <v>3655</v>
      </c>
      <c r="AO604" t="s">
        <v>3465</v>
      </c>
      <c r="AP604" t="s">
        <v>3465</v>
      </c>
      <c r="AQ604" t="s">
        <v>1534</v>
      </c>
      <c r="AR604" t="s">
        <v>3491</v>
      </c>
      <c r="AT604" t="s">
        <v>3463</v>
      </c>
      <c r="AV604" t="s">
        <v>74</v>
      </c>
      <c r="AW604" t="s">
        <v>3915</v>
      </c>
      <c r="AX604" t="s">
        <v>3463</v>
      </c>
      <c r="AY604" t="s">
        <v>3465</v>
      </c>
      <c r="AZ604" t="s">
        <v>104</v>
      </c>
      <c r="BF604" t="s">
        <v>3921</v>
      </c>
      <c r="BH604" t="s">
        <v>4029</v>
      </c>
      <c r="BI604" t="s">
        <v>411</v>
      </c>
      <c r="BK604" t="s">
        <v>1535</v>
      </c>
      <c r="BL604" t="s">
        <v>1536</v>
      </c>
      <c r="BP604" t="s">
        <v>4336</v>
      </c>
      <c r="BQ604" t="s">
        <v>3463</v>
      </c>
      <c r="BR604" t="s">
        <v>3465</v>
      </c>
      <c r="BS604" t="s">
        <v>3465</v>
      </c>
      <c r="BT604" t="s">
        <v>3465</v>
      </c>
      <c r="BU604" t="s">
        <v>3463</v>
      </c>
      <c r="BV604" t="s">
        <v>3463</v>
      </c>
      <c r="BW604" t="s">
        <v>3463</v>
      </c>
      <c r="BX604" t="s">
        <v>79</v>
      </c>
      <c r="BY604" t="s">
        <v>87</v>
      </c>
      <c r="BZ604" t="s">
        <v>563</v>
      </c>
      <c r="CA604" s="10">
        <v>45910</v>
      </c>
    </row>
    <row r="605" spans="1:79">
      <c r="A605">
        <v>611</v>
      </c>
      <c r="B605">
        <v>236</v>
      </c>
      <c r="C605">
        <v>37</v>
      </c>
      <c r="D605" t="s">
        <v>3466</v>
      </c>
      <c r="E605" t="s">
        <v>1384</v>
      </c>
      <c r="F605" t="s">
        <v>969</v>
      </c>
      <c r="G605" s="12" t="s">
        <v>3465</v>
      </c>
      <c r="H605" t="s">
        <v>88</v>
      </c>
      <c r="I605">
        <v>107</v>
      </c>
      <c r="J605">
        <v>103</v>
      </c>
      <c r="K605">
        <v>143</v>
      </c>
      <c r="L605">
        <v>85</v>
      </c>
      <c r="M605" t="s">
        <v>72</v>
      </c>
      <c r="N605">
        <v>138</v>
      </c>
      <c r="O605">
        <v>88</v>
      </c>
      <c r="P605" t="s">
        <v>82</v>
      </c>
      <c r="Q605" t="s">
        <v>82</v>
      </c>
      <c r="R605">
        <v>101.5</v>
      </c>
      <c r="S605">
        <v>166.5</v>
      </c>
      <c r="T605" s="8">
        <f t="shared" si="18"/>
        <v>36.61318976634292</v>
      </c>
      <c r="U605" s="13" t="str" cm="1">
        <f t="array" ref="U605">IF(T605="","",_xlfn.IFS(T605&lt;18.5,"Bajo peso",T605&lt;25,"Peso normal",T605&lt;30,"Sobrepeso",T605&lt;35,"Obesidad clase I",T605&lt;40,"Obesidad clase II",T605&gt;=40,"Obesidad clase III"))</f>
        <v>Obesidad clase II</v>
      </c>
      <c r="V605">
        <v>100</v>
      </c>
      <c r="X605" t="s">
        <v>3463</v>
      </c>
      <c r="Y605">
        <v>1.0900000000000001</v>
      </c>
      <c r="AA605">
        <v>67</v>
      </c>
      <c r="AB605" s="9">
        <f t="shared" si="19"/>
        <v>67.102303123442425</v>
      </c>
      <c r="AD605" t="s">
        <v>73</v>
      </c>
      <c r="AF605" t="s">
        <v>73</v>
      </c>
      <c r="AH605" t="s">
        <v>3463</v>
      </c>
      <c r="AI605" t="s">
        <v>3463</v>
      </c>
      <c r="AJ605" t="s">
        <v>3463</v>
      </c>
      <c r="AK605" t="s">
        <v>3465</v>
      </c>
      <c r="AL605" t="s">
        <v>3463</v>
      </c>
      <c r="AP605" t="s">
        <v>3463</v>
      </c>
      <c r="AQ605" t="s">
        <v>143</v>
      </c>
      <c r="AR605" t="s">
        <v>3493</v>
      </c>
      <c r="AV605" t="s">
        <v>74</v>
      </c>
      <c r="AW605" t="s">
        <v>3915</v>
      </c>
      <c r="AX605" t="s">
        <v>3463</v>
      </c>
      <c r="AY605" t="s">
        <v>3465</v>
      </c>
      <c r="AZ605" t="s">
        <v>247</v>
      </c>
      <c r="BF605" t="s">
        <v>3921</v>
      </c>
      <c r="BH605" t="s">
        <v>4020</v>
      </c>
      <c r="BP605" t="s">
        <v>4260</v>
      </c>
      <c r="BQ605" t="s">
        <v>3463</v>
      </c>
      <c r="BR605" t="s">
        <v>3463</v>
      </c>
      <c r="BS605" t="s">
        <v>3465</v>
      </c>
      <c r="BT605" t="s">
        <v>3465</v>
      </c>
      <c r="BU605" t="s">
        <v>3463</v>
      </c>
      <c r="BV605" t="s">
        <v>3463</v>
      </c>
      <c r="BW605" t="s">
        <v>3463</v>
      </c>
      <c r="BX605" t="s">
        <v>79</v>
      </c>
      <c r="BY605" t="s">
        <v>87</v>
      </c>
      <c r="BZ605" t="s">
        <v>79</v>
      </c>
      <c r="CA605" s="10">
        <v>45910</v>
      </c>
    </row>
    <row r="606" spans="1:79">
      <c r="A606">
        <v>612</v>
      </c>
      <c r="B606">
        <v>237</v>
      </c>
      <c r="C606">
        <v>39</v>
      </c>
      <c r="D606" t="s">
        <v>3466</v>
      </c>
      <c r="E606" t="s">
        <v>1150</v>
      </c>
      <c r="F606" t="s">
        <v>1062</v>
      </c>
      <c r="G606" s="12" t="s">
        <v>3465</v>
      </c>
      <c r="H606" t="s">
        <v>88</v>
      </c>
      <c r="I606">
        <v>89</v>
      </c>
      <c r="J606">
        <v>90</v>
      </c>
      <c r="K606">
        <v>143</v>
      </c>
      <c r="L606">
        <v>83</v>
      </c>
      <c r="M606" t="s">
        <v>72</v>
      </c>
      <c r="N606">
        <v>141</v>
      </c>
      <c r="O606">
        <v>85</v>
      </c>
      <c r="P606" t="s">
        <v>72</v>
      </c>
      <c r="Q606" t="s">
        <v>72</v>
      </c>
      <c r="R606">
        <v>73.349999999999994</v>
      </c>
      <c r="S606">
        <v>148</v>
      </c>
      <c r="T606" s="8">
        <f t="shared" si="18"/>
        <v>33.487034331628927</v>
      </c>
      <c r="U606" s="13" t="str" cm="1">
        <f t="array" ref="U606">IF(T606="","",_xlfn.IFS(T606&lt;18.5,"Bajo peso",T606&lt;25,"Peso normal",T606&lt;30,"Sobrepeso",T606&lt;35,"Obesidad clase I",T606&lt;40,"Obesidad clase II",T606&gt;=40,"Obesidad clase III"))</f>
        <v>Obesidad clase I</v>
      </c>
      <c r="V606">
        <v>89</v>
      </c>
      <c r="X606" t="s">
        <v>3463</v>
      </c>
      <c r="Y606">
        <v>1.03</v>
      </c>
      <c r="AA606">
        <v>71</v>
      </c>
      <c r="AB606" s="9">
        <f t="shared" si="19"/>
        <v>70.93205452383296</v>
      </c>
      <c r="AD606" t="s">
        <v>73</v>
      </c>
      <c r="AF606" t="s">
        <v>73</v>
      </c>
      <c r="AH606" t="s">
        <v>3463</v>
      </c>
      <c r="AI606" t="s">
        <v>3463</v>
      </c>
      <c r="AJ606" t="s">
        <v>3463</v>
      </c>
      <c r="AK606" t="s">
        <v>3463</v>
      </c>
      <c r="AP606" t="s">
        <v>3463</v>
      </c>
      <c r="AQ606" t="s">
        <v>120</v>
      </c>
      <c r="AR606" t="s">
        <v>3491</v>
      </c>
      <c r="AT606" t="s">
        <v>3463</v>
      </c>
      <c r="AV606" t="s">
        <v>178</v>
      </c>
      <c r="AW606" t="s">
        <v>3918</v>
      </c>
      <c r="AX606" t="s">
        <v>3463</v>
      </c>
      <c r="AY606" t="s">
        <v>3465</v>
      </c>
      <c r="AZ606" t="s">
        <v>247</v>
      </c>
      <c r="BF606" t="s">
        <v>3921</v>
      </c>
      <c r="BG606" t="s">
        <v>1537</v>
      </c>
      <c r="BH606" t="s">
        <v>4157</v>
      </c>
      <c r="BI606" t="s">
        <v>76</v>
      </c>
      <c r="BP606" t="s">
        <v>4261</v>
      </c>
      <c r="BQ606" t="s">
        <v>3463</v>
      </c>
      <c r="BR606" t="s">
        <v>3463</v>
      </c>
      <c r="BS606" t="s">
        <v>3463</v>
      </c>
      <c r="BT606" t="s">
        <v>3465</v>
      </c>
      <c r="BU606" t="s">
        <v>3463</v>
      </c>
      <c r="BV606" t="s">
        <v>3463</v>
      </c>
      <c r="BW606" t="s">
        <v>3463</v>
      </c>
      <c r="BX606" t="s">
        <v>518</v>
      </c>
      <c r="BY606" t="s">
        <v>87</v>
      </c>
      <c r="BZ606" t="s">
        <v>79</v>
      </c>
      <c r="CA606" s="10">
        <v>45910</v>
      </c>
    </row>
    <row r="607" spans="1:79">
      <c r="A607">
        <v>613</v>
      </c>
      <c r="B607">
        <v>238</v>
      </c>
      <c r="C607">
        <v>38</v>
      </c>
      <c r="D607" t="s">
        <v>3466</v>
      </c>
      <c r="E607" t="s">
        <v>1000</v>
      </c>
      <c r="F607" t="s">
        <v>969</v>
      </c>
      <c r="G607" s="12" t="s">
        <v>3463</v>
      </c>
      <c r="H607" s="12"/>
      <c r="I607">
        <v>73</v>
      </c>
      <c r="J607">
        <v>70</v>
      </c>
      <c r="K607">
        <v>146</v>
      </c>
      <c r="L607">
        <v>74</v>
      </c>
      <c r="M607" t="s">
        <v>72</v>
      </c>
      <c r="N607">
        <v>129</v>
      </c>
      <c r="O607">
        <v>76</v>
      </c>
      <c r="P607" t="s">
        <v>118</v>
      </c>
      <c r="Q607" t="s">
        <v>118</v>
      </c>
      <c r="R607">
        <v>61.5</v>
      </c>
      <c r="S607">
        <v>152</v>
      </c>
      <c r="T607" s="8">
        <f t="shared" si="18"/>
        <v>26.618767313019394</v>
      </c>
      <c r="U607" s="13" t="str" cm="1">
        <f t="array" ref="U607">IF(T607="","",_xlfn.IFS(T607&lt;18.5,"Bajo peso",T607&lt;25,"Peso normal",T607&lt;30,"Sobrepeso",T607&lt;35,"Obesidad clase I",T607&lt;40,"Obesidad clase II",T607&gt;=40,"Obesidad clase III"))</f>
        <v>Sobrepeso</v>
      </c>
      <c r="V607">
        <v>84</v>
      </c>
      <c r="X607" t="s">
        <v>3463</v>
      </c>
      <c r="Y607">
        <v>1.41</v>
      </c>
      <c r="AA607">
        <v>49</v>
      </c>
      <c r="AB607" s="9">
        <f t="shared" si="19"/>
        <v>48.964946156664517</v>
      </c>
      <c r="AD607" t="s">
        <v>158</v>
      </c>
      <c r="AF607" t="s">
        <v>158</v>
      </c>
      <c r="AH607" t="s">
        <v>3463</v>
      </c>
      <c r="AI607" t="s">
        <v>3463</v>
      </c>
      <c r="AJ607" t="s">
        <v>3463</v>
      </c>
      <c r="AK607" t="s">
        <v>3463</v>
      </c>
      <c r="AL607" t="s">
        <v>3463</v>
      </c>
      <c r="AP607" t="s">
        <v>3463</v>
      </c>
      <c r="AV607" t="s">
        <v>74</v>
      </c>
      <c r="AW607" t="s">
        <v>3915</v>
      </c>
      <c r="AX607" t="s">
        <v>3463</v>
      </c>
      <c r="AY607" t="s">
        <v>3465</v>
      </c>
      <c r="AZ607" t="s">
        <v>90</v>
      </c>
      <c r="BF607" t="s">
        <v>3921</v>
      </c>
      <c r="BH607" t="s">
        <v>4022</v>
      </c>
      <c r="BK607" t="s">
        <v>1538</v>
      </c>
      <c r="BL607" t="s">
        <v>1539</v>
      </c>
      <c r="BP607" t="s">
        <v>4325</v>
      </c>
      <c r="BQ607" t="s">
        <v>3463</v>
      </c>
      <c r="BR607" t="s">
        <v>3463</v>
      </c>
      <c r="BS607" t="s">
        <v>3465</v>
      </c>
      <c r="BT607" t="s">
        <v>3465</v>
      </c>
      <c r="BU607" t="s">
        <v>3463</v>
      </c>
      <c r="BV607" t="s">
        <v>3463</v>
      </c>
      <c r="BW607" t="s">
        <v>3463</v>
      </c>
      <c r="BX607" t="s">
        <v>79</v>
      </c>
      <c r="BY607" t="s">
        <v>87</v>
      </c>
      <c r="BZ607" t="s">
        <v>79</v>
      </c>
      <c r="CA607" s="10">
        <v>45910</v>
      </c>
    </row>
    <row r="608" spans="1:79">
      <c r="A608">
        <v>614</v>
      </c>
      <c r="B608">
        <v>239</v>
      </c>
      <c r="C608">
        <v>64</v>
      </c>
      <c r="D608" t="s">
        <v>3462</v>
      </c>
      <c r="E608" t="s">
        <v>974</v>
      </c>
      <c r="F608" t="s">
        <v>1540</v>
      </c>
      <c r="G608" s="12" t="s">
        <v>3463</v>
      </c>
      <c r="H608" s="12"/>
      <c r="I608">
        <v>75</v>
      </c>
      <c r="J608">
        <v>74</v>
      </c>
      <c r="K608">
        <v>163</v>
      </c>
      <c r="L608">
        <v>92</v>
      </c>
      <c r="M608" t="s">
        <v>72</v>
      </c>
      <c r="N608">
        <v>157</v>
      </c>
      <c r="O608">
        <v>94</v>
      </c>
      <c r="P608" t="s">
        <v>72</v>
      </c>
      <c r="Q608" t="s">
        <v>72</v>
      </c>
      <c r="R608">
        <v>80.900000000000006</v>
      </c>
      <c r="S608">
        <v>150.5</v>
      </c>
      <c r="T608" s="8">
        <f t="shared" si="18"/>
        <v>35.717045065727753</v>
      </c>
      <c r="U608" s="13" t="str" cm="1">
        <f t="array" ref="U608">IF(T608="","",_xlfn.IFS(T608&lt;18.5,"Bajo peso",T608&lt;25,"Peso normal",T608&lt;30,"Sobrepeso",T608&lt;35,"Obesidad clase I",T608&lt;40,"Obesidad clase II",T608&gt;=40,"Obesidad clase III"))</f>
        <v>Obesidad clase II</v>
      </c>
      <c r="V608">
        <v>104</v>
      </c>
      <c r="X608" t="s">
        <v>3463</v>
      </c>
      <c r="Y608">
        <v>0.91</v>
      </c>
      <c r="AA608">
        <v>90</v>
      </c>
      <c r="AB608" s="9">
        <f t="shared" si="19"/>
        <v>94.116376659399705</v>
      </c>
      <c r="AD608" t="s">
        <v>73</v>
      </c>
      <c r="AF608" t="s">
        <v>73</v>
      </c>
      <c r="AH608" t="s">
        <v>3464</v>
      </c>
      <c r="AI608" t="s">
        <v>3464</v>
      </c>
      <c r="AJ608" t="s">
        <v>3465</v>
      </c>
      <c r="AK608" t="s">
        <v>3463</v>
      </c>
      <c r="AL608" t="s">
        <v>3463</v>
      </c>
      <c r="AP608" t="s">
        <v>3463</v>
      </c>
      <c r="AQ608" t="s">
        <v>1372</v>
      </c>
      <c r="AR608" t="s">
        <v>3493</v>
      </c>
      <c r="AV608" t="s">
        <v>74</v>
      </c>
      <c r="AW608" t="s">
        <v>3915</v>
      </c>
      <c r="BF608" t="s">
        <v>3921</v>
      </c>
      <c r="BH608" t="s">
        <v>4020</v>
      </c>
      <c r="BP608" t="s">
        <v>4260</v>
      </c>
      <c r="BQ608" t="s">
        <v>3463</v>
      </c>
      <c r="BR608" t="s">
        <v>3465</v>
      </c>
      <c r="BS608" t="s">
        <v>3465</v>
      </c>
      <c r="BT608" t="s">
        <v>3465</v>
      </c>
      <c r="BU608" t="s">
        <v>3463</v>
      </c>
      <c r="BV608" t="s">
        <v>3463</v>
      </c>
      <c r="BW608" t="s">
        <v>3463</v>
      </c>
      <c r="BX608" t="s">
        <v>79</v>
      </c>
      <c r="BY608" t="s">
        <v>87</v>
      </c>
      <c r="BZ608" t="s">
        <v>79</v>
      </c>
      <c r="CA608" s="10">
        <v>45910</v>
      </c>
    </row>
    <row r="609" spans="1:79">
      <c r="A609">
        <v>615</v>
      </c>
      <c r="B609">
        <v>240</v>
      </c>
      <c r="C609">
        <v>63</v>
      </c>
      <c r="D609" t="s">
        <v>3462</v>
      </c>
      <c r="E609" t="s">
        <v>1005</v>
      </c>
      <c r="F609" t="s">
        <v>969</v>
      </c>
      <c r="G609" s="12" t="s">
        <v>3465</v>
      </c>
      <c r="H609" t="s">
        <v>88</v>
      </c>
      <c r="I609">
        <v>78</v>
      </c>
      <c r="K609">
        <v>120</v>
      </c>
      <c r="L609">
        <v>76</v>
      </c>
      <c r="M609" t="s">
        <v>118</v>
      </c>
      <c r="P609" t="s">
        <v>83</v>
      </c>
      <c r="Q609" t="s">
        <v>118</v>
      </c>
      <c r="R609">
        <v>79.3</v>
      </c>
      <c r="S609">
        <v>156.1</v>
      </c>
      <c r="T609" s="8">
        <f t="shared" si="18"/>
        <v>32.543733976930476</v>
      </c>
      <c r="U609" s="13" t="str" cm="1">
        <f t="array" ref="U609">IF(T609="","",_xlfn.IFS(T609&lt;18.5,"Bajo peso",T609&lt;25,"Peso normal",T609&lt;30,"Sobrepeso",T609&lt;35,"Obesidad clase I",T609&lt;40,"Obesidad clase II",T609&gt;=40,"Obesidad clase III"))</f>
        <v>Obesidad clase I</v>
      </c>
      <c r="V609">
        <v>393</v>
      </c>
      <c r="X609" t="s">
        <v>3465</v>
      </c>
      <c r="Y609">
        <v>1.29</v>
      </c>
      <c r="AA609">
        <v>62</v>
      </c>
      <c r="AB609" s="9">
        <f t="shared" si="19"/>
        <v>62.302894693046085</v>
      </c>
      <c r="AD609" t="s">
        <v>73</v>
      </c>
      <c r="AF609" t="s">
        <v>73</v>
      </c>
      <c r="AG609" t="s">
        <v>3465</v>
      </c>
      <c r="AH609" t="s">
        <v>3465</v>
      </c>
      <c r="AI609" t="s">
        <v>3463</v>
      </c>
      <c r="AJ609" t="s">
        <v>3463</v>
      </c>
      <c r="AK609" t="s">
        <v>3464</v>
      </c>
      <c r="AL609" t="s">
        <v>3465</v>
      </c>
      <c r="AM609" t="s">
        <v>1541</v>
      </c>
      <c r="AN609" t="s">
        <v>3743</v>
      </c>
      <c r="AP609" t="s">
        <v>3463</v>
      </c>
      <c r="AQ609" t="s">
        <v>1542</v>
      </c>
      <c r="AR609" t="s">
        <v>3536</v>
      </c>
      <c r="AV609" t="s">
        <v>178</v>
      </c>
      <c r="AW609" t="s">
        <v>3918</v>
      </c>
      <c r="BB609" t="s">
        <v>3485</v>
      </c>
      <c r="BC609" t="s">
        <v>128</v>
      </c>
      <c r="BE609" t="s">
        <v>153</v>
      </c>
      <c r="BF609" t="s">
        <v>153</v>
      </c>
      <c r="BG609" t="s">
        <v>1543</v>
      </c>
      <c r="BH609" t="s">
        <v>4158</v>
      </c>
      <c r="BK609" t="s">
        <v>1544</v>
      </c>
      <c r="BL609" t="s">
        <v>1545</v>
      </c>
      <c r="BP609" t="s">
        <v>4405</v>
      </c>
      <c r="BQ609" t="s">
        <v>3463</v>
      </c>
      <c r="BR609" t="s">
        <v>3463</v>
      </c>
      <c r="BS609" t="s">
        <v>3463</v>
      </c>
      <c r="BT609" t="s">
        <v>3463</v>
      </c>
      <c r="BU609" t="s">
        <v>3463</v>
      </c>
      <c r="BV609" t="s">
        <v>3463</v>
      </c>
      <c r="BW609" t="s">
        <v>3463</v>
      </c>
      <c r="BX609" t="s">
        <v>79</v>
      </c>
      <c r="BY609" t="s">
        <v>121</v>
      </c>
      <c r="BZ609" t="s">
        <v>79</v>
      </c>
      <c r="CA609" s="10">
        <v>45910</v>
      </c>
    </row>
    <row r="610" spans="1:79">
      <c r="A610">
        <v>616</v>
      </c>
      <c r="B610">
        <v>241</v>
      </c>
      <c r="C610">
        <v>50</v>
      </c>
      <c r="D610" t="s">
        <v>3466</v>
      </c>
      <c r="E610" t="s">
        <v>1384</v>
      </c>
      <c r="F610" t="s">
        <v>969</v>
      </c>
      <c r="G610" s="12" t="s">
        <v>3465</v>
      </c>
      <c r="H610" t="s">
        <v>88</v>
      </c>
      <c r="I610">
        <v>74</v>
      </c>
      <c r="K610">
        <v>135</v>
      </c>
      <c r="L610">
        <v>82</v>
      </c>
      <c r="M610" t="s">
        <v>82</v>
      </c>
      <c r="P610" t="s">
        <v>83</v>
      </c>
      <c r="Q610" t="s">
        <v>82</v>
      </c>
      <c r="R610">
        <v>67.7</v>
      </c>
      <c r="S610">
        <v>151</v>
      </c>
      <c r="T610" s="8">
        <f t="shared" si="18"/>
        <v>29.691680189465373</v>
      </c>
      <c r="U610" s="13" t="str" cm="1">
        <f t="array" ref="U610">IF(T610="","",_xlfn.IFS(T610&lt;18.5,"Bajo peso",T610&lt;25,"Peso normal",T610&lt;30,"Sobrepeso",T610&lt;35,"Obesidad clase I",T610&lt;40,"Obesidad clase II",T610&gt;=40,"Obesidad clase III"))</f>
        <v>Sobrepeso</v>
      </c>
      <c r="V610">
        <v>168</v>
      </c>
      <c r="X610" t="s">
        <v>3463</v>
      </c>
      <c r="Y610">
        <v>0.73</v>
      </c>
      <c r="AA610">
        <v>90</v>
      </c>
      <c r="AB610" s="9">
        <f t="shared" si="19"/>
        <v>100.12642113060123</v>
      </c>
      <c r="AD610" t="s">
        <v>73</v>
      </c>
      <c r="AF610" t="s">
        <v>73</v>
      </c>
      <c r="AG610" t="s">
        <v>3465</v>
      </c>
      <c r="AH610" t="s">
        <v>3465</v>
      </c>
      <c r="AI610" t="s">
        <v>3463</v>
      </c>
      <c r="AJ610" t="s">
        <v>3463</v>
      </c>
      <c r="AK610" t="s">
        <v>3463</v>
      </c>
      <c r="AL610" t="s">
        <v>3465</v>
      </c>
      <c r="AM610" t="s">
        <v>1546</v>
      </c>
      <c r="AN610" t="s">
        <v>3744</v>
      </c>
      <c r="AP610" t="s">
        <v>3464</v>
      </c>
      <c r="AT610" t="s">
        <v>3465</v>
      </c>
      <c r="AU610" t="s">
        <v>80</v>
      </c>
      <c r="AV610" t="s">
        <v>74</v>
      </c>
      <c r="AW610" t="s">
        <v>3915</v>
      </c>
      <c r="AX610" t="s">
        <v>3463</v>
      </c>
      <c r="AY610" t="s">
        <v>3465</v>
      </c>
      <c r="AZ610" t="s">
        <v>104</v>
      </c>
      <c r="BB610" t="s">
        <v>3485</v>
      </c>
      <c r="BF610" t="s">
        <v>3921</v>
      </c>
      <c r="BG610" t="s">
        <v>1547</v>
      </c>
      <c r="BH610" t="s">
        <v>4159</v>
      </c>
      <c r="BK610" t="s">
        <v>296</v>
      </c>
      <c r="BL610" t="s">
        <v>1548</v>
      </c>
      <c r="BP610" t="s">
        <v>4392</v>
      </c>
      <c r="BQ610" t="s">
        <v>3463</v>
      </c>
      <c r="BR610" t="s">
        <v>3465</v>
      </c>
      <c r="BS610" t="s">
        <v>3463</v>
      </c>
      <c r="BT610" t="s">
        <v>3463</v>
      </c>
      <c r="BU610" t="s">
        <v>3463</v>
      </c>
      <c r="BV610" t="s">
        <v>3463</v>
      </c>
      <c r="BW610" t="s">
        <v>3463</v>
      </c>
      <c r="BX610" t="s">
        <v>79</v>
      </c>
      <c r="BY610" t="s">
        <v>87</v>
      </c>
      <c r="BZ610" t="s">
        <v>95</v>
      </c>
      <c r="CA610" s="10">
        <v>45910</v>
      </c>
    </row>
    <row r="611" spans="1:79">
      <c r="A611">
        <v>617</v>
      </c>
      <c r="B611">
        <v>242</v>
      </c>
      <c r="C611">
        <v>24</v>
      </c>
      <c r="D611" t="s">
        <v>3466</v>
      </c>
      <c r="E611" t="s">
        <v>1000</v>
      </c>
      <c r="F611" t="s">
        <v>969</v>
      </c>
      <c r="G611" s="12" t="s">
        <v>3465</v>
      </c>
      <c r="H611" s="12" t="s">
        <v>88</v>
      </c>
      <c r="I611">
        <v>71</v>
      </c>
      <c r="K611">
        <v>124</v>
      </c>
      <c r="L611">
        <v>64</v>
      </c>
      <c r="M611" t="s">
        <v>118</v>
      </c>
      <c r="P611" t="s">
        <v>83</v>
      </c>
      <c r="Q611" t="s">
        <v>118</v>
      </c>
      <c r="R611">
        <v>64.599999999999994</v>
      </c>
      <c r="S611">
        <v>155</v>
      </c>
      <c r="T611" s="8">
        <f t="shared" si="18"/>
        <v>26.888657648283036</v>
      </c>
      <c r="U611" s="13" t="str" cm="1">
        <f t="array" ref="U611">IF(T611="","",_xlfn.IFS(T611&lt;18.5,"Bajo peso",T611&lt;25,"Peso normal",T611&lt;30,"Sobrepeso",T611&lt;35,"Obesidad clase I",T611&lt;40,"Obesidad clase II",T611&gt;=40,"Obesidad clase III"))</f>
        <v>Sobrepeso</v>
      </c>
      <c r="V611">
        <v>88</v>
      </c>
      <c r="X611" t="s">
        <v>3463</v>
      </c>
      <c r="Y611">
        <v>1.1000000000000001</v>
      </c>
      <c r="AA611">
        <v>72</v>
      </c>
      <c r="AB611" s="9">
        <f t="shared" si="19"/>
        <v>71.959991030800282</v>
      </c>
      <c r="AD611" t="s">
        <v>73</v>
      </c>
      <c r="AF611" t="s">
        <v>73</v>
      </c>
      <c r="AH611" t="s">
        <v>3463</v>
      </c>
      <c r="AI611" t="s">
        <v>3463</v>
      </c>
      <c r="AJ611" t="s">
        <v>3463</v>
      </c>
      <c r="AK611" t="s">
        <v>3463</v>
      </c>
      <c r="AL611" t="s">
        <v>3463</v>
      </c>
      <c r="AP611" t="s">
        <v>3463</v>
      </c>
      <c r="AQ611" t="s">
        <v>1549</v>
      </c>
      <c r="AR611" t="s">
        <v>3493</v>
      </c>
      <c r="AV611" t="s">
        <v>74</v>
      </c>
      <c r="AW611" t="s">
        <v>3915</v>
      </c>
      <c r="AX611" t="s">
        <v>3463</v>
      </c>
      <c r="AY611" t="s">
        <v>3463</v>
      </c>
      <c r="BF611" t="s">
        <v>3921</v>
      </c>
      <c r="BH611" t="s">
        <v>4076</v>
      </c>
      <c r="BI611" t="s">
        <v>411</v>
      </c>
      <c r="BK611" t="s">
        <v>68</v>
      </c>
      <c r="BL611" t="s">
        <v>1550</v>
      </c>
      <c r="BP611" t="s">
        <v>4336</v>
      </c>
      <c r="BQ611" t="s">
        <v>3463</v>
      </c>
      <c r="BR611" t="s">
        <v>3463</v>
      </c>
      <c r="BS611" t="s">
        <v>3463</v>
      </c>
      <c r="BT611" t="s">
        <v>3463</v>
      </c>
      <c r="BU611" t="s">
        <v>3463</v>
      </c>
      <c r="BV611" t="s">
        <v>3463</v>
      </c>
      <c r="BW611" t="s">
        <v>3463</v>
      </c>
      <c r="BX611" t="s">
        <v>79</v>
      </c>
      <c r="BY611" t="s">
        <v>87</v>
      </c>
      <c r="BZ611" t="s">
        <v>95</v>
      </c>
      <c r="CA611" s="10">
        <v>45910</v>
      </c>
    </row>
    <row r="612" spans="1:79">
      <c r="A612">
        <v>618</v>
      </c>
      <c r="B612">
        <v>243</v>
      </c>
      <c r="C612">
        <v>45</v>
      </c>
      <c r="D612" t="s">
        <v>3462</v>
      </c>
      <c r="E612" t="s">
        <v>1038</v>
      </c>
      <c r="F612" t="s">
        <v>969</v>
      </c>
      <c r="G612" s="12" t="s">
        <v>3465</v>
      </c>
      <c r="H612" s="12" t="s">
        <v>88</v>
      </c>
      <c r="I612">
        <v>76</v>
      </c>
      <c r="K612">
        <v>125</v>
      </c>
      <c r="L612">
        <v>80</v>
      </c>
      <c r="M612" t="s">
        <v>82</v>
      </c>
      <c r="P612" t="s">
        <v>83</v>
      </c>
      <c r="Q612" t="s">
        <v>82</v>
      </c>
      <c r="R612">
        <v>80.7</v>
      </c>
      <c r="S612">
        <v>161</v>
      </c>
      <c r="T612" s="8">
        <f t="shared" si="18"/>
        <v>31.133058138189114</v>
      </c>
      <c r="U612" s="13" t="str" cm="1">
        <f t="array" ref="U612">IF(T612="","",_xlfn.IFS(T612&lt;18.5,"Bajo peso",T612&lt;25,"Peso normal",T612&lt;30,"Sobrepeso",T612&lt;35,"Obesidad clase I",T612&lt;40,"Obesidad clase II",T612&gt;=40,"Obesidad clase III"))</f>
        <v>Obesidad clase I</v>
      </c>
      <c r="V612">
        <v>118</v>
      </c>
      <c r="X612" t="s">
        <v>3463</v>
      </c>
      <c r="Y612">
        <v>1.61</v>
      </c>
      <c r="AA612">
        <v>53</v>
      </c>
      <c r="AB612" s="9">
        <f t="shared" si="19"/>
        <v>53.412507019461657</v>
      </c>
      <c r="AD612" t="s">
        <v>158</v>
      </c>
      <c r="AF612" t="s">
        <v>158</v>
      </c>
      <c r="AH612" t="s">
        <v>3463</v>
      </c>
      <c r="AI612" t="s">
        <v>3463</v>
      </c>
      <c r="AJ612" t="s">
        <v>3463</v>
      </c>
      <c r="AK612" t="s">
        <v>3463</v>
      </c>
      <c r="AL612" t="s">
        <v>3463</v>
      </c>
      <c r="AP612" t="s">
        <v>3463</v>
      </c>
      <c r="AV612" t="s">
        <v>178</v>
      </c>
      <c r="AW612" t="s">
        <v>3918</v>
      </c>
      <c r="BF612" t="s">
        <v>3921</v>
      </c>
      <c r="BH612" t="s">
        <v>4029</v>
      </c>
      <c r="BL612" t="s">
        <v>1374</v>
      </c>
      <c r="BP612" t="s">
        <v>4260</v>
      </c>
      <c r="BQ612" t="s">
        <v>3463</v>
      </c>
      <c r="BR612" t="s">
        <v>3465</v>
      </c>
      <c r="BS612" t="s">
        <v>3463</v>
      </c>
      <c r="BT612" t="s">
        <v>3463</v>
      </c>
      <c r="BU612" t="s">
        <v>3463</v>
      </c>
      <c r="BV612" t="s">
        <v>3463</v>
      </c>
      <c r="BW612" t="s">
        <v>3463</v>
      </c>
      <c r="BX612" t="s">
        <v>79</v>
      </c>
      <c r="BY612" t="s">
        <v>87</v>
      </c>
      <c r="BZ612" t="s">
        <v>79</v>
      </c>
      <c r="CA612" s="10">
        <v>45910</v>
      </c>
    </row>
    <row r="613" spans="1:79">
      <c r="A613">
        <v>619</v>
      </c>
      <c r="B613">
        <v>244</v>
      </c>
      <c r="C613">
        <v>32</v>
      </c>
      <c r="D613" t="s">
        <v>3462</v>
      </c>
      <c r="E613" t="s">
        <v>1150</v>
      </c>
      <c r="F613" t="s">
        <v>969</v>
      </c>
      <c r="G613" s="12" t="s">
        <v>3465</v>
      </c>
      <c r="H613" s="12" t="s">
        <v>88</v>
      </c>
      <c r="I613">
        <v>68</v>
      </c>
      <c r="J613">
        <v>69</v>
      </c>
      <c r="K613">
        <v>154</v>
      </c>
      <c r="L613">
        <v>92</v>
      </c>
      <c r="M613" t="s">
        <v>72</v>
      </c>
      <c r="N613">
        <v>149</v>
      </c>
      <c r="O613">
        <v>89</v>
      </c>
      <c r="P613" t="s">
        <v>72</v>
      </c>
      <c r="Q613" t="s">
        <v>72</v>
      </c>
      <c r="R613">
        <v>103.2</v>
      </c>
      <c r="S613">
        <v>153</v>
      </c>
      <c r="T613" s="8">
        <f t="shared" si="18"/>
        <v>44.085608099448933</v>
      </c>
      <c r="U613" s="13" t="str" cm="1">
        <f t="array" ref="U613">IF(T613="","",_xlfn.IFS(T613&lt;18.5,"Bajo peso",T613&lt;25,"Peso normal",T613&lt;30,"Sobrepeso",T613&lt;35,"Obesidad clase I",T613&lt;40,"Obesidad clase II",T613&gt;=40,"Obesidad clase III"))</f>
        <v>Obesidad clase III</v>
      </c>
      <c r="V613">
        <v>135</v>
      </c>
      <c r="X613" t="s">
        <v>3463</v>
      </c>
      <c r="Y613">
        <v>0.75</v>
      </c>
      <c r="AA613">
        <v>90</v>
      </c>
      <c r="AB613" s="9">
        <f t="shared" si="19"/>
        <v>122.96141090983028</v>
      </c>
      <c r="AD613" t="s">
        <v>73</v>
      </c>
      <c r="AF613" t="s">
        <v>73</v>
      </c>
      <c r="AH613" t="s">
        <v>3463</v>
      </c>
      <c r="AI613" t="s">
        <v>3465</v>
      </c>
      <c r="AJ613" t="s">
        <v>3463</v>
      </c>
      <c r="AK613" t="s">
        <v>3463</v>
      </c>
      <c r="AL613" t="s">
        <v>3464</v>
      </c>
      <c r="AP613" t="s">
        <v>3464</v>
      </c>
      <c r="AQ613" t="s">
        <v>399</v>
      </c>
      <c r="AR613" t="s">
        <v>3505</v>
      </c>
      <c r="AS613" t="s">
        <v>3464</v>
      </c>
      <c r="AV613" t="s">
        <v>74</v>
      </c>
      <c r="AW613" t="s">
        <v>3915</v>
      </c>
      <c r="BC613" t="s">
        <v>128</v>
      </c>
      <c r="BF613" t="s">
        <v>3921</v>
      </c>
      <c r="BG613" t="s">
        <v>1551</v>
      </c>
      <c r="BH613" t="s">
        <v>4017</v>
      </c>
      <c r="BI613" t="s">
        <v>76</v>
      </c>
      <c r="BK613" t="s">
        <v>421</v>
      </c>
      <c r="BL613" t="s">
        <v>1552</v>
      </c>
      <c r="BP613" t="s">
        <v>4261</v>
      </c>
      <c r="BQ613" t="s">
        <v>3463</v>
      </c>
      <c r="BR613" t="s">
        <v>3465</v>
      </c>
      <c r="BS613" t="s">
        <v>3463</v>
      </c>
      <c r="BT613" t="s">
        <v>3463</v>
      </c>
      <c r="BU613" t="s">
        <v>3463</v>
      </c>
      <c r="BV613" t="s">
        <v>3463</v>
      </c>
      <c r="BW613" t="s">
        <v>3463</v>
      </c>
      <c r="BX613" t="s">
        <v>79</v>
      </c>
      <c r="BY613" t="s">
        <v>87</v>
      </c>
      <c r="BZ613" t="s">
        <v>79</v>
      </c>
      <c r="CA613" s="10">
        <v>45910</v>
      </c>
    </row>
    <row r="614" spans="1:79">
      <c r="A614">
        <v>620</v>
      </c>
      <c r="B614">
        <v>245</v>
      </c>
      <c r="C614">
        <v>50</v>
      </c>
      <c r="D614" t="s">
        <v>3466</v>
      </c>
      <c r="E614" t="s">
        <v>1000</v>
      </c>
      <c r="F614" t="s">
        <v>969</v>
      </c>
      <c r="G614" s="12" t="s">
        <v>3465</v>
      </c>
      <c r="H614" t="s">
        <v>88</v>
      </c>
      <c r="I614">
        <v>71</v>
      </c>
      <c r="K614">
        <v>118</v>
      </c>
      <c r="L614">
        <v>65</v>
      </c>
      <c r="M614" t="s">
        <v>80</v>
      </c>
      <c r="P614" t="s">
        <v>83</v>
      </c>
      <c r="Q614" t="s">
        <v>80</v>
      </c>
      <c r="R614">
        <v>60.7</v>
      </c>
      <c r="S614">
        <v>150.9</v>
      </c>
      <c r="T614" s="8">
        <f t="shared" si="18"/>
        <v>26.65693490921052</v>
      </c>
      <c r="U614" s="13" t="str" cm="1">
        <f t="array" ref="U614">IF(T614="","",_xlfn.IFS(T614&lt;18.5,"Bajo peso",T614&lt;25,"Peso normal",T614&lt;30,"Sobrepeso",T614&lt;35,"Obesidad clase I",T614&lt;40,"Obesidad clase II",T614&gt;=40,"Obesidad clase III"))</f>
        <v>Sobrepeso</v>
      </c>
      <c r="V614">
        <v>111</v>
      </c>
      <c r="X614" t="s">
        <v>3463</v>
      </c>
      <c r="Y614">
        <v>0.9</v>
      </c>
      <c r="AA614">
        <v>78</v>
      </c>
      <c r="AB614" s="9">
        <f t="shared" si="19"/>
        <v>77.883437958390559</v>
      </c>
      <c r="AD614" t="s">
        <v>73</v>
      </c>
      <c r="AF614" t="s">
        <v>73</v>
      </c>
      <c r="AH614" t="s">
        <v>3463</v>
      </c>
      <c r="AI614" t="s">
        <v>3463</v>
      </c>
      <c r="AJ614" t="s">
        <v>3463</v>
      </c>
      <c r="AK614" t="s">
        <v>3463</v>
      </c>
      <c r="AL614" t="s">
        <v>3463</v>
      </c>
      <c r="AP614" t="s">
        <v>3463</v>
      </c>
      <c r="AQ614" t="s">
        <v>1112</v>
      </c>
      <c r="AR614" t="s">
        <v>3488</v>
      </c>
      <c r="AT614" t="s">
        <v>3463</v>
      </c>
      <c r="AV614" t="s">
        <v>74</v>
      </c>
      <c r="AW614" t="s">
        <v>3915</v>
      </c>
      <c r="AX614" t="s">
        <v>3463</v>
      </c>
      <c r="AY614" t="s">
        <v>3465</v>
      </c>
      <c r="AZ614" t="s">
        <v>90</v>
      </c>
      <c r="BF614" t="s">
        <v>3921</v>
      </c>
      <c r="BH614" t="s">
        <v>4020</v>
      </c>
      <c r="BP614" t="s">
        <v>4260</v>
      </c>
      <c r="BQ614" t="s">
        <v>3463</v>
      </c>
      <c r="BR614" t="s">
        <v>3463</v>
      </c>
      <c r="BS614" t="s">
        <v>3463</v>
      </c>
      <c r="BT614" t="s">
        <v>3463</v>
      </c>
      <c r="BU614" t="s">
        <v>3463</v>
      </c>
      <c r="BV614" t="s">
        <v>3463</v>
      </c>
      <c r="BW614" t="s">
        <v>3463</v>
      </c>
      <c r="BX614" t="s">
        <v>518</v>
      </c>
      <c r="BY614" t="s">
        <v>87</v>
      </c>
      <c r="BZ614" t="s">
        <v>79</v>
      </c>
      <c r="CA614" s="10">
        <v>45910</v>
      </c>
    </row>
    <row r="615" spans="1:79">
      <c r="A615">
        <v>621</v>
      </c>
      <c r="B615">
        <v>246</v>
      </c>
      <c r="C615">
        <v>26</v>
      </c>
      <c r="D615" t="s">
        <v>3466</v>
      </c>
      <c r="E615" t="s">
        <v>1384</v>
      </c>
      <c r="F615" t="s">
        <v>969</v>
      </c>
      <c r="G615" s="12" t="s">
        <v>3465</v>
      </c>
      <c r="H615" t="s">
        <v>88</v>
      </c>
      <c r="I615">
        <v>68</v>
      </c>
      <c r="K615">
        <v>106</v>
      </c>
      <c r="L615">
        <v>75</v>
      </c>
      <c r="M615" t="s">
        <v>80</v>
      </c>
      <c r="P615" t="s">
        <v>83</v>
      </c>
      <c r="Q615" t="s">
        <v>80</v>
      </c>
      <c r="R615">
        <v>93.6</v>
      </c>
      <c r="S615">
        <v>152.80000000000001</v>
      </c>
      <c r="T615" s="8">
        <f t="shared" si="18"/>
        <v>40.089361585482841</v>
      </c>
      <c r="U615" s="13" t="str" cm="1">
        <f t="array" ref="U615">IF(T615="","",_xlfn.IFS(T615&lt;18.5,"Bajo peso",T615&lt;25,"Peso normal",T615&lt;30,"Sobrepeso",T615&lt;35,"Obesidad clase I",T615&lt;40,"Obesidad clase II",T615&gt;=40,"Obesidad clase III"))</f>
        <v>Obesidad clase III</v>
      </c>
      <c r="V615">
        <v>81</v>
      </c>
      <c r="X615" t="s">
        <v>3463</v>
      </c>
      <c r="Y615">
        <v>0.85</v>
      </c>
      <c r="AA615">
        <v>90</v>
      </c>
      <c r="AB615" s="9">
        <f t="shared" si="19"/>
        <v>96.84062790346259</v>
      </c>
      <c r="AD615" t="s">
        <v>73</v>
      </c>
      <c r="AF615" t="s">
        <v>73</v>
      </c>
      <c r="AH615" t="s">
        <v>3463</v>
      </c>
      <c r="AI615" t="s">
        <v>3463</v>
      </c>
      <c r="AJ615" t="s">
        <v>3463</v>
      </c>
      <c r="AK615" t="s">
        <v>3463</v>
      </c>
      <c r="AL615" t="s">
        <v>3463</v>
      </c>
      <c r="AP615" t="s">
        <v>3463</v>
      </c>
      <c r="AQ615" t="s">
        <v>143</v>
      </c>
      <c r="AR615" t="s">
        <v>3493</v>
      </c>
      <c r="AV615" t="s">
        <v>74</v>
      </c>
      <c r="AW615" t="s">
        <v>3915</v>
      </c>
      <c r="AX615" t="s">
        <v>3463</v>
      </c>
      <c r="AY615" t="s">
        <v>3465</v>
      </c>
      <c r="AZ615" t="s">
        <v>247</v>
      </c>
      <c r="BF615" t="s">
        <v>3921</v>
      </c>
      <c r="BH615" t="s">
        <v>4020</v>
      </c>
      <c r="BP615" t="s">
        <v>4260</v>
      </c>
      <c r="BQ615" t="s">
        <v>3463</v>
      </c>
      <c r="BR615" t="s">
        <v>3465</v>
      </c>
      <c r="BS615" t="s">
        <v>3465</v>
      </c>
      <c r="BT615" t="s">
        <v>3465</v>
      </c>
      <c r="BU615" t="s">
        <v>3463</v>
      </c>
      <c r="BV615" t="s">
        <v>3463</v>
      </c>
      <c r="BW615" t="s">
        <v>3463</v>
      </c>
      <c r="BX615" t="s">
        <v>79</v>
      </c>
      <c r="BY615" t="s">
        <v>87</v>
      </c>
      <c r="BZ615" t="s">
        <v>79</v>
      </c>
      <c r="CA615" s="10">
        <v>45910</v>
      </c>
    </row>
    <row r="616" spans="1:79">
      <c r="A616">
        <v>622</v>
      </c>
      <c r="B616">
        <v>247</v>
      </c>
      <c r="C616">
        <v>33</v>
      </c>
      <c r="D616" t="s">
        <v>3466</v>
      </c>
      <c r="E616" t="s">
        <v>974</v>
      </c>
      <c r="F616" t="s">
        <v>969</v>
      </c>
      <c r="G616" s="12" t="s">
        <v>3463</v>
      </c>
      <c r="H616" s="12"/>
      <c r="I616">
        <v>108</v>
      </c>
      <c r="J616">
        <v>115</v>
      </c>
      <c r="K616">
        <v>125</v>
      </c>
      <c r="L616">
        <v>92</v>
      </c>
      <c r="M616" t="s">
        <v>72</v>
      </c>
      <c r="N616">
        <v>130</v>
      </c>
      <c r="O616">
        <v>86</v>
      </c>
      <c r="P616" t="s">
        <v>82</v>
      </c>
      <c r="Q616" t="s">
        <v>82</v>
      </c>
      <c r="T616" s="8" t="str">
        <f t="shared" si="18"/>
        <v/>
      </c>
      <c r="U616" s="13" t="str" cm="1">
        <f t="array" ref="U616">IF(T616="","",_xlfn.IFS(T616&lt;18.5,"Bajo peso",T616&lt;25,"Peso normal",T616&lt;30,"Sobrepeso",T616&lt;35,"Obesidad clase I",T616&lt;40,"Obesidad clase II",T616&gt;=40,"Obesidad clase III"))</f>
        <v/>
      </c>
      <c r="V616">
        <v>105</v>
      </c>
      <c r="X616" t="s">
        <v>3463</v>
      </c>
      <c r="Y616">
        <v>1.05</v>
      </c>
      <c r="AA616">
        <v>72</v>
      </c>
      <c r="AB616" s="9">
        <f t="shared" si="19"/>
        <v>71.949220896816513</v>
      </c>
      <c r="AD616" t="s">
        <v>73</v>
      </c>
      <c r="AF616" t="s">
        <v>73</v>
      </c>
      <c r="AH616" t="s">
        <v>3463</v>
      </c>
      <c r="AI616" t="s">
        <v>3463</v>
      </c>
      <c r="AJ616" t="s">
        <v>3463</v>
      </c>
      <c r="AK616" t="s">
        <v>3463</v>
      </c>
      <c r="AL616" t="s">
        <v>3465</v>
      </c>
      <c r="AM616" t="s">
        <v>257</v>
      </c>
      <c r="AN616" t="s">
        <v>116</v>
      </c>
      <c r="AP616" t="s">
        <v>3463</v>
      </c>
      <c r="AT616" t="s">
        <v>3463</v>
      </c>
      <c r="AV616" t="s">
        <v>112</v>
      </c>
      <c r="AW616" t="s">
        <v>3917</v>
      </c>
      <c r="AX616" t="s">
        <v>3463</v>
      </c>
      <c r="AY616" t="s">
        <v>3465</v>
      </c>
      <c r="AZ616" t="s">
        <v>90</v>
      </c>
      <c r="BF616" t="s">
        <v>3921</v>
      </c>
      <c r="BH616" t="s">
        <v>4020</v>
      </c>
      <c r="BP616" t="s">
        <v>4260</v>
      </c>
      <c r="BQ616" t="s">
        <v>3463</v>
      </c>
      <c r="BR616" t="s">
        <v>3465</v>
      </c>
      <c r="BS616" t="s">
        <v>3465</v>
      </c>
      <c r="BT616" t="s">
        <v>3465</v>
      </c>
      <c r="BU616" t="s">
        <v>3463</v>
      </c>
      <c r="BV616" t="s">
        <v>3463</v>
      </c>
      <c r="BW616" t="s">
        <v>3463</v>
      </c>
      <c r="CA616" s="10">
        <v>45910</v>
      </c>
    </row>
    <row r="617" spans="1:79">
      <c r="A617">
        <v>623</v>
      </c>
      <c r="B617">
        <v>248</v>
      </c>
      <c r="C617">
        <v>22</v>
      </c>
      <c r="D617" t="s">
        <v>3466</v>
      </c>
      <c r="E617" t="s">
        <v>974</v>
      </c>
      <c r="F617" t="s">
        <v>969</v>
      </c>
      <c r="G617" s="12" t="s">
        <v>3463</v>
      </c>
      <c r="H617" s="12"/>
      <c r="I617">
        <v>81</v>
      </c>
      <c r="K617">
        <v>128</v>
      </c>
      <c r="L617">
        <v>82</v>
      </c>
      <c r="M617" t="s">
        <v>82</v>
      </c>
      <c r="P617" t="s">
        <v>83</v>
      </c>
      <c r="Q617" t="s">
        <v>82</v>
      </c>
      <c r="R617">
        <v>61.1</v>
      </c>
      <c r="S617">
        <v>162.1</v>
      </c>
      <c r="T617" s="8">
        <f t="shared" si="18"/>
        <v>23.252795948913874</v>
      </c>
      <c r="U617" s="13" t="str" cm="1">
        <f t="array" ref="U617">IF(T617="","",_xlfn.IFS(T617&lt;18.5,"Bajo peso",T617&lt;25,"Peso normal",T617&lt;30,"Sobrepeso",T617&lt;35,"Obesidad clase I",T617&lt;40,"Obesidad clase II",T617&gt;=40,"Obesidad clase III"))</f>
        <v>Peso normal</v>
      </c>
      <c r="V617">
        <v>85</v>
      </c>
      <c r="X617" t="s">
        <v>3463</v>
      </c>
      <c r="Y617">
        <v>0.95</v>
      </c>
      <c r="AA617">
        <v>87</v>
      </c>
      <c r="AB617" s="9">
        <f t="shared" si="19"/>
        <v>86.875238838293626</v>
      </c>
      <c r="AD617" t="s">
        <v>73</v>
      </c>
      <c r="AF617" t="s">
        <v>73</v>
      </c>
      <c r="AH617" t="s">
        <v>3463</v>
      </c>
      <c r="AI617" t="s">
        <v>3463</v>
      </c>
      <c r="AJ617" t="s">
        <v>3463</v>
      </c>
      <c r="AK617" t="s">
        <v>3463</v>
      </c>
      <c r="AL617" t="s">
        <v>3463</v>
      </c>
      <c r="AP617" t="s">
        <v>3463</v>
      </c>
      <c r="AQ617" t="s">
        <v>1553</v>
      </c>
      <c r="AR617" t="s">
        <v>3488</v>
      </c>
      <c r="AT617" t="s">
        <v>3463</v>
      </c>
      <c r="AV617" t="s">
        <v>74</v>
      </c>
      <c r="AW617" t="s">
        <v>3915</v>
      </c>
      <c r="AX617" t="s">
        <v>3463</v>
      </c>
      <c r="AY617" t="s">
        <v>3463</v>
      </c>
      <c r="BF617" t="s">
        <v>3921</v>
      </c>
      <c r="BG617" t="s">
        <v>1554</v>
      </c>
      <c r="BH617" t="s">
        <v>4160</v>
      </c>
      <c r="BK617" t="s">
        <v>1415</v>
      </c>
      <c r="BL617" t="s">
        <v>1555</v>
      </c>
      <c r="BP617" t="s">
        <v>4348</v>
      </c>
      <c r="BQ617" t="s">
        <v>3463</v>
      </c>
      <c r="BR617" t="s">
        <v>3463</v>
      </c>
      <c r="BS617" t="s">
        <v>3463</v>
      </c>
      <c r="BT617" t="s">
        <v>3463</v>
      </c>
      <c r="BU617" t="s">
        <v>3463</v>
      </c>
      <c r="BV617" t="s">
        <v>3463</v>
      </c>
      <c r="BW617" t="s">
        <v>3463</v>
      </c>
      <c r="BX617" t="s">
        <v>79</v>
      </c>
      <c r="BY617" t="s">
        <v>87</v>
      </c>
      <c r="BZ617" t="s">
        <v>95</v>
      </c>
      <c r="CA617" s="10">
        <v>45910</v>
      </c>
    </row>
    <row r="618" spans="1:79">
      <c r="A618">
        <v>624</v>
      </c>
      <c r="B618">
        <v>249</v>
      </c>
      <c r="C618">
        <v>42</v>
      </c>
      <c r="D618" t="s">
        <v>3466</v>
      </c>
      <c r="E618" t="s">
        <v>1000</v>
      </c>
      <c r="F618" t="s">
        <v>969</v>
      </c>
      <c r="G618" s="12" t="s">
        <v>3463</v>
      </c>
      <c r="H618" s="12"/>
      <c r="I618">
        <v>75</v>
      </c>
      <c r="K618">
        <v>121</v>
      </c>
      <c r="L618">
        <v>78</v>
      </c>
      <c r="M618" t="s">
        <v>118</v>
      </c>
      <c r="P618" t="s">
        <v>83</v>
      </c>
      <c r="Q618" t="s">
        <v>118</v>
      </c>
      <c r="R618">
        <v>116.4</v>
      </c>
      <c r="S618">
        <v>164</v>
      </c>
      <c r="T618" s="8">
        <f t="shared" si="18"/>
        <v>43.277810826888761</v>
      </c>
      <c r="U618" s="13" t="str" cm="1">
        <f t="array" ref="U618">IF(T618="","",_xlfn.IFS(T618&lt;18.5,"Bajo peso",T618&lt;25,"Peso normal",T618&lt;30,"Sobrepeso",T618&lt;35,"Obesidad clase I",T618&lt;40,"Obesidad clase II",T618&gt;=40,"Obesidad clase III"))</f>
        <v>Obesidad clase III</v>
      </c>
      <c r="V618">
        <v>102</v>
      </c>
      <c r="X618" t="s">
        <v>3463</v>
      </c>
      <c r="Y618">
        <v>1.23</v>
      </c>
      <c r="AA618">
        <v>56</v>
      </c>
      <c r="AB618" s="9">
        <f t="shared" si="19"/>
        <v>56.267556069676893</v>
      </c>
      <c r="AD618" t="s">
        <v>158</v>
      </c>
      <c r="AF618" t="s">
        <v>158</v>
      </c>
      <c r="AH618" t="s">
        <v>3463</v>
      </c>
      <c r="AI618" t="s">
        <v>3463</v>
      </c>
      <c r="AJ618" t="s">
        <v>3463</v>
      </c>
      <c r="AK618" t="s">
        <v>3463</v>
      </c>
      <c r="AL618" t="s">
        <v>3463</v>
      </c>
      <c r="AP618" t="s">
        <v>3463</v>
      </c>
      <c r="AQ618" t="s">
        <v>1101</v>
      </c>
      <c r="AR618" t="s">
        <v>3493</v>
      </c>
      <c r="AV618" t="s">
        <v>74</v>
      </c>
      <c r="AW618" t="s">
        <v>3915</v>
      </c>
      <c r="AX618" t="s">
        <v>3463</v>
      </c>
      <c r="AY618" t="s">
        <v>3465</v>
      </c>
      <c r="AZ618" t="s">
        <v>247</v>
      </c>
      <c r="BC618" t="s">
        <v>128</v>
      </c>
      <c r="BF618" t="s">
        <v>3921</v>
      </c>
      <c r="BG618" t="s">
        <v>1556</v>
      </c>
      <c r="BH618" t="s">
        <v>4132</v>
      </c>
      <c r="BK618" t="s">
        <v>1557</v>
      </c>
      <c r="BL618" t="s">
        <v>1558</v>
      </c>
      <c r="BP618" t="s">
        <v>4439</v>
      </c>
      <c r="BQ618" t="s">
        <v>3463</v>
      </c>
      <c r="BR618" t="s">
        <v>3463</v>
      </c>
      <c r="BS618" t="s">
        <v>3463</v>
      </c>
      <c r="BT618" t="s">
        <v>3463</v>
      </c>
      <c r="BU618" t="s">
        <v>3463</v>
      </c>
      <c r="BV618" t="s">
        <v>3463</v>
      </c>
      <c r="BW618" t="s">
        <v>3463</v>
      </c>
      <c r="BX618" t="s">
        <v>79</v>
      </c>
      <c r="BY618" t="s">
        <v>87</v>
      </c>
      <c r="BZ618" t="s">
        <v>95</v>
      </c>
      <c r="CA618" s="10">
        <v>45910</v>
      </c>
    </row>
    <row r="619" spans="1:79">
      <c r="A619">
        <v>625</v>
      </c>
      <c r="B619">
        <v>250</v>
      </c>
      <c r="C619">
        <v>78</v>
      </c>
      <c r="D619" t="s">
        <v>3466</v>
      </c>
      <c r="F619" t="s">
        <v>969</v>
      </c>
      <c r="G619" s="12" t="s">
        <v>3463</v>
      </c>
      <c r="H619" s="12"/>
      <c r="I619">
        <v>62</v>
      </c>
      <c r="J619">
        <v>67</v>
      </c>
      <c r="K619">
        <v>154</v>
      </c>
      <c r="L619">
        <v>61</v>
      </c>
      <c r="M619" t="s">
        <v>72</v>
      </c>
      <c r="N619">
        <v>151</v>
      </c>
      <c r="O619">
        <v>68</v>
      </c>
      <c r="P619" t="s">
        <v>72</v>
      </c>
      <c r="Q619" t="s">
        <v>72</v>
      </c>
      <c r="R619">
        <v>53.8</v>
      </c>
      <c r="S619">
        <v>144</v>
      </c>
      <c r="T619" s="8">
        <f t="shared" si="18"/>
        <v>25.945216049382715</v>
      </c>
      <c r="U619" s="13" t="str" cm="1">
        <f t="array" ref="U619">IF(T619="","",_xlfn.IFS(T619&lt;18.5,"Bajo peso",T619&lt;25,"Peso normal",T619&lt;30,"Sobrepeso",T619&lt;35,"Obesidad clase I",T619&lt;40,"Obesidad clase II",T619&gt;=40,"Obesidad clase III"))</f>
        <v>Sobrepeso</v>
      </c>
      <c r="V619">
        <v>113</v>
      </c>
      <c r="X619" t="s">
        <v>3463</v>
      </c>
      <c r="Y619">
        <v>1.1399999999999999</v>
      </c>
      <c r="AA619">
        <v>49</v>
      </c>
      <c r="AB619" s="9">
        <f t="shared" si="19"/>
        <v>49.274484700910158</v>
      </c>
      <c r="AD619" t="s">
        <v>158</v>
      </c>
      <c r="AF619" t="s">
        <v>158</v>
      </c>
      <c r="AG619" t="s">
        <v>3465</v>
      </c>
      <c r="AH619" t="s">
        <v>3465</v>
      </c>
      <c r="AI619" t="s">
        <v>3465</v>
      </c>
      <c r="AJ619" t="s">
        <v>3465</v>
      </c>
      <c r="AK619" t="s">
        <v>3463</v>
      </c>
      <c r="AL619" t="s">
        <v>3465</v>
      </c>
      <c r="AM619" t="s">
        <v>1559</v>
      </c>
      <c r="AN619" t="s">
        <v>3745</v>
      </c>
      <c r="AP619" t="s">
        <v>3463</v>
      </c>
      <c r="AQ619" t="s">
        <v>399</v>
      </c>
      <c r="AR619" t="s">
        <v>3505</v>
      </c>
      <c r="AS619" t="s">
        <v>3464</v>
      </c>
      <c r="AT619" t="s">
        <v>3463</v>
      </c>
      <c r="AV619" t="s">
        <v>112</v>
      </c>
      <c r="AW619" t="s">
        <v>3917</v>
      </c>
      <c r="AX619" t="s">
        <v>3463</v>
      </c>
      <c r="AY619" t="s">
        <v>3463</v>
      </c>
      <c r="BF619" t="s">
        <v>3921</v>
      </c>
      <c r="BG619" t="s">
        <v>1560</v>
      </c>
      <c r="BH619" t="s">
        <v>4120</v>
      </c>
      <c r="BI619" t="s">
        <v>411</v>
      </c>
      <c r="BL619" t="s">
        <v>1561</v>
      </c>
      <c r="BP619" t="s">
        <v>4336</v>
      </c>
      <c r="BQ619" t="s">
        <v>3463</v>
      </c>
      <c r="BR619" t="s">
        <v>3463</v>
      </c>
      <c r="BS619" t="s">
        <v>3463</v>
      </c>
      <c r="BT619" t="s">
        <v>3463</v>
      </c>
      <c r="BU619" t="s">
        <v>3463</v>
      </c>
      <c r="BV619" t="s">
        <v>3463</v>
      </c>
      <c r="BW619" t="s">
        <v>3463</v>
      </c>
      <c r="BX619" t="s">
        <v>79</v>
      </c>
      <c r="BY619" t="s">
        <v>121</v>
      </c>
      <c r="BZ619" t="s">
        <v>95</v>
      </c>
      <c r="CA619" s="10">
        <v>45910</v>
      </c>
    </row>
    <row r="620" spans="1:79">
      <c r="A620">
        <v>626</v>
      </c>
      <c r="B620">
        <v>251</v>
      </c>
      <c r="C620">
        <v>48</v>
      </c>
      <c r="D620" t="s">
        <v>3462</v>
      </c>
      <c r="F620" t="s">
        <v>969</v>
      </c>
      <c r="G620" s="12" t="s">
        <v>3463</v>
      </c>
      <c r="H620" s="12"/>
      <c r="I620">
        <v>82</v>
      </c>
      <c r="J620">
        <v>81</v>
      </c>
      <c r="K620">
        <v>136</v>
      </c>
      <c r="L620">
        <v>89</v>
      </c>
      <c r="M620" t="s">
        <v>82</v>
      </c>
      <c r="N620">
        <v>133</v>
      </c>
      <c r="O620">
        <v>87</v>
      </c>
      <c r="P620" t="s">
        <v>82</v>
      </c>
      <c r="Q620" t="s">
        <v>82</v>
      </c>
      <c r="R620">
        <v>89.9</v>
      </c>
      <c r="S620">
        <v>170.2</v>
      </c>
      <c r="T620" s="8">
        <f t="shared" si="18"/>
        <v>31.034201830707225</v>
      </c>
      <c r="U620" s="13" t="str" cm="1">
        <f t="array" ref="U620">IF(T620="","",_xlfn.IFS(T620&lt;18.5,"Bajo peso",T620&lt;25,"Peso normal",T620&lt;30,"Sobrepeso",T620&lt;35,"Obesidad clase I",T620&lt;40,"Obesidad clase II",T620&gt;=40,"Obesidad clase III"))</f>
        <v>Obesidad clase I</v>
      </c>
      <c r="V620">
        <v>94</v>
      </c>
      <c r="X620" t="s">
        <v>3463</v>
      </c>
      <c r="Y620">
        <v>0.81</v>
      </c>
      <c r="AA620">
        <v>90</v>
      </c>
      <c r="AB620" s="9">
        <f t="shared" si="19"/>
        <v>108.75738136236912</v>
      </c>
      <c r="AD620" t="s">
        <v>73</v>
      </c>
      <c r="AF620" t="s">
        <v>73</v>
      </c>
      <c r="AH620" t="s">
        <v>3463</v>
      </c>
      <c r="AI620" t="s">
        <v>3463</v>
      </c>
      <c r="AJ620" t="s">
        <v>3463</v>
      </c>
      <c r="AK620" t="s">
        <v>3463</v>
      </c>
      <c r="AL620" t="s">
        <v>3465</v>
      </c>
      <c r="AM620" t="s">
        <v>1562</v>
      </c>
      <c r="AN620" t="s">
        <v>3722</v>
      </c>
      <c r="AP620" t="s">
        <v>3463</v>
      </c>
      <c r="AQ620" t="s">
        <v>698</v>
      </c>
      <c r="AR620" t="s">
        <v>3488</v>
      </c>
      <c r="AV620" t="s">
        <v>74</v>
      </c>
      <c r="AW620" t="s">
        <v>3915</v>
      </c>
      <c r="BF620" t="s">
        <v>3921</v>
      </c>
      <c r="BH620" t="s">
        <v>4021</v>
      </c>
      <c r="BI620" t="s">
        <v>76</v>
      </c>
      <c r="BP620" t="s">
        <v>4261</v>
      </c>
      <c r="BQ620" t="s">
        <v>3463</v>
      </c>
      <c r="BR620" t="s">
        <v>3465</v>
      </c>
      <c r="BS620" t="s">
        <v>3463</v>
      </c>
      <c r="BT620" t="s">
        <v>3463</v>
      </c>
      <c r="BU620" t="s">
        <v>3463</v>
      </c>
      <c r="BV620" t="s">
        <v>3463</v>
      </c>
      <c r="BW620" t="s">
        <v>3463</v>
      </c>
      <c r="BX620" t="s">
        <v>79</v>
      </c>
      <c r="BY620" t="s">
        <v>87</v>
      </c>
      <c r="BZ620" t="s">
        <v>79</v>
      </c>
      <c r="CA620" s="10">
        <v>45910</v>
      </c>
    </row>
    <row r="621" spans="1:79">
      <c r="A621">
        <v>627</v>
      </c>
      <c r="B621">
        <v>253</v>
      </c>
      <c r="C621">
        <v>27</v>
      </c>
      <c r="D621" t="s">
        <v>3462</v>
      </c>
      <c r="E621" t="s">
        <v>1000</v>
      </c>
      <c r="F621" t="s">
        <v>969</v>
      </c>
      <c r="G621" s="12" t="s">
        <v>3463</v>
      </c>
      <c r="H621" s="12"/>
      <c r="I621">
        <v>80</v>
      </c>
      <c r="K621">
        <v>127</v>
      </c>
      <c r="L621">
        <v>67</v>
      </c>
      <c r="M621" t="s">
        <v>118</v>
      </c>
      <c r="P621" t="s">
        <v>83</v>
      </c>
      <c r="Q621" t="s">
        <v>118</v>
      </c>
      <c r="R621">
        <v>85.45</v>
      </c>
      <c r="S621">
        <v>167</v>
      </c>
      <c r="T621" s="8">
        <f t="shared" si="18"/>
        <v>30.639320162071069</v>
      </c>
      <c r="U621" s="13" t="str" cm="1">
        <f t="array" ref="U621">IF(T621="","",_xlfn.IFS(T621&lt;18.5,"Bajo peso",T621&lt;25,"Peso normal",T621&lt;30,"Sobrepeso",T621&lt;35,"Obesidad clase I",T621&lt;40,"Obesidad clase II",T621&gt;=40,"Obesidad clase III"))</f>
        <v>Obesidad clase I</v>
      </c>
      <c r="V621">
        <v>96</v>
      </c>
      <c r="X621" t="s">
        <v>3463</v>
      </c>
      <c r="Y621">
        <v>0.92</v>
      </c>
      <c r="AA621">
        <v>90</v>
      </c>
      <c r="AB621" s="9">
        <f t="shared" si="19"/>
        <v>116.92483290856804</v>
      </c>
      <c r="AD621" t="s">
        <v>73</v>
      </c>
      <c r="AF621" t="s">
        <v>73</v>
      </c>
      <c r="AH621" t="s">
        <v>3463</v>
      </c>
      <c r="AI621" t="s">
        <v>3463</v>
      </c>
      <c r="AJ621" t="s">
        <v>3463</v>
      </c>
      <c r="AK621" t="s">
        <v>3463</v>
      </c>
      <c r="AL621" t="s">
        <v>3463</v>
      </c>
      <c r="AP621" t="s">
        <v>3463</v>
      </c>
      <c r="AV621" t="s">
        <v>74</v>
      </c>
      <c r="AW621" t="s">
        <v>3915</v>
      </c>
      <c r="BF621" t="s">
        <v>3921</v>
      </c>
      <c r="BH621" t="s">
        <v>4020</v>
      </c>
      <c r="BP621" t="s">
        <v>4260</v>
      </c>
      <c r="BQ621" t="s">
        <v>3463</v>
      </c>
      <c r="BR621" t="s">
        <v>3463</v>
      </c>
      <c r="BS621" t="s">
        <v>3463</v>
      </c>
      <c r="BT621" t="s">
        <v>3463</v>
      </c>
      <c r="BU621" t="s">
        <v>3463</v>
      </c>
      <c r="BV621" t="s">
        <v>3463</v>
      </c>
      <c r="BW621" t="s">
        <v>3463</v>
      </c>
      <c r="BX621" t="s">
        <v>79</v>
      </c>
      <c r="BY621" t="s">
        <v>87</v>
      </c>
      <c r="BZ621" t="s">
        <v>79</v>
      </c>
      <c r="CA621" s="10">
        <v>45910</v>
      </c>
    </row>
    <row r="622" spans="1:79">
      <c r="A622">
        <v>628</v>
      </c>
      <c r="B622">
        <v>254</v>
      </c>
      <c r="C622">
        <v>66</v>
      </c>
      <c r="D622" t="s">
        <v>3466</v>
      </c>
      <c r="E622" t="s">
        <v>1563</v>
      </c>
      <c r="F622" t="s">
        <v>168</v>
      </c>
      <c r="G622" s="12" t="s">
        <v>3463</v>
      </c>
      <c r="H622" s="12"/>
      <c r="I622">
        <v>87</v>
      </c>
      <c r="J622">
        <v>83</v>
      </c>
      <c r="K622">
        <v>161</v>
      </c>
      <c r="L622">
        <v>87</v>
      </c>
      <c r="M622" t="s">
        <v>72</v>
      </c>
      <c r="N622">
        <v>153</v>
      </c>
      <c r="O622">
        <v>86</v>
      </c>
      <c r="P622" t="s">
        <v>72</v>
      </c>
      <c r="Q622" t="s">
        <v>72</v>
      </c>
      <c r="R622">
        <v>79.8</v>
      </c>
      <c r="S622">
        <v>142</v>
      </c>
      <c r="T622" s="8">
        <f t="shared" si="18"/>
        <v>39.57548105534616</v>
      </c>
      <c r="U622" s="13" t="str" cm="1">
        <f t="array" ref="U622">IF(T622="","",_xlfn.IFS(T622&lt;18.5,"Bajo peso",T622&lt;25,"Peso normal",T622&lt;30,"Sobrepeso",T622&lt;35,"Obesidad clase I",T622&lt;40,"Obesidad clase II",T622&gt;=40,"Obesidad clase III"))</f>
        <v>Obesidad clase II</v>
      </c>
      <c r="V622">
        <v>138</v>
      </c>
      <c r="X622" t="s">
        <v>3463</v>
      </c>
      <c r="Y622">
        <v>1.24</v>
      </c>
      <c r="AA622">
        <v>48</v>
      </c>
      <c r="AB622" s="9">
        <f t="shared" si="19"/>
        <v>47.996987690044136</v>
      </c>
      <c r="AD622" t="s">
        <v>158</v>
      </c>
      <c r="AF622" t="s">
        <v>158</v>
      </c>
      <c r="AG622" t="s">
        <v>3465</v>
      </c>
      <c r="AH622" t="s">
        <v>3465</v>
      </c>
      <c r="AI622" t="s">
        <v>3465</v>
      </c>
      <c r="AJ622" t="s">
        <v>3464</v>
      </c>
      <c r="AK622" t="s">
        <v>3465</v>
      </c>
      <c r="AL622" t="s">
        <v>3465</v>
      </c>
      <c r="AM622" t="s">
        <v>1564</v>
      </c>
      <c r="AN622" t="s">
        <v>3739</v>
      </c>
      <c r="AP622" t="s">
        <v>3463</v>
      </c>
      <c r="AQ622" t="s">
        <v>296</v>
      </c>
      <c r="AR622" t="s">
        <v>3493</v>
      </c>
      <c r="AS622" t="s">
        <v>3465</v>
      </c>
      <c r="AT622" t="s">
        <v>3465</v>
      </c>
      <c r="AU622" t="s">
        <v>80</v>
      </c>
      <c r="AV622" t="s">
        <v>74</v>
      </c>
      <c r="AW622" t="s">
        <v>3915</v>
      </c>
      <c r="AX622" t="s">
        <v>3463</v>
      </c>
      <c r="AY622" t="s">
        <v>3465</v>
      </c>
      <c r="AZ622" t="s">
        <v>1094</v>
      </c>
      <c r="BA622" t="s">
        <v>3920</v>
      </c>
      <c r="BB622" t="s">
        <v>3485</v>
      </c>
      <c r="BF622" t="s">
        <v>3921</v>
      </c>
      <c r="BH622" t="s">
        <v>4029</v>
      </c>
      <c r="BI622" t="s">
        <v>411</v>
      </c>
      <c r="BK622" t="s">
        <v>1565</v>
      </c>
      <c r="BL622" t="s">
        <v>1566</v>
      </c>
      <c r="BP622" t="s">
        <v>4440</v>
      </c>
      <c r="BQ622" t="s">
        <v>3463</v>
      </c>
      <c r="BR622" t="s">
        <v>3463</v>
      </c>
      <c r="BS622" t="s">
        <v>3463</v>
      </c>
      <c r="BT622" t="s">
        <v>3463</v>
      </c>
      <c r="BU622" t="s">
        <v>3463</v>
      </c>
      <c r="BV622" t="s">
        <v>3463</v>
      </c>
      <c r="BW622" t="s">
        <v>3463</v>
      </c>
      <c r="BX622" t="s">
        <v>79</v>
      </c>
      <c r="BY622" t="s">
        <v>87</v>
      </c>
      <c r="BZ622" t="s">
        <v>79</v>
      </c>
      <c r="CA622" s="10">
        <v>45910</v>
      </c>
    </row>
    <row r="623" spans="1:79">
      <c r="A623">
        <v>629</v>
      </c>
      <c r="B623">
        <v>255</v>
      </c>
      <c r="C623">
        <v>41</v>
      </c>
      <c r="D623" t="s">
        <v>3462</v>
      </c>
      <c r="E623" t="s">
        <v>1005</v>
      </c>
      <c r="F623" t="s">
        <v>969</v>
      </c>
      <c r="G623" s="12" t="s">
        <v>3463</v>
      </c>
      <c r="I623">
        <v>78</v>
      </c>
      <c r="J623">
        <v>78</v>
      </c>
      <c r="K623">
        <v>165</v>
      </c>
      <c r="L623">
        <v>94</v>
      </c>
      <c r="M623" t="s">
        <v>72</v>
      </c>
      <c r="N623">
        <v>152</v>
      </c>
      <c r="O623">
        <v>94</v>
      </c>
      <c r="P623" t="s">
        <v>72</v>
      </c>
      <c r="Q623" t="s">
        <v>72</v>
      </c>
      <c r="R623">
        <v>134</v>
      </c>
      <c r="S623">
        <v>174.5</v>
      </c>
      <c r="T623" s="8">
        <f t="shared" si="18"/>
        <v>44.006206845592402</v>
      </c>
      <c r="U623" s="13" t="str" cm="1">
        <f t="array" ref="U623">IF(T623="","",_xlfn.IFS(T623&lt;18.5,"Bajo peso",T623&lt;25,"Peso normal",T623&lt;30,"Sobrepeso",T623&lt;35,"Obesidad clase I",T623&lt;40,"Obesidad clase II",T623&gt;=40,"Obesidad clase III"))</f>
        <v>Obesidad clase III</v>
      </c>
      <c r="V623">
        <v>109</v>
      </c>
      <c r="X623" t="s">
        <v>3463</v>
      </c>
      <c r="Y623">
        <v>1.18</v>
      </c>
      <c r="AA623">
        <v>80</v>
      </c>
      <c r="AB623" s="9">
        <f t="shared" si="19"/>
        <v>79.502289522295698</v>
      </c>
      <c r="AD623" t="s">
        <v>73</v>
      </c>
      <c r="AF623" t="s">
        <v>73</v>
      </c>
      <c r="AH623" t="s">
        <v>3463</v>
      </c>
      <c r="AI623" t="s">
        <v>3465</v>
      </c>
      <c r="AJ623" t="s">
        <v>3463</v>
      </c>
      <c r="AK623" t="s">
        <v>3463</v>
      </c>
      <c r="AL623" t="s">
        <v>3463</v>
      </c>
      <c r="AP623" t="s">
        <v>3463</v>
      </c>
      <c r="AQ623" t="s">
        <v>1567</v>
      </c>
      <c r="AR623" t="s">
        <v>3491</v>
      </c>
      <c r="AS623" t="s">
        <v>3465</v>
      </c>
      <c r="AV623" t="s">
        <v>74</v>
      </c>
      <c r="AW623" t="s">
        <v>3915</v>
      </c>
      <c r="BA623" t="s">
        <v>3920</v>
      </c>
      <c r="BF623" t="s">
        <v>3921</v>
      </c>
      <c r="BG623" t="s">
        <v>1568</v>
      </c>
      <c r="BH623" t="s">
        <v>4161</v>
      </c>
      <c r="BI623" t="s">
        <v>86</v>
      </c>
      <c r="BP623" t="s">
        <v>4441</v>
      </c>
      <c r="BQ623" t="s">
        <v>3465</v>
      </c>
      <c r="BR623" t="s">
        <v>3465</v>
      </c>
      <c r="BS623" t="s">
        <v>3463</v>
      </c>
      <c r="BT623" t="s">
        <v>3463</v>
      </c>
      <c r="BU623" t="s">
        <v>3463</v>
      </c>
      <c r="BV623" t="s">
        <v>3463</v>
      </c>
      <c r="BW623" t="s">
        <v>3463</v>
      </c>
      <c r="BX623" t="s">
        <v>79</v>
      </c>
      <c r="BY623" t="s">
        <v>87</v>
      </c>
      <c r="BZ623" t="s">
        <v>79</v>
      </c>
      <c r="CA623" s="10">
        <v>45910</v>
      </c>
    </row>
    <row r="624" spans="1:79">
      <c r="A624">
        <v>630</v>
      </c>
      <c r="B624">
        <v>256</v>
      </c>
      <c r="C624">
        <v>36</v>
      </c>
      <c r="D624" t="s">
        <v>3466</v>
      </c>
      <c r="E624" t="s">
        <v>1384</v>
      </c>
      <c r="F624" t="s">
        <v>969</v>
      </c>
      <c r="G624" s="12" t="s">
        <v>3463</v>
      </c>
      <c r="I624">
        <v>80</v>
      </c>
      <c r="J624">
        <v>82</v>
      </c>
      <c r="K624">
        <v>154</v>
      </c>
      <c r="L624">
        <v>96</v>
      </c>
      <c r="M624" t="s">
        <v>72</v>
      </c>
      <c r="N624">
        <v>160</v>
      </c>
      <c r="O624">
        <v>99</v>
      </c>
      <c r="P624" t="s">
        <v>72</v>
      </c>
      <c r="Q624" t="s">
        <v>72</v>
      </c>
      <c r="R624">
        <v>81.8</v>
      </c>
      <c r="S624">
        <v>156.5</v>
      </c>
      <c r="T624" s="8">
        <f t="shared" si="18"/>
        <v>33.398319876695687</v>
      </c>
      <c r="U624" s="13" t="str" cm="1">
        <f t="array" ref="U624">IF(T624="","",_xlfn.IFS(T624&lt;18.5,"Bajo peso",T624&lt;25,"Peso normal",T624&lt;30,"Sobrepeso",T624&lt;35,"Obesidad clase I",T624&lt;40,"Obesidad clase II",T624&gt;=40,"Obesidad clase III"))</f>
        <v>Obesidad clase I</v>
      </c>
      <c r="V624">
        <v>111</v>
      </c>
      <c r="X624" t="s">
        <v>3463</v>
      </c>
      <c r="Y624">
        <v>1.45</v>
      </c>
      <c r="AA624">
        <v>48</v>
      </c>
      <c r="AB624" s="9">
        <f t="shared" si="19"/>
        <v>47.94117002419862</v>
      </c>
      <c r="AD624" t="s">
        <v>158</v>
      </c>
      <c r="AF624" t="s">
        <v>158</v>
      </c>
      <c r="AG624" t="s">
        <v>3463</v>
      </c>
      <c r="AH624" t="s">
        <v>3465</v>
      </c>
      <c r="AI624" t="s">
        <v>3465</v>
      </c>
      <c r="AJ624" t="s">
        <v>3464</v>
      </c>
      <c r="AK624" t="s">
        <v>3463</v>
      </c>
      <c r="AL624" t="s">
        <v>3464</v>
      </c>
      <c r="AP624" t="s">
        <v>3463</v>
      </c>
      <c r="AQ624" t="s">
        <v>547</v>
      </c>
      <c r="AR624" t="s">
        <v>3488</v>
      </c>
      <c r="AS624" t="s">
        <v>3463</v>
      </c>
      <c r="AV624" t="s">
        <v>74</v>
      </c>
      <c r="AW624" t="s">
        <v>3915</v>
      </c>
      <c r="AX624" t="s">
        <v>3463</v>
      </c>
      <c r="AY624" t="s">
        <v>3465</v>
      </c>
      <c r="AZ624" t="s">
        <v>90</v>
      </c>
      <c r="BF624" t="s">
        <v>3921</v>
      </c>
      <c r="BH624" t="s">
        <v>4162</v>
      </c>
      <c r="BI624" t="s">
        <v>76</v>
      </c>
      <c r="BK624" t="s">
        <v>1569</v>
      </c>
      <c r="BL624" t="s">
        <v>1140</v>
      </c>
      <c r="BP624" t="s">
        <v>4430</v>
      </c>
      <c r="BQ624" t="s">
        <v>3463</v>
      </c>
      <c r="BR624" t="s">
        <v>3465</v>
      </c>
      <c r="BS624" t="s">
        <v>3465</v>
      </c>
      <c r="BT624" t="s">
        <v>3465</v>
      </c>
      <c r="BU624" t="s">
        <v>3465</v>
      </c>
      <c r="BV624" t="s">
        <v>3463</v>
      </c>
      <c r="BW624" t="s">
        <v>3463</v>
      </c>
      <c r="BX624" t="s">
        <v>518</v>
      </c>
      <c r="BY624" t="s">
        <v>87</v>
      </c>
      <c r="BZ624" t="s">
        <v>95</v>
      </c>
      <c r="CA624" s="10">
        <v>45910</v>
      </c>
    </row>
    <row r="625" spans="1:79">
      <c r="A625">
        <v>631</v>
      </c>
      <c r="B625">
        <v>257</v>
      </c>
      <c r="C625">
        <v>39</v>
      </c>
      <c r="D625" t="s">
        <v>3466</v>
      </c>
      <c r="E625" t="s">
        <v>1150</v>
      </c>
      <c r="F625" t="s">
        <v>969</v>
      </c>
      <c r="G625" s="12" t="s">
        <v>3465</v>
      </c>
      <c r="H625" t="s">
        <v>88</v>
      </c>
      <c r="I625">
        <v>88</v>
      </c>
      <c r="K625">
        <v>122</v>
      </c>
      <c r="L625">
        <v>68</v>
      </c>
      <c r="M625" t="s">
        <v>118</v>
      </c>
      <c r="P625" t="s">
        <v>83</v>
      </c>
      <c r="Q625" t="s">
        <v>118</v>
      </c>
      <c r="R625">
        <v>113.3</v>
      </c>
      <c r="S625">
        <v>155</v>
      </c>
      <c r="T625" s="8">
        <f t="shared" si="18"/>
        <v>47.159209157127989</v>
      </c>
      <c r="U625" s="13" t="str" cm="1">
        <f t="array" ref="U625">IF(T625="","",_xlfn.IFS(T625&lt;18.5,"Bajo peso",T625&lt;25,"Peso normal",T625&lt;30,"Sobrepeso",T625&lt;35,"Obesidad clase I",T625&lt;40,"Obesidad clase II",T625&gt;=40,"Obesidad clase III"))</f>
        <v>Obesidad clase III</v>
      </c>
      <c r="V625">
        <v>90</v>
      </c>
      <c r="X625" t="s">
        <v>3463</v>
      </c>
      <c r="Y625">
        <v>0.87</v>
      </c>
      <c r="AA625">
        <v>87</v>
      </c>
      <c r="AB625" s="9">
        <f t="shared" si="19"/>
        <v>86.860856156385054</v>
      </c>
      <c r="AD625" t="s">
        <v>73</v>
      </c>
      <c r="AF625" t="s">
        <v>73</v>
      </c>
      <c r="AH625" t="s">
        <v>3463</v>
      </c>
      <c r="AI625" t="s">
        <v>3463</v>
      </c>
      <c r="AJ625" t="s">
        <v>3463</v>
      </c>
      <c r="AK625" t="s">
        <v>3465</v>
      </c>
      <c r="AL625" t="s">
        <v>3463</v>
      </c>
      <c r="AP625" t="s">
        <v>3463</v>
      </c>
      <c r="AQ625" t="s">
        <v>1570</v>
      </c>
      <c r="AR625" t="s">
        <v>3564</v>
      </c>
      <c r="AT625" t="s">
        <v>3463</v>
      </c>
      <c r="AV625" t="s">
        <v>74</v>
      </c>
      <c r="AW625" t="s">
        <v>3915</v>
      </c>
      <c r="AX625" t="s">
        <v>3463</v>
      </c>
      <c r="AY625" t="s">
        <v>3465</v>
      </c>
      <c r="AZ625" t="s">
        <v>104</v>
      </c>
      <c r="BC625" t="s">
        <v>128</v>
      </c>
      <c r="BE625" t="s">
        <v>1571</v>
      </c>
      <c r="BF625" t="s">
        <v>3963</v>
      </c>
      <c r="BH625" t="s">
        <v>4076</v>
      </c>
      <c r="BI625" t="s">
        <v>411</v>
      </c>
      <c r="BK625" t="s">
        <v>1572</v>
      </c>
      <c r="BL625" t="s">
        <v>1573</v>
      </c>
      <c r="BP625" t="s">
        <v>4442</v>
      </c>
      <c r="BQ625" t="s">
        <v>3463</v>
      </c>
      <c r="BR625" t="s">
        <v>3463</v>
      </c>
      <c r="BS625" t="s">
        <v>3463</v>
      </c>
      <c r="BT625" t="s">
        <v>3463</v>
      </c>
      <c r="BU625" t="s">
        <v>3463</v>
      </c>
      <c r="BV625" t="s">
        <v>3463</v>
      </c>
      <c r="BW625" t="s">
        <v>3463</v>
      </c>
      <c r="BX625" t="s">
        <v>79</v>
      </c>
      <c r="BY625" t="s">
        <v>87</v>
      </c>
      <c r="BZ625" t="s">
        <v>95</v>
      </c>
      <c r="CA625" s="10">
        <v>45910</v>
      </c>
    </row>
    <row r="626" spans="1:79">
      <c r="A626">
        <v>632</v>
      </c>
      <c r="B626">
        <v>258</v>
      </c>
      <c r="C626">
        <v>67</v>
      </c>
      <c r="D626" t="s">
        <v>3466</v>
      </c>
      <c r="E626" t="s">
        <v>1237</v>
      </c>
      <c r="F626" t="s">
        <v>969</v>
      </c>
      <c r="G626" s="12" t="s">
        <v>3463</v>
      </c>
      <c r="I626">
        <v>67</v>
      </c>
      <c r="J626">
        <v>73</v>
      </c>
      <c r="K626">
        <v>156</v>
      </c>
      <c r="L626">
        <v>64</v>
      </c>
      <c r="M626" t="s">
        <v>72</v>
      </c>
      <c r="N626">
        <v>157</v>
      </c>
      <c r="O626">
        <v>72</v>
      </c>
      <c r="P626" t="s">
        <v>72</v>
      </c>
      <c r="Q626" t="s">
        <v>72</v>
      </c>
      <c r="R626">
        <v>76</v>
      </c>
      <c r="S626">
        <v>154</v>
      </c>
      <c r="T626" s="8">
        <f t="shared" si="18"/>
        <v>32.045876201720354</v>
      </c>
      <c r="U626" s="13" t="str" cm="1">
        <f t="array" ref="U626">IF(T626="","",_xlfn.IFS(T626&lt;18.5,"Bajo peso",T626&lt;25,"Peso normal",T626&lt;30,"Sobrepeso",T626&lt;35,"Obesidad clase I",T626&lt;40,"Obesidad clase II",T626&gt;=40,"Obesidad clase III"))</f>
        <v>Obesidad clase I</v>
      </c>
      <c r="V626">
        <v>173</v>
      </c>
      <c r="X626" t="s">
        <v>3463</v>
      </c>
      <c r="Y626">
        <v>1.1499999999999999</v>
      </c>
      <c r="AA626">
        <v>52</v>
      </c>
      <c r="AB626" s="9">
        <f t="shared" si="19"/>
        <v>52.21335355260311</v>
      </c>
      <c r="AD626" t="s">
        <v>158</v>
      </c>
      <c r="AF626" t="s">
        <v>158</v>
      </c>
      <c r="AH626" t="s">
        <v>3463</v>
      </c>
      <c r="AI626" t="s">
        <v>3465</v>
      </c>
      <c r="AJ626" t="s">
        <v>3463</v>
      </c>
      <c r="AK626" t="s">
        <v>3463</v>
      </c>
      <c r="AL626" t="s">
        <v>3463</v>
      </c>
      <c r="AP626" t="s">
        <v>3463</v>
      </c>
      <c r="AQ626" t="s">
        <v>1574</v>
      </c>
      <c r="AR626" t="s">
        <v>3488</v>
      </c>
      <c r="AS626" t="s">
        <v>3465</v>
      </c>
      <c r="AT626" t="s">
        <v>3465</v>
      </c>
      <c r="AU626" t="s">
        <v>80</v>
      </c>
      <c r="AV626" t="s">
        <v>74</v>
      </c>
      <c r="AW626" t="s">
        <v>3915</v>
      </c>
      <c r="AX626" t="s">
        <v>3463</v>
      </c>
      <c r="AY626" t="s">
        <v>3463</v>
      </c>
      <c r="BF626" t="s">
        <v>3921</v>
      </c>
      <c r="BH626" t="s">
        <v>4020</v>
      </c>
      <c r="BP626" t="s">
        <v>4260</v>
      </c>
      <c r="BQ626" t="s">
        <v>3463</v>
      </c>
      <c r="BR626" t="s">
        <v>3463</v>
      </c>
      <c r="BS626" t="s">
        <v>3463</v>
      </c>
      <c r="BT626" t="s">
        <v>3463</v>
      </c>
      <c r="BU626" t="s">
        <v>3463</v>
      </c>
      <c r="BV626" t="s">
        <v>3463</v>
      </c>
      <c r="BW626" t="s">
        <v>3463</v>
      </c>
      <c r="BX626" t="s">
        <v>79</v>
      </c>
      <c r="BY626" t="s">
        <v>87</v>
      </c>
      <c r="BZ626" t="s">
        <v>79</v>
      </c>
      <c r="CA626" s="10">
        <v>45910</v>
      </c>
    </row>
    <row r="627" spans="1:79">
      <c r="A627">
        <v>633</v>
      </c>
      <c r="B627">
        <v>259</v>
      </c>
      <c r="C627">
        <v>82</v>
      </c>
      <c r="D627" t="s">
        <v>3466</v>
      </c>
      <c r="E627" t="s">
        <v>1000</v>
      </c>
      <c r="F627" t="s">
        <v>969</v>
      </c>
      <c r="G627" s="12" t="s">
        <v>3463</v>
      </c>
      <c r="I627">
        <v>63</v>
      </c>
      <c r="J627">
        <v>73</v>
      </c>
      <c r="K627">
        <v>159</v>
      </c>
      <c r="L627">
        <v>72</v>
      </c>
      <c r="M627" t="s">
        <v>72</v>
      </c>
      <c r="N627">
        <v>143</v>
      </c>
      <c r="O627">
        <v>80</v>
      </c>
      <c r="P627" t="s">
        <v>72</v>
      </c>
      <c r="Q627" t="s">
        <v>72</v>
      </c>
      <c r="R627">
        <v>73.5</v>
      </c>
      <c r="S627">
        <v>153</v>
      </c>
      <c r="T627" s="8">
        <f t="shared" si="18"/>
        <v>31.398180187107521</v>
      </c>
      <c r="U627" s="13" t="str" cm="1">
        <f t="array" ref="U627">IF(T627="","",_xlfn.IFS(T627&lt;18.5,"Bajo peso",T627&lt;25,"Peso normal",T627&lt;30,"Sobrepeso",T627&lt;35,"Obesidad clase I",T627&lt;40,"Obesidad clase II",T627&gt;=40,"Obesidad clase III"))</f>
        <v>Obesidad clase I</v>
      </c>
      <c r="V627">
        <v>85</v>
      </c>
      <c r="X627" t="s">
        <v>3463</v>
      </c>
      <c r="Y627">
        <v>0.86</v>
      </c>
      <c r="AA627">
        <v>67</v>
      </c>
      <c r="AB627" s="9">
        <f t="shared" si="19"/>
        <v>67.407115170901179</v>
      </c>
      <c r="AD627" t="s">
        <v>73</v>
      </c>
      <c r="AF627" t="s">
        <v>73</v>
      </c>
      <c r="AH627" t="s">
        <v>3463</v>
      </c>
      <c r="AI627" t="s">
        <v>3465</v>
      </c>
      <c r="AJ627" t="s">
        <v>3463</v>
      </c>
      <c r="AK627" t="s">
        <v>3463</v>
      </c>
      <c r="AL627" t="s">
        <v>3465</v>
      </c>
      <c r="AM627" t="s">
        <v>1575</v>
      </c>
      <c r="AN627" t="s">
        <v>3746</v>
      </c>
      <c r="AP627" t="s">
        <v>3463</v>
      </c>
      <c r="AS627" t="s">
        <v>3465</v>
      </c>
      <c r="AT627" t="s">
        <v>3465</v>
      </c>
      <c r="AU627" t="s">
        <v>80</v>
      </c>
      <c r="AV627" t="s">
        <v>178</v>
      </c>
      <c r="AW627" t="s">
        <v>3918</v>
      </c>
      <c r="AX627" t="s">
        <v>3463</v>
      </c>
      <c r="AY627" t="s">
        <v>3463</v>
      </c>
      <c r="BA627" t="s">
        <v>3920</v>
      </c>
      <c r="BF627" t="s">
        <v>3921</v>
      </c>
      <c r="BH627" t="s">
        <v>4029</v>
      </c>
      <c r="BK627" t="s">
        <v>1576</v>
      </c>
      <c r="BL627" t="s">
        <v>1577</v>
      </c>
      <c r="BP627" t="s">
        <v>4342</v>
      </c>
      <c r="BQ627" t="s">
        <v>3463</v>
      </c>
      <c r="BR627" t="s">
        <v>3463</v>
      </c>
      <c r="BS627" t="s">
        <v>3463</v>
      </c>
      <c r="BT627" t="s">
        <v>3463</v>
      </c>
      <c r="BU627" t="s">
        <v>3463</v>
      </c>
      <c r="BV627" t="s">
        <v>3463</v>
      </c>
      <c r="BW627" t="s">
        <v>3463</v>
      </c>
      <c r="BX627" t="s">
        <v>79</v>
      </c>
      <c r="BY627" t="s">
        <v>87</v>
      </c>
      <c r="BZ627" t="s">
        <v>79</v>
      </c>
      <c r="CA627" s="10">
        <v>45910</v>
      </c>
    </row>
    <row r="628" spans="1:79">
      <c r="A628">
        <v>634</v>
      </c>
      <c r="B628">
        <v>260</v>
      </c>
      <c r="C628">
        <v>48</v>
      </c>
      <c r="D628" t="s">
        <v>3466</v>
      </c>
      <c r="E628" t="s">
        <v>1578</v>
      </c>
      <c r="F628" t="s">
        <v>969</v>
      </c>
      <c r="G628" s="12" t="s">
        <v>3465</v>
      </c>
      <c r="H628" t="s">
        <v>88</v>
      </c>
      <c r="I628">
        <v>81</v>
      </c>
      <c r="K628">
        <v>130</v>
      </c>
      <c r="L628">
        <v>86</v>
      </c>
      <c r="M628" t="s">
        <v>82</v>
      </c>
      <c r="P628" t="s">
        <v>83</v>
      </c>
      <c r="Q628" t="s">
        <v>82</v>
      </c>
      <c r="R628">
        <v>78.2</v>
      </c>
      <c r="S628">
        <v>148</v>
      </c>
      <c r="T628" s="8">
        <f t="shared" si="18"/>
        <v>35.701241782322867</v>
      </c>
      <c r="U628" s="13" t="str" cm="1">
        <f t="array" ref="U628">IF(T628="","",_xlfn.IFS(T628&lt;18.5,"Bajo peso",T628&lt;25,"Peso normal",T628&lt;30,"Sobrepeso",T628&lt;35,"Obesidad clase I",T628&lt;40,"Obesidad clase II",T628&gt;=40,"Obesidad clase III"))</f>
        <v>Obesidad clase II</v>
      </c>
      <c r="V628">
        <v>98</v>
      </c>
      <c r="X628" t="s">
        <v>3463</v>
      </c>
      <c r="Y628">
        <v>0.71</v>
      </c>
      <c r="AA628">
        <v>90</v>
      </c>
      <c r="AB628" s="9">
        <f t="shared" si="19"/>
        <v>104.81613033025096</v>
      </c>
      <c r="AD628" t="s">
        <v>73</v>
      </c>
      <c r="AF628" t="s">
        <v>73</v>
      </c>
      <c r="AH628" t="s">
        <v>3463</v>
      </c>
      <c r="AI628" t="s">
        <v>3463</v>
      </c>
      <c r="AL628" t="s">
        <v>3465</v>
      </c>
      <c r="AM628" t="s">
        <v>1579</v>
      </c>
      <c r="AN628" t="s">
        <v>3747</v>
      </c>
      <c r="AO628" t="s">
        <v>3465</v>
      </c>
      <c r="AP628" t="s">
        <v>3465</v>
      </c>
      <c r="AQ628" t="s">
        <v>1580</v>
      </c>
      <c r="AR628" t="s">
        <v>3565</v>
      </c>
      <c r="AT628" t="s">
        <v>3465</v>
      </c>
      <c r="AU628" t="s">
        <v>125</v>
      </c>
      <c r="AV628" t="s">
        <v>178</v>
      </c>
      <c r="AW628" t="s">
        <v>3918</v>
      </c>
      <c r="AX628" t="s">
        <v>3465</v>
      </c>
      <c r="AY628" t="s">
        <v>3465</v>
      </c>
      <c r="AZ628" t="s">
        <v>1505</v>
      </c>
      <c r="BF628" t="s">
        <v>3921</v>
      </c>
      <c r="BH628" t="s">
        <v>4020</v>
      </c>
      <c r="BP628" t="s">
        <v>4260</v>
      </c>
      <c r="BQ628" t="s">
        <v>3463</v>
      </c>
      <c r="BR628" t="s">
        <v>3463</v>
      </c>
      <c r="BS628" t="s">
        <v>3465</v>
      </c>
      <c r="BT628" t="s">
        <v>3465</v>
      </c>
      <c r="BU628" t="s">
        <v>3465</v>
      </c>
      <c r="BV628" t="s">
        <v>3465</v>
      </c>
      <c r="BW628" t="s">
        <v>3465</v>
      </c>
      <c r="BX628" t="s">
        <v>79</v>
      </c>
      <c r="BY628" t="s">
        <v>79</v>
      </c>
      <c r="BZ628" t="s">
        <v>79</v>
      </c>
      <c r="CA628" s="10">
        <v>45910</v>
      </c>
    </row>
    <row r="629" spans="1:79">
      <c r="A629">
        <v>635</v>
      </c>
      <c r="B629">
        <v>261</v>
      </c>
      <c r="C629">
        <v>73</v>
      </c>
      <c r="D629" t="s">
        <v>3466</v>
      </c>
      <c r="E629" t="s">
        <v>1581</v>
      </c>
      <c r="F629" t="s">
        <v>969</v>
      </c>
      <c r="G629" s="12" t="s">
        <v>3465</v>
      </c>
      <c r="H629" t="s">
        <v>88</v>
      </c>
      <c r="I629">
        <v>65</v>
      </c>
      <c r="K629">
        <v>131</v>
      </c>
      <c r="L629">
        <v>72</v>
      </c>
      <c r="M629" t="s">
        <v>82</v>
      </c>
      <c r="P629" t="s">
        <v>83</v>
      </c>
      <c r="Q629" t="s">
        <v>82</v>
      </c>
      <c r="R629">
        <v>69.3</v>
      </c>
      <c r="S629">
        <v>150</v>
      </c>
      <c r="T629" s="8">
        <f t="shared" si="18"/>
        <v>30.799999999999997</v>
      </c>
      <c r="U629" s="13" t="str" cm="1">
        <f t="array" ref="U629">IF(T629="","",_xlfn.IFS(T629&lt;18.5,"Bajo peso",T629&lt;25,"Peso normal",T629&lt;30,"Sobrepeso",T629&lt;35,"Obesidad clase I",T629&lt;40,"Obesidad clase II",T629&gt;=40,"Obesidad clase III"))</f>
        <v>Obesidad clase I</v>
      </c>
      <c r="V629">
        <v>111</v>
      </c>
      <c r="X629" t="s">
        <v>3463</v>
      </c>
      <c r="Y629">
        <v>1.1200000000000001</v>
      </c>
      <c r="AA629">
        <v>52</v>
      </c>
      <c r="AB629" s="9">
        <f t="shared" si="19"/>
        <v>51.921989330059198</v>
      </c>
      <c r="AD629" t="s">
        <v>158</v>
      </c>
      <c r="AF629" t="s">
        <v>158</v>
      </c>
      <c r="AG629" t="s">
        <v>3465</v>
      </c>
      <c r="AH629" t="s">
        <v>3465</v>
      </c>
      <c r="AI629" t="s">
        <v>3465</v>
      </c>
      <c r="AJ629" t="s">
        <v>3464</v>
      </c>
      <c r="AK629" t="s">
        <v>3463</v>
      </c>
      <c r="AL629" t="s">
        <v>3465</v>
      </c>
      <c r="AM629" t="s">
        <v>257</v>
      </c>
      <c r="AN629" t="s">
        <v>116</v>
      </c>
      <c r="AP629" t="s">
        <v>3463</v>
      </c>
      <c r="AS629" t="s">
        <v>3465</v>
      </c>
      <c r="AT629" t="s">
        <v>3465</v>
      </c>
      <c r="AU629" t="s">
        <v>80</v>
      </c>
      <c r="AV629" t="s">
        <v>126</v>
      </c>
      <c r="AW629" t="s">
        <v>126</v>
      </c>
      <c r="AX629" t="s">
        <v>3463</v>
      </c>
      <c r="AY629" t="s">
        <v>3465</v>
      </c>
      <c r="BA629" t="s">
        <v>3920</v>
      </c>
      <c r="BB629" t="s">
        <v>3485</v>
      </c>
      <c r="BE629" t="s">
        <v>116</v>
      </c>
      <c r="BF629" t="s">
        <v>116</v>
      </c>
      <c r="BH629" t="s">
        <v>4029</v>
      </c>
      <c r="BK629" t="s">
        <v>1582</v>
      </c>
      <c r="BL629" t="s">
        <v>1583</v>
      </c>
      <c r="BP629" t="s">
        <v>4443</v>
      </c>
      <c r="BQ629" t="s">
        <v>3463</v>
      </c>
      <c r="BR629" t="s">
        <v>3463</v>
      </c>
      <c r="BS629" t="s">
        <v>3463</v>
      </c>
      <c r="BT629" t="s">
        <v>3463</v>
      </c>
      <c r="BU629" t="s">
        <v>3463</v>
      </c>
      <c r="BV629" t="s">
        <v>3463</v>
      </c>
      <c r="BW629" t="s">
        <v>3463</v>
      </c>
      <c r="BX629" t="s">
        <v>79</v>
      </c>
      <c r="BY629" t="s">
        <v>121</v>
      </c>
      <c r="BZ629" t="s">
        <v>79</v>
      </c>
      <c r="CA629" s="10">
        <v>45910</v>
      </c>
    </row>
    <row r="630" spans="1:79">
      <c r="A630">
        <v>636</v>
      </c>
      <c r="B630">
        <v>262</v>
      </c>
      <c r="C630">
        <v>59</v>
      </c>
      <c r="D630" t="s">
        <v>3466</v>
      </c>
      <c r="E630" t="s">
        <v>1000</v>
      </c>
      <c r="F630" t="s">
        <v>969</v>
      </c>
      <c r="G630" s="12" t="s">
        <v>3463</v>
      </c>
      <c r="I630">
        <v>63</v>
      </c>
      <c r="K630">
        <v>140</v>
      </c>
      <c r="L630">
        <v>81</v>
      </c>
      <c r="M630" t="s">
        <v>72</v>
      </c>
      <c r="P630" t="s">
        <v>83</v>
      </c>
      <c r="Q630" t="s">
        <v>72</v>
      </c>
      <c r="R630">
        <v>61.2</v>
      </c>
      <c r="S630">
        <v>149.5</v>
      </c>
      <c r="T630" s="8">
        <f t="shared" si="18"/>
        <v>27.382244046487177</v>
      </c>
      <c r="U630" s="13" t="str" cm="1">
        <f t="array" ref="U630">IF(T630="","",_xlfn.IFS(T630&lt;18.5,"Bajo peso",T630&lt;25,"Peso normal",T630&lt;30,"Sobrepeso",T630&lt;35,"Obesidad clase I",T630&lt;40,"Obesidad clase II",T630&gt;=40,"Obesidad clase III"))</f>
        <v>Sobrepeso</v>
      </c>
      <c r="V630">
        <v>92</v>
      </c>
      <c r="X630" t="s">
        <v>3463</v>
      </c>
      <c r="Y630">
        <v>0.82</v>
      </c>
      <c r="AA630">
        <v>83</v>
      </c>
      <c r="AB630" s="9">
        <f t="shared" si="19"/>
        <v>82.34750290289908</v>
      </c>
      <c r="AD630" t="s">
        <v>73</v>
      </c>
      <c r="AF630" t="s">
        <v>73</v>
      </c>
      <c r="AH630" t="s">
        <v>3463</v>
      </c>
      <c r="AI630" t="s">
        <v>3463</v>
      </c>
      <c r="AJ630" t="s">
        <v>3463</v>
      </c>
      <c r="AK630" t="s">
        <v>3465</v>
      </c>
      <c r="AL630" t="s">
        <v>3463</v>
      </c>
      <c r="AP630" t="s">
        <v>3463</v>
      </c>
      <c r="AT630" t="s">
        <v>3463</v>
      </c>
      <c r="AV630" t="s">
        <v>112</v>
      </c>
      <c r="AW630" t="s">
        <v>3917</v>
      </c>
      <c r="AX630" t="s">
        <v>3463</v>
      </c>
      <c r="AY630" t="s">
        <v>3463</v>
      </c>
      <c r="BE630" t="s">
        <v>1584</v>
      </c>
      <c r="BF630" t="s">
        <v>1584</v>
      </c>
      <c r="BH630" t="s">
        <v>4020</v>
      </c>
      <c r="BP630" t="s">
        <v>4260</v>
      </c>
      <c r="BQ630" t="s">
        <v>3463</v>
      </c>
      <c r="BR630" t="s">
        <v>3463</v>
      </c>
      <c r="BS630" t="s">
        <v>3463</v>
      </c>
      <c r="BT630" t="s">
        <v>3463</v>
      </c>
      <c r="BU630" t="s">
        <v>3463</v>
      </c>
      <c r="BV630" t="s">
        <v>3463</v>
      </c>
      <c r="BW630" t="s">
        <v>3463</v>
      </c>
      <c r="BX630" t="s">
        <v>79</v>
      </c>
      <c r="BY630" t="s">
        <v>87</v>
      </c>
      <c r="BZ630" t="s">
        <v>79</v>
      </c>
      <c r="CA630" s="10">
        <v>45910</v>
      </c>
    </row>
    <row r="631" spans="1:79">
      <c r="A631">
        <v>637</v>
      </c>
      <c r="B631">
        <v>263</v>
      </c>
      <c r="C631">
        <v>39</v>
      </c>
      <c r="D631" t="s">
        <v>3466</v>
      </c>
      <c r="E631" t="s">
        <v>974</v>
      </c>
      <c r="F631" t="s">
        <v>969</v>
      </c>
      <c r="G631" s="12" t="s">
        <v>3465</v>
      </c>
      <c r="H631" t="s">
        <v>88</v>
      </c>
      <c r="M631" t="s">
        <v>83</v>
      </c>
      <c r="P631" t="s">
        <v>83</v>
      </c>
      <c r="Q631" t="s">
        <v>83</v>
      </c>
      <c r="T631" s="8" t="str">
        <f t="shared" si="18"/>
        <v/>
      </c>
      <c r="U631" s="13" t="str" cm="1">
        <f t="array" ref="U631">IF(T631="","",_xlfn.IFS(T631&lt;18.5,"Bajo peso",T631&lt;25,"Peso normal",T631&lt;30,"Sobrepeso",T631&lt;35,"Obesidad clase I",T631&lt;40,"Obesidad clase II",T631&gt;=40,"Obesidad clase III"))</f>
        <v/>
      </c>
      <c r="AB631" s="9" t="str">
        <f t="shared" si="19"/>
        <v/>
      </c>
      <c r="AG631" t="s">
        <v>3463</v>
      </c>
      <c r="AH631" t="s">
        <v>3465</v>
      </c>
      <c r="AI631" t="s">
        <v>3463</v>
      </c>
      <c r="AJ631" t="s">
        <v>3463</v>
      </c>
      <c r="AK631" t="s">
        <v>3463</v>
      </c>
      <c r="AL631" t="s">
        <v>3463</v>
      </c>
      <c r="AP631" t="s">
        <v>3463</v>
      </c>
      <c r="AT631" t="s">
        <v>3463</v>
      </c>
      <c r="AV631" t="s">
        <v>126</v>
      </c>
      <c r="AW631" t="s">
        <v>126</v>
      </c>
      <c r="AX631" t="s">
        <v>3465</v>
      </c>
      <c r="AY631" t="s">
        <v>3465</v>
      </c>
      <c r="BF631" t="s">
        <v>3921</v>
      </c>
      <c r="BH631" t="s">
        <v>4020</v>
      </c>
      <c r="BP631" t="s">
        <v>4260</v>
      </c>
      <c r="BQ631" t="s">
        <v>3463</v>
      </c>
      <c r="BR631" t="s">
        <v>3463</v>
      </c>
      <c r="BS631" t="s">
        <v>3465</v>
      </c>
      <c r="BT631" t="s">
        <v>3465</v>
      </c>
      <c r="BU631" t="s">
        <v>3463</v>
      </c>
      <c r="BV631" t="s">
        <v>3463</v>
      </c>
      <c r="BW631" t="s">
        <v>3463</v>
      </c>
      <c r="BX631" t="s">
        <v>79</v>
      </c>
      <c r="BY631" t="s">
        <v>87</v>
      </c>
      <c r="BZ631" t="s">
        <v>79</v>
      </c>
      <c r="CA631" s="10">
        <v>45910</v>
      </c>
    </row>
    <row r="632" spans="1:79">
      <c r="A632">
        <v>638</v>
      </c>
      <c r="B632">
        <v>264</v>
      </c>
      <c r="C632">
        <v>68</v>
      </c>
      <c r="D632" t="s">
        <v>3462</v>
      </c>
      <c r="F632" t="s">
        <v>969</v>
      </c>
      <c r="G632" s="12" t="s">
        <v>3463</v>
      </c>
      <c r="H632" s="12"/>
      <c r="I632">
        <v>70</v>
      </c>
      <c r="K632">
        <v>138</v>
      </c>
      <c r="L632">
        <v>77</v>
      </c>
      <c r="M632" t="s">
        <v>82</v>
      </c>
      <c r="P632" t="s">
        <v>83</v>
      </c>
      <c r="Q632" t="s">
        <v>82</v>
      </c>
      <c r="R632">
        <v>88.4</v>
      </c>
      <c r="S632">
        <v>166</v>
      </c>
      <c r="T632" s="8">
        <f t="shared" si="18"/>
        <v>32.080127739875167</v>
      </c>
      <c r="U632" s="13" t="str" cm="1">
        <f t="array" ref="U632">IF(T632="","",_xlfn.IFS(T632&lt;18.5,"Bajo peso",T632&lt;25,"Peso normal",T632&lt;30,"Sobrepeso",T632&lt;35,"Obesidad clase I",T632&lt;40,"Obesidad clase II",T632&gt;=40,"Obesidad clase III"))</f>
        <v>Obesidad clase I</v>
      </c>
      <c r="V632">
        <v>110</v>
      </c>
      <c r="X632" t="s">
        <v>3463</v>
      </c>
      <c r="Y632">
        <v>1.25</v>
      </c>
      <c r="AA632">
        <v>63</v>
      </c>
      <c r="AB632" s="9">
        <f t="shared" si="19"/>
        <v>62.721844863573232</v>
      </c>
      <c r="AD632" t="s">
        <v>73</v>
      </c>
      <c r="AF632" t="s">
        <v>73</v>
      </c>
      <c r="AH632" t="s">
        <v>3463</v>
      </c>
      <c r="AI632" t="s">
        <v>3463</v>
      </c>
      <c r="AJ632" t="s">
        <v>3463</v>
      </c>
      <c r="AK632" t="s">
        <v>3463</v>
      </c>
      <c r="AP632" t="s">
        <v>3463</v>
      </c>
      <c r="AQ632" t="s">
        <v>1585</v>
      </c>
      <c r="AR632" t="s">
        <v>3566</v>
      </c>
      <c r="AV632" t="s">
        <v>126</v>
      </c>
      <c r="AW632" t="s">
        <v>126</v>
      </c>
      <c r="BF632" t="s">
        <v>3921</v>
      </c>
      <c r="BH632" t="s">
        <v>4020</v>
      </c>
      <c r="BP632" t="s">
        <v>4260</v>
      </c>
      <c r="BQ632" t="s">
        <v>3463</v>
      </c>
      <c r="BR632" t="s">
        <v>3465</v>
      </c>
      <c r="BS632" t="s">
        <v>3463</v>
      </c>
      <c r="BT632" t="s">
        <v>3463</v>
      </c>
      <c r="BU632" t="s">
        <v>3463</v>
      </c>
      <c r="BV632" t="s">
        <v>3463</v>
      </c>
      <c r="BW632" t="s">
        <v>3463</v>
      </c>
      <c r="BX632" t="s">
        <v>79</v>
      </c>
      <c r="BY632" t="s">
        <v>87</v>
      </c>
      <c r="BZ632" t="s">
        <v>79</v>
      </c>
      <c r="CA632" s="10">
        <v>45910</v>
      </c>
    </row>
    <row r="633" spans="1:79">
      <c r="A633">
        <v>639</v>
      </c>
      <c r="B633">
        <v>265</v>
      </c>
      <c r="C633">
        <v>51</v>
      </c>
      <c r="D633" t="s">
        <v>3462</v>
      </c>
      <c r="E633" t="s">
        <v>1237</v>
      </c>
      <c r="F633" t="s">
        <v>969</v>
      </c>
      <c r="G633" s="12" t="s">
        <v>3465</v>
      </c>
      <c r="H633" t="s">
        <v>88</v>
      </c>
      <c r="I633">
        <v>72</v>
      </c>
      <c r="J633">
        <v>70</v>
      </c>
      <c r="K633">
        <v>146</v>
      </c>
      <c r="L633">
        <v>96</v>
      </c>
      <c r="M633" t="s">
        <v>72</v>
      </c>
      <c r="N633">
        <v>153</v>
      </c>
      <c r="O633">
        <v>96</v>
      </c>
      <c r="P633" t="s">
        <v>72</v>
      </c>
      <c r="Q633" t="s">
        <v>72</v>
      </c>
      <c r="R633">
        <v>100.7</v>
      </c>
      <c r="S633">
        <v>173.5</v>
      </c>
      <c r="T633" s="8">
        <f t="shared" si="18"/>
        <v>33.452648888372131</v>
      </c>
      <c r="U633" s="13" t="str" cm="1">
        <f t="array" ref="U633">IF(T633="","",_xlfn.IFS(T633&lt;18.5,"Bajo peso",T633&lt;25,"Peso normal",T633&lt;30,"Sobrepeso",T633&lt;35,"Obesidad clase I",T633&lt;40,"Obesidad clase II",T633&gt;=40,"Obesidad clase III"))</f>
        <v>Obesidad clase I</v>
      </c>
      <c r="V633">
        <v>119</v>
      </c>
      <c r="X633" t="s">
        <v>3463</v>
      </c>
      <c r="Y633">
        <v>1.27</v>
      </c>
      <c r="AA633">
        <v>68</v>
      </c>
      <c r="AB633" s="9">
        <f t="shared" si="19"/>
        <v>68.401165758589968</v>
      </c>
      <c r="AD633" t="s">
        <v>73</v>
      </c>
      <c r="AF633" t="s">
        <v>73</v>
      </c>
      <c r="AH633" t="s">
        <v>3463</v>
      </c>
      <c r="AI633" t="s">
        <v>3463</v>
      </c>
      <c r="AJ633" t="s">
        <v>3463</v>
      </c>
      <c r="AK633" t="s">
        <v>3463</v>
      </c>
      <c r="AL633" t="s">
        <v>3463</v>
      </c>
      <c r="AP633" t="s">
        <v>3463</v>
      </c>
      <c r="AV633" t="s">
        <v>74</v>
      </c>
      <c r="AW633" t="s">
        <v>3915</v>
      </c>
      <c r="BF633" t="s">
        <v>3921</v>
      </c>
      <c r="BH633" t="s">
        <v>4020</v>
      </c>
      <c r="BP633" t="s">
        <v>4260</v>
      </c>
      <c r="BQ633" t="s">
        <v>3465</v>
      </c>
      <c r="BR633" t="s">
        <v>3463</v>
      </c>
      <c r="BS633" t="s">
        <v>3463</v>
      </c>
      <c r="BT633" t="s">
        <v>3465</v>
      </c>
      <c r="BU633" t="s">
        <v>3463</v>
      </c>
      <c r="BV633" t="s">
        <v>3463</v>
      </c>
      <c r="BW633" t="s">
        <v>3463</v>
      </c>
      <c r="BX633" t="s">
        <v>79</v>
      </c>
      <c r="BY633" t="s">
        <v>87</v>
      </c>
      <c r="BZ633" t="s">
        <v>79</v>
      </c>
      <c r="CA633" s="10">
        <v>45910</v>
      </c>
    </row>
    <row r="634" spans="1:79">
      <c r="A634">
        <v>640</v>
      </c>
      <c r="B634">
        <v>266</v>
      </c>
      <c r="C634">
        <v>38</v>
      </c>
      <c r="D634" t="s">
        <v>3466</v>
      </c>
      <c r="E634" t="s">
        <v>1586</v>
      </c>
      <c r="F634" t="s">
        <v>969</v>
      </c>
      <c r="G634" s="12" t="s">
        <v>3465</v>
      </c>
      <c r="H634" t="s">
        <v>88</v>
      </c>
      <c r="I634">
        <v>71</v>
      </c>
      <c r="K634">
        <v>134</v>
      </c>
      <c r="L634">
        <v>87</v>
      </c>
      <c r="M634" t="s">
        <v>82</v>
      </c>
      <c r="P634" t="s">
        <v>83</v>
      </c>
      <c r="Q634" t="s">
        <v>82</v>
      </c>
      <c r="R634">
        <v>96.1</v>
      </c>
      <c r="S634">
        <v>159</v>
      </c>
      <c r="T634" s="8">
        <f t="shared" si="18"/>
        <v>38.012736837941539</v>
      </c>
      <c r="U634" s="13" t="str" cm="1">
        <f t="array" ref="U634">IF(T634="","",_xlfn.IFS(T634&lt;18.5,"Bajo peso",T634&lt;25,"Peso normal",T634&lt;30,"Sobrepeso",T634&lt;35,"Obesidad clase I",T634&lt;40,"Obesidad clase II",T634&gt;=40,"Obesidad clase III"))</f>
        <v>Obesidad clase II</v>
      </c>
      <c r="V634">
        <v>97</v>
      </c>
      <c r="X634" t="s">
        <v>3463</v>
      </c>
      <c r="Y634">
        <v>0.8</v>
      </c>
      <c r="AA634">
        <v>90</v>
      </c>
      <c r="AB634" s="9">
        <f t="shared" si="19"/>
        <v>96.658540248931246</v>
      </c>
      <c r="AD634" t="s">
        <v>73</v>
      </c>
      <c r="AF634" t="s">
        <v>73</v>
      </c>
      <c r="AH634" t="s">
        <v>3463</v>
      </c>
      <c r="AI634" t="s">
        <v>3463</v>
      </c>
      <c r="AJ634" t="s">
        <v>3463</v>
      </c>
      <c r="AK634" t="s">
        <v>3463</v>
      </c>
      <c r="AL634" t="s">
        <v>3465</v>
      </c>
      <c r="AM634" t="s">
        <v>1511</v>
      </c>
      <c r="AN634" t="s">
        <v>1511</v>
      </c>
      <c r="AP634" t="s">
        <v>3463</v>
      </c>
      <c r="AQ634" t="s">
        <v>1587</v>
      </c>
      <c r="AR634" t="s">
        <v>3488</v>
      </c>
      <c r="AV634" t="s">
        <v>74</v>
      </c>
      <c r="AW634" t="s">
        <v>3915</v>
      </c>
      <c r="AX634" t="s">
        <v>3463</v>
      </c>
      <c r="AY634" t="s">
        <v>3465</v>
      </c>
      <c r="AZ634" t="s">
        <v>90</v>
      </c>
      <c r="BF634" t="s">
        <v>3921</v>
      </c>
      <c r="BH634" t="s">
        <v>4020</v>
      </c>
      <c r="BP634" t="s">
        <v>4260</v>
      </c>
      <c r="BQ634" t="s">
        <v>3463</v>
      </c>
      <c r="BR634" t="s">
        <v>3463</v>
      </c>
      <c r="BS634" t="s">
        <v>3465</v>
      </c>
      <c r="BT634" t="s">
        <v>3465</v>
      </c>
      <c r="BU634" t="s">
        <v>3463</v>
      </c>
      <c r="BV634" t="s">
        <v>3463</v>
      </c>
      <c r="BW634" t="s">
        <v>3463</v>
      </c>
      <c r="BX634" t="s">
        <v>79</v>
      </c>
      <c r="BY634" t="s">
        <v>87</v>
      </c>
      <c r="BZ634" t="s">
        <v>79</v>
      </c>
      <c r="CA634" s="10">
        <v>45910</v>
      </c>
    </row>
    <row r="635" spans="1:79">
      <c r="A635">
        <v>641</v>
      </c>
      <c r="B635">
        <v>267</v>
      </c>
      <c r="C635">
        <v>24</v>
      </c>
      <c r="D635" t="s">
        <v>3466</v>
      </c>
      <c r="E635" t="s">
        <v>974</v>
      </c>
      <c r="F635" t="s">
        <v>969</v>
      </c>
      <c r="G635" s="12" t="s">
        <v>3465</v>
      </c>
      <c r="H635" s="12" t="s">
        <v>88</v>
      </c>
      <c r="I635">
        <v>70</v>
      </c>
      <c r="J635">
        <v>73</v>
      </c>
      <c r="K635">
        <v>165</v>
      </c>
      <c r="L635">
        <v>70</v>
      </c>
      <c r="M635" t="s">
        <v>72</v>
      </c>
      <c r="N635">
        <v>121</v>
      </c>
      <c r="O635">
        <v>73</v>
      </c>
      <c r="P635" t="s">
        <v>118</v>
      </c>
      <c r="Q635" t="s">
        <v>118</v>
      </c>
      <c r="R635">
        <v>111</v>
      </c>
      <c r="S635">
        <v>161</v>
      </c>
      <c r="T635" s="8">
        <f t="shared" si="18"/>
        <v>42.822421974460859</v>
      </c>
      <c r="U635" s="13" t="str" cm="1">
        <f t="array" ref="U635">IF(T635="","",_xlfn.IFS(T635&lt;18.5,"Bajo peso",T635&lt;25,"Peso normal",T635&lt;30,"Sobrepeso",T635&lt;35,"Obesidad clase I",T635&lt;40,"Obesidad clase II",T635&gt;=40,"Obesidad clase III"))</f>
        <v>Obesidad clase III</v>
      </c>
      <c r="V635">
        <v>112</v>
      </c>
      <c r="X635" t="s">
        <v>3463</v>
      </c>
      <c r="Y635">
        <v>1.02</v>
      </c>
      <c r="AA635">
        <v>78</v>
      </c>
      <c r="AB635" s="9">
        <f t="shared" si="19"/>
        <v>78.784741903648367</v>
      </c>
      <c r="AD635" t="s">
        <v>73</v>
      </c>
      <c r="AF635" t="s">
        <v>73</v>
      </c>
      <c r="AH635" t="s">
        <v>3463</v>
      </c>
      <c r="AI635" t="s">
        <v>3463</v>
      </c>
      <c r="AJ635" t="s">
        <v>3464</v>
      </c>
      <c r="AK635" t="s">
        <v>3463</v>
      </c>
      <c r="AL635" t="s">
        <v>3463</v>
      </c>
      <c r="AP635" t="s">
        <v>3463</v>
      </c>
      <c r="AQ635" t="s">
        <v>1372</v>
      </c>
      <c r="AR635" t="s">
        <v>3493</v>
      </c>
      <c r="AT635" t="s">
        <v>3463</v>
      </c>
      <c r="AV635" t="s">
        <v>74</v>
      </c>
      <c r="AW635" t="s">
        <v>3915</v>
      </c>
      <c r="AX635" t="s">
        <v>3463</v>
      </c>
      <c r="AY635" t="s">
        <v>3465</v>
      </c>
      <c r="AZ635" t="s">
        <v>1094</v>
      </c>
      <c r="BF635" t="s">
        <v>3921</v>
      </c>
      <c r="BH635" t="s">
        <v>4020</v>
      </c>
      <c r="BP635" t="s">
        <v>4260</v>
      </c>
      <c r="BQ635" t="s">
        <v>3465</v>
      </c>
      <c r="BR635" t="s">
        <v>3465</v>
      </c>
      <c r="BS635" t="s">
        <v>3465</v>
      </c>
      <c r="BT635" t="s">
        <v>3465</v>
      </c>
      <c r="BU635" t="s">
        <v>3463</v>
      </c>
      <c r="BV635" t="s">
        <v>3463</v>
      </c>
      <c r="BW635" t="s">
        <v>3463</v>
      </c>
      <c r="BX635" t="s">
        <v>79</v>
      </c>
      <c r="BY635" t="s">
        <v>87</v>
      </c>
      <c r="BZ635" t="s">
        <v>79</v>
      </c>
      <c r="CA635" s="10">
        <v>45910</v>
      </c>
    </row>
    <row r="636" spans="1:79">
      <c r="A636">
        <v>642</v>
      </c>
      <c r="B636">
        <v>269</v>
      </c>
      <c r="C636">
        <v>25</v>
      </c>
      <c r="D636" t="s">
        <v>3466</v>
      </c>
      <c r="E636" t="s">
        <v>1588</v>
      </c>
      <c r="F636" t="s">
        <v>969</v>
      </c>
      <c r="G636" s="12" t="s">
        <v>3463</v>
      </c>
      <c r="H636" s="12"/>
      <c r="I636">
        <v>74</v>
      </c>
      <c r="K636">
        <v>110</v>
      </c>
      <c r="L636">
        <v>65</v>
      </c>
      <c r="M636" t="s">
        <v>80</v>
      </c>
      <c r="P636" t="s">
        <v>83</v>
      </c>
      <c r="Q636" t="s">
        <v>80</v>
      </c>
      <c r="R636">
        <v>74.8</v>
      </c>
      <c r="S636">
        <v>164</v>
      </c>
      <c r="T636" s="8">
        <f t="shared" si="18"/>
        <v>27.81082688875669</v>
      </c>
      <c r="U636" s="13" t="str" cm="1">
        <f t="array" ref="U636">IF(T636="","",_xlfn.IFS(T636&lt;18.5,"Bajo peso",T636&lt;25,"Peso normal",T636&lt;30,"Sobrepeso",T636&lt;35,"Obesidad clase I",T636&lt;40,"Obesidad clase II",T636&gt;=40,"Obesidad clase III"))</f>
        <v>Sobrepeso</v>
      </c>
      <c r="V636">
        <v>94</v>
      </c>
      <c r="X636" t="s">
        <v>3463</v>
      </c>
      <c r="Y636">
        <v>0.93</v>
      </c>
      <c r="AA636">
        <v>88</v>
      </c>
      <c r="AB636" s="9">
        <f t="shared" si="19"/>
        <v>87.474562061023931</v>
      </c>
      <c r="AD636" t="s">
        <v>73</v>
      </c>
      <c r="AF636" t="s">
        <v>73</v>
      </c>
      <c r="AH636" t="s">
        <v>3463</v>
      </c>
      <c r="AI636" t="s">
        <v>3463</v>
      </c>
      <c r="AJ636" t="s">
        <v>3463</v>
      </c>
      <c r="AK636" t="s">
        <v>3463</v>
      </c>
      <c r="AL636" t="s">
        <v>3465</v>
      </c>
      <c r="AM636" t="s">
        <v>1589</v>
      </c>
      <c r="AN636" t="s">
        <v>3748</v>
      </c>
      <c r="AP636" t="s">
        <v>3463</v>
      </c>
      <c r="AV636" t="s">
        <v>74</v>
      </c>
      <c r="AW636" t="s">
        <v>3915</v>
      </c>
      <c r="AX636" t="s">
        <v>3465</v>
      </c>
      <c r="AY636" t="s">
        <v>3465</v>
      </c>
      <c r="AZ636" t="s">
        <v>1505</v>
      </c>
      <c r="BF636" t="s">
        <v>3921</v>
      </c>
      <c r="BH636" t="s">
        <v>4020</v>
      </c>
      <c r="BP636" t="s">
        <v>4260</v>
      </c>
      <c r="BQ636" t="s">
        <v>3463</v>
      </c>
      <c r="BR636" t="s">
        <v>3463</v>
      </c>
      <c r="BS636" t="s">
        <v>3465</v>
      </c>
      <c r="BT636" t="s">
        <v>3465</v>
      </c>
      <c r="BU636" t="s">
        <v>3463</v>
      </c>
      <c r="BV636" t="s">
        <v>3463</v>
      </c>
      <c r="BW636" t="s">
        <v>3463</v>
      </c>
      <c r="BX636" t="s">
        <v>79</v>
      </c>
      <c r="BY636" t="s">
        <v>87</v>
      </c>
      <c r="BZ636" t="s">
        <v>79</v>
      </c>
      <c r="CA636" s="10">
        <v>45910</v>
      </c>
    </row>
    <row r="637" spans="1:79">
      <c r="A637">
        <v>643</v>
      </c>
      <c r="B637">
        <v>270</v>
      </c>
      <c r="C637">
        <v>33</v>
      </c>
      <c r="D637" t="s">
        <v>3462</v>
      </c>
      <c r="E637" t="s">
        <v>1113</v>
      </c>
      <c r="F637" t="s">
        <v>969</v>
      </c>
      <c r="G637" s="12" t="s">
        <v>3465</v>
      </c>
      <c r="H637" t="s">
        <v>88</v>
      </c>
      <c r="I637">
        <v>63</v>
      </c>
      <c r="K637">
        <v>122</v>
      </c>
      <c r="L637">
        <v>69</v>
      </c>
      <c r="M637" t="s">
        <v>118</v>
      </c>
      <c r="P637" t="s">
        <v>83</v>
      </c>
      <c r="Q637" t="s">
        <v>118</v>
      </c>
      <c r="R637">
        <v>82.4</v>
      </c>
      <c r="S637">
        <v>174</v>
      </c>
      <c r="T637" s="8">
        <f t="shared" si="18"/>
        <v>27.216276919011761</v>
      </c>
      <c r="U637" s="13" t="str" cm="1">
        <f t="array" ref="U637">IF(T637="","",_xlfn.IFS(T637&lt;18.5,"Bajo peso",T637&lt;25,"Peso normal",T637&lt;30,"Sobrepeso",T637&lt;35,"Obesidad clase I",T637&lt;40,"Obesidad clase II",T637&gt;=40,"Obesidad clase III"))</f>
        <v>Sobrepeso</v>
      </c>
      <c r="V637">
        <v>109</v>
      </c>
      <c r="X637" t="s">
        <v>3463</v>
      </c>
      <c r="Y637">
        <v>1.03</v>
      </c>
      <c r="AA637">
        <v>90</v>
      </c>
      <c r="AB637" s="9">
        <f t="shared" si="19"/>
        <v>98.3651900939428</v>
      </c>
      <c r="AD637" t="s">
        <v>73</v>
      </c>
      <c r="AF637" t="s">
        <v>73</v>
      </c>
      <c r="AH637" t="s">
        <v>3463</v>
      </c>
      <c r="AI637" t="s">
        <v>3463</v>
      </c>
      <c r="AJ637" t="s">
        <v>3463</v>
      </c>
      <c r="AK637" t="s">
        <v>3463</v>
      </c>
      <c r="AL637" t="s">
        <v>3463</v>
      </c>
      <c r="AO637" t="s">
        <v>3465</v>
      </c>
      <c r="AP637" t="s">
        <v>3465</v>
      </c>
      <c r="AQ637" t="s">
        <v>1590</v>
      </c>
      <c r="AR637" t="s">
        <v>3567</v>
      </c>
      <c r="AV637" t="s">
        <v>126</v>
      </c>
      <c r="AW637" t="s">
        <v>126</v>
      </c>
      <c r="BF637" t="s">
        <v>3921</v>
      </c>
      <c r="BH637" t="s">
        <v>4020</v>
      </c>
      <c r="BP637" t="s">
        <v>4260</v>
      </c>
      <c r="BQ637" t="s">
        <v>3463</v>
      </c>
      <c r="BR637" t="s">
        <v>3465</v>
      </c>
      <c r="BS637" t="s">
        <v>3465</v>
      </c>
      <c r="BT637" t="s">
        <v>3465</v>
      </c>
      <c r="BU637" t="s">
        <v>3463</v>
      </c>
      <c r="BV637" t="s">
        <v>3463</v>
      </c>
      <c r="BW637" t="s">
        <v>3463</v>
      </c>
      <c r="BX637" t="s">
        <v>79</v>
      </c>
      <c r="BY637" t="s">
        <v>87</v>
      </c>
      <c r="BZ637" t="s">
        <v>79</v>
      </c>
      <c r="CA637" s="10">
        <v>45910</v>
      </c>
    </row>
    <row r="638" spans="1:79">
      <c r="A638">
        <v>644</v>
      </c>
      <c r="B638">
        <v>271</v>
      </c>
      <c r="C638">
        <v>88</v>
      </c>
      <c r="D638" t="s">
        <v>3466</v>
      </c>
      <c r="E638" t="s">
        <v>1591</v>
      </c>
      <c r="F638" t="s">
        <v>969</v>
      </c>
      <c r="G638" s="12" t="s">
        <v>3463</v>
      </c>
      <c r="H638" s="12"/>
      <c r="I638">
        <v>93</v>
      </c>
      <c r="J638">
        <v>84</v>
      </c>
      <c r="K638">
        <v>150</v>
      </c>
      <c r="L638">
        <v>78</v>
      </c>
      <c r="M638" t="s">
        <v>72</v>
      </c>
      <c r="N638">
        <v>153</v>
      </c>
      <c r="O638">
        <v>71</v>
      </c>
      <c r="P638" t="s">
        <v>72</v>
      </c>
      <c r="Q638" t="s">
        <v>72</v>
      </c>
      <c r="R638">
        <v>46</v>
      </c>
      <c r="S638">
        <v>149</v>
      </c>
      <c r="T638" s="8">
        <f t="shared" si="18"/>
        <v>20.719787396964101</v>
      </c>
      <c r="U638" s="13" t="str" cm="1">
        <f t="array" ref="U638">IF(T638="","",_xlfn.IFS(T638&lt;18.5,"Bajo peso",T638&lt;25,"Peso normal",T638&lt;30,"Sobrepeso",T638&lt;35,"Obesidad clase I",T638&lt;40,"Obesidad clase II",T638&gt;=40,"Obesidad clase III"))</f>
        <v>Peso normal</v>
      </c>
      <c r="V638">
        <v>94</v>
      </c>
      <c r="X638" t="s">
        <v>3463</v>
      </c>
      <c r="Y638">
        <v>1.39</v>
      </c>
      <c r="Z638">
        <v>1.38</v>
      </c>
      <c r="AA638">
        <v>36</v>
      </c>
      <c r="AB638" s="9">
        <f t="shared" si="19"/>
        <v>36.498925271709687</v>
      </c>
      <c r="AC638">
        <v>37</v>
      </c>
      <c r="AD638" t="s">
        <v>218</v>
      </c>
      <c r="AE638" t="s">
        <v>218</v>
      </c>
      <c r="AF638" t="s">
        <v>218</v>
      </c>
      <c r="AH638" t="s">
        <v>3463</v>
      </c>
      <c r="AI638" t="s">
        <v>3465</v>
      </c>
      <c r="AJ638" t="s">
        <v>3463</v>
      </c>
      <c r="AK638" t="s">
        <v>3463</v>
      </c>
      <c r="AL638" t="s">
        <v>3463</v>
      </c>
      <c r="AP638" t="s">
        <v>3463</v>
      </c>
      <c r="AS638" t="s">
        <v>3465</v>
      </c>
      <c r="AT638" t="s">
        <v>3463</v>
      </c>
      <c r="AU638" t="s">
        <v>80</v>
      </c>
      <c r="AV638" t="s">
        <v>112</v>
      </c>
      <c r="AW638" t="s">
        <v>3917</v>
      </c>
      <c r="AX638" t="s">
        <v>3463</v>
      </c>
      <c r="AY638" t="s">
        <v>3463</v>
      </c>
      <c r="BF638" t="s">
        <v>3921</v>
      </c>
      <c r="BG638" t="s">
        <v>1592</v>
      </c>
      <c r="BH638" t="s">
        <v>4053</v>
      </c>
      <c r="BK638" t="s">
        <v>1593</v>
      </c>
      <c r="BL638" t="s">
        <v>1594</v>
      </c>
      <c r="BP638" t="s">
        <v>4325</v>
      </c>
      <c r="BQ638" t="s">
        <v>3465</v>
      </c>
      <c r="BR638" t="s">
        <v>3465</v>
      </c>
      <c r="BS638" t="s">
        <v>3463</v>
      </c>
      <c r="BT638" t="s">
        <v>3463</v>
      </c>
      <c r="BU638" t="s">
        <v>3463</v>
      </c>
      <c r="BV638" t="s">
        <v>3463</v>
      </c>
      <c r="BW638" t="s">
        <v>3463</v>
      </c>
      <c r="BX638" t="s">
        <v>518</v>
      </c>
      <c r="BY638" t="s">
        <v>87</v>
      </c>
      <c r="BZ638" t="s">
        <v>79</v>
      </c>
      <c r="CA638" s="10">
        <v>45910</v>
      </c>
    </row>
    <row r="639" spans="1:79">
      <c r="A639">
        <v>645</v>
      </c>
      <c r="B639">
        <v>272</v>
      </c>
      <c r="C639">
        <v>68</v>
      </c>
      <c r="D639" t="s">
        <v>3462</v>
      </c>
      <c r="E639" t="s">
        <v>1057</v>
      </c>
      <c r="F639" t="s">
        <v>969</v>
      </c>
      <c r="G639" s="12" t="s">
        <v>3463</v>
      </c>
      <c r="I639">
        <v>66</v>
      </c>
      <c r="J639">
        <v>62</v>
      </c>
      <c r="K639">
        <v>167</v>
      </c>
      <c r="L639">
        <v>91</v>
      </c>
      <c r="M639" t="s">
        <v>72</v>
      </c>
      <c r="N639">
        <v>153</v>
      </c>
      <c r="O639">
        <v>95</v>
      </c>
      <c r="P639" t="s">
        <v>72</v>
      </c>
      <c r="Q639" t="s">
        <v>72</v>
      </c>
      <c r="R639">
        <v>78.400000000000006</v>
      </c>
      <c r="S639">
        <v>165</v>
      </c>
      <c r="T639" s="8">
        <f t="shared" si="18"/>
        <v>28.797061524334254</v>
      </c>
      <c r="U639" s="13" t="str" cm="1">
        <f t="array" ref="U639">IF(T639="","",_xlfn.IFS(T639&lt;18.5,"Bajo peso",T639&lt;25,"Peso normal",T639&lt;30,"Sobrepeso",T639&lt;35,"Obesidad clase I",T639&lt;40,"Obesidad clase II",T639&gt;=40,"Obesidad clase III"))</f>
        <v>Sobrepeso</v>
      </c>
      <c r="V639">
        <v>117</v>
      </c>
      <c r="X639" t="s">
        <v>3463</v>
      </c>
      <c r="Y639">
        <v>1.3</v>
      </c>
      <c r="AA639">
        <v>60</v>
      </c>
      <c r="AB639" s="9">
        <f t="shared" si="19"/>
        <v>59.838240756089192</v>
      </c>
      <c r="AD639" t="s">
        <v>73</v>
      </c>
      <c r="AF639" t="s">
        <v>73</v>
      </c>
      <c r="AH639" t="s">
        <v>3463</v>
      </c>
      <c r="AI639" t="s">
        <v>3465</v>
      </c>
      <c r="AJ639" t="s">
        <v>3463</v>
      </c>
      <c r="AK639" t="s">
        <v>3463</v>
      </c>
      <c r="AL639" t="s">
        <v>3464</v>
      </c>
      <c r="AO639" t="s">
        <v>3465</v>
      </c>
      <c r="AP639" t="s">
        <v>3465</v>
      </c>
      <c r="AQ639" t="s">
        <v>1595</v>
      </c>
      <c r="AR639" t="s">
        <v>3528</v>
      </c>
      <c r="AS639" t="s">
        <v>3465</v>
      </c>
      <c r="AV639" t="s">
        <v>74</v>
      </c>
      <c r="AW639" t="s">
        <v>3915</v>
      </c>
      <c r="BA639" t="s">
        <v>3920</v>
      </c>
      <c r="BF639" t="s">
        <v>3921</v>
      </c>
      <c r="BG639" t="s">
        <v>1596</v>
      </c>
      <c r="BH639" t="s">
        <v>4163</v>
      </c>
      <c r="BI639" t="s">
        <v>411</v>
      </c>
      <c r="BL639" t="s">
        <v>1374</v>
      </c>
      <c r="BP639" t="s">
        <v>4444</v>
      </c>
      <c r="BQ639" t="s">
        <v>3463</v>
      </c>
      <c r="BR639" t="s">
        <v>3463</v>
      </c>
      <c r="BS639" t="s">
        <v>3465</v>
      </c>
      <c r="BT639" t="s">
        <v>3465</v>
      </c>
      <c r="BU639" t="s">
        <v>3463</v>
      </c>
      <c r="BV639" t="s">
        <v>3463</v>
      </c>
      <c r="BW639" t="s">
        <v>3463</v>
      </c>
      <c r="BX639" t="s">
        <v>79</v>
      </c>
      <c r="BY639" t="s">
        <v>79</v>
      </c>
      <c r="BZ639" t="s">
        <v>79</v>
      </c>
      <c r="CA639" s="10">
        <v>45910</v>
      </c>
    </row>
    <row r="640" spans="1:79">
      <c r="A640">
        <v>646</v>
      </c>
      <c r="B640">
        <v>273</v>
      </c>
      <c r="C640">
        <v>62</v>
      </c>
      <c r="D640" t="s">
        <v>3466</v>
      </c>
      <c r="E640" t="s">
        <v>1384</v>
      </c>
      <c r="F640" t="s">
        <v>969</v>
      </c>
      <c r="G640" s="12" t="s">
        <v>3463</v>
      </c>
      <c r="H640" s="12"/>
      <c r="I640">
        <v>60</v>
      </c>
      <c r="J640">
        <v>55</v>
      </c>
      <c r="K640">
        <v>144</v>
      </c>
      <c r="L640">
        <v>65</v>
      </c>
      <c r="M640" t="s">
        <v>72</v>
      </c>
      <c r="N640">
        <v>141</v>
      </c>
      <c r="O640">
        <v>58</v>
      </c>
      <c r="P640" t="s">
        <v>72</v>
      </c>
      <c r="Q640" t="s">
        <v>72</v>
      </c>
      <c r="R640">
        <v>65</v>
      </c>
      <c r="S640">
        <v>155</v>
      </c>
      <c r="T640" s="8">
        <f t="shared" si="18"/>
        <v>27.055150884495319</v>
      </c>
      <c r="U640" s="13" t="str" cm="1">
        <f t="array" ref="U640">IF(T640="","",_xlfn.IFS(T640&lt;18.5,"Bajo peso",T640&lt;25,"Peso normal",T640&lt;30,"Sobrepeso",T640&lt;35,"Obesidad clase I",T640&lt;40,"Obesidad clase II",T640&gt;=40,"Obesidad clase III"))</f>
        <v>Sobrepeso</v>
      </c>
      <c r="V640">
        <v>86</v>
      </c>
      <c r="X640" t="s">
        <v>3463</v>
      </c>
      <c r="Y640">
        <v>1.01</v>
      </c>
      <c r="AA640">
        <v>63</v>
      </c>
      <c r="AB640" s="9">
        <f t="shared" si="19"/>
        <v>62.941687986397916</v>
      </c>
      <c r="AD640" t="s">
        <v>73</v>
      </c>
      <c r="AF640" t="s">
        <v>73</v>
      </c>
      <c r="AH640" t="s">
        <v>3463</v>
      </c>
      <c r="AI640" t="s">
        <v>3465</v>
      </c>
      <c r="AJ640" t="s">
        <v>3465</v>
      </c>
      <c r="AK640" t="s">
        <v>3465</v>
      </c>
      <c r="AL640" t="s">
        <v>3463</v>
      </c>
      <c r="AP640" t="s">
        <v>3463</v>
      </c>
      <c r="AQ640" t="s">
        <v>698</v>
      </c>
      <c r="AR640" t="s">
        <v>3488</v>
      </c>
      <c r="AS640" t="s">
        <v>3465</v>
      </c>
      <c r="AT640" t="s">
        <v>3465</v>
      </c>
      <c r="AV640" t="s">
        <v>126</v>
      </c>
      <c r="AW640" t="s">
        <v>126</v>
      </c>
      <c r="AX640" t="s">
        <v>3463</v>
      </c>
      <c r="AY640" t="s">
        <v>3463</v>
      </c>
      <c r="BF640" t="s">
        <v>3921</v>
      </c>
      <c r="BH640" t="s">
        <v>4020</v>
      </c>
      <c r="BP640" t="s">
        <v>4260</v>
      </c>
      <c r="BQ640" t="s">
        <v>3463</v>
      </c>
      <c r="BR640" t="s">
        <v>3463</v>
      </c>
      <c r="BS640" t="s">
        <v>3463</v>
      </c>
      <c r="BT640" t="s">
        <v>3463</v>
      </c>
      <c r="BU640" t="s">
        <v>3463</v>
      </c>
      <c r="BV640" t="s">
        <v>3463</v>
      </c>
      <c r="BW640" t="s">
        <v>3463</v>
      </c>
      <c r="BX640" t="s">
        <v>79</v>
      </c>
      <c r="BY640" t="s">
        <v>87</v>
      </c>
      <c r="BZ640" t="s">
        <v>79</v>
      </c>
      <c r="CA640" s="10">
        <v>45910</v>
      </c>
    </row>
    <row r="641" spans="1:79">
      <c r="A641">
        <v>647</v>
      </c>
      <c r="B641">
        <v>274</v>
      </c>
      <c r="C641">
        <v>49</v>
      </c>
      <c r="D641" t="s">
        <v>3466</v>
      </c>
      <c r="E641" t="s">
        <v>974</v>
      </c>
      <c r="F641" t="s">
        <v>168</v>
      </c>
      <c r="G641" s="12" t="s">
        <v>3463</v>
      </c>
      <c r="H641" s="12"/>
      <c r="I641">
        <v>74</v>
      </c>
      <c r="K641">
        <v>116</v>
      </c>
      <c r="L641">
        <v>64</v>
      </c>
      <c r="M641" t="s">
        <v>80</v>
      </c>
      <c r="P641" t="s">
        <v>83</v>
      </c>
      <c r="Q641" t="s">
        <v>80</v>
      </c>
      <c r="R641">
        <v>56</v>
      </c>
      <c r="S641">
        <v>147.5</v>
      </c>
      <c r="T641" s="8">
        <f t="shared" si="18"/>
        <v>25.739729962654412</v>
      </c>
      <c r="U641" s="13" t="str" cm="1">
        <f t="array" ref="U641">IF(T641="","",_xlfn.IFS(T641&lt;18.5,"Bajo peso",T641&lt;25,"Peso normal",T641&lt;30,"Sobrepeso",T641&lt;35,"Obesidad clase I",T641&lt;40,"Obesidad clase II",T641&gt;=40,"Obesidad clase III"))</f>
        <v>Sobrepeso</v>
      </c>
      <c r="V641">
        <v>86</v>
      </c>
      <c r="X641" t="s">
        <v>3463</v>
      </c>
      <c r="Y641">
        <v>0.66</v>
      </c>
      <c r="AA641">
        <v>90</v>
      </c>
      <c r="AB641" s="9">
        <f t="shared" si="19"/>
        <v>107.46771727945172</v>
      </c>
      <c r="AD641" t="s">
        <v>73</v>
      </c>
      <c r="AF641" t="s">
        <v>73</v>
      </c>
      <c r="AH641" t="s">
        <v>3463</v>
      </c>
      <c r="AI641" t="s">
        <v>3463</v>
      </c>
      <c r="AJ641" t="s">
        <v>3463</v>
      </c>
      <c r="AK641" t="s">
        <v>3463</v>
      </c>
      <c r="AL641" t="s">
        <v>3465</v>
      </c>
      <c r="AM641" t="s">
        <v>1599</v>
      </c>
      <c r="AN641" t="s">
        <v>3749</v>
      </c>
      <c r="AP641" t="s">
        <v>3463</v>
      </c>
      <c r="AQ641" t="s">
        <v>1600</v>
      </c>
      <c r="AR641" t="s">
        <v>3530</v>
      </c>
      <c r="AT641" t="s">
        <v>3465</v>
      </c>
      <c r="AU641" t="s">
        <v>80</v>
      </c>
      <c r="AV641" t="s">
        <v>74</v>
      </c>
      <c r="AW641" t="s">
        <v>3915</v>
      </c>
      <c r="AX641" t="s">
        <v>3463</v>
      </c>
      <c r="AY641" t="s">
        <v>3465</v>
      </c>
      <c r="AZ641" t="s">
        <v>1094</v>
      </c>
      <c r="BF641" t="s">
        <v>3921</v>
      </c>
      <c r="BH641" t="s">
        <v>4020</v>
      </c>
      <c r="BP641" t="s">
        <v>4260</v>
      </c>
      <c r="BQ641" t="s">
        <v>3463</v>
      </c>
      <c r="BR641" t="s">
        <v>3465</v>
      </c>
      <c r="BS641" t="s">
        <v>3463</v>
      </c>
      <c r="BT641" t="s">
        <v>3463</v>
      </c>
      <c r="BU641" t="s">
        <v>3463</v>
      </c>
      <c r="BV641" t="s">
        <v>3463</v>
      </c>
      <c r="BW641" t="s">
        <v>3463</v>
      </c>
      <c r="BX641" t="s">
        <v>79</v>
      </c>
      <c r="BY641" t="s">
        <v>79</v>
      </c>
      <c r="BZ641" t="s">
        <v>79</v>
      </c>
      <c r="CA641" s="10">
        <v>45910</v>
      </c>
    </row>
    <row r="642" spans="1:79">
      <c r="A642">
        <v>648</v>
      </c>
      <c r="B642">
        <v>274</v>
      </c>
      <c r="C642">
        <v>27</v>
      </c>
      <c r="D642" t="s">
        <v>3466</v>
      </c>
      <c r="E642" t="s">
        <v>1597</v>
      </c>
      <c r="F642" t="s">
        <v>168</v>
      </c>
      <c r="G642" s="12" t="s">
        <v>3463</v>
      </c>
      <c r="H642" s="12"/>
      <c r="I642">
        <v>90</v>
      </c>
      <c r="J642">
        <v>80</v>
      </c>
      <c r="K642">
        <v>145</v>
      </c>
      <c r="L642">
        <v>100</v>
      </c>
      <c r="M642" t="s">
        <v>72</v>
      </c>
      <c r="N642">
        <v>123</v>
      </c>
      <c r="O642">
        <v>89</v>
      </c>
      <c r="P642" t="s">
        <v>82</v>
      </c>
      <c r="Q642" t="s">
        <v>82</v>
      </c>
      <c r="R642">
        <v>55.5</v>
      </c>
      <c r="S642">
        <v>157</v>
      </c>
      <c r="T642" s="8">
        <f t="shared" ref="T642:T705" si="20">IFERROR(R642/(S642^2)*10000,"")</f>
        <v>22.516126414864701</v>
      </c>
      <c r="U642" s="13" t="str" cm="1">
        <f t="array" ref="U642">IF(T642="","",_xlfn.IFS(T642&lt;18.5,"Bajo peso",T642&lt;25,"Peso normal",T642&lt;30,"Sobrepeso",T642&lt;35,"Obesidad clase I",T642&lt;40,"Obesidad clase II",T642&gt;=40,"Obesidad clase III"))</f>
        <v>Peso normal</v>
      </c>
      <c r="V642">
        <v>95</v>
      </c>
      <c r="X642" t="s">
        <v>3463</v>
      </c>
      <c r="Y642">
        <v>0.93</v>
      </c>
      <c r="AA642">
        <v>86</v>
      </c>
      <c r="AB642" s="9">
        <f t="shared" ref="AB642:AB705" si="21">IF(OR(C642="",D642="",Y642=""),"",142*POWER(MIN(Y642/IF(D642="Mujer",0.7,0.9),1),IF(D642="Mujer",-0.241,-0.302))*POWER(MAX(Y642/IF(D642="Mujer",0.7,0.9),1),-1.2)*POWER(0.9938,C642)*IF(D642="Mujer",1.012,1))</f>
        <v>86.393240013632862</v>
      </c>
      <c r="AD642" t="s">
        <v>73</v>
      </c>
      <c r="AF642" t="s">
        <v>73</v>
      </c>
      <c r="AH642" t="s">
        <v>3463</v>
      </c>
      <c r="AI642" t="s">
        <v>3463</v>
      </c>
      <c r="AJ642" t="s">
        <v>3463</v>
      </c>
      <c r="AK642" t="s">
        <v>3463</v>
      </c>
      <c r="AL642" t="s">
        <v>3463</v>
      </c>
      <c r="AP642" t="s">
        <v>3463</v>
      </c>
      <c r="AQ642" t="s">
        <v>1598</v>
      </c>
      <c r="AR642" t="s">
        <v>3522</v>
      </c>
      <c r="AV642" t="s">
        <v>74</v>
      </c>
      <c r="AW642" t="s">
        <v>3915</v>
      </c>
      <c r="AX642" t="s">
        <v>3463</v>
      </c>
      <c r="AY642" t="s">
        <v>3465</v>
      </c>
      <c r="AZ642" t="s">
        <v>247</v>
      </c>
      <c r="BF642" t="s">
        <v>3921</v>
      </c>
      <c r="BH642" t="s">
        <v>4020</v>
      </c>
      <c r="BP642" t="s">
        <v>4260</v>
      </c>
      <c r="BQ642" t="s">
        <v>3463</v>
      </c>
      <c r="BR642" t="s">
        <v>3463</v>
      </c>
      <c r="BS642" t="s">
        <v>3465</v>
      </c>
      <c r="BT642" t="s">
        <v>3465</v>
      </c>
      <c r="BU642" t="s">
        <v>3463</v>
      </c>
      <c r="BV642" t="s">
        <v>3463</v>
      </c>
      <c r="BW642" t="s">
        <v>3463</v>
      </c>
      <c r="BX642" t="s">
        <v>518</v>
      </c>
      <c r="BY642" t="s">
        <v>79</v>
      </c>
      <c r="BZ642" t="s">
        <v>79</v>
      </c>
      <c r="CA642" s="10">
        <v>45910</v>
      </c>
    </row>
    <row r="643" spans="1:79">
      <c r="A643">
        <v>649</v>
      </c>
      <c r="B643">
        <v>276</v>
      </c>
      <c r="C643">
        <v>43</v>
      </c>
      <c r="D643" t="s">
        <v>3462</v>
      </c>
      <c r="E643" t="s">
        <v>1237</v>
      </c>
      <c r="F643" t="s">
        <v>969</v>
      </c>
      <c r="G643" s="12" t="s">
        <v>3463</v>
      </c>
      <c r="I643">
        <v>65</v>
      </c>
      <c r="J643">
        <v>60</v>
      </c>
      <c r="K643">
        <v>155</v>
      </c>
      <c r="L643">
        <v>88</v>
      </c>
      <c r="M643" t="s">
        <v>72</v>
      </c>
      <c r="N643">
        <v>155</v>
      </c>
      <c r="O643">
        <v>86</v>
      </c>
      <c r="P643" t="s">
        <v>72</v>
      </c>
      <c r="Q643" t="s">
        <v>72</v>
      </c>
      <c r="R643">
        <v>80.8</v>
      </c>
      <c r="S643">
        <v>160.5</v>
      </c>
      <c r="T643" s="8">
        <f t="shared" si="20"/>
        <v>31.366155219766885</v>
      </c>
      <c r="U643" s="13" t="str" cm="1">
        <f t="array" ref="U643">IF(T643="","",_xlfn.IFS(T643&lt;18.5,"Bajo peso",T643&lt;25,"Peso normal",T643&lt;30,"Sobrepeso",T643&lt;35,"Obesidad clase I",T643&lt;40,"Obesidad clase II",T643&gt;=40,"Obesidad clase III"))</f>
        <v>Obesidad clase I</v>
      </c>
      <c r="V643">
        <v>77</v>
      </c>
      <c r="X643" t="s">
        <v>3463</v>
      </c>
      <c r="Y643">
        <v>1.36</v>
      </c>
      <c r="AA643">
        <v>66</v>
      </c>
      <c r="AB643" s="9">
        <f t="shared" si="21"/>
        <v>66.220024832292182</v>
      </c>
      <c r="AD643" t="s">
        <v>73</v>
      </c>
      <c r="AF643" t="s">
        <v>73</v>
      </c>
      <c r="AH643" t="s">
        <v>3463</v>
      </c>
      <c r="AI643" t="s">
        <v>3463</v>
      </c>
      <c r="AJ643" t="s">
        <v>3463</v>
      </c>
      <c r="AK643" t="s">
        <v>3463</v>
      </c>
      <c r="AL643" t="s">
        <v>3465</v>
      </c>
      <c r="AM643" t="s">
        <v>1601</v>
      </c>
      <c r="AN643" t="s">
        <v>3750</v>
      </c>
      <c r="AP643" t="s">
        <v>3463</v>
      </c>
      <c r="AV643" t="s">
        <v>74</v>
      </c>
      <c r="AW643" t="s">
        <v>3915</v>
      </c>
      <c r="BF643" t="s">
        <v>3921</v>
      </c>
      <c r="BH643" t="s">
        <v>4020</v>
      </c>
      <c r="BP643" t="s">
        <v>4260</v>
      </c>
      <c r="BQ643" t="s">
        <v>3463</v>
      </c>
      <c r="BR643" t="s">
        <v>3463</v>
      </c>
      <c r="BS643" t="s">
        <v>3463</v>
      </c>
      <c r="BT643" t="s">
        <v>3463</v>
      </c>
      <c r="BU643" t="s">
        <v>3463</v>
      </c>
      <c r="BV643" t="s">
        <v>3463</v>
      </c>
      <c r="BW643" t="s">
        <v>3463</v>
      </c>
      <c r="BX643" t="s">
        <v>79</v>
      </c>
      <c r="BY643" t="s">
        <v>87</v>
      </c>
      <c r="BZ643" t="s">
        <v>79</v>
      </c>
      <c r="CA643" s="10">
        <v>45910</v>
      </c>
    </row>
    <row r="644" spans="1:79">
      <c r="A644">
        <v>650</v>
      </c>
      <c r="B644">
        <v>277</v>
      </c>
      <c r="C644">
        <v>34</v>
      </c>
      <c r="D644" t="s">
        <v>3462</v>
      </c>
      <c r="E644" t="s">
        <v>1384</v>
      </c>
      <c r="F644" t="s">
        <v>969</v>
      </c>
      <c r="G644" s="12" t="s">
        <v>3465</v>
      </c>
      <c r="H644" s="12" t="s">
        <v>88</v>
      </c>
      <c r="I644">
        <v>83</v>
      </c>
      <c r="K644">
        <v>133</v>
      </c>
      <c r="L644">
        <v>83</v>
      </c>
      <c r="M644" t="s">
        <v>82</v>
      </c>
      <c r="P644" t="s">
        <v>83</v>
      </c>
      <c r="Q644" t="s">
        <v>82</v>
      </c>
      <c r="R644">
        <v>84.3</v>
      </c>
      <c r="S644">
        <v>174.5</v>
      </c>
      <c r="T644" s="8">
        <f t="shared" si="20"/>
        <v>27.684501769279397</v>
      </c>
      <c r="U644" s="13" t="str" cm="1">
        <f t="array" ref="U644">IF(T644="","",_xlfn.IFS(T644&lt;18.5,"Bajo peso",T644&lt;25,"Peso normal",T644&lt;30,"Sobrepeso",T644&lt;35,"Obesidad clase I",T644&lt;40,"Obesidad clase II",T644&gt;=40,"Obesidad clase III"))</f>
        <v>Sobrepeso</v>
      </c>
      <c r="V644">
        <v>149</v>
      </c>
      <c r="X644" t="s">
        <v>3463</v>
      </c>
      <c r="Y644">
        <v>0.98</v>
      </c>
      <c r="AA644">
        <v>90</v>
      </c>
      <c r="AB644" s="9">
        <f t="shared" si="21"/>
        <v>103.77047550662323</v>
      </c>
      <c r="AD644" t="s">
        <v>73</v>
      </c>
      <c r="AF644" t="s">
        <v>73</v>
      </c>
      <c r="AH644" t="s">
        <v>3463</v>
      </c>
      <c r="AI644" t="s">
        <v>3463</v>
      </c>
      <c r="AJ644" t="s">
        <v>3463</v>
      </c>
      <c r="AK644" t="s">
        <v>3463</v>
      </c>
      <c r="AL644" t="s">
        <v>3463</v>
      </c>
      <c r="AP644" t="s">
        <v>3463</v>
      </c>
      <c r="AQ644" t="s">
        <v>698</v>
      </c>
      <c r="AR644" t="s">
        <v>3488</v>
      </c>
      <c r="AV644" t="s">
        <v>74</v>
      </c>
      <c r="AW644" t="s">
        <v>3915</v>
      </c>
      <c r="BF644" t="s">
        <v>3921</v>
      </c>
      <c r="BH644" t="s">
        <v>4020</v>
      </c>
      <c r="BP644" t="s">
        <v>4260</v>
      </c>
      <c r="BQ644" t="s">
        <v>3463</v>
      </c>
      <c r="BR644" t="s">
        <v>3463</v>
      </c>
      <c r="BS644" t="s">
        <v>3463</v>
      </c>
      <c r="BT644" t="s">
        <v>3463</v>
      </c>
      <c r="BU644" t="s">
        <v>3463</v>
      </c>
      <c r="BV644" t="s">
        <v>3463</v>
      </c>
      <c r="BW644" t="s">
        <v>3463</v>
      </c>
      <c r="BX644" t="s">
        <v>79</v>
      </c>
      <c r="BY644" t="s">
        <v>79</v>
      </c>
      <c r="BZ644" t="s">
        <v>79</v>
      </c>
      <c r="CA644" s="10">
        <v>45910</v>
      </c>
    </row>
    <row r="645" spans="1:79">
      <c r="A645">
        <v>651</v>
      </c>
      <c r="B645">
        <v>278</v>
      </c>
      <c r="C645">
        <v>26</v>
      </c>
      <c r="D645" t="s">
        <v>3466</v>
      </c>
      <c r="E645" t="s">
        <v>1036</v>
      </c>
      <c r="F645" t="s">
        <v>969</v>
      </c>
      <c r="G645" s="12" t="s">
        <v>3465</v>
      </c>
      <c r="H645" t="s">
        <v>88</v>
      </c>
      <c r="I645">
        <v>80</v>
      </c>
      <c r="K645">
        <v>101</v>
      </c>
      <c r="L645">
        <v>55</v>
      </c>
      <c r="M645" t="s">
        <v>80</v>
      </c>
      <c r="P645" t="s">
        <v>83</v>
      </c>
      <c r="Q645" t="s">
        <v>80</v>
      </c>
      <c r="R645">
        <v>56.05</v>
      </c>
      <c r="S645">
        <v>150</v>
      </c>
      <c r="T645" s="8">
        <f t="shared" si="20"/>
        <v>24.911111111111111</v>
      </c>
      <c r="U645" s="13" t="str" cm="1">
        <f t="array" ref="U645">IF(T645="","",_xlfn.IFS(T645&lt;18.5,"Bajo peso",T645&lt;25,"Peso normal",T645&lt;30,"Sobrepeso",T645&lt;35,"Obesidad clase I",T645&lt;40,"Obesidad clase II",T645&gt;=40,"Obesidad clase III"))</f>
        <v>Peso normal</v>
      </c>
      <c r="V645">
        <v>87</v>
      </c>
      <c r="X645" t="s">
        <v>3463</v>
      </c>
      <c r="Y645">
        <v>0.69</v>
      </c>
      <c r="AA645">
        <v>90</v>
      </c>
      <c r="AB645" s="9">
        <f t="shared" si="21"/>
        <v>122.67290682104145</v>
      </c>
      <c r="AD645" t="s">
        <v>73</v>
      </c>
      <c r="AF645" t="s">
        <v>73</v>
      </c>
      <c r="AH645" t="s">
        <v>3463</v>
      </c>
      <c r="AI645" t="s">
        <v>3463</v>
      </c>
      <c r="AJ645" t="s">
        <v>3463</v>
      </c>
      <c r="AK645" t="s">
        <v>3463</v>
      </c>
      <c r="AL645" t="s">
        <v>3463</v>
      </c>
      <c r="AP645" t="s">
        <v>3463</v>
      </c>
      <c r="AT645" t="s">
        <v>3463</v>
      </c>
      <c r="AV645" t="s">
        <v>112</v>
      </c>
      <c r="AW645" t="s">
        <v>3917</v>
      </c>
      <c r="AX645" t="s">
        <v>3465</v>
      </c>
      <c r="AY645" t="s">
        <v>3463</v>
      </c>
      <c r="BF645" t="s">
        <v>3921</v>
      </c>
      <c r="BH645" t="s">
        <v>4020</v>
      </c>
      <c r="BP645" t="s">
        <v>4260</v>
      </c>
      <c r="BQ645" t="s">
        <v>3463</v>
      </c>
      <c r="BR645" t="s">
        <v>3463</v>
      </c>
      <c r="BS645" t="s">
        <v>3465</v>
      </c>
      <c r="BT645" t="s">
        <v>3465</v>
      </c>
      <c r="BU645" t="s">
        <v>3463</v>
      </c>
      <c r="BV645" t="s">
        <v>3463</v>
      </c>
      <c r="BW645" t="s">
        <v>3463</v>
      </c>
      <c r="BX645" t="s">
        <v>518</v>
      </c>
      <c r="BY645" t="s">
        <v>87</v>
      </c>
      <c r="BZ645" t="s">
        <v>79</v>
      </c>
      <c r="CA645" s="10">
        <v>45910</v>
      </c>
    </row>
    <row r="646" spans="1:79">
      <c r="A646">
        <v>652</v>
      </c>
      <c r="B646">
        <v>279</v>
      </c>
      <c r="C646">
        <v>52</v>
      </c>
      <c r="D646" t="s">
        <v>3462</v>
      </c>
      <c r="E646" t="s">
        <v>1000</v>
      </c>
      <c r="F646" t="s">
        <v>969</v>
      </c>
      <c r="G646" s="12" t="s">
        <v>3465</v>
      </c>
      <c r="H646" t="s">
        <v>88</v>
      </c>
      <c r="I646">
        <v>68</v>
      </c>
      <c r="J646">
        <v>67</v>
      </c>
      <c r="K646">
        <v>164</v>
      </c>
      <c r="L646">
        <v>80</v>
      </c>
      <c r="M646" t="s">
        <v>72</v>
      </c>
      <c r="N646">
        <v>160</v>
      </c>
      <c r="O646">
        <v>77</v>
      </c>
      <c r="P646" t="s">
        <v>72</v>
      </c>
      <c r="Q646" t="s">
        <v>72</v>
      </c>
      <c r="R646">
        <v>98.8</v>
      </c>
      <c r="S646">
        <v>162</v>
      </c>
      <c r="T646" s="8">
        <f t="shared" si="20"/>
        <v>37.646700198140529</v>
      </c>
      <c r="U646" s="13" t="str" cm="1">
        <f t="array" ref="U646">IF(T646="","",_xlfn.IFS(T646&lt;18.5,"Bajo peso",T646&lt;25,"Peso normal",T646&lt;30,"Sobrepeso",T646&lt;35,"Obesidad clase I",T646&lt;40,"Obesidad clase II",T646&gt;=40,"Obesidad clase III"))</f>
        <v>Obesidad clase II</v>
      </c>
      <c r="V646">
        <v>114</v>
      </c>
      <c r="X646" t="s">
        <v>3463</v>
      </c>
      <c r="Y646">
        <v>0.85</v>
      </c>
      <c r="AA646">
        <v>90</v>
      </c>
      <c r="AB646" s="9">
        <f t="shared" si="21"/>
        <v>104.55207872376636</v>
      </c>
      <c r="AD646" t="s">
        <v>73</v>
      </c>
      <c r="AF646" t="s">
        <v>73</v>
      </c>
      <c r="AH646" t="s">
        <v>3463</v>
      </c>
      <c r="AI646" t="s">
        <v>3463</v>
      </c>
      <c r="AJ646" t="s">
        <v>3463</v>
      </c>
      <c r="AK646" t="s">
        <v>3463</v>
      </c>
      <c r="AL646" t="s">
        <v>3463</v>
      </c>
      <c r="AP646" t="s">
        <v>3463</v>
      </c>
      <c r="AQ646" t="s">
        <v>1602</v>
      </c>
      <c r="AR646" t="s">
        <v>3491</v>
      </c>
      <c r="AV646" t="s">
        <v>74</v>
      </c>
      <c r="AW646" t="s">
        <v>3915</v>
      </c>
      <c r="BF646" t="s">
        <v>3921</v>
      </c>
      <c r="BH646" t="s">
        <v>4021</v>
      </c>
      <c r="BI646" t="s">
        <v>76</v>
      </c>
      <c r="BK646" t="s">
        <v>1055</v>
      </c>
      <c r="BL646" t="s">
        <v>1603</v>
      </c>
      <c r="BP646" t="s">
        <v>4261</v>
      </c>
      <c r="BQ646" t="s">
        <v>3465</v>
      </c>
      <c r="BR646" t="s">
        <v>3465</v>
      </c>
      <c r="BS646" t="s">
        <v>3463</v>
      </c>
      <c r="BT646" t="s">
        <v>3463</v>
      </c>
      <c r="BU646" t="s">
        <v>3465</v>
      </c>
      <c r="BV646" t="s">
        <v>3465</v>
      </c>
      <c r="BW646" t="s">
        <v>3465</v>
      </c>
      <c r="BX646" t="s">
        <v>79</v>
      </c>
      <c r="BY646" t="s">
        <v>79</v>
      </c>
      <c r="BZ646" t="s">
        <v>79</v>
      </c>
      <c r="CA646" s="10">
        <v>45910</v>
      </c>
    </row>
    <row r="647" spans="1:79">
      <c r="A647">
        <v>653</v>
      </c>
      <c r="B647">
        <v>280</v>
      </c>
      <c r="C647">
        <v>59</v>
      </c>
      <c r="D647" t="s">
        <v>3462</v>
      </c>
      <c r="E647" t="s">
        <v>1189</v>
      </c>
      <c r="F647" t="s">
        <v>969</v>
      </c>
      <c r="G647" s="12" t="s">
        <v>3463</v>
      </c>
      <c r="I647">
        <v>65</v>
      </c>
      <c r="J647">
        <v>64</v>
      </c>
      <c r="K647">
        <v>152</v>
      </c>
      <c r="L647">
        <v>83</v>
      </c>
      <c r="M647" t="s">
        <v>72</v>
      </c>
      <c r="N647">
        <v>159</v>
      </c>
      <c r="O647">
        <v>78</v>
      </c>
      <c r="P647" t="s">
        <v>72</v>
      </c>
      <c r="Q647" t="s">
        <v>72</v>
      </c>
      <c r="R647">
        <v>79.599999999999994</v>
      </c>
      <c r="S647">
        <v>163</v>
      </c>
      <c r="T647" s="8">
        <f t="shared" si="20"/>
        <v>29.959727501975983</v>
      </c>
      <c r="U647" s="13" t="str" cm="1">
        <f t="array" ref="U647">IF(T647="","",_xlfn.IFS(T647&lt;18.5,"Bajo peso",T647&lt;25,"Peso normal",T647&lt;30,"Sobrepeso",T647&lt;35,"Obesidad clase I",T647&lt;40,"Obesidad clase II",T647&gt;=40,"Obesidad clase III"))</f>
        <v>Sobrepeso</v>
      </c>
      <c r="V647">
        <v>97</v>
      </c>
      <c r="X647" t="s">
        <v>3463</v>
      </c>
      <c r="Y647">
        <v>0.88</v>
      </c>
      <c r="AA647">
        <v>90</v>
      </c>
      <c r="AB647" s="9">
        <f t="shared" si="21"/>
        <v>99.054992038078069</v>
      </c>
      <c r="AD647" t="s">
        <v>73</v>
      </c>
      <c r="AF647" t="s">
        <v>73</v>
      </c>
      <c r="AH647" t="s">
        <v>3463</v>
      </c>
      <c r="AI647" t="s">
        <v>3464</v>
      </c>
      <c r="AJ647" t="s">
        <v>3463</v>
      </c>
      <c r="AK647" t="s">
        <v>3463</v>
      </c>
      <c r="AL647" t="s">
        <v>3463</v>
      </c>
      <c r="AP647" t="s">
        <v>3463</v>
      </c>
      <c r="AQ647" t="s">
        <v>1372</v>
      </c>
      <c r="AR647" t="s">
        <v>3493</v>
      </c>
      <c r="AV647" t="s">
        <v>74</v>
      </c>
      <c r="AW647" t="s">
        <v>3915</v>
      </c>
      <c r="BA647" t="s">
        <v>3920</v>
      </c>
      <c r="BF647" t="s">
        <v>3921</v>
      </c>
      <c r="BG647" t="s">
        <v>1604</v>
      </c>
      <c r="BH647" t="s">
        <v>4021</v>
      </c>
      <c r="BI647" t="s">
        <v>76</v>
      </c>
      <c r="BL647" t="s">
        <v>1605</v>
      </c>
      <c r="BP647" t="s">
        <v>4261</v>
      </c>
      <c r="BQ647" t="s">
        <v>3463</v>
      </c>
      <c r="BR647" t="s">
        <v>3465</v>
      </c>
      <c r="BS647" t="s">
        <v>3465</v>
      </c>
      <c r="BT647" t="s">
        <v>3465</v>
      </c>
      <c r="BU647" t="s">
        <v>3463</v>
      </c>
      <c r="BV647" t="s">
        <v>3463</v>
      </c>
      <c r="BW647" t="s">
        <v>3463</v>
      </c>
      <c r="BX647" t="s">
        <v>79</v>
      </c>
      <c r="BY647" t="s">
        <v>79</v>
      </c>
      <c r="BZ647" t="s">
        <v>79</v>
      </c>
      <c r="CA647" s="10">
        <v>45910</v>
      </c>
    </row>
    <row r="648" spans="1:79">
      <c r="A648">
        <v>654</v>
      </c>
      <c r="B648">
        <v>281</v>
      </c>
      <c r="C648">
        <v>45</v>
      </c>
      <c r="D648" t="s">
        <v>3462</v>
      </c>
      <c r="E648" t="s">
        <v>1384</v>
      </c>
      <c r="F648" t="s">
        <v>969</v>
      </c>
      <c r="G648" s="12" t="s">
        <v>3463</v>
      </c>
      <c r="I648">
        <v>58</v>
      </c>
      <c r="K648">
        <v>128</v>
      </c>
      <c r="L648">
        <v>74</v>
      </c>
      <c r="M648" t="s">
        <v>118</v>
      </c>
      <c r="P648" t="s">
        <v>83</v>
      </c>
      <c r="Q648" t="s">
        <v>118</v>
      </c>
      <c r="R648">
        <v>87.4</v>
      </c>
      <c r="S648">
        <v>171.5</v>
      </c>
      <c r="T648" s="8">
        <f t="shared" si="20"/>
        <v>29.715509694090048</v>
      </c>
      <c r="U648" s="13" t="str" cm="1">
        <f t="array" ref="U648">IF(T648="","",_xlfn.IFS(T648&lt;18.5,"Bajo peso",T648&lt;25,"Peso normal",T648&lt;30,"Sobrepeso",T648&lt;35,"Obesidad clase I",T648&lt;40,"Obesidad clase II",T648&gt;=40,"Obesidad clase III"))</f>
        <v>Sobrepeso</v>
      </c>
      <c r="V648">
        <v>84</v>
      </c>
      <c r="X648" t="s">
        <v>3463</v>
      </c>
      <c r="Y648">
        <v>1.38</v>
      </c>
      <c r="AA648">
        <v>64</v>
      </c>
      <c r="AB648" s="9">
        <f t="shared" si="21"/>
        <v>64.265680481304187</v>
      </c>
      <c r="AD648" t="s">
        <v>73</v>
      </c>
      <c r="AF648" t="s">
        <v>73</v>
      </c>
      <c r="AH648" t="s">
        <v>3463</v>
      </c>
      <c r="AI648" t="s">
        <v>3463</v>
      </c>
      <c r="AJ648" t="s">
        <v>3465</v>
      </c>
      <c r="AK648" t="s">
        <v>3463</v>
      </c>
      <c r="AL648" t="s">
        <v>3463</v>
      </c>
      <c r="AP648" t="s">
        <v>3465</v>
      </c>
      <c r="AQ648" t="s">
        <v>143</v>
      </c>
      <c r="AR648" t="s">
        <v>3493</v>
      </c>
      <c r="AV648" t="s">
        <v>126</v>
      </c>
      <c r="AW648" t="s">
        <v>126</v>
      </c>
      <c r="BC648" t="s">
        <v>128</v>
      </c>
      <c r="BE648" t="s">
        <v>1606</v>
      </c>
      <c r="BF648" t="s">
        <v>3924</v>
      </c>
      <c r="BG648" t="s">
        <v>1607</v>
      </c>
      <c r="BH648" t="s">
        <v>4031</v>
      </c>
      <c r="BK648" t="s">
        <v>1582</v>
      </c>
      <c r="BL648" t="s">
        <v>1608</v>
      </c>
      <c r="BP648" t="s">
        <v>4445</v>
      </c>
      <c r="BQ648" t="s">
        <v>3463</v>
      </c>
      <c r="BR648" t="s">
        <v>3465</v>
      </c>
      <c r="BS648" t="s">
        <v>3463</v>
      </c>
      <c r="BT648" t="s">
        <v>3463</v>
      </c>
      <c r="BU648" t="s">
        <v>3463</v>
      </c>
      <c r="BV648" t="s">
        <v>3463</v>
      </c>
      <c r="BW648" t="s">
        <v>3463</v>
      </c>
      <c r="BX648" t="s">
        <v>79</v>
      </c>
      <c r="BY648" t="s">
        <v>87</v>
      </c>
      <c r="BZ648" t="s">
        <v>79</v>
      </c>
      <c r="CA648" s="10">
        <v>45910</v>
      </c>
    </row>
    <row r="649" spans="1:79">
      <c r="A649">
        <v>655</v>
      </c>
      <c r="B649">
        <v>282</v>
      </c>
      <c r="C649">
        <v>60</v>
      </c>
      <c r="D649" t="s">
        <v>3462</v>
      </c>
      <c r="E649" t="s">
        <v>1237</v>
      </c>
      <c r="F649" t="s">
        <v>969</v>
      </c>
      <c r="G649" s="12" t="s">
        <v>3465</v>
      </c>
      <c r="H649" t="s">
        <v>88</v>
      </c>
      <c r="I649">
        <v>67</v>
      </c>
      <c r="J649">
        <v>66</v>
      </c>
      <c r="K649">
        <v>151</v>
      </c>
      <c r="L649">
        <v>88</v>
      </c>
      <c r="M649" t="s">
        <v>72</v>
      </c>
      <c r="N649">
        <v>134</v>
      </c>
      <c r="O649">
        <v>88</v>
      </c>
      <c r="P649" t="s">
        <v>82</v>
      </c>
      <c r="Q649" t="s">
        <v>82</v>
      </c>
      <c r="R649">
        <v>67</v>
      </c>
      <c r="S649">
        <v>154.5</v>
      </c>
      <c r="T649" s="8">
        <f t="shared" si="20"/>
        <v>28.068411516427354</v>
      </c>
      <c r="U649" s="13" t="str" cm="1">
        <f t="array" ref="U649">IF(T649="","",_xlfn.IFS(T649&lt;18.5,"Bajo peso",T649&lt;25,"Peso normal",T649&lt;30,"Sobrepeso",T649&lt;35,"Obesidad clase I",T649&lt;40,"Obesidad clase II",T649&gt;=40,"Obesidad clase III"))</f>
        <v>Sobrepeso</v>
      </c>
      <c r="V649">
        <v>92</v>
      </c>
      <c r="X649" t="s">
        <v>3463</v>
      </c>
      <c r="Y649">
        <v>0.86</v>
      </c>
      <c r="AA649">
        <v>90</v>
      </c>
      <c r="AB649" s="9">
        <f t="shared" si="21"/>
        <v>99.126687695049284</v>
      </c>
      <c r="AD649" t="s">
        <v>73</v>
      </c>
      <c r="AF649" t="s">
        <v>73</v>
      </c>
      <c r="AH649" t="s">
        <v>3463</v>
      </c>
      <c r="AI649" t="s">
        <v>3463</v>
      </c>
      <c r="AJ649" t="s">
        <v>3463</v>
      </c>
      <c r="AK649" t="s">
        <v>3463</v>
      </c>
      <c r="AL649" t="s">
        <v>3463</v>
      </c>
      <c r="AP649" t="s">
        <v>3463</v>
      </c>
      <c r="AV649" t="s">
        <v>74</v>
      </c>
      <c r="AW649" t="s">
        <v>3915</v>
      </c>
      <c r="BF649" t="s">
        <v>3921</v>
      </c>
      <c r="BH649" t="s">
        <v>4020</v>
      </c>
      <c r="BP649" t="s">
        <v>4260</v>
      </c>
      <c r="BQ649" t="s">
        <v>3463</v>
      </c>
      <c r="BR649" t="s">
        <v>3463</v>
      </c>
      <c r="BS649" t="s">
        <v>3463</v>
      </c>
      <c r="BT649" t="s">
        <v>3463</v>
      </c>
      <c r="BU649" t="s">
        <v>3463</v>
      </c>
      <c r="BV649" t="s">
        <v>3463</v>
      </c>
      <c r="BW649" t="s">
        <v>3463</v>
      </c>
      <c r="BX649" t="s">
        <v>79</v>
      </c>
      <c r="BY649" t="s">
        <v>87</v>
      </c>
      <c r="BZ649" t="s">
        <v>79</v>
      </c>
      <c r="CA649" s="10">
        <v>45910</v>
      </c>
    </row>
    <row r="650" spans="1:79">
      <c r="A650">
        <v>656</v>
      </c>
      <c r="B650">
        <v>283</v>
      </c>
      <c r="C650">
        <v>40</v>
      </c>
      <c r="D650" t="s">
        <v>3462</v>
      </c>
      <c r="E650" t="s">
        <v>1609</v>
      </c>
      <c r="F650" t="s">
        <v>168</v>
      </c>
      <c r="G650" s="12" t="s">
        <v>3463</v>
      </c>
      <c r="I650">
        <v>58</v>
      </c>
      <c r="J650">
        <v>56</v>
      </c>
      <c r="K650">
        <v>145</v>
      </c>
      <c r="L650">
        <v>89</v>
      </c>
      <c r="M650" t="s">
        <v>72</v>
      </c>
      <c r="N650">
        <v>142</v>
      </c>
      <c r="O650">
        <v>84</v>
      </c>
      <c r="P650" t="s">
        <v>72</v>
      </c>
      <c r="Q650" t="s">
        <v>72</v>
      </c>
      <c r="R650">
        <v>90.7</v>
      </c>
      <c r="S650">
        <v>170</v>
      </c>
      <c r="T650" s="8">
        <f t="shared" si="20"/>
        <v>31.384083044982699</v>
      </c>
      <c r="U650" s="13" t="str" cm="1">
        <f t="array" ref="U650">IF(T650="","",_xlfn.IFS(T650&lt;18.5,"Bajo peso",T650&lt;25,"Peso normal",T650&lt;30,"Sobrepeso",T650&lt;35,"Obesidad clase I",T650&lt;40,"Obesidad clase II",T650&gt;=40,"Obesidad clase III"))</f>
        <v>Obesidad clase I</v>
      </c>
      <c r="V650">
        <v>102</v>
      </c>
      <c r="X650" t="s">
        <v>3463</v>
      </c>
      <c r="Y650">
        <v>1.24</v>
      </c>
      <c r="AA650">
        <v>75</v>
      </c>
      <c r="AB650" s="9">
        <f t="shared" si="21"/>
        <v>75.375990107441453</v>
      </c>
      <c r="AD650" t="s">
        <v>73</v>
      </c>
      <c r="AF650" t="s">
        <v>73</v>
      </c>
      <c r="AH650" t="s">
        <v>3463</v>
      </c>
      <c r="AI650" t="s">
        <v>3463</v>
      </c>
      <c r="AJ650" t="s">
        <v>3463</v>
      </c>
      <c r="AK650" t="s">
        <v>3463</v>
      </c>
      <c r="AL650" t="s">
        <v>3463</v>
      </c>
      <c r="AP650" t="s">
        <v>3464</v>
      </c>
      <c r="AQ650" t="s">
        <v>1610</v>
      </c>
      <c r="AR650" t="s">
        <v>3490</v>
      </c>
      <c r="AV650" t="s">
        <v>74</v>
      </c>
      <c r="AW650" t="s">
        <v>3915</v>
      </c>
      <c r="BC650" t="s">
        <v>128</v>
      </c>
      <c r="BF650" t="s">
        <v>3921</v>
      </c>
      <c r="BG650" t="s">
        <v>1611</v>
      </c>
      <c r="BH650" t="s">
        <v>4017</v>
      </c>
      <c r="BI650" t="s">
        <v>76</v>
      </c>
      <c r="BK650" t="s">
        <v>1612</v>
      </c>
      <c r="BL650" t="s">
        <v>1613</v>
      </c>
      <c r="BP650" t="s">
        <v>4390</v>
      </c>
      <c r="BQ650" t="s">
        <v>3463</v>
      </c>
      <c r="BR650" t="s">
        <v>3465</v>
      </c>
      <c r="BS650" t="s">
        <v>3463</v>
      </c>
      <c r="BT650" t="s">
        <v>3463</v>
      </c>
      <c r="BU650" t="s">
        <v>3463</v>
      </c>
      <c r="BV650" t="s">
        <v>3463</v>
      </c>
      <c r="BW650" t="s">
        <v>3463</v>
      </c>
      <c r="BX650" t="s">
        <v>79</v>
      </c>
      <c r="BY650" t="s">
        <v>79</v>
      </c>
      <c r="BZ650" t="s">
        <v>79</v>
      </c>
      <c r="CA650" s="10">
        <v>45910</v>
      </c>
    </row>
    <row r="651" spans="1:79">
      <c r="A651">
        <v>657</v>
      </c>
      <c r="B651">
        <v>284</v>
      </c>
      <c r="C651">
        <v>30</v>
      </c>
      <c r="D651" t="s">
        <v>3462</v>
      </c>
      <c r="E651" t="s">
        <v>1000</v>
      </c>
      <c r="F651" t="s">
        <v>969</v>
      </c>
      <c r="G651" s="12" t="s">
        <v>3463</v>
      </c>
      <c r="H651" s="12"/>
      <c r="I651">
        <v>68</v>
      </c>
      <c r="J651">
        <v>67</v>
      </c>
      <c r="K651">
        <v>170</v>
      </c>
      <c r="L651">
        <v>102</v>
      </c>
      <c r="M651" t="s">
        <v>72</v>
      </c>
      <c r="N651">
        <v>149</v>
      </c>
      <c r="O651">
        <v>97</v>
      </c>
      <c r="P651" t="s">
        <v>72</v>
      </c>
      <c r="Q651" t="s">
        <v>72</v>
      </c>
      <c r="R651">
        <v>91.6</v>
      </c>
      <c r="S651">
        <v>172</v>
      </c>
      <c r="T651" s="8">
        <f t="shared" si="20"/>
        <v>30.96268253109789</v>
      </c>
      <c r="U651" s="13" t="str" cm="1">
        <f t="array" ref="U651">IF(T651="","",_xlfn.IFS(T651&lt;18.5,"Bajo peso",T651&lt;25,"Peso normal",T651&lt;30,"Sobrepeso",T651&lt;35,"Obesidad clase I",T651&lt;40,"Obesidad clase II",T651&gt;=40,"Obesidad clase III"))</f>
        <v>Obesidad clase I</v>
      </c>
      <c r="V651">
        <v>95</v>
      </c>
      <c r="X651" t="s">
        <v>3463</v>
      </c>
      <c r="Y651">
        <v>1.1000000000000001</v>
      </c>
      <c r="AA651">
        <v>90</v>
      </c>
      <c r="AB651" s="9">
        <f t="shared" si="21"/>
        <v>92.614269553421821</v>
      </c>
      <c r="AD651" t="s">
        <v>73</v>
      </c>
      <c r="AF651" t="s">
        <v>73</v>
      </c>
      <c r="AH651" t="s">
        <v>3463</v>
      </c>
      <c r="AI651" t="s">
        <v>3463</v>
      </c>
      <c r="AJ651" t="s">
        <v>3463</v>
      </c>
      <c r="AK651" t="s">
        <v>3463</v>
      </c>
      <c r="AL651" t="s">
        <v>3463</v>
      </c>
      <c r="AP651" t="s">
        <v>3463</v>
      </c>
      <c r="AV651" t="s">
        <v>74</v>
      </c>
      <c r="AW651" t="s">
        <v>3915</v>
      </c>
      <c r="BF651" t="s">
        <v>3921</v>
      </c>
      <c r="BH651" t="s">
        <v>4020</v>
      </c>
      <c r="BP651" t="s">
        <v>4260</v>
      </c>
      <c r="BQ651" t="s">
        <v>3463</v>
      </c>
      <c r="BR651" t="s">
        <v>3463</v>
      </c>
      <c r="BS651" t="s">
        <v>3463</v>
      </c>
      <c r="BT651" t="s">
        <v>3463</v>
      </c>
      <c r="BU651" t="s">
        <v>3463</v>
      </c>
      <c r="BV651" t="s">
        <v>3463</v>
      </c>
      <c r="BW651" t="s">
        <v>3463</v>
      </c>
      <c r="BX651" t="s">
        <v>79</v>
      </c>
      <c r="BY651" t="s">
        <v>87</v>
      </c>
      <c r="BZ651" t="s">
        <v>79</v>
      </c>
      <c r="CA651" s="10">
        <v>45910</v>
      </c>
    </row>
    <row r="652" spans="1:79">
      <c r="A652">
        <v>658</v>
      </c>
      <c r="B652">
        <v>286</v>
      </c>
      <c r="C652">
        <v>45</v>
      </c>
      <c r="D652" t="s">
        <v>3466</v>
      </c>
      <c r="E652" t="s">
        <v>1237</v>
      </c>
      <c r="F652" t="s">
        <v>969</v>
      </c>
      <c r="G652" s="12" t="s">
        <v>3465</v>
      </c>
      <c r="H652" s="12" t="s">
        <v>88</v>
      </c>
      <c r="I652">
        <v>73</v>
      </c>
      <c r="K652">
        <v>122</v>
      </c>
      <c r="L652">
        <v>70</v>
      </c>
      <c r="M652" t="s">
        <v>118</v>
      </c>
      <c r="P652" t="s">
        <v>83</v>
      </c>
      <c r="Q652" t="s">
        <v>118</v>
      </c>
      <c r="R652">
        <v>95.3</v>
      </c>
      <c r="S652">
        <v>147.4</v>
      </c>
      <c r="T652" s="8">
        <f t="shared" si="20"/>
        <v>43.86295977863243</v>
      </c>
      <c r="U652" s="13" t="str" cm="1">
        <f t="array" ref="U652">IF(T652="","",_xlfn.IFS(T652&lt;18.5,"Bajo peso",T652&lt;25,"Peso normal",T652&lt;30,"Sobrepeso",T652&lt;35,"Obesidad clase I",T652&lt;40,"Obesidad clase II",T652&gt;=40,"Obesidad clase III"))</f>
        <v>Obesidad clase III</v>
      </c>
      <c r="V652">
        <v>108</v>
      </c>
      <c r="X652" t="s">
        <v>3463</v>
      </c>
      <c r="Y652">
        <v>0.59</v>
      </c>
      <c r="AA652">
        <v>90</v>
      </c>
      <c r="AB652" s="9">
        <f t="shared" si="21"/>
        <v>113.19228007122626</v>
      </c>
      <c r="AD652" t="s">
        <v>73</v>
      </c>
      <c r="AF652" t="s">
        <v>73</v>
      </c>
      <c r="AH652" t="s">
        <v>3463</v>
      </c>
      <c r="AI652" t="s">
        <v>3463</v>
      </c>
      <c r="AJ652" t="s">
        <v>3463</v>
      </c>
      <c r="AK652" t="s">
        <v>3463</v>
      </c>
      <c r="AL652" t="s">
        <v>3465</v>
      </c>
      <c r="AM652" t="s">
        <v>1614</v>
      </c>
      <c r="AN652" t="s">
        <v>3649</v>
      </c>
      <c r="AO652" t="s">
        <v>3465</v>
      </c>
      <c r="AP652" t="s">
        <v>3465</v>
      </c>
      <c r="AQ652" t="s">
        <v>1615</v>
      </c>
      <c r="AR652" t="s">
        <v>3568</v>
      </c>
      <c r="AT652" t="s">
        <v>3465</v>
      </c>
      <c r="AU652" t="s">
        <v>80</v>
      </c>
      <c r="AV652" t="s">
        <v>74</v>
      </c>
      <c r="AW652" t="s">
        <v>3915</v>
      </c>
      <c r="AX652" t="s">
        <v>3463</v>
      </c>
      <c r="AY652" t="s">
        <v>3465</v>
      </c>
      <c r="BF652" t="s">
        <v>3921</v>
      </c>
      <c r="BH652" t="s">
        <v>4020</v>
      </c>
      <c r="BP652" t="s">
        <v>4260</v>
      </c>
      <c r="BQ652" t="s">
        <v>3463</v>
      </c>
      <c r="BR652" t="s">
        <v>3463</v>
      </c>
      <c r="BS652" t="s">
        <v>3463</v>
      </c>
      <c r="BT652" t="s">
        <v>3463</v>
      </c>
      <c r="BU652" t="s">
        <v>3463</v>
      </c>
      <c r="BV652" t="s">
        <v>3463</v>
      </c>
      <c r="BW652" t="s">
        <v>3463</v>
      </c>
      <c r="BX652" t="s">
        <v>79</v>
      </c>
      <c r="BY652" t="s">
        <v>79</v>
      </c>
      <c r="BZ652" t="s">
        <v>79</v>
      </c>
      <c r="CA652" s="10">
        <v>45910</v>
      </c>
    </row>
    <row r="653" spans="1:79">
      <c r="A653">
        <v>659</v>
      </c>
      <c r="B653">
        <v>287</v>
      </c>
      <c r="C653">
        <v>30</v>
      </c>
      <c r="D653" t="s">
        <v>3466</v>
      </c>
      <c r="F653" t="s">
        <v>969</v>
      </c>
      <c r="G653" s="12" t="s">
        <v>3463</v>
      </c>
      <c r="H653" s="12"/>
      <c r="I653">
        <v>88</v>
      </c>
      <c r="J653">
        <v>83</v>
      </c>
      <c r="K653">
        <v>167</v>
      </c>
      <c r="L653">
        <v>100</v>
      </c>
      <c r="M653" t="s">
        <v>72</v>
      </c>
      <c r="N653">
        <v>150</v>
      </c>
      <c r="O653">
        <v>101</v>
      </c>
      <c r="P653" t="s">
        <v>72</v>
      </c>
      <c r="Q653" t="s">
        <v>72</v>
      </c>
      <c r="R653">
        <v>83.7</v>
      </c>
      <c r="S653">
        <v>158.4</v>
      </c>
      <c r="T653" s="8">
        <f t="shared" si="20"/>
        <v>33.359159779614323</v>
      </c>
      <c r="U653" s="13" t="str" cm="1">
        <f t="array" ref="U653">IF(T653="","",_xlfn.IFS(T653&lt;18.5,"Bajo peso",T653&lt;25,"Peso normal",T653&lt;30,"Sobrepeso",T653&lt;35,"Obesidad clase I",T653&lt;40,"Obesidad clase II",T653&gt;=40,"Obesidad clase III"))</f>
        <v>Obesidad clase I</v>
      </c>
      <c r="V653">
        <v>290</v>
      </c>
      <c r="X653" t="s">
        <v>3465</v>
      </c>
      <c r="Y653">
        <v>0.7</v>
      </c>
      <c r="AA653">
        <v>90</v>
      </c>
      <c r="AB653" s="9">
        <f t="shared" si="21"/>
        <v>119.24457475887252</v>
      </c>
      <c r="AD653" t="s">
        <v>73</v>
      </c>
      <c r="AF653" t="s">
        <v>73</v>
      </c>
      <c r="AG653" t="s">
        <v>3465</v>
      </c>
      <c r="AH653" t="s">
        <v>3465</v>
      </c>
      <c r="AI653" t="s">
        <v>3465</v>
      </c>
      <c r="AJ653" t="s">
        <v>3463</v>
      </c>
      <c r="AK653" t="s">
        <v>3463</v>
      </c>
      <c r="AL653" t="s">
        <v>3463</v>
      </c>
      <c r="AO653" t="s">
        <v>3463</v>
      </c>
      <c r="AP653" t="s">
        <v>3465</v>
      </c>
      <c r="AQ653" t="s">
        <v>881</v>
      </c>
      <c r="AR653" t="s">
        <v>3488</v>
      </c>
      <c r="AS653" t="s">
        <v>3465</v>
      </c>
      <c r="AV653" t="s">
        <v>74</v>
      </c>
      <c r="AW653" t="s">
        <v>3915</v>
      </c>
      <c r="AX653" t="s">
        <v>3463</v>
      </c>
      <c r="AY653" t="s">
        <v>3463</v>
      </c>
      <c r="AZ653" t="s">
        <v>137</v>
      </c>
      <c r="BA653" t="s">
        <v>3920</v>
      </c>
      <c r="BB653" t="s">
        <v>3485</v>
      </c>
      <c r="BF653" t="s">
        <v>3921</v>
      </c>
      <c r="BH653" t="s">
        <v>4029</v>
      </c>
      <c r="BI653" t="s">
        <v>629</v>
      </c>
      <c r="BL653" t="s">
        <v>1616</v>
      </c>
      <c r="BP653" t="s">
        <v>4408</v>
      </c>
      <c r="BQ653" t="s">
        <v>3463</v>
      </c>
      <c r="BR653" t="s">
        <v>3463</v>
      </c>
      <c r="BS653" t="s">
        <v>3465</v>
      </c>
      <c r="BT653" t="s">
        <v>3465</v>
      </c>
      <c r="BU653" t="s">
        <v>3463</v>
      </c>
      <c r="BV653" t="s">
        <v>3463</v>
      </c>
      <c r="BW653" t="s">
        <v>3463</v>
      </c>
      <c r="BX653" t="s">
        <v>79</v>
      </c>
      <c r="BY653" t="s">
        <v>121</v>
      </c>
      <c r="BZ653" t="s">
        <v>79</v>
      </c>
      <c r="CA653" s="10">
        <v>45910</v>
      </c>
    </row>
    <row r="654" spans="1:79">
      <c r="A654">
        <v>660</v>
      </c>
      <c r="B654">
        <v>288</v>
      </c>
      <c r="C654">
        <v>53</v>
      </c>
      <c r="D654" t="s">
        <v>3466</v>
      </c>
      <c r="E654" t="s">
        <v>974</v>
      </c>
      <c r="F654" t="s">
        <v>969</v>
      </c>
      <c r="G654" s="12" t="s">
        <v>3465</v>
      </c>
      <c r="H654" t="s">
        <v>88</v>
      </c>
      <c r="I654">
        <v>81</v>
      </c>
      <c r="J654">
        <v>80</v>
      </c>
      <c r="K654">
        <v>146</v>
      </c>
      <c r="L654">
        <v>81</v>
      </c>
      <c r="M654" t="s">
        <v>72</v>
      </c>
      <c r="N654">
        <v>136</v>
      </c>
      <c r="O654">
        <v>84</v>
      </c>
      <c r="P654" t="s">
        <v>82</v>
      </c>
      <c r="Q654" t="s">
        <v>82</v>
      </c>
      <c r="R654">
        <v>79.7</v>
      </c>
      <c r="S654">
        <v>150.5</v>
      </c>
      <c r="T654" s="8">
        <f t="shared" si="20"/>
        <v>35.187249588856638</v>
      </c>
      <c r="U654" s="13" t="str" cm="1">
        <f t="array" ref="U654">IF(T654="","",_xlfn.IFS(T654&lt;18.5,"Bajo peso",T654&lt;25,"Peso normal",T654&lt;30,"Sobrepeso",T654&lt;35,"Obesidad clase I",T654&lt;40,"Obesidad clase II",T654&gt;=40,"Obesidad clase III"))</f>
        <v>Obesidad clase II</v>
      </c>
      <c r="V654">
        <v>104</v>
      </c>
      <c r="X654" t="s">
        <v>3463</v>
      </c>
      <c r="Y654">
        <v>0.95</v>
      </c>
      <c r="AA654">
        <v>72</v>
      </c>
      <c r="AB654" s="9">
        <f t="shared" si="21"/>
        <v>71.641517471269069</v>
      </c>
      <c r="AD654" t="s">
        <v>73</v>
      </c>
      <c r="AF654" t="s">
        <v>73</v>
      </c>
      <c r="AH654" t="s">
        <v>3463</v>
      </c>
      <c r="AI654" t="s">
        <v>3463</v>
      </c>
      <c r="AJ654" t="s">
        <v>3463</v>
      </c>
      <c r="AK654" t="s">
        <v>3463</v>
      </c>
      <c r="AL654" t="s">
        <v>3465</v>
      </c>
      <c r="AM654" t="s">
        <v>1617</v>
      </c>
      <c r="AN654" t="s">
        <v>697</v>
      </c>
      <c r="AP654" t="s">
        <v>3463</v>
      </c>
      <c r="AT654" t="s">
        <v>3463</v>
      </c>
      <c r="AV654" t="s">
        <v>74</v>
      </c>
      <c r="AW654" t="s">
        <v>3915</v>
      </c>
      <c r="AX654" t="s">
        <v>3463</v>
      </c>
      <c r="AY654" t="s">
        <v>3465</v>
      </c>
      <c r="AZ654" t="s">
        <v>90</v>
      </c>
      <c r="BF654" t="s">
        <v>3921</v>
      </c>
      <c r="BH654" t="s">
        <v>4020</v>
      </c>
      <c r="BP654" t="s">
        <v>4260</v>
      </c>
      <c r="BQ654" t="s">
        <v>3463</v>
      </c>
      <c r="BR654" t="s">
        <v>3463</v>
      </c>
      <c r="BS654" t="s">
        <v>3463</v>
      </c>
      <c r="BT654" t="s">
        <v>3463</v>
      </c>
      <c r="BU654" t="s">
        <v>3463</v>
      </c>
      <c r="BV654" t="s">
        <v>3463</v>
      </c>
      <c r="BW654" t="s">
        <v>3463</v>
      </c>
      <c r="BX654" t="s">
        <v>79</v>
      </c>
      <c r="BY654" t="s">
        <v>79</v>
      </c>
      <c r="BZ654" t="s">
        <v>79</v>
      </c>
      <c r="CA654" s="10">
        <v>45910</v>
      </c>
    </row>
    <row r="655" spans="1:79">
      <c r="A655">
        <v>661</v>
      </c>
      <c r="B655">
        <v>289</v>
      </c>
      <c r="C655">
        <v>45</v>
      </c>
      <c r="D655" t="s">
        <v>3462</v>
      </c>
      <c r="E655" t="s">
        <v>1150</v>
      </c>
      <c r="F655" t="s">
        <v>969</v>
      </c>
      <c r="G655" s="12" t="s">
        <v>3465</v>
      </c>
      <c r="H655" t="s">
        <v>88</v>
      </c>
      <c r="I655">
        <v>85</v>
      </c>
      <c r="K655">
        <v>124</v>
      </c>
      <c r="L655">
        <v>78</v>
      </c>
      <c r="M655" t="s">
        <v>118</v>
      </c>
      <c r="P655" t="s">
        <v>83</v>
      </c>
      <c r="Q655" t="s">
        <v>118</v>
      </c>
      <c r="R655">
        <v>88.7</v>
      </c>
      <c r="S655">
        <v>173.5</v>
      </c>
      <c r="T655" s="8">
        <f t="shared" si="20"/>
        <v>29.466235912597895</v>
      </c>
      <c r="U655" s="13" t="str" cm="1">
        <f t="array" ref="U655">IF(T655="","",_xlfn.IFS(T655&lt;18.5,"Bajo peso",T655&lt;25,"Peso normal",T655&lt;30,"Sobrepeso",T655&lt;35,"Obesidad clase I",T655&lt;40,"Obesidad clase II",T655&gt;=40,"Obesidad clase III"))</f>
        <v>Sobrepeso</v>
      </c>
      <c r="V655">
        <v>101</v>
      </c>
      <c r="X655" t="s">
        <v>3463</v>
      </c>
      <c r="Y655">
        <v>0.94</v>
      </c>
      <c r="AA655">
        <v>90</v>
      </c>
      <c r="AB655" s="9">
        <f t="shared" si="21"/>
        <v>101.87804204170826</v>
      </c>
      <c r="AD655" t="s">
        <v>73</v>
      </c>
      <c r="AF655" t="s">
        <v>73</v>
      </c>
      <c r="AH655" t="s">
        <v>3463</v>
      </c>
      <c r="AI655" t="s">
        <v>3463</v>
      </c>
      <c r="AJ655" t="s">
        <v>3463</v>
      </c>
      <c r="AK655" t="s">
        <v>3463</v>
      </c>
      <c r="AL655" t="s">
        <v>3465</v>
      </c>
      <c r="AM655" t="s">
        <v>472</v>
      </c>
      <c r="AN655" t="s">
        <v>3617</v>
      </c>
      <c r="AP655" t="s">
        <v>3463</v>
      </c>
      <c r="AQ655" t="s">
        <v>399</v>
      </c>
      <c r="AR655" t="s">
        <v>3505</v>
      </c>
      <c r="AV655" t="s">
        <v>74</v>
      </c>
      <c r="AW655" t="s">
        <v>3915</v>
      </c>
      <c r="BF655" t="s">
        <v>3921</v>
      </c>
      <c r="BH655" t="s">
        <v>4020</v>
      </c>
      <c r="BP655" t="s">
        <v>4260</v>
      </c>
      <c r="BQ655" t="s">
        <v>3463</v>
      </c>
      <c r="BR655" t="s">
        <v>3465</v>
      </c>
      <c r="BS655" t="s">
        <v>3463</v>
      </c>
      <c r="BT655" t="s">
        <v>3463</v>
      </c>
      <c r="BU655" t="s">
        <v>3463</v>
      </c>
      <c r="BV655" t="s">
        <v>3463</v>
      </c>
      <c r="BW655" t="s">
        <v>3463</v>
      </c>
      <c r="BX655" t="s">
        <v>79</v>
      </c>
      <c r="BY655" t="s">
        <v>79</v>
      </c>
      <c r="BZ655" t="s">
        <v>79</v>
      </c>
      <c r="CA655" s="10">
        <v>45910</v>
      </c>
    </row>
    <row r="656" spans="1:79">
      <c r="A656">
        <v>662</v>
      </c>
      <c r="B656">
        <v>290</v>
      </c>
      <c r="C656">
        <v>38</v>
      </c>
      <c r="D656" t="s">
        <v>3462</v>
      </c>
      <c r="E656" t="s">
        <v>1000</v>
      </c>
      <c r="F656" t="s">
        <v>969</v>
      </c>
      <c r="G656" s="12" t="s">
        <v>3465</v>
      </c>
      <c r="H656" s="12" t="s">
        <v>88</v>
      </c>
      <c r="I656">
        <v>75</v>
      </c>
      <c r="J656">
        <v>75</v>
      </c>
      <c r="K656">
        <v>130</v>
      </c>
      <c r="L656">
        <v>95</v>
      </c>
      <c r="M656" t="s">
        <v>72</v>
      </c>
      <c r="N656">
        <v>151</v>
      </c>
      <c r="O656">
        <v>96</v>
      </c>
      <c r="P656" t="s">
        <v>72</v>
      </c>
      <c r="Q656" t="s">
        <v>72</v>
      </c>
      <c r="R656">
        <v>92.1</v>
      </c>
      <c r="S656">
        <v>164.5</v>
      </c>
      <c r="T656" s="8">
        <f t="shared" si="20"/>
        <v>34.035162276771274</v>
      </c>
      <c r="U656" s="13" t="str" cm="1">
        <f t="array" ref="U656">IF(T656="","",_xlfn.IFS(T656&lt;18.5,"Bajo peso",T656&lt;25,"Peso normal",T656&lt;30,"Sobrepeso",T656&lt;35,"Obesidad clase I",T656&lt;40,"Obesidad clase II",T656&gt;=40,"Obesidad clase III"))</f>
        <v>Obesidad clase I</v>
      </c>
      <c r="V656">
        <v>105</v>
      </c>
      <c r="X656" t="s">
        <v>3463</v>
      </c>
      <c r="Y656">
        <v>0.96</v>
      </c>
      <c r="AA656">
        <v>90</v>
      </c>
      <c r="AB656" s="9">
        <f t="shared" si="21"/>
        <v>103.75656552812141</v>
      </c>
      <c r="AD656" t="s">
        <v>73</v>
      </c>
      <c r="AF656" t="s">
        <v>73</v>
      </c>
      <c r="AH656" t="s">
        <v>3463</v>
      </c>
      <c r="AI656" t="s">
        <v>3463</v>
      </c>
      <c r="AJ656" t="s">
        <v>3463</v>
      </c>
      <c r="AK656" t="s">
        <v>3463</v>
      </c>
      <c r="AL656" t="s">
        <v>3463</v>
      </c>
      <c r="AP656" t="s">
        <v>3463</v>
      </c>
      <c r="AQ656" t="s">
        <v>1123</v>
      </c>
      <c r="AR656" t="s">
        <v>3491</v>
      </c>
      <c r="AV656" t="s">
        <v>74</v>
      </c>
      <c r="AW656" t="s">
        <v>3915</v>
      </c>
      <c r="BC656" t="s">
        <v>128</v>
      </c>
      <c r="BD656" t="s">
        <v>105</v>
      </c>
      <c r="BF656" t="s">
        <v>3921</v>
      </c>
      <c r="BG656" t="s">
        <v>1618</v>
      </c>
      <c r="BH656" t="s">
        <v>4131</v>
      </c>
      <c r="BI656" t="s">
        <v>734</v>
      </c>
      <c r="BK656" t="s">
        <v>911</v>
      </c>
      <c r="BL656" t="s">
        <v>1619</v>
      </c>
      <c r="BP656" t="s">
        <v>4446</v>
      </c>
      <c r="BQ656" t="s">
        <v>3465</v>
      </c>
      <c r="BR656" t="s">
        <v>3465</v>
      </c>
      <c r="BS656" t="s">
        <v>3463</v>
      </c>
      <c r="BT656" t="s">
        <v>3463</v>
      </c>
      <c r="BU656" t="s">
        <v>3463</v>
      </c>
      <c r="BV656" t="s">
        <v>3463</v>
      </c>
      <c r="BW656" t="s">
        <v>3463</v>
      </c>
      <c r="BX656" t="s">
        <v>518</v>
      </c>
      <c r="BY656" t="s">
        <v>79</v>
      </c>
      <c r="BZ656" t="s">
        <v>79</v>
      </c>
      <c r="CA656" s="10">
        <v>45910</v>
      </c>
    </row>
    <row r="657" spans="1:79">
      <c r="A657">
        <v>663</v>
      </c>
      <c r="B657">
        <v>291</v>
      </c>
      <c r="C657">
        <v>48</v>
      </c>
      <c r="D657" t="s">
        <v>3462</v>
      </c>
      <c r="E657" t="s">
        <v>974</v>
      </c>
      <c r="F657" t="s">
        <v>969</v>
      </c>
      <c r="G657" s="12" t="s">
        <v>3463</v>
      </c>
      <c r="I657">
        <v>85</v>
      </c>
      <c r="J657">
        <v>89</v>
      </c>
      <c r="K657">
        <v>164</v>
      </c>
      <c r="L657">
        <v>80</v>
      </c>
      <c r="M657" t="s">
        <v>72</v>
      </c>
      <c r="N657">
        <v>163</v>
      </c>
      <c r="O657">
        <v>83</v>
      </c>
      <c r="P657" t="s">
        <v>72</v>
      </c>
      <c r="Q657" t="s">
        <v>72</v>
      </c>
      <c r="R657">
        <v>81.400000000000006</v>
      </c>
      <c r="S657">
        <v>166</v>
      </c>
      <c r="T657" s="8">
        <f t="shared" si="20"/>
        <v>29.539846131514011</v>
      </c>
      <c r="U657" s="13" t="str" cm="1">
        <f t="array" ref="U657">IF(T657="","",_xlfn.IFS(T657&lt;18.5,"Bajo peso",T657&lt;25,"Peso normal",T657&lt;30,"Sobrepeso",T657&lt;35,"Obesidad clase I",T657&lt;40,"Obesidad clase II",T657&gt;=40,"Obesidad clase III"))</f>
        <v>Sobrepeso</v>
      </c>
      <c r="V657">
        <v>142</v>
      </c>
      <c r="X657" t="s">
        <v>3463</v>
      </c>
      <c r="Y657">
        <v>1.07</v>
      </c>
      <c r="AA657">
        <v>86</v>
      </c>
      <c r="AB657" s="9">
        <f t="shared" si="21"/>
        <v>85.599348280682278</v>
      </c>
      <c r="AD657" t="s">
        <v>73</v>
      </c>
      <c r="AF657" t="s">
        <v>73</v>
      </c>
      <c r="AH657" t="s">
        <v>3463</v>
      </c>
      <c r="AI657" t="s">
        <v>3465</v>
      </c>
      <c r="AJ657" t="s">
        <v>3463</v>
      </c>
      <c r="AK657" t="s">
        <v>3463</v>
      </c>
      <c r="AL657" t="s">
        <v>3463</v>
      </c>
      <c r="AP657" t="s">
        <v>3463</v>
      </c>
      <c r="AQ657" t="s">
        <v>1093</v>
      </c>
      <c r="AR657" t="s">
        <v>3491</v>
      </c>
      <c r="AS657" t="s">
        <v>3463</v>
      </c>
      <c r="AV657" t="s">
        <v>112</v>
      </c>
      <c r="AW657" t="s">
        <v>3917</v>
      </c>
      <c r="BA657" t="s">
        <v>3920</v>
      </c>
      <c r="BF657" t="s">
        <v>3921</v>
      </c>
      <c r="BG657" t="s">
        <v>1620</v>
      </c>
      <c r="BH657" t="s">
        <v>4042</v>
      </c>
      <c r="BK657" t="s">
        <v>1055</v>
      </c>
      <c r="BL657" t="s">
        <v>1621</v>
      </c>
      <c r="BP657" t="s">
        <v>4371</v>
      </c>
      <c r="BQ657" t="s">
        <v>3465</v>
      </c>
      <c r="BR657" t="s">
        <v>3463</v>
      </c>
      <c r="BS657" t="s">
        <v>3465</v>
      </c>
      <c r="BT657" t="s">
        <v>3465</v>
      </c>
      <c r="BU657" t="s">
        <v>3463</v>
      </c>
      <c r="BV657" t="s">
        <v>3463</v>
      </c>
      <c r="BW657" t="s">
        <v>3463</v>
      </c>
      <c r="BX657" t="s">
        <v>79</v>
      </c>
      <c r="BY657" t="s">
        <v>79</v>
      </c>
      <c r="BZ657" t="s">
        <v>79</v>
      </c>
      <c r="CA657" s="10">
        <v>45910</v>
      </c>
    </row>
    <row r="658" spans="1:79">
      <c r="A658">
        <v>664</v>
      </c>
      <c r="B658">
        <v>292</v>
      </c>
      <c r="C658">
        <v>43</v>
      </c>
      <c r="D658" t="s">
        <v>3466</v>
      </c>
      <c r="F658" t="s">
        <v>969</v>
      </c>
      <c r="G658" s="12" t="s">
        <v>3463</v>
      </c>
      <c r="I658">
        <v>77</v>
      </c>
      <c r="J658">
        <v>85</v>
      </c>
      <c r="K658">
        <v>143</v>
      </c>
      <c r="L658">
        <v>79</v>
      </c>
      <c r="M658" t="s">
        <v>72</v>
      </c>
      <c r="N658">
        <v>137</v>
      </c>
      <c r="O658">
        <v>90</v>
      </c>
      <c r="P658" t="s">
        <v>72</v>
      </c>
      <c r="Q658" t="s">
        <v>72</v>
      </c>
      <c r="R658">
        <v>67.8</v>
      </c>
      <c r="S658">
        <v>152.5</v>
      </c>
      <c r="T658" s="8">
        <f t="shared" si="20"/>
        <v>29.153453372749262</v>
      </c>
      <c r="U658" s="13" t="str" cm="1">
        <f t="array" ref="U658">IF(T658="","",_xlfn.IFS(T658&lt;18.5,"Bajo peso",T658&lt;25,"Peso normal",T658&lt;30,"Sobrepeso",T658&lt;35,"Obesidad clase I",T658&lt;40,"Obesidad clase II",T658&gt;=40,"Obesidad clase III"))</f>
        <v>Sobrepeso</v>
      </c>
      <c r="V658">
        <v>116</v>
      </c>
      <c r="X658" t="s">
        <v>3463</v>
      </c>
      <c r="Y658">
        <v>1.1000000000000001</v>
      </c>
      <c r="AA658">
        <v>63</v>
      </c>
      <c r="AB658" s="9">
        <f t="shared" si="21"/>
        <v>63.939900531480376</v>
      </c>
      <c r="AD658" t="s">
        <v>73</v>
      </c>
      <c r="AF658" t="s">
        <v>73</v>
      </c>
      <c r="AH658" t="s">
        <v>3463</v>
      </c>
      <c r="AI658" t="s">
        <v>3463</v>
      </c>
      <c r="AJ658" t="s">
        <v>3463</v>
      </c>
      <c r="AK658" t="s">
        <v>3463</v>
      </c>
      <c r="AL658" t="s">
        <v>3463</v>
      </c>
      <c r="AP658" t="s">
        <v>3463</v>
      </c>
      <c r="AV658" t="s">
        <v>126</v>
      </c>
      <c r="AW658" t="s">
        <v>126</v>
      </c>
      <c r="AY658" t="s">
        <v>3465</v>
      </c>
      <c r="AZ658" t="s">
        <v>247</v>
      </c>
      <c r="BF658" t="s">
        <v>3921</v>
      </c>
      <c r="BH658" t="s">
        <v>4020</v>
      </c>
      <c r="BP658" t="s">
        <v>4260</v>
      </c>
      <c r="BQ658" t="s">
        <v>3463</v>
      </c>
      <c r="BR658" t="s">
        <v>3463</v>
      </c>
      <c r="BS658" t="s">
        <v>3465</v>
      </c>
      <c r="BT658" t="s">
        <v>3465</v>
      </c>
      <c r="BU658" t="s">
        <v>3463</v>
      </c>
      <c r="BV658" t="s">
        <v>3463</v>
      </c>
      <c r="BW658" t="s">
        <v>3463</v>
      </c>
      <c r="BX658" t="s">
        <v>79</v>
      </c>
      <c r="BY658" t="s">
        <v>79</v>
      </c>
      <c r="BZ658" t="s">
        <v>79</v>
      </c>
      <c r="CA658" s="10">
        <v>45910</v>
      </c>
    </row>
    <row r="659" spans="1:79">
      <c r="A659">
        <v>665</v>
      </c>
      <c r="B659">
        <v>293</v>
      </c>
      <c r="C659">
        <v>40</v>
      </c>
      <c r="D659" t="s">
        <v>3462</v>
      </c>
      <c r="F659" t="s">
        <v>969</v>
      </c>
      <c r="G659" s="12" t="s">
        <v>3465</v>
      </c>
      <c r="H659" s="12" t="s">
        <v>88</v>
      </c>
      <c r="I659">
        <v>75</v>
      </c>
      <c r="K659">
        <v>131</v>
      </c>
      <c r="L659">
        <v>79</v>
      </c>
      <c r="M659" t="s">
        <v>82</v>
      </c>
      <c r="P659" t="s">
        <v>83</v>
      </c>
      <c r="Q659" t="s">
        <v>82</v>
      </c>
      <c r="R659">
        <v>76.5</v>
      </c>
      <c r="S659">
        <v>168</v>
      </c>
      <c r="T659" s="8">
        <f t="shared" si="20"/>
        <v>27.104591836734695</v>
      </c>
      <c r="U659" s="13" t="str" cm="1">
        <f t="array" ref="U659">IF(T659="","",_xlfn.IFS(T659&lt;18.5,"Bajo peso",T659&lt;25,"Peso normal",T659&lt;30,"Sobrepeso",T659&lt;35,"Obesidad clase I",T659&lt;40,"Obesidad clase II",T659&gt;=40,"Obesidad clase III"))</f>
        <v>Sobrepeso</v>
      </c>
      <c r="V659">
        <v>106</v>
      </c>
      <c r="X659" t="s">
        <v>3463</v>
      </c>
      <c r="Y659">
        <v>1.44</v>
      </c>
      <c r="AA659">
        <v>63</v>
      </c>
      <c r="AB659" s="9">
        <f t="shared" si="21"/>
        <v>62.994707186509565</v>
      </c>
      <c r="AD659" t="s">
        <v>73</v>
      </c>
      <c r="AF659" t="s">
        <v>73</v>
      </c>
      <c r="AH659" t="s">
        <v>3463</v>
      </c>
      <c r="AI659" t="s">
        <v>3463</v>
      </c>
      <c r="AJ659" t="s">
        <v>3463</v>
      </c>
      <c r="AK659" t="s">
        <v>3463</v>
      </c>
      <c r="AL659" t="s">
        <v>3463</v>
      </c>
      <c r="AP659" t="s">
        <v>3463</v>
      </c>
      <c r="AQ659" t="s">
        <v>169</v>
      </c>
      <c r="AR659" t="s">
        <v>3493</v>
      </c>
      <c r="AV659" t="s">
        <v>74</v>
      </c>
      <c r="AW659" t="s">
        <v>3915</v>
      </c>
      <c r="BF659" t="s">
        <v>3921</v>
      </c>
      <c r="BH659" t="s">
        <v>4020</v>
      </c>
      <c r="BP659" t="s">
        <v>4260</v>
      </c>
      <c r="BQ659" t="s">
        <v>3463</v>
      </c>
      <c r="BR659" t="s">
        <v>3465</v>
      </c>
      <c r="BS659" t="s">
        <v>3463</v>
      </c>
      <c r="BT659" t="s">
        <v>3463</v>
      </c>
      <c r="BU659" t="s">
        <v>3463</v>
      </c>
      <c r="BV659" t="s">
        <v>3463</v>
      </c>
      <c r="BW659" t="s">
        <v>3463</v>
      </c>
      <c r="BX659" t="s">
        <v>79</v>
      </c>
      <c r="BY659" t="s">
        <v>79</v>
      </c>
      <c r="BZ659" t="s">
        <v>79</v>
      </c>
      <c r="CA659" s="10">
        <v>45910</v>
      </c>
    </row>
    <row r="660" spans="1:79">
      <c r="A660">
        <v>666</v>
      </c>
      <c r="B660">
        <v>294</v>
      </c>
      <c r="C660">
        <v>69</v>
      </c>
      <c r="D660" t="s">
        <v>3462</v>
      </c>
      <c r="E660" t="s">
        <v>1282</v>
      </c>
      <c r="F660" t="s">
        <v>969</v>
      </c>
      <c r="G660" s="12" t="s">
        <v>3465</v>
      </c>
      <c r="H660" t="s">
        <v>88</v>
      </c>
      <c r="I660">
        <v>80</v>
      </c>
      <c r="K660">
        <v>133</v>
      </c>
      <c r="L660">
        <v>79</v>
      </c>
      <c r="M660" t="s">
        <v>82</v>
      </c>
      <c r="P660" t="s">
        <v>83</v>
      </c>
      <c r="Q660" t="s">
        <v>82</v>
      </c>
      <c r="R660">
        <v>92.2</v>
      </c>
      <c r="S660">
        <v>164</v>
      </c>
      <c r="T660" s="8">
        <f t="shared" si="20"/>
        <v>34.280190362879239</v>
      </c>
      <c r="U660" s="13" t="str" cm="1">
        <f t="array" ref="U660">IF(T660="","",_xlfn.IFS(T660&lt;18.5,"Bajo peso",T660&lt;25,"Peso normal",T660&lt;30,"Sobrepeso",T660&lt;35,"Obesidad clase I",T660&lt;40,"Obesidad clase II",T660&gt;=40,"Obesidad clase III"))</f>
        <v>Obesidad clase I</v>
      </c>
      <c r="V660">
        <v>128</v>
      </c>
      <c r="X660" t="s">
        <v>3463</v>
      </c>
      <c r="Y660">
        <v>1.29</v>
      </c>
      <c r="AA660">
        <v>60</v>
      </c>
      <c r="AB660" s="9">
        <f t="shared" si="21"/>
        <v>60.020855266550683</v>
      </c>
      <c r="AD660" t="s">
        <v>73</v>
      </c>
      <c r="AF660" t="s">
        <v>73</v>
      </c>
      <c r="AG660" t="s">
        <v>3465</v>
      </c>
      <c r="AH660" t="s">
        <v>3465</v>
      </c>
      <c r="AI660" t="s">
        <v>3465</v>
      </c>
      <c r="AJ660" t="s">
        <v>3465</v>
      </c>
      <c r="AK660" t="s">
        <v>3463</v>
      </c>
      <c r="AL660" t="s">
        <v>3465</v>
      </c>
      <c r="AM660" t="s">
        <v>1622</v>
      </c>
      <c r="AN660" t="s">
        <v>3751</v>
      </c>
      <c r="AP660" t="s">
        <v>3463</v>
      </c>
      <c r="AS660" t="s">
        <v>3465</v>
      </c>
      <c r="AV660" t="s">
        <v>126</v>
      </c>
      <c r="AW660" t="s">
        <v>126</v>
      </c>
      <c r="BA660" t="s">
        <v>3920</v>
      </c>
      <c r="BB660" t="s">
        <v>3485</v>
      </c>
      <c r="BE660" t="s">
        <v>1623</v>
      </c>
      <c r="BF660" t="s">
        <v>3964</v>
      </c>
      <c r="BH660" t="s">
        <v>4029</v>
      </c>
      <c r="BI660" t="s">
        <v>1125</v>
      </c>
      <c r="BP660" t="s">
        <v>4260</v>
      </c>
      <c r="BQ660" t="s">
        <v>3463</v>
      </c>
      <c r="BR660" t="s">
        <v>3465</v>
      </c>
      <c r="BS660" t="s">
        <v>3463</v>
      </c>
      <c r="BT660" t="s">
        <v>3463</v>
      </c>
      <c r="BU660" t="s">
        <v>3463</v>
      </c>
      <c r="BV660" t="s">
        <v>3463</v>
      </c>
      <c r="BW660" t="s">
        <v>3463</v>
      </c>
      <c r="BX660" t="s">
        <v>79</v>
      </c>
      <c r="BY660" t="s">
        <v>79</v>
      </c>
      <c r="BZ660" t="s">
        <v>79</v>
      </c>
      <c r="CA660" s="10">
        <v>45910</v>
      </c>
    </row>
    <row r="661" spans="1:79">
      <c r="A661">
        <v>667</v>
      </c>
      <c r="B661">
        <v>295</v>
      </c>
      <c r="C661">
        <v>27</v>
      </c>
      <c r="D661" t="s">
        <v>3466</v>
      </c>
      <c r="E661" t="s">
        <v>1237</v>
      </c>
      <c r="F661" t="s">
        <v>969</v>
      </c>
      <c r="G661" s="12" t="s">
        <v>3463</v>
      </c>
      <c r="H661" s="12"/>
      <c r="I661">
        <v>84</v>
      </c>
      <c r="K661">
        <v>138</v>
      </c>
      <c r="L661">
        <v>83</v>
      </c>
      <c r="M661" t="s">
        <v>82</v>
      </c>
      <c r="P661" t="s">
        <v>83</v>
      </c>
      <c r="Q661" t="s">
        <v>82</v>
      </c>
      <c r="R661">
        <v>72.7</v>
      </c>
      <c r="S661">
        <v>161.6</v>
      </c>
      <c r="T661" s="8">
        <f t="shared" si="20"/>
        <v>27.838876090579358</v>
      </c>
      <c r="U661" s="13" t="str" cm="1">
        <f t="array" ref="U661">IF(T661="","",_xlfn.IFS(T661&lt;18.5,"Bajo peso",T661&lt;25,"Peso normal",T661&lt;30,"Sobrepeso",T661&lt;35,"Obesidad clase I",T661&lt;40,"Obesidad clase II",T661&gt;=40,"Obesidad clase III"))</f>
        <v>Sobrepeso</v>
      </c>
      <c r="V661">
        <v>93</v>
      </c>
      <c r="W661">
        <v>93</v>
      </c>
      <c r="X661" t="s">
        <v>3463</v>
      </c>
      <c r="Y661">
        <v>1.03</v>
      </c>
      <c r="Z661">
        <v>1.42</v>
      </c>
      <c r="AA661">
        <v>77</v>
      </c>
      <c r="AB661" s="9">
        <f t="shared" si="21"/>
        <v>76.428375789544447</v>
      </c>
      <c r="AC661">
        <v>52</v>
      </c>
      <c r="AD661" t="s">
        <v>73</v>
      </c>
      <c r="AE661" t="s">
        <v>158</v>
      </c>
      <c r="AF661" t="s">
        <v>73</v>
      </c>
      <c r="AH661" t="s">
        <v>3463</v>
      </c>
      <c r="AI661" t="s">
        <v>3463</v>
      </c>
      <c r="AJ661" t="s">
        <v>3463</v>
      </c>
      <c r="AK661" t="s">
        <v>3463</v>
      </c>
      <c r="AL661" t="s">
        <v>3463</v>
      </c>
      <c r="AP661" t="s">
        <v>3463</v>
      </c>
      <c r="AT661" t="s">
        <v>3463</v>
      </c>
      <c r="AV661" t="s">
        <v>74</v>
      </c>
      <c r="AW661" t="s">
        <v>3915</v>
      </c>
      <c r="AX661" t="s">
        <v>3463</v>
      </c>
      <c r="AY661" t="s">
        <v>3465</v>
      </c>
      <c r="AZ661" t="s">
        <v>247</v>
      </c>
      <c r="BF661" t="s">
        <v>3921</v>
      </c>
      <c r="BH661" t="s">
        <v>4020</v>
      </c>
      <c r="BP661" t="s">
        <v>4260</v>
      </c>
      <c r="BQ661" t="s">
        <v>3463</v>
      </c>
      <c r="BR661" t="s">
        <v>3465</v>
      </c>
      <c r="BS661" t="s">
        <v>3465</v>
      </c>
      <c r="BT661" t="s">
        <v>3465</v>
      </c>
      <c r="BU661" t="s">
        <v>3463</v>
      </c>
      <c r="BV661" t="s">
        <v>3463</v>
      </c>
      <c r="BW661" t="s">
        <v>3463</v>
      </c>
      <c r="BX661" t="s">
        <v>79</v>
      </c>
      <c r="BY661" t="s">
        <v>79</v>
      </c>
      <c r="BZ661" t="s">
        <v>79</v>
      </c>
      <c r="CA661" s="10">
        <v>45910</v>
      </c>
    </row>
    <row r="662" spans="1:79">
      <c r="A662">
        <v>668</v>
      </c>
      <c r="B662">
        <v>296</v>
      </c>
      <c r="C662">
        <v>42</v>
      </c>
      <c r="D662" t="s">
        <v>3466</v>
      </c>
      <c r="E662" t="s">
        <v>1000</v>
      </c>
      <c r="F662" t="s">
        <v>969</v>
      </c>
      <c r="G662" s="12" t="s">
        <v>3463</v>
      </c>
      <c r="H662" s="12"/>
      <c r="I662">
        <v>98</v>
      </c>
      <c r="J662">
        <v>95</v>
      </c>
      <c r="K662">
        <v>150</v>
      </c>
      <c r="L662">
        <v>93</v>
      </c>
      <c r="M662" t="s">
        <v>72</v>
      </c>
      <c r="N662">
        <v>130</v>
      </c>
      <c r="O662">
        <v>91</v>
      </c>
      <c r="P662" t="s">
        <v>72</v>
      </c>
      <c r="Q662" t="s">
        <v>72</v>
      </c>
      <c r="R662">
        <v>66</v>
      </c>
      <c r="S662">
        <v>151</v>
      </c>
      <c r="T662" s="8">
        <f t="shared" si="20"/>
        <v>28.946098855313366</v>
      </c>
      <c r="U662" s="13" t="str" cm="1">
        <f t="array" ref="U662">IF(T662="","",_xlfn.IFS(T662&lt;18.5,"Bajo peso",T662&lt;25,"Peso normal",T662&lt;30,"Sobrepeso",T662&lt;35,"Obesidad clase I",T662&lt;40,"Obesidad clase II",T662&gt;=40,"Obesidad clase III"))</f>
        <v>Sobrepeso</v>
      </c>
      <c r="V662">
        <v>103</v>
      </c>
      <c r="X662" t="s">
        <v>3463</v>
      </c>
      <c r="Y662">
        <v>1</v>
      </c>
      <c r="AA662">
        <v>72</v>
      </c>
      <c r="AB662" s="9">
        <f t="shared" si="21"/>
        <v>72.134692716938247</v>
      </c>
      <c r="AD662" t="s">
        <v>73</v>
      </c>
      <c r="AF662" t="s">
        <v>73</v>
      </c>
      <c r="AH662" t="s">
        <v>3463</v>
      </c>
      <c r="AI662" t="s">
        <v>3463</v>
      </c>
      <c r="AJ662" t="s">
        <v>3463</v>
      </c>
      <c r="AK662" t="s">
        <v>3463</v>
      </c>
      <c r="AL662" t="s">
        <v>3465</v>
      </c>
      <c r="AM662" t="s">
        <v>489</v>
      </c>
      <c r="AN662" t="s">
        <v>3637</v>
      </c>
      <c r="AP662" t="s">
        <v>3463</v>
      </c>
      <c r="AQ662" t="s">
        <v>1624</v>
      </c>
      <c r="AR662" t="s">
        <v>3569</v>
      </c>
      <c r="AV662" t="s">
        <v>74</v>
      </c>
      <c r="AW662" t="s">
        <v>3915</v>
      </c>
      <c r="AX662" t="s">
        <v>3463</v>
      </c>
      <c r="AY662" t="s">
        <v>3465</v>
      </c>
      <c r="AZ662" t="s">
        <v>90</v>
      </c>
      <c r="BF662" t="s">
        <v>3921</v>
      </c>
      <c r="BH662" t="s">
        <v>4020</v>
      </c>
      <c r="BP662" t="s">
        <v>4260</v>
      </c>
      <c r="BQ662" t="s">
        <v>3463</v>
      </c>
      <c r="BR662" t="s">
        <v>3463</v>
      </c>
      <c r="BS662" t="s">
        <v>3465</v>
      </c>
      <c r="BT662" t="s">
        <v>3465</v>
      </c>
      <c r="BU662" t="s">
        <v>3463</v>
      </c>
      <c r="BV662" t="s">
        <v>3463</v>
      </c>
      <c r="BW662" t="s">
        <v>3463</v>
      </c>
      <c r="BX662" t="s">
        <v>79</v>
      </c>
      <c r="BY662" t="s">
        <v>79</v>
      </c>
      <c r="BZ662" t="s">
        <v>79</v>
      </c>
      <c r="CA662" s="10">
        <v>45910</v>
      </c>
    </row>
    <row r="663" spans="1:79">
      <c r="A663">
        <v>669</v>
      </c>
      <c r="B663">
        <v>297</v>
      </c>
      <c r="C663">
        <v>30</v>
      </c>
      <c r="D663" t="s">
        <v>3462</v>
      </c>
      <c r="F663" t="s">
        <v>969</v>
      </c>
      <c r="G663" s="12" t="s">
        <v>3465</v>
      </c>
      <c r="H663" s="12" t="s">
        <v>88</v>
      </c>
      <c r="I663">
        <v>66</v>
      </c>
      <c r="K663">
        <v>125</v>
      </c>
      <c r="L663">
        <v>85</v>
      </c>
      <c r="M663" t="s">
        <v>82</v>
      </c>
      <c r="P663" t="s">
        <v>83</v>
      </c>
      <c r="Q663" t="s">
        <v>82</v>
      </c>
      <c r="R663">
        <v>63.4</v>
      </c>
      <c r="S663">
        <v>167</v>
      </c>
      <c r="T663" s="8">
        <f t="shared" si="20"/>
        <v>22.732977159453547</v>
      </c>
      <c r="U663" s="13" t="str" cm="1">
        <f t="array" ref="U663">IF(T663="","",_xlfn.IFS(T663&lt;18.5,"Bajo peso",T663&lt;25,"Peso normal",T663&lt;30,"Sobrepeso",T663&lt;35,"Obesidad clase I",T663&lt;40,"Obesidad clase II",T663&gt;=40,"Obesidad clase III"))</f>
        <v>Peso normal</v>
      </c>
      <c r="V663">
        <v>107</v>
      </c>
      <c r="X663" t="s">
        <v>3463</v>
      </c>
      <c r="Y663">
        <v>0.65</v>
      </c>
      <c r="AA663">
        <v>90</v>
      </c>
      <c r="AB663" s="9">
        <f t="shared" si="21"/>
        <v>129.99885310078511</v>
      </c>
      <c r="AD663" t="s">
        <v>73</v>
      </c>
      <c r="AF663" t="s">
        <v>73</v>
      </c>
      <c r="AH663" t="s">
        <v>3463</v>
      </c>
      <c r="AI663" t="s">
        <v>3463</v>
      </c>
      <c r="AJ663" t="s">
        <v>3463</v>
      </c>
      <c r="AK663" t="s">
        <v>3463</v>
      </c>
      <c r="AL663" t="s">
        <v>3463</v>
      </c>
      <c r="AP663" t="s">
        <v>3463</v>
      </c>
      <c r="AQ663" t="s">
        <v>1625</v>
      </c>
      <c r="AR663" t="s">
        <v>3488</v>
      </c>
      <c r="AV663" t="s">
        <v>126</v>
      </c>
      <c r="AW663" t="s">
        <v>126</v>
      </c>
      <c r="BF663" t="s">
        <v>3921</v>
      </c>
      <c r="BH663" t="s">
        <v>4020</v>
      </c>
      <c r="BP663" t="s">
        <v>4260</v>
      </c>
      <c r="BQ663" t="s">
        <v>3463</v>
      </c>
      <c r="BR663" t="s">
        <v>3463</v>
      </c>
      <c r="BS663" t="s">
        <v>3463</v>
      </c>
      <c r="BT663" t="s">
        <v>3463</v>
      </c>
      <c r="BU663" t="s">
        <v>3463</v>
      </c>
      <c r="BV663" t="s">
        <v>3463</v>
      </c>
      <c r="BW663" t="s">
        <v>3463</v>
      </c>
      <c r="BX663" t="s">
        <v>79</v>
      </c>
      <c r="BY663" t="s">
        <v>79</v>
      </c>
      <c r="BZ663" t="s">
        <v>79</v>
      </c>
      <c r="CA663" s="10">
        <v>45910</v>
      </c>
    </row>
    <row r="664" spans="1:79">
      <c r="A664">
        <v>670</v>
      </c>
      <c r="B664">
        <v>298</v>
      </c>
      <c r="C664">
        <v>52</v>
      </c>
      <c r="D664" t="s">
        <v>3462</v>
      </c>
      <c r="E664" t="s">
        <v>1213</v>
      </c>
      <c r="F664" t="s">
        <v>969</v>
      </c>
      <c r="G664" s="12" t="s">
        <v>3465</v>
      </c>
      <c r="H664" t="s">
        <v>88</v>
      </c>
      <c r="I664">
        <v>76</v>
      </c>
      <c r="K664">
        <v>126</v>
      </c>
      <c r="L664">
        <v>83</v>
      </c>
      <c r="M664" t="s">
        <v>82</v>
      </c>
      <c r="P664" t="s">
        <v>83</v>
      </c>
      <c r="Q664" t="s">
        <v>82</v>
      </c>
      <c r="R664">
        <v>70.599999999999994</v>
      </c>
      <c r="S664">
        <v>170.5</v>
      </c>
      <c r="T664" s="8">
        <f t="shared" si="20"/>
        <v>24.285996852452246</v>
      </c>
      <c r="U664" s="13" t="str" cm="1">
        <f t="array" ref="U664">IF(T664="","",_xlfn.IFS(T664&lt;18.5,"Bajo peso",T664&lt;25,"Peso normal",T664&lt;30,"Sobrepeso",T664&lt;35,"Obesidad clase I",T664&lt;40,"Obesidad clase II",T664&gt;=40,"Obesidad clase III"))</f>
        <v>Peso normal</v>
      </c>
      <c r="V664">
        <v>432</v>
      </c>
      <c r="X664" t="s">
        <v>3465</v>
      </c>
      <c r="Y664">
        <v>1.04</v>
      </c>
      <c r="AA664">
        <v>86</v>
      </c>
      <c r="AB664" s="9">
        <f t="shared" si="21"/>
        <v>86.394670744026968</v>
      </c>
      <c r="AD664" t="s">
        <v>73</v>
      </c>
      <c r="AF664" t="s">
        <v>73</v>
      </c>
      <c r="AG664" t="s">
        <v>3465</v>
      </c>
      <c r="AH664" t="s">
        <v>3465</v>
      </c>
      <c r="AI664" t="s">
        <v>3463</v>
      </c>
      <c r="AJ664" t="s">
        <v>3463</v>
      </c>
      <c r="AK664" t="s">
        <v>3463</v>
      </c>
      <c r="AL664" t="s">
        <v>3463</v>
      </c>
      <c r="AQ664" t="s">
        <v>169</v>
      </c>
      <c r="AR664" t="s">
        <v>3493</v>
      </c>
      <c r="AV664" t="s">
        <v>74</v>
      </c>
      <c r="AW664" t="s">
        <v>3915</v>
      </c>
      <c r="BF664" t="s">
        <v>3921</v>
      </c>
      <c r="BG664" t="s">
        <v>1626</v>
      </c>
      <c r="BH664" t="s">
        <v>4164</v>
      </c>
      <c r="BI664" t="s">
        <v>411</v>
      </c>
      <c r="BK664" t="s">
        <v>1627</v>
      </c>
      <c r="BL664" t="s">
        <v>1628</v>
      </c>
      <c r="BP664" t="s">
        <v>4447</v>
      </c>
      <c r="BQ664" t="s">
        <v>3463</v>
      </c>
      <c r="BR664" t="s">
        <v>3465</v>
      </c>
      <c r="BS664" t="s">
        <v>3463</v>
      </c>
      <c r="BT664" t="s">
        <v>3463</v>
      </c>
      <c r="BU664" t="s">
        <v>3463</v>
      </c>
      <c r="BV664" t="s">
        <v>3463</v>
      </c>
      <c r="BW664" t="s">
        <v>3463</v>
      </c>
      <c r="BX664" t="s">
        <v>79</v>
      </c>
      <c r="BY664" t="s">
        <v>121</v>
      </c>
      <c r="BZ664" t="s">
        <v>79</v>
      </c>
      <c r="CA664" s="10">
        <v>45910</v>
      </c>
    </row>
    <row r="665" spans="1:79">
      <c r="A665">
        <v>671</v>
      </c>
      <c r="B665">
        <v>299</v>
      </c>
      <c r="C665">
        <v>28</v>
      </c>
      <c r="D665" t="s">
        <v>3466</v>
      </c>
      <c r="E665" t="s">
        <v>1036</v>
      </c>
      <c r="F665" t="s">
        <v>969</v>
      </c>
      <c r="G665" s="12" t="s">
        <v>3463</v>
      </c>
      <c r="I665">
        <v>78</v>
      </c>
      <c r="K665">
        <v>135</v>
      </c>
      <c r="L665">
        <v>80</v>
      </c>
      <c r="M665" t="s">
        <v>82</v>
      </c>
      <c r="P665" t="s">
        <v>83</v>
      </c>
      <c r="Q665" t="s">
        <v>82</v>
      </c>
      <c r="R665">
        <v>64.5</v>
      </c>
      <c r="S665">
        <v>159.5</v>
      </c>
      <c r="T665" s="8">
        <f t="shared" si="20"/>
        <v>25.353524434704845</v>
      </c>
      <c r="U665" s="13" t="str" cm="1">
        <f t="array" ref="U665">IF(T665="","",_xlfn.IFS(T665&lt;18.5,"Bajo peso",T665&lt;25,"Peso normal",T665&lt;30,"Sobrepeso",T665&lt;35,"Obesidad clase I",T665&lt;40,"Obesidad clase II",T665&gt;=40,"Obesidad clase III"))</f>
        <v>Sobrepeso</v>
      </c>
      <c r="V665">
        <v>85</v>
      </c>
      <c r="X665" t="s">
        <v>3463</v>
      </c>
      <c r="Y665">
        <v>0.7</v>
      </c>
      <c r="AA665">
        <v>90</v>
      </c>
      <c r="AB665" s="9">
        <f t="shared" si="21"/>
        <v>120.73707333512911</v>
      </c>
      <c r="AD665" t="s">
        <v>73</v>
      </c>
      <c r="AF665" t="s">
        <v>73</v>
      </c>
      <c r="AH665" t="s">
        <v>3463</v>
      </c>
      <c r="AI665" t="s">
        <v>3463</v>
      </c>
      <c r="AJ665" t="s">
        <v>3463</v>
      </c>
      <c r="AK665" t="s">
        <v>3463</v>
      </c>
      <c r="AL665" t="s">
        <v>3463</v>
      </c>
      <c r="AP665" t="s">
        <v>3463</v>
      </c>
      <c r="AQ665" t="s">
        <v>1629</v>
      </c>
      <c r="AR665" t="s">
        <v>3488</v>
      </c>
      <c r="AV665" t="s">
        <v>74</v>
      </c>
      <c r="AW665" t="s">
        <v>3915</v>
      </c>
      <c r="AX665" t="s">
        <v>3465</v>
      </c>
      <c r="AY665" t="s">
        <v>3463</v>
      </c>
      <c r="BF665" t="s">
        <v>3921</v>
      </c>
      <c r="BH665" t="s">
        <v>4020</v>
      </c>
      <c r="BP665" t="s">
        <v>4260</v>
      </c>
      <c r="BQ665" t="s">
        <v>3463</v>
      </c>
      <c r="BR665" t="s">
        <v>3463</v>
      </c>
      <c r="BS665" t="s">
        <v>3463</v>
      </c>
      <c r="BT665" t="s">
        <v>3463</v>
      </c>
      <c r="BU665" t="s">
        <v>3463</v>
      </c>
      <c r="BV665" t="s">
        <v>3463</v>
      </c>
      <c r="BW665" t="s">
        <v>3463</v>
      </c>
      <c r="BX665" t="s">
        <v>79</v>
      </c>
      <c r="BY665" t="s">
        <v>79</v>
      </c>
      <c r="BZ665" t="s">
        <v>79</v>
      </c>
      <c r="CA665" s="10">
        <v>45910</v>
      </c>
    </row>
    <row r="666" spans="1:79">
      <c r="A666">
        <v>672</v>
      </c>
      <c r="B666">
        <v>300</v>
      </c>
      <c r="C666">
        <v>44</v>
      </c>
      <c r="D666" t="s">
        <v>3466</v>
      </c>
      <c r="E666" t="s">
        <v>1630</v>
      </c>
      <c r="F666" t="s">
        <v>1631</v>
      </c>
      <c r="G666" s="12" t="s">
        <v>3463</v>
      </c>
      <c r="H666" s="12"/>
      <c r="I666">
        <v>100</v>
      </c>
      <c r="K666">
        <v>118</v>
      </c>
      <c r="L666">
        <v>78</v>
      </c>
      <c r="M666" t="s">
        <v>80</v>
      </c>
      <c r="P666" t="s">
        <v>83</v>
      </c>
      <c r="Q666" t="s">
        <v>80</v>
      </c>
      <c r="R666">
        <v>68.599999999999994</v>
      </c>
      <c r="S666">
        <v>151.9</v>
      </c>
      <c r="T666" s="8">
        <f t="shared" si="20"/>
        <v>29.730935037906942</v>
      </c>
      <c r="U666" s="13" t="str" cm="1">
        <f t="array" ref="U666">IF(T666="","",_xlfn.IFS(T666&lt;18.5,"Bajo peso",T666&lt;25,"Peso normal",T666&lt;30,"Sobrepeso",T666&lt;35,"Obesidad clase I",T666&lt;40,"Obesidad clase II",T666&gt;=40,"Obesidad clase III"))</f>
        <v>Sobrepeso</v>
      </c>
      <c r="V666">
        <v>94</v>
      </c>
      <c r="X666" t="s">
        <v>3463</v>
      </c>
      <c r="Y666">
        <v>1.17</v>
      </c>
      <c r="AA666">
        <v>59</v>
      </c>
      <c r="AB666" s="9">
        <f t="shared" si="21"/>
        <v>59.009119830342364</v>
      </c>
      <c r="AD666" t="s">
        <v>158</v>
      </c>
      <c r="AF666" t="s">
        <v>158</v>
      </c>
      <c r="AH666" t="s">
        <v>3463</v>
      </c>
      <c r="AI666" t="s">
        <v>3463</v>
      </c>
      <c r="AJ666" t="s">
        <v>3463</v>
      </c>
      <c r="AK666" t="s">
        <v>3465</v>
      </c>
      <c r="AL666" t="s">
        <v>3463</v>
      </c>
      <c r="AP666" t="s">
        <v>3463</v>
      </c>
      <c r="AQ666" t="s">
        <v>1632</v>
      </c>
      <c r="AR666" t="s">
        <v>3488</v>
      </c>
      <c r="AT666" t="s">
        <v>3465</v>
      </c>
      <c r="AV666" t="s">
        <v>74</v>
      </c>
      <c r="AW666" t="s">
        <v>3915</v>
      </c>
      <c r="AX666" t="s">
        <v>3463</v>
      </c>
      <c r="AY666" t="s">
        <v>3465</v>
      </c>
      <c r="BF666" t="s">
        <v>3921</v>
      </c>
      <c r="BG666" t="s">
        <v>1633</v>
      </c>
      <c r="BH666" t="s">
        <v>4068</v>
      </c>
      <c r="BP666" t="s">
        <v>4260</v>
      </c>
      <c r="BQ666" t="s">
        <v>3463</v>
      </c>
      <c r="BR666" t="s">
        <v>3463</v>
      </c>
      <c r="BS666" t="s">
        <v>3463</v>
      </c>
      <c r="BT666" t="s">
        <v>3463</v>
      </c>
      <c r="BU666" t="s">
        <v>3463</v>
      </c>
      <c r="BV666" t="s">
        <v>3463</v>
      </c>
      <c r="BW666" t="s">
        <v>3463</v>
      </c>
      <c r="BX666" t="s">
        <v>79</v>
      </c>
      <c r="BY666" t="s">
        <v>79</v>
      </c>
      <c r="BZ666" t="s">
        <v>79</v>
      </c>
      <c r="CA666" s="10">
        <v>45910</v>
      </c>
    </row>
    <row r="667" spans="1:79">
      <c r="A667">
        <v>673</v>
      </c>
      <c r="B667">
        <v>301</v>
      </c>
      <c r="C667">
        <v>60</v>
      </c>
      <c r="D667" t="s">
        <v>3462</v>
      </c>
      <c r="F667" t="s">
        <v>969</v>
      </c>
      <c r="G667" s="12" t="s">
        <v>3463</v>
      </c>
      <c r="H667" s="12"/>
      <c r="I667">
        <v>57</v>
      </c>
      <c r="K667">
        <v>105</v>
      </c>
      <c r="L667">
        <v>66</v>
      </c>
      <c r="M667" t="s">
        <v>80</v>
      </c>
      <c r="P667" t="s">
        <v>83</v>
      </c>
      <c r="Q667" t="s">
        <v>80</v>
      </c>
      <c r="R667">
        <v>74.7</v>
      </c>
      <c r="S667">
        <v>161</v>
      </c>
      <c r="T667" s="8">
        <f t="shared" si="20"/>
        <v>28.818332626056094</v>
      </c>
      <c r="U667" s="13" t="str" cm="1">
        <f t="array" ref="U667">IF(T667="","",_xlfn.IFS(T667&lt;18.5,"Bajo peso",T667&lt;25,"Peso normal",T667&lt;30,"Sobrepeso",T667&lt;35,"Obesidad clase I",T667&lt;40,"Obesidad clase II",T667&gt;=40,"Obesidad clase III"))</f>
        <v>Sobrepeso</v>
      </c>
      <c r="V667">
        <v>100</v>
      </c>
      <c r="X667" t="s">
        <v>3463</v>
      </c>
      <c r="Y667">
        <v>1.18</v>
      </c>
      <c r="AA667">
        <v>71</v>
      </c>
      <c r="AB667" s="9">
        <f t="shared" si="21"/>
        <v>70.641594186758041</v>
      </c>
      <c r="AD667" t="s">
        <v>73</v>
      </c>
      <c r="AF667" t="s">
        <v>73</v>
      </c>
      <c r="AG667" t="s">
        <v>3465</v>
      </c>
      <c r="AH667" t="s">
        <v>3465</v>
      </c>
      <c r="AI667" t="s">
        <v>3465</v>
      </c>
      <c r="AJ667" t="s">
        <v>3463</v>
      </c>
      <c r="AK667" t="s">
        <v>3463</v>
      </c>
      <c r="AL667" t="s">
        <v>3465</v>
      </c>
      <c r="AM667" t="s">
        <v>1634</v>
      </c>
      <c r="AN667" t="s">
        <v>3752</v>
      </c>
      <c r="AP667" t="s">
        <v>3463</v>
      </c>
      <c r="AQ667" t="s">
        <v>1093</v>
      </c>
      <c r="AR667" t="s">
        <v>3491</v>
      </c>
      <c r="AS667" t="s">
        <v>3465</v>
      </c>
      <c r="AW667" t="s">
        <v>3916</v>
      </c>
      <c r="BF667" t="s">
        <v>3921</v>
      </c>
      <c r="BH667" t="s">
        <v>4020</v>
      </c>
      <c r="BP667" t="s">
        <v>4260</v>
      </c>
      <c r="BQ667" t="s">
        <v>3463</v>
      </c>
      <c r="BR667" t="s">
        <v>3465</v>
      </c>
      <c r="BS667" t="s">
        <v>3463</v>
      </c>
      <c r="BT667" t="s">
        <v>3463</v>
      </c>
      <c r="BU667" t="s">
        <v>3463</v>
      </c>
      <c r="BV667" t="s">
        <v>3463</v>
      </c>
      <c r="BW667" t="s">
        <v>3463</v>
      </c>
      <c r="BX667" t="s">
        <v>79</v>
      </c>
      <c r="BY667" t="s">
        <v>79</v>
      </c>
      <c r="BZ667" t="s">
        <v>79</v>
      </c>
      <c r="CA667" s="10">
        <v>45910</v>
      </c>
    </row>
    <row r="668" spans="1:79">
      <c r="A668">
        <v>674</v>
      </c>
      <c r="B668">
        <v>302</v>
      </c>
      <c r="C668">
        <v>60</v>
      </c>
      <c r="D668" t="s">
        <v>3466</v>
      </c>
      <c r="E668" t="s">
        <v>1237</v>
      </c>
      <c r="F668" t="s">
        <v>969</v>
      </c>
      <c r="G668" s="12" t="s">
        <v>3463</v>
      </c>
      <c r="I668">
        <v>83</v>
      </c>
      <c r="K668">
        <v>124</v>
      </c>
      <c r="L668">
        <v>79</v>
      </c>
      <c r="M668" t="s">
        <v>118</v>
      </c>
      <c r="P668" t="s">
        <v>83</v>
      </c>
      <c r="Q668" t="s">
        <v>118</v>
      </c>
      <c r="R668">
        <v>79.95</v>
      </c>
      <c r="S668">
        <v>149</v>
      </c>
      <c r="T668" s="8">
        <f t="shared" si="20"/>
        <v>36.011891356245215</v>
      </c>
      <c r="U668" s="13" t="str" cm="1">
        <f t="array" ref="U668">IF(T668="","",_xlfn.IFS(T668&lt;18.5,"Bajo peso",T668&lt;25,"Peso normal",T668&lt;30,"Sobrepeso",T668&lt;35,"Obesidad clase I",T668&lt;40,"Obesidad clase II",T668&gt;=40,"Obesidad clase III"))</f>
        <v>Obesidad clase II</v>
      </c>
      <c r="V668">
        <v>95</v>
      </c>
      <c r="X668" t="s">
        <v>3463</v>
      </c>
      <c r="Y668">
        <v>0.74</v>
      </c>
      <c r="AA668">
        <v>90</v>
      </c>
      <c r="AB668" s="9">
        <f t="shared" si="21"/>
        <v>92.565251573925593</v>
      </c>
      <c r="AD668" t="s">
        <v>73</v>
      </c>
      <c r="AF668" t="s">
        <v>73</v>
      </c>
      <c r="AG668" t="s">
        <v>3465</v>
      </c>
      <c r="AH668" t="s">
        <v>3465</v>
      </c>
      <c r="AI668" t="s">
        <v>3465</v>
      </c>
      <c r="AJ668" t="s">
        <v>3463</v>
      </c>
      <c r="AK668" t="s">
        <v>3463</v>
      </c>
      <c r="AL668" t="s">
        <v>3465</v>
      </c>
      <c r="AM668" t="s">
        <v>1635</v>
      </c>
      <c r="AN668" t="s">
        <v>3617</v>
      </c>
      <c r="AP668" t="s">
        <v>3463</v>
      </c>
      <c r="AQ668" t="s">
        <v>1636</v>
      </c>
      <c r="AR668" t="s">
        <v>3542</v>
      </c>
      <c r="AS668" t="s">
        <v>3465</v>
      </c>
      <c r="AT668" t="s">
        <v>3465</v>
      </c>
      <c r="AU668" t="s">
        <v>80</v>
      </c>
      <c r="AV668" t="s">
        <v>178</v>
      </c>
      <c r="AW668" t="s">
        <v>3918</v>
      </c>
      <c r="AX668" t="s">
        <v>3463</v>
      </c>
      <c r="AY668" t="s">
        <v>3465</v>
      </c>
      <c r="AZ668" t="s">
        <v>247</v>
      </c>
      <c r="BF668" t="s">
        <v>3921</v>
      </c>
      <c r="BH668" t="s">
        <v>4020</v>
      </c>
      <c r="BP668" t="s">
        <v>4260</v>
      </c>
      <c r="BQ668" t="s">
        <v>3463</v>
      </c>
      <c r="BR668" t="s">
        <v>3463</v>
      </c>
      <c r="BS668" t="s">
        <v>3463</v>
      </c>
      <c r="BT668" t="s">
        <v>3463</v>
      </c>
      <c r="BU668" t="s">
        <v>3463</v>
      </c>
      <c r="BV668" t="s">
        <v>3463</v>
      </c>
      <c r="BW668" t="s">
        <v>3463</v>
      </c>
      <c r="BX668" t="s">
        <v>79</v>
      </c>
      <c r="BY668" t="s">
        <v>79</v>
      </c>
      <c r="BZ668" t="s">
        <v>79</v>
      </c>
      <c r="CA668" s="10">
        <v>45910</v>
      </c>
    </row>
    <row r="669" spans="1:79">
      <c r="A669">
        <v>675</v>
      </c>
      <c r="B669">
        <v>303</v>
      </c>
      <c r="C669">
        <v>62</v>
      </c>
      <c r="D669" t="s">
        <v>3466</v>
      </c>
      <c r="E669" t="s">
        <v>1036</v>
      </c>
      <c r="F669" t="s">
        <v>969</v>
      </c>
      <c r="G669" s="12" t="s">
        <v>3463</v>
      </c>
      <c r="I669">
        <v>87</v>
      </c>
      <c r="J669">
        <v>86</v>
      </c>
      <c r="K669">
        <v>144</v>
      </c>
      <c r="L669">
        <v>86</v>
      </c>
      <c r="M669" t="s">
        <v>72</v>
      </c>
      <c r="N669">
        <v>137</v>
      </c>
      <c r="O669">
        <v>85</v>
      </c>
      <c r="P669" t="s">
        <v>82</v>
      </c>
      <c r="Q669" t="s">
        <v>82</v>
      </c>
      <c r="R669">
        <v>54.75</v>
      </c>
      <c r="S669">
        <v>142</v>
      </c>
      <c r="T669" s="8">
        <f t="shared" si="20"/>
        <v>27.152350724062689</v>
      </c>
      <c r="U669" s="13" t="str" cm="1">
        <f t="array" ref="U669">IF(T669="","",_xlfn.IFS(T669&lt;18.5,"Bajo peso",T669&lt;25,"Peso normal",T669&lt;30,"Sobrepeso",T669&lt;35,"Obesidad clase I",T669&lt;40,"Obesidad clase II",T669&gt;=40,"Obesidad clase III"))</f>
        <v>Sobrepeso</v>
      </c>
      <c r="V669">
        <v>86</v>
      </c>
      <c r="X669" t="s">
        <v>3463</v>
      </c>
      <c r="Y669">
        <v>1.03</v>
      </c>
      <c r="AA669">
        <v>62</v>
      </c>
      <c r="AB669" s="9">
        <f t="shared" si="21"/>
        <v>61.477948195613564</v>
      </c>
      <c r="AD669" t="s">
        <v>73</v>
      </c>
      <c r="AF669" t="s">
        <v>73</v>
      </c>
      <c r="AH669" t="s">
        <v>3463</v>
      </c>
      <c r="AI669" t="s">
        <v>3463</v>
      </c>
      <c r="AJ669" t="s">
        <v>3463</v>
      </c>
      <c r="AK669" t="s">
        <v>3463</v>
      </c>
      <c r="AL669" t="s">
        <v>3463</v>
      </c>
      <c r="AP669" t="s">
        <v>3463</v>
      </c>
      <c r="AQ669" t="s">
        <v>1637</v>
      </c>
      <c r="AR669" t="s">
        <v>3491</v>
      </c>
      <c r="AT669" t="s">
        <v>3465</v>
      </c>
      <c r="AU669" t="s">
        <v>80</v>
      </c>
      <c r="AV669" t="s">
        <v>74</v>
      </c>
      <c r="AW669" t="s">
        <v>3915</v>
      </c>
      <c r="AX669" t="s">
        <v>3463</v>
      </c>
      <c r="AY669" t="s">
        <v>3465</v>
      </c>
      <c r="AZ669" t="s">
        <v>104</v>
      </c>
      <c r="BF669" t="s">
        <v>3921</v>
      </c>
      <c r="BH669" t="s">
        <v>4020</v>
      </c>
      <c r="BP669" t="s">
        <v>4260</v>
      </c>
      <c r="BQ669" t="s">
        <v>3465</v>
      </c>
      <c r="BR669" t="s">
        <v>3463</v>
      </c>
      <c r="BS669" t="s">
        <v>3463</v>
      </c>
      <c r="BT669" t="s">
        <v>3463</v>
      </c>
      <c r="BU669" t="s">
        <v>3463</v>
      </c>
      <c r="BV669" t="s">
        <v>3463</v>
      </c>
      <c r="BW669" t="s">
        <v>3463</v>
      </c>
      <c r="BX669" t="s">
        <v>79</v>
      </c>
      <c r="BY669" t="s">
        <v>79</v>
      </c>
      <c r="BZ669" t="s">
        <v>79</v>
      </c>
      <c r="CA669" s="10">
        <v>45910</v>
      </c>
    </row>
    <row r="670" spans="1:79">
      <c r="A670">
        <v>676</v>
      </c>
      <c r="B670">
        <v>304</v>
      </c>
      <c r="C670">
        <v>51</v>
      </c>
      <c r="D670" t="s">
        <v>3462</v>
      </c>
      <c r="E670" t="s">
        <v>1266</v>
      </c>
      <c r="F670" t="s">
        <v>969</v>
      </c>
      <c r="G670" s="12" t="s">
        <v>3463</v>
      </c>
      <c r="H670" s="12"/>
      <c r="I670">
        <v>70</v>
      </c>
      <c r="K670">
        <v>121</v>
      </c>
      <c r="L670">
        <v>71</v>
      </c>
      <c r="M670" t="s">
        <v>118</v>
      </c>
      <c r="P670" t="s">
        <v>83</v>
      </c>
      <c r="Q670" t="s">
        <v>118</v>
      </c>
      <c r="R670">
        <v>69.3</v>
      </c>
      <c r="S670">
        <v>166</v>
      </c>
      <c r="T670" s="8">
        <f t="shared" si="20"/>
        <v>25.148787922775437</v>
      </c>
      <c r="U670" s="13" t="str" cm="1">
        <f t="array" ref="U670">IF(T670="","",_xlfn.IFS(T670&lt;18.5,"Bajo peso",T670&lt;25,"Peso normal",T670&lt;30,"Sobrepeso",T670&lt;35,"Obesidad clase I",T670&lt;40,"Obesidad clase II",T670&gt;=40,"Obesidad clase III"))</f>
        <v>Sobrepeso</v>
      </c>
      <c r="V670">
        <v>103</v>
      </c>
      <c r="X670" t="s">
        <v>3463</v>
      </c>
      <c r="Y670">
        <v>0.9</v>
      </c>
      <c r="AA670">
        <v>90</v>
      </c>
      <c r="AB670" s="9">
        <f t="shared" si="21"/>
        <v>103.40390911266718</v>
      </c>
      <c r="AD670" t="s">
        <v>73</v>
      </c>
      <c r="AF670" t="s">
        <v>73</v>
      </c>
      <c r="AH670" t="s">
        <v>3463</v>
      </c>
      <c r="AI670" t="s">
        <v>3463</v>
      </c>
      <c r="AJ670" t="s">
        <v>3463</v>
      </c>
      <c r="AK670" t="s">
        <v>3463</v>
      </c>
      <c r="AL670" t="s">
        <v>3463</v>
      </c>
      <c r="AP670" t="s">
        <v>3463</v>
      </c>
      <c r="AV670" t="s">
        <v>74</v>
      </c>
      <c r="AW670" t="s">
        <v>3915</v>
      </c>
      <c r="BF670" t="s">
        <v>3921</v>
      </c>
      <c r="BH670" t="s">
        <v>4020</v>
      </c>
      <c r="BP670" t="s">
        <v>4260</v>
      </c>
      <c r="BQ670" t="s">
        <v>3463</v>
      </c>
      <c r="BR670" t="s">
        <v>3465</v>
      </c>
      <c r="BS670" t="s">
        <v>3463</v>
      </c>
      <c r="BT670" t="s">
        <v>3465</v>
      </c>
      <c r="BU670" t="s">
        <v>3463</v>
      </c>
      <c r="BV670" t="s">
        <v>3463</v>
      </c>
      <c r="BW670" t="s">
        <v>3463</v>
      </c>
      <c r="BX670" t="s">
        <v>79</v>
      </c>
      <c r="BY670" t="s">
        <v>79</v>
      </c>
      <c r="BZ670" t="s">
        <v>79</v>
      </c>
      <c r="CA670" s="10">
        <v>45910</v>
      </c>
    </row>
    <row r="671" spans="1:79">
      <c r="A671">
        <v>677</v>
      </c>
      <c r="B671">
        <v>305</v>
      </c>
      <c r="C671">
        <v>75</v>
      </c>
      <c r="D671" t="s">
        <v>3466</v>
      </c>
      <c r="F671" t="s">
        <v>969</v>
      </c>
      <c r="G671" s="12" t="s">
        <v>3463</v>
      </c>
      <c r="H671" s="12"/>
      <c r="I671">
        <v>82</v>
      </c>
      <c r="J671">
        <v>75</v>
      </c>
      <c r="K671">
        <v>163</v>
      </c>
      <c r="L671">
        <v>83</v>
      </c>
      <c r="M671" t="s">
        <v>72</v>
      </c>
      <c r="N671">
        <v>153</v>
      </c>
      <c r="O671">
        <v>78</v>
      </c>
      <c r="P671" t="s">
        <v>72</v>
      </c>
      <c r="Q671" t="s">
        <v>72</v>
      </c>
      <c r="R671">
        <v>84.5</v>
      </c>
      <c r="S671">
        <v>148</v>
      </c>
      <c r="T671" s="8">
        <f t="shared" si="20"/>
        <v>38.577428780131484</v>
      </c>
      <c r="U671" s="13" t="str" cm="1">
        <f t="array" ref="U671">IF(T671="","",_xlfn.IFS(T671&lt;18.5,"Bajo peso",T671&lt;25,"Peso normal",T671&lt;30,"Sobrepeso",T671&lt;35,"Obesidad clase I",T671&lt;40,"Obesidad clase II",T671&gt;=40,"Obesidad clase III"))</f>
        <v>Obesidad clase II</v>
      </c>
      <c r="V671">
        <v>158</v>
      </c>
      <c r="X671" t="s">
        <v>3463</v>
      </c>
      <c r="Y671">
        <v>1.39</v>
      </c>
      <c r="Z671">
        <v>1.39</v>
      </c>
      <c r="AA671">
        <v>40</v>
      </c>
      <c r="AB671" s="9">
        <f t="shared" si="21"/>
        <v>39.572471529472793</v>
      </c>
      <c r="AC671">
        <v>40</v>
      </c>
      <c r="AD671" t="s">
        <v>218</v>
      </c>
      <c r="AE671" t="s">
        <v>218</v>
      </c>
      <c r="AF671" t="s">
        <v>218</v>
      </c>
      <c r="AH671" t="s">
        <v>3463</v>
      </c>
      <c r="AI671" t="s">
        <v>3465</v>
      </c>
      <c r="AJ671" t="s">
        <v>3463</v>
      </c>
      <c r="AK671" t="s">
        <v>3463</v>
      </c>
      <c r="AL671" t="s">
        <v>3463</v>
      </c>
      <c r="AP671" t="s">
        <v>3463</v>
      </c>
      <c r="AQ671" t="s">
        <v>169</v>
      </c>
      <c r="AR671" t="s">
        <v>3493</v>
      </c>
      <c r="AS671" t="s">
        <v>3465</v>
      </c>
      <c r="AT671" t="s">
        <v>3463</v>
      </c>
      <c r="AV671" t="s">
        <v>74</v>
      </c>
      <c r="AW671" t="s">
        <v>3915</v>
      </c>
      <c r="AY671" t="s">
        <v>3463</v>
      </c>
      <c r="AZ671" t="s">
        <v>490</v>
      </c>
      <c r="BA671" t="s">
        <v>3920</v>
      </c>
      <c r="BF671" t="s">
        <v>3921</v>
      </c>
      <c r="BG671" t="s">
        <v>1638</v>
      </c>
      <c r="BH671" t="s">
        <v>4029</v>
      </c>
      <c r="BI671" t="s">
        <v>411</v>
      </c>
      <c r="BK671" t="s">
        <v>1639</v>
      </c>
      <c r="BL671" t="s">
        <v>1640</v>
      </c>
      <c r="BP671" t="s">
        <v>4448</v>
      </c>
      <c r="BQ671" t="s">
        <v>3463</v>
      </c>
      <c r="BR671" t="s">
        <v>3463</v>
      </c>
      <c r="BS671" t="s">
        <v>3463</v>
      </c>
      <c r="BT671" t="s">
        <v>3463</v>
      </c>
      <c r="BU671" t="s">
        <v>3463</v>
      </c>
      <c r="BV671" t="s">
        <v>3463</v>
      </c>
      <c r="BW671" t="s">
        <v>3463</v>
      </c>
      <c r="BX671" t="s">
        <v>79</v>
      </c>
      <c r="BY671" t="s">
        <v>79</v>
      </c>
      <c r="BZ671" t="s">
        <v>79</v>
      </c>
      <c r="CA671" s="10">
        <v>45910</v>
      </c>
    </row>
    <row r="672" spans="1:79">
      <c r="A672">
        <v>678</v>
      </c>
      <c r="B672">
        <v>306</v>
      </c>
      <c r="C672">
        <v>18</v>
      </c>
      <c r="D672" t="s">
        <v>3466</v>
      </c>
      <c r="F672" t="s">
        <v>969</v>
      </c>
      <c r="G672" s="12" t="s">
        <v>3463</v>
      </c>
      <c r="I672">
        <v>87</v>
      </c>
      <c r="K672">
        <v>106</v>
      </c>
      <c r="L672">
        <v>77</v>
      </c>
      <c r="M672" t="s">
        <v>80</v>
      </c>
      <c r="P672" t="s">
        <v>83</v>
      </c>
      <c r="Q672" t="s">
        <v>80</v>
      </c>
      <c r="R672">
        <v>61.2</v>
      </c>
      <c r="S672">
        <v>155</v>
      </c>
      <c r="T672" s="8">
        <f t="shared" si="20"/>
        <v>25.47346514047867</v>
      </c>
      <c r="U672" s="13" t="str" cm="1">
        <f t="array" ref="U672">IF(T672="","",_xlfn.IFS(T672&lt;18.5,"Bajo peso",T672&lt;25,"Peso normal",T672&lt;30,"Sobrepeso",T672&lt;35,"Obesidad clase I",T672&lt;40,"Obesidad clase II",T672&gt;=40,"Obesidad clase III"))</f>
        <v>Sobrepeso</v>
      </c>
      <c r="V672">
        <v>81</v>
      </c>
      <c r="X672" t="s">
        <v>3463</v>
      </c>
      <c r="Y672">
        <v>0.85</v>
      </c>
      <c r="AA672">
        <v>90</v>
      </c>
      <c r="AB672" s="9">
        <f t="shared" si="21"/>
        <v>101.78075249552188</v>
      </c>
      <c r="AD672" t="s">
        <v>73</v>
      </c>
      <c r="AF672" t="s">
        <v>73</v>
      </c>
      <c r="AH672" t="s">
        <v>3463</v>
      </c>
      <c r="AI672" t="s">
        <v>3463</v>
      </c>
      <c r="AJ672" t="s">
        <v>3463</v>
      </c>
      <c r="AK672" t="s">
        <v>3463</v>
      </c>
      <c r="AL672" t="s">
        <v>3463</v>
      </c>
      <c r="AP672" t="s">
        <v>3463</v>
      </c>
      <c r="AQ672" t="s">
        <v>442</v>
      </c>
      <c r="AR672" t="s">
        <v>3491</v>
      </c>
      <c r="AW672" t="s">
        <v>3916</v>
      </c>
      <c r="AX672" t="s">
        <v>3463</v>
      </c>
      <c r="AY672" t="s">
        <v>3463</v>
      </c>
      <c r="BF672" t="s">
        <v>3921</v>
      </c>
      <c r="BH672" t="s">
        <v>4076</v>
      </c>
      <c r="BK672" t="s">
        <v>68</v>
      </c>
      <c r="BL672" t="s">
        <v>1641</v>
      </c>
      <c r="BP672" t="s">
        <v>4310</v>
      </c>
      <c r="BQ672" t="s">
        <v>3463</v>
      </c>
      <c r="BR672" t="s">
        <v>3463</v>
      </c>
      <c r="BT672" t="s">
        <v>3463</v>
      </c>
      <c r="BU672" t="s">
        <v>3463</v>
      </c>
      <c r="BV672" t="s">
        <v>3463</v>
      </c>
      <c r="BW672" t="s">
        <v>3463</v>
      </c>
      <c r="BX672" t="s">
        <v>79</v>
      </c>
      <c r="BY672" t="s">
        <v>79</v>
      </c>
      <c r="BZ672" t="s">
        <v>95</v>
      </c>
      <c r="CA672" s="10">
        <v>45910</v>
      </c>
    </row>
    <row r="673" spans="1:79">
      <c r="A673">
        <v>679</v>
      </c>
      <c r="B673">
        <v>307</v>
      </c>
      <c r="C673">
        <v>61</v>
      </c>
      <c r="D673" t="s">
        <v>3466</v>
      </c>
      <c r="E673" t="s">
        <v>1000</v>
      </c>
      <c r="F673" t="s">
        <v>969</v>
      </c>
      <c r="G673" s="12" t="s">
        <v>3463</v>
      </c>
      <c r="I673">
        <v>68</v>
      </c>
      <c r="K673">
        <v>113</v>
      </c>
      <c r="L673">
        <v>55</v>
      </c>
      <c r="M673" t="s">
        <v>80</v>
      </c>
      <c r="P673" t="s">
        <v>83</v>
      </c>
      <c r="Q673" t="s">
        <v>80</v>
      </c>
      <c r="R673">
        <v>60.3</v>
      </c>
      <c r="S673">
        <v>153.5</v>
      </c>
      <c r="T673" s="8">
        <f t="shared" si="20"/>
        <v>25.591783467198592</v>
      </c>
      <c r="U673" s="13" t="str" cm="1">
        <f t="array" ref="U673">IF(T673="","",_xlfn.IFS(T673&lt;18.5,"Bajo peso",T673&lt;25,"Peso normal",T673&lt;30,"Sobrepeso",T673&lt;35,"Obesidad clase I",T673&lt;40,"Obesidad clase II",T673&gt;=40,"Obesidad clase III"))</f>
        <v>Sobrepeso</v>
      </c>
      <c r="V673">
        <v>101</v>
      </c>
      <c r="X673" t="s">
        <v>3463</v>
      </c>
      <c r="Y673">
        <v>0.64</v>
      </c>
      <c r="AA673">
        <v>90</v>
      </c>
      <c r="AB673" s="9">
        <f t="shared" si="21"/>
        <v>100.48162450764927</v>
      </c>
      <c r="AD673" t="s">
        <v>73</v>
      </c>
      <c r="AF673" t="s">
        <v>73</v>
      </c>
      <c r="AH673" t="s">
        <v>3463</v>
      </c>
      <c r="AI673" t="s">
        <v>3463</v>
      </c>
      <c r="AJ673" t="s">
        <v>3463</v>
      </c>
      <c r="AK673" t="s">
        <v>3463</v>
      </c>
      <c r="AL673" t="s">
        <v>3465</v>
      </c>
      <c r="AM673" t="s">
        <v>1642</v>
      </c>
      <c r="AN673" t="s">
        <v>3653</v>
      </c>
      <c r="AP673" t="s">
        <v>3463</v>
      </c>
      <c r="AT673" t="s">
        <v>3465</v>
      </c>
      <c r="AU673" t="s">
        <v>80</v>
      </c>
      <c r="AV673" t="s">
        <v>74</v>
      </c>
      <c r="AW673" t="s">
        <v>3915</v>
      </c>
      <c r="AX673" t="s">
        <v>3463</v>
      </c>
      <c r="AY673" t="s">
        <v>3465</v>
      </c>
      <c r="AZ673" t="s">
        <v>247</v>
      </c>
      <c r="BF673" t="s">
        <v>3921</v>
      </c>
      <c r="BH673" t="s">
        <v>4020</v>
      </c>
      <c r="BP673" t="s">
        <v>4260</v>
      </c>
      <c r="BQ673" t="s">
        <v>3463</v>
      </c>
      <c r="BR673" t="s">
        <v>3463</v>
      </c>
      <c r="BS673" t="s">
        <v>3465</v>
      </c>
      <c r="BT673" t="s">
        <v>3465</v>
      </c>
      <c r="BU673" t="s">
        <v>3463</v>
      </c>
      <c r="BV673" t="s">
        <v>3463</v>
      </c>
      <c r="BW673" t="s">
        <v>3463</v>
      </c>
      <c r="BX673" t="s">
        <v>518</v>
      </c>
      <c r="BY673" t="s">
        <v>79</v>
      </c>
      <c r="BZ673" t="s">
        <v>79</v>
      </c>
      <c r="CA673" s="10">
        <v>45910</v>
      </c>
    </row>
    <row r="674" spans="1:79">
      <c r="A674">
        <v>680</v>
      </c>
      <c r="B674">
        <v>308</v>
      </c>
      <c r="C674">
        <v>42</v>
      </c>
      <c r="D674" t="s">
        <v>3466</v>
      </c>
      <c r="E674" t="s">
        <v>1237</v>
      </c>
      <c r="F674" t="s">
        <v>969</v>
      </c>
      <c r="G674" s="12" t="s">
        <v>3465</v>
      </c>
      <c r="H674" t="s">
        <v>88</v>
      </c>
      <c r="I674">
        <v>79</v>
      </c>
      <c r="K674">
        <v>135</v>
      </c>
      <c r="L674">
        <v>72</v>
      </c>
      <c r="M674" t="s">
        <v>82</v>
      </c>
      <c r="P674" t="s">
        <v>83</v>
      </c>
      <c r="Q674" t="s">
        <v>82</v>
      </c>
      <c r="R674">
        <v>109.1</v>
      </c>
      <c r="S674">
        <v>161</v>
      </c>
      <c r="T674" s="8">
        <f t="shared" si="20"/>
        <v>42.089425562285399</v>
      </c>
      <c r="U674" s="13" t="str" cm="1">
        <f t="array" ref="U674">IF(T674="","",_xlfn.IFS(T674&lt;18.5,"Bajo peso",T674&lt;25,"Peso normal",T674&lt;30,"Sobrepeso",T674&lt;35,"Obesidad clase I",T674&lt;40,"Obesidad clase II",T674&gt;=40,"Obesidad clase III"))</f>
        <v>Obesidad clase III</v>
      </c>
      <c r="V674">
        <v>89</v>
      </c>
      <c r="X674" t="s">
        <v>3463</v>
      </c>
      <c r="Y674">
        <v>1.5</v>
      </c>
      <c r="AA674">
        <v>44</v>
      </c>
      <c r="AB674" s="9">
        <f t="shared" si="21"/>
        <v>44.343980564394755</v>
      </c>
      <c r="AD674" t="s">
        <v>218</v>
      </c>
      <c r="AF674" t="s">
        <v>218</v>
      </c>
      <c r="AG674" t="s">
        <v>3465</v>
      </c>
      <c r="AH674" t="s">
        <v>3465</v>
      </c>
      <c r="AI674" t="s">
        <v>3463</v>
      </c>
      <c r="AJ674" t="s">
        <v>3463</v>
      </c>
      <c r="AK674" t="s">
        <v>3463</v>
      </c>
      <c r="AL674" t="s">
        <v>3463</v>
      </c>
      <c r="AP674" t="s">
        <v>3463</v>
      </c>
      <c r="AQ674" t="s">
        <v>1643</v>
      </c>
      <c r="AR674" t="s">
        <v>3570</v>
      </c>
      <c r="AT674" t="s">
        <v>3465</v>
      </c>
      <c r="AU674" t="s">
        <v>80</v>
      </c>
      <c r="AV674" t="s">
        <v>74</v>
      </c>
      <c r="AW674" t="s">
        <v>3915</v>
      </c>
      <c r="AX674" t="s">
        <v>3463</v>
      </c>
      <c r="AY674" t="s">
        <v>3465</v>
      </c>
      <c r="AZ674" t="s">
        <v>90</v>
      </c>
      <c r="BC674" t="s">
        <v>128</v>
      </c>
      <c r="BF674" t="s">
        <v>3921</v>
      </c>
      <c r="BG674" t="s">
        <v>1644</v>
      </c>
      <c r="BH674" t="s">
        <v>4029</v>
      </c>
      <c r="BI674" t="s">
        <v>411</v>
      </c>
      <c r="BK674" t="s">
        <v>1535</v>
      </c>
      <c r="BL674" t="s">
        <v>1645</v>
      </c>
      <c r="BP674" t="s">
        <v>4449</v>
      </c>
      <c r="BQ674" t="s">
        <v>3465</v>
      </c>
      <c r="BR674" t="s">
        <v>3465</v>
      </c>
      <c r="BS674" t="s">
        <v>3465</v>
      </c>
      <c r="BT674" t="s">
        <v>3465</v>
      </c>
      <c r="BU674" t="s">
        <v>3463</v>
      </c>
      <c r="BV674" t="s">
        <v>3463</v>
      </c>
      <c r="BW674" t="s">
        <v>3463</v>
      </c>
      <c r="BX674" t="s">
        <v>79</v>
      </c>
      <c r="BY674" t="s">
        <v>79</v>
      </c>
      <c r="BZ674" t="s">
        <v>79</v>
      </c>
      <c r="CA674" s="10">
        <v>45910</v>
      </c>
    </row>
    <row r="675" spans="1:79">
      <c r="A675">
        <v>681</v>
      </c>
      <c r="B675">
        <v>309</v>
      </c>
      <c r="C675">
        <v>62</v>
      </c>
      <c r="D675" t="s">
        <v>3466</v>
      </c>
      <c r="E675" t="s">
        <v>1005</v>
      </c>
      <c r="F675" t="s">
        <v>969</v>
      </c>
      <c r="G675" s="12" t="s">
        <v>3465</v>
      </c>
      <c r="H675" t="s">
        <v>88</v>
      </c>
      <c r="I675">
        <v>77</v>
      </c>
      <c r="J675">
        <v>81</v>
      </c>
      <c r="K675">
        <v>142</v>
      </c>
      <c r="L675">
        <v>77</v>
      </c>
      <c r="M675" t="s">
        <v>72</v>
      </c>
      <c r="N675">
        <v>142</v>
      </c>
      <c r="O675">
        <v>85</v>
      </c>
      <c r="P675" t="s">
        <v>72</v>
      </c>
      <c r="Q675" t="s">
        <v>72</v>
      </c>
      <c r="R675">
        <v>52.8</v>
      </c>
      <c r="S675">
        <v>151</v>
      </c>
      <c r="T675" s="8">
        <f t="shared" si="20"/>
        <v>23.15687908425069</v>
      </c>
      <c r="U675" s="13" t="str" cm="1">
        <f t="array" ref="U675">IF(T675="","",_xlfn.IFS(T675&lt;18.5,"Bajo peso",T675&lt;25,"Peso normal",T675&lt;30,"Sobrepeso",T675&lt;35,"Obesidad clase I",T675&lt;40,"Obesidad clase II",T675&gt;=40,"Obesidad clase III"))</f>
        <v>Peso normal</v>
      </c>
      <c r="V675">
        <v>97</v>
      </c>
      <c r="W675">
        <v>97</v>
      </c>
      <c r="X675" t="s">
        <v>3463</v>
      </c>
      <c r="Y675">
        <v>1.43</v>
      </c>
      <c r="Z675">
        <v>1.2</v>
      </c>
      <c r="AA675">
        <v>41</v>
      </c>
      <c r="AB675" s="9">
        <f t="shared" si="21"/>
        <v>41.468735179840664</v>
      </c>
      <c r="AC675">
        <v>51</v>
      </c>
      <c r="AD675" t="s">
        <v>218</v>
      </c>
      <c r="AE675" t="s">
        <v>158</v>
      </c>
      <c r="AF675" t="s">
        <v>158</v>
      </c>
      <c r="AG675" t="s">
        <v>3463</v>
      </c>
      <c r="AH675" t="s">
        <v>3465</v>
      </c>
      <c r="AI675" t="s">
        <v>3463</v>
      </c>
      <c r="AJ675" t="s">
        <v>3463</v>
      </c>
      <c r="AK675" t="s">
        <v>3463</v>
      </c>
      <c r="AL675" t="s">
        <v>3465</v>
      </c>
      <c r="AM675" t="s">
        <v>1646</v>
      </c>
      <c r="AN675" t="s">
        <v>697</v>
      </c>
      <c r="AP675" t="s">
        <v>3463</v>
      </c>
      <c r="AT675" t="s">
        <v>3463</v>
      </c>
      <c r="AV675" t="s">
        <v>74</v>
      </c>
      <c r="AW675" t="s">
        <v>3915</v>
      </c>
      <c r="AX675" t="s">
        <v>3463</v>
      </c>
      <c r="AY675" t="s">
        <v>3465</v>
      </c>
      <c r="AZ675" t="s">
        <v>152</v>
      </c>
      <c r="BE675" t="s">
        <v>1647</v>
      </c>
      <c r="BF675" t="s">
        <v>3965</v>
      </c>
      <c r="BH675" t="s">
        <v>4022</v>
      </c>
      <c r="BI675" t="s">
        <v>76</v>
      </c>
      <c r="BK675" t="s">
        <v>1648</v>
      </c>
      <c r="BL675" t="s">
        <v>1649</v>
      </c>
      <c r="BP675" t="s">
        <v>4450</v>
      </c>
      <c r="BQ675" t="s">
        <v>3463</v>
      </c>
      <c r="BR675" t="s">
        <v>3463</v>
      </c>
      <c r="BS675" t="s">
        <v>3463</v>
      </c>
      <c r="BT675" t="s">
        <v>3463</v>
      </c>
      <c r="BU675" t="s">
        <v>3463</v>
      </c>
      <c r="BV675" t="s">
        <v>3463</v>
      </c>
      <c r="BW675" t="s">
        <v>3463</v>
      </c>
      <c r="BX675" t="s">
        <v>518</v>
      </c>
      <c r="BY675" t="s">
        <v>79</v>
      </c>
      <c r="BZ675" t="s">
        <v>79</v>
      </c>
      <c r="CA675" s="10">
        <v>45910</v>
      </c>
    </row>
    <row r="676" spans="1:79">
      <c r="A676">
        <v>682</v>
      </c>
      <c r="B676">
        <v>310</v>
      </c>
      <c r="C676">
        <v>42</v>
      </c>
      <c r="D676" t="s">
        <v>3466</v>
      </c>
      <c r="F676" t="s">
        <v>969</v>
      </c>
      <c r="G676" s="12" t="s">
        <v>3465</v>
      </c>
      <c r="H676" t="s">
        <v>88</v>
      </c>
      <c r="I676">
        <v>70</v>
      </c>
      <c r="K676">
        <v>123</v>
      </c>
      <c r="L676">
        <v>67</v>
      </c>
      <c r="M676" t="s">
        <v>118</v>
      </c>
      <c r="P676" t="s">
        <v>83</v>
      </c>
      <c r="Q676" t="s">
        <v>118</v>
      </c>
      <c r="R676">
        <v>81.400000000000006</v>
      </c>
      <c r="S676">
        <v>153</v>
      </c>
      <c r="T676" s="8">
        <f t="shared" si="20"/>
        <v>34.772950574565343</v>
      </c>
      <c r="U676" s="13" t="str" cm="1">
        <f t="array" ref="U676">IF(T676="","",_xlfn.IFS(T676&lt;18.5,"Bajo peso",T676&lt;25,"Peso normal",T676&lt;30,"Sobrepeso",T676&lt;35,"Obesidad clase I",T676&lt;40,"Obesidad clase II",T676&gt;=40,"Obesidad clase III"))</f>
        <v>Obesidad clase I</v>
      </c>
      <c r="V676">
        <v>80</v>
      </c>
      <c r="X676" t="s">
        <v>3463</v>
      </c>
      <c r="Y676">
        <v>1.01</v>
      </c>
      <c r="AA676">
        <v>71</v>
      </c>
      <c r="AB676" s="9">
        <f t="shared" si="21"/>
        <v>71.278497673588049</v>
      </c>
      <c r="AD676" t="s">
        <v>73</v>
      </c>
      <c r="AF676" t="s">
        <v>73</v>
      </c>
      <c r="AH676" t="s">
        <v>3463</v>
      </c>
      <c r="AI676" t="s">
        <v>3463</v>
      </c>
      <c r="AJ676" t="s">
        <v>3463</v>
      </c>
      <c r="AK676" t="s">
        <v>3463</v>
      </c>
      <c r="AL676" t="s">
        <v>3465</v>
      </c>
      <c r="AM676" t="s">
        <v>1650</v>
      </c>
      <c r="AN676" t="s">
        <v>3753</v>
      </c>
      <c r="AP676" t="s">
        <v>3463</v>
      </c>
      <c r="AV676" t="s">
        <v>178</v>
      </c>
      <c r="AW676" t="s">
        <v>3918</v>
      </c>
      <c r="AX676" t="s">
        <v>3463</v>
      </c>
      <c r="AY676" t="s">
        <v>3465</v>
      </c>
      <c r="AZ676" t="s">
        <v>90</v>
      </c>
      <c r="BF676" t="s">
        <v>3921</v>
      </c>
      <c r="BH676" t="s">
        <v>4020</v>
      </c>
      <c r="BP676" t="s">
        <v>4260</v>
      </c>
      <c r="BQ676" t="s">
        <v>3463</v>
      </c>
      <c r="BR676" t="s">
        <v>3463</v>
      </c>
      <c r="BS676" t="s">
        <v>3463</v>
      </c>
      <c r="BT676" t="s">
        <v>3463</v>
      </c>
      <c r="BU676" t="s">
        <v>3463</v>
      </c>
      <c r="BV676" t="s">
        <v>3463</v>
      </c>
      <c r="BW676" t="s">
        <v>3463</v>
      </c>
      <c r="BX676" t="s">
        <v>79</v>
      </c>
      <c r="BY676" t="s">
        <v>79</v>
      </c>
      <c r="BZ676" t="s">
        <v>79</v>
      </c>
      <c r="CA676" s="10">
        <v>45910</v>
      </c>
    </row>
    <row r="677" spans="1:79">
      <c r="A677">
        <v>683</v>
      </c>
      <c r="B677">
        <v>311</v>
      </c>
      <c r="C677">
        <v>58</v>
      </c>
      <c r="D677" t="s">
        <v>3466</v>
      </c>
      <c r="F677" t="s">
        <v>969</v>
      </c>
      <c r="G677" s="12" t="s">
        <v>3465</v>
      </c>
      <c r="H677" t="s">
        <v>88</v>
      </c>
      <c r="I677">
        <v>61</v>
      </c>
      <c r="K677">
        <v>126</v>
      </c>
      <c r="L677">
        <v>56</v>
      </c>
      <c r="M677" t="s">
        <v>118</v>
      </c>
      <c r="P677" t="s">
        <v>83</v>
      </c>
      <c r="Q677" t="s">
        <v>118</v>
      </c>
      <c r="R677">
        <v>66</v>
      </c>
      <c r="S677">
        <v>151.19999999999999</v>
      </c>
      <c r="T677" s="8">
        <f t="shared" si="20"/>
        <v>28.869572520366177</v>
      </c>
      <c r="U677" s="13" t="str" cm="1">
        <f t="array" ref="U677">IF(T677="","",_xlfn.IFS(T677&lt;18.5,"Bajo peso",T677&lt;25,"Peso normal",T677&lt;30,"Sobrepeso",T677&lt;35,"Obesidad clase I",T677&lt;40,"Obesidad clase II",T677&gt;=40,"Obesidad clase III"))</f>
        <v>Sobrepeso</v>
      </c>
      <c r="V677">
        <v>87</v>
      </c>
      <c r="X677" t="s">
        <v>3463</v>
      </c>
      <c r="Y677">
        <v>0.86</v>
      </c>
      <c r="AA677">
        <v>79</v>
      </c>
      <c r="AB677" s="9">
        <f t="shared" si="21"/>
        <v>78.258212361054277</v>
      </c>
      <c r="AD677" t="s">
        <v>73</v>
      </c>
      <c r="AF677" t="s">
        <v>73</v>
      </c>
      <c r="AH677" t="s">
        <v>3463</v>
      </c>
      <c r="AI677" t="s">
        <v>3463</v>
      </c>
      <c r="AJ677" t="s">
        <v>3463</v>
      </c>
      <c r="AK677" t="s">
        <v>3463</v>
      </c>
      <c r="AL677" t="s">
        <v>3463</v>
      </c>
      <c r="AP677" t="s">
        <v>3463</v>
      </c>
      <c r="AQ677" t="s">
        <v>1651</v>
      </c>
      <c r="AR677" t="s">
        <v>3491</v>
      </c>
      <c r="AT677" t="s">
        <v>3465</v>
      </c>
      <c r="AU677" t="s">
        <v>125</v>
      </c>
      <c r="AV677" t="s">
        <v>178</v>
      </c>
      <c r="AW677" t="s">
        <v>3918</v>
      </c>
      <c r="AX677" t="s">
        <v>3465</v>
      </c>
      <c r="AY677" t="s">
        <v>3463</v>
      </c>
      <c r="AZ677" t="s">
        <v>1652</v>
      </c>
      <c r="BF677" t="s">
        <v>3921</v>
      </c>
      <c r="BH677" t="s">
        <v>4020</v>
      </c>
      <c r="BP677" t="s">
        <v>4260</v>
      </c>
      <c r="BQ677" t="s">
        <v>3463</v>
      </c>
      <c r="BR677" t="s">
        <v>3463</v>
      </c>
      <c r="BS677" t="s">
        <v>3463</v>
      </c>
      <c r="BT677" t="s">
        <v>3463</v>
      </c>
      <c r="BU677" t="s">
        <v>3463</v>
      </c>
      <c r="BV677" t="s">
        <v>3463</v>
      </c>
      <c r="BW677" t="s">
        <v>3463</v>
      </c>
      <c r="BX677" t="s">
        <v>79</v>
      </c>
      <c r="BY677" t="s">
        <v>79</v>
      </c>
      <c r="BZ677" t="s">
        <v>79</v>
      </c>
      <c r="CA677" s="10">
        <v>45910</v>
      </c>
    </row>
    <row r="678" spans="1:79">
      <c r="A678">
        <v>684</v>
      </c>
      <c r="B678">
        <v>312</v>
      </c>
      <c r="C678">
        <v>19</v>
      </c>
      <c r="D678" t="s">
        <v>3462</v>
      </c>
      <c r="E678" t="s">
        <v>1000</v>
      </c>
      <c r="F678" t="s">
        <v>969</v>
      </c>
      <c r="G678" s="12" t="s">
        <v>3465</v>
      </c>
      <c r="H678" t="s">
        <v>88</v>
      </c>
      <c r="I678">
        <v>62</v>
      </c>
      <c r="J678">
        <v>63</v>
      </c>
      <c r="K678">
        <v>143</v>
      </c>
      <c r="L678">
        <v>77</v>
      </c>
      <c r="M678" t="s">
        <v>72</v>
      </c>
      <c r="N678">
        <v>150</v>
      </c>
      <c r="O678">
        <v>79</v>
      </c>
      <c r="P678" t="s">
        <v>72</v>
      </c>
      <c r="Q678" t="s">
        <v>72</v>
      </c>
      <c r="R678">
        <v>65.3</v>
      </c>
      <c r="S678">
        <v>164.5</v>
      </c>
      <c r="T678" s="8">
        <f t="shared" si="20"/>
        <v>24.131336554540329</v>
      </c>
      <c r="U678" s="13" t="str" cm="1">
        <f t="array" ref="U678">IF(T678="","",_xlfn.IFS(T678&lt;18.5,"Bajo peso",T678&lt;25,"Peso normal",T678&lt;30,"Sobrepeso",T678&lt;35,"Obesidad clase I",T678&lt;40,"Obesidad clase II",T678&gt;=40,"Obesidad clase III"))</f>
        <v>Peso normal</v>
      </c>
      <c r="V678">
        <v>117</v>
      </c>
      <c r="X678" t="s">
        <v>3463</v>
      </c>
      <c r="Y678">
        <v>0.85</v>
      </c>
      <c r="AA678">
        <v>90</v>
      </c>
      <c r="AB678" s="9">
        <f t="shared" si="21"/>
        <v>128.37070385716464</v>
      </c>
      <c r="AD678" t="s">
        <v>73</v>
      </c>
      <c r="AF678" t="s">
        <v>73</v>
      </c>
      <c r="AH678" t="s">
        <v>3463</v>
      </c>
      <c r="AI678" t="s">
        <v>3463</v>
      </c>
      <c r="AJ678" t="s">
        <v>3463</v>
      </c>
      <c r="AK678" t="s">
        <v>3463</v>
      </c>
      <c r="AL678" t="s">
        <v>3463</v>
      </c>
      <c r="AP678" t="s">
        <v>3463</v>
      </c>
      <c r="AV678" t="s">
        <v>126</v>
      </c>
      <c r="AW678" t="s">
        <v>126</v>
      </c>
      <c r="BF678" t="s">
        <v>3921</v>
      </c>
      <c r="BH678" t="s">
        <v>4021</v>
      </c>
      <c r="BI678" t="s">
        <v>76</v>
      </c>
      <c r="BK678" t="s">
        <v>1653</v>
      </c>
      <c r="BP678" t="s">
        <v>4261</v>
      </c>
      <c r="BQ678" t="s">
        <v>3463</v>
      </c>
      <c r="BR678" t="s">
        <v>3465</v>
      </c>
      <c r="BS678" t="s">
        <v>3465</v>
      </c>
      <c r="BT678" t="s">
        <v>3465</v>
      </c>
      <c r="BU678" t="s">
        <v>3463</v>
      </c>
      <c r="BV678" t="s">
        <v>3463</v>
      </c>
      <c r="BW678" t="s">
        <v>3463</v>
      </c>
      <c r="BX678" t="s">
        <v>79</v>
      </c>
      <c r="BY678" t="s">
        <v>79</v>
      </c>
      <c r="BZ678" t="s">
        <v>79</v>
      </c>
      <c r="CA678" s="10">
        <v>45910</v>
      </c>
    </row>
    <row r="679" spans="1:79">
      <c r="A679">
        <v>685</v>
      </c>
      <c r="B679">
        <v>1</v>
      </c>
      <c r="C679">
        <v>25</v>
      </c>
      <c r="D679" t="s">
        <v>3466</v>
      </c>
      <c r="F679" t="s">
        <v>150</v>
      </c>
      <c r="G679" s="12" t="s">
        <v>3463</v>
      </c>
      <c r="I679">
        <v>85</v>
      </c>
      <c r="K679">
        <v>118</v>
      </c>
      <c r="L679">
        <v>79</v>
      </c>
      <c r="M679" t="s">
        <v>80</v>
      </c>
      <c r="P679" t="s">
        <v>83</v>
      </c>
      <c r="Q679" t="s">
        <v>80</v>
      </c>
      <c r="R679">
        <v>64.2</v>
      </c>
      <c r="S679">
        <v>160</v>
      </c>
      <c r="T679" s="8">
        <f t="shared" si="20"/>
        <v>25.078125</v>
      </c>
      <c r="U679" s="13" t="str" cm="1">
        <f t="array" ref="U679">IF(T679="","",_xlfn.IFS(T679&lt;18.5,"Bajo peso",T679&lt;25,"Peso normal",T679&lt;30,"Sobrepeso",T679&lt;35,"Obesidad clase I",T679&lt;40,"Obesidad clase II",T679&gt;=40,"Obesidad clase III"))</f>
        <v>Sobrepeso</v>
      </c>
      <c r="V679">
        <v>95</v>
      </c>
      <c r="X679" t="s">
        <v>3463</v>
      </c>
      <c r="Y679">
        <v>0.69</v>
      </c>
      <c r="AA679">
        <v>90</v>
      </c>
      <c r="AB679" s="9">
        <f t="shared" si="21"/>
        <v>123.43822380865511</v>
      </c>
      <c r="AD679" t="s">
        <v>73</v>
      </c>
      <c r="AF679" t="s">
        <v>73</v>
      </c>
      <c r="AH679" t="s">
        <v>3463</v>
      </c>
      <c r="AI679" t="s">
        <v>3463</v>
      </c>
      <c r="AJ679" t="s">
        <v>3463</v>
      </c>
      <c r="AK679" t="s">
        <v>3465</v>
      </c>
      <c r="AL679" t="s">
        <v>3465</v>
      </c>
      <c r="AM679" t="s">
        <v>1654</v>
      </c>
      <c r="AN679" t="s">
        <v>3754</v>
      </c>
      <c r="AP679" t="s">
        <v>3463</v>
      </c>
      <c r="AQ679" t="s">
        <v>1655</v>
      </c>
      <c r="AR679" t="s">
        <v>3565</v>
      </c>
      <c r="AT679" t="s">
        <v>3463</v>
      </c>
      <c r="AV679" t="s">
        <v>74</v>
      </c>
      <c r="AW679" t="s">
        <v>3915</v>
      </c>
      <c r="AX679" t="s">
        <v>3463</v>
      </c>
      <c r="AY679" t="s">
        <v>3463</v>
      </c>
      <c r="AZ679" t="s">
        <v>1656</v>
      </c>
      <c r="BF679" t="s">
        <v>3921</v>
      </c>
      <c r="BH679" t="s">
        <v>4020</v>
      </c>
      <c r="BP679" t="s">
        <v>4260</v>
      </c>
      <c r="BQ679" t="s">
        <v>3465</v>
      </c>
      <c r="BR679" t="s">
        <v>3465</v>
      </c>
      <c r="BS679" t="s">
        <v>3463</v>
      </c>
      <c r="BT679" t="s">
        <v>3463</v>
      </c>
      <c r="BU679" t="s">
        <v>3463</v>
      </c>
      <c r="BV679" t="s">
        <v>3463</v>
      </c>
      <c r="BW679" t="s">
        <v>3463</v>
      </c>
      <c r="BX679" t="s">
        <v>79</v>
      </c>
      <c r="BY679" t="s">
        <v>79</v>
      </c>
      <c r="BZ679" t="s">
        <v>79</v>
      </c>
      <c r="CA679" s="10">
        <v>45911</v>
      </c>
    </row>
    <row r="680" spans="1:79">
      <c r="A680">
        <v>686</v>
      </c>
      <c r="B680">
        <v>2</v>
      </c>
      <c r="C680">
        <v>55</v>
      </c>
      <c r="D680" t="s">
        <v>3466</v>
      </c>
      <c r="E680" t="s">
        <v>1657</v>
      </c>
      <c r="F680" t="s">
        <v>150</v>
      </c>
      <c r="G680" s="12" t="s">
        <v>3463</v>
      </c>
      <c r="K680">
        <v>136</v>
      </c>
      <c r="L680">
        <v>77</v>
      </c>
      <c r="M680" t="s">
        <v>82</v>
      </c>
      <c r="P680" t="s">
        <v>83</v>
      </c>
      <c r="Q680" t="s">
        <v>82</v>
      </c>
      <c r="R680">
        <v>72</v>
      </c>
      <c r="S680">
        <v>153</v>
      </c>
      <c r="T680" s="8">
        <f t="shared" si="20"/>
        <v>30.757400999615534</v>
      </c>
      <c r="U680" s="13" t="str" cm="1">
        <f t="array" ref="U680">IF(T680="","",_xlfn.IFS(T680&lt;18.5,"Bajo peso",T680&lt;25,"Peso normal",T680&lt;30,"Sobrepeso",T680&lt;35,"Obesidad clase I",T680&lt;40,"Obesidad clase II",T680&gt;=40,"Obesidad clase III"))</f>
        <v>Obesidad clase I</v>
      </c>
      <c r="V680">
        <v>97</v>
      </c>
      <c r="X680" t="s">
        <v>3463</v>
      </c>
      <c r="Y680">
        <v>0.56999999999999995</v>
      </c>
      <c r="AA680">
        <v>90</v>
      </c>
      <c r="AB680" s="9">
        <f t="shared" si="21"/>
        <v>107.25467391513671</v>
      </c>
      <c r="AD680" t="s">
        <v>73</v>
      </c>
      <c r="AF680" t="s">
        <v>73</v>
      </c>
      <c r="AH680" t="s">
        <v>3463</v>
      </c>
      <c r="AI680" t="s">
        <v>3465</v>
      </c>
      <c r="AJ680" t="s">
        <v>3463</v>
      </c>
      <c r="AK680" t="s">
        <v>3463</v>
      </c>
      <c r="AL680" t="s">
        <v>3463</v>
      </c>
      <c r="AP680" t="s">
        <v>3463</v>
      </c>
      <c r="AQ680" t="s">
        <v>1658</v>
      </c>
      <c r="AR680" t="s">
        <v>3488</v>
      </c>
      <c r="AS680" t="s">
        <v>3465</v>
      </c>
      <c r="AT680" t="s">
        <v>3465</v>
      </c>
      <c r="AU680" t="s">
        <v>80</v>
      </c>
      <c r="AV680" t="s">
        <v>74</v>
      </c>
      <c r="AW680" t="s">
        <v>3915</v>
      </c>
      <c r="AX680" t="s">
        <v>3463</v>
      </c>
      <c r="AY680" t="s">
        <v>3465</v>
      </c>
      <c r="AZ680" t="s">
        <v>104</v>
      </c>
      <c r="BF680" t="s">
        <v>3921</v>
      </c>
      <c r="BH680" t="s">
        <v>4020</v>
      </c>
      <c r="BP680" t="s">
        <v>4260</v>
      </c>
      <c r="BQ680" t="s">
        <v>3463</v>
      </c>
      <c r="BR680" t="s">
        <v>3463</v>
      </c>
      <c r="BS680" t="s">
        <v>3463</v>
      </c>
      <c r="BT680" t="s">
        <v>3463</v>
      </c>
      <c r="BU680" t="s">
        <v>3463</v>
      </c>
      <c r="BV680" t="s">
        <v>3463</v>
      </c>
      <c r="BW680" t="s">
        <v>3463</v>
      </c>
      <c r="BX680" t="s">
        <v>79</v>
      </c>
      <c r="BY680" t="s">
        <v>79</v>
      </c>
      <c r="BZ680" t="s">
        <v>79</v>
      </c>
      <c r="CA680" s="10">
        <v>45911</v>
      </c>
    </row>
    <row r="681" spans="1:79">
      <c r="A681">
        <v>687</v>
      </c>
      <c r="B681">
        <v>3</v>
      </c>
      <c r="C681">
        <v>42</v>
      </c>
      <c r="D681" t="s">
        <v>3466</v>
      </c>
      <c r="E681" t="s">
        <v>1659</v>
      </c>
      <c r="F681" t="s">
        <v>150</v>
      </c>
      <c r="G681" s="12" t="s">
        <v>3463</v>
      </c>
      <c r="H681" s="12"/>
      <c r="I681">
        <v>74</v>
      </c>
      <c r="K681">
        <v>129</v>
      </c>
      <c r="L681">
        <v>81</v>
      </c>
      <c r="M681" t="s">
        <v>82</v>
      </c>
      <c r="P681" t="s">
        <v>83</v>
      </c>
      <c r="Q681" t="s">
        <v>82</v>
      </c>
      <c r="R681">
        <v>96.4</v>
      </c>
      <c r="S681">
        <v>156.5</v>
      </c>
      <c r="T681" s="8">
        <f t="shared" si="20"/>
        <v>39.359389194541137</v>
      </c>
      <c r="U681" s="13" t="str" cm="1">
        <f t="array" ref="U681">IF(T681="","",_xlfn.IFS(T681&lt;18.5,"Bajo peso",T681&lt;25,"Peso normal",T681&lt;30,"Sobrepeso",T681&lt;35,"Obesidad clase I",T681&lt;40,"Obesidad clase II",T681&gt;=40,"Obesidad clase III"))</f>
        <v>Obesidad clase II</v>
      </c>
      <c r="V681">
        <v>108</v>
      </c>
      <c r="X681" t="s">
        <v>3463</v>
      </c>
      <c r="Y681">
        <v>0.5</v>
      </c>
      <c r="AA681">
        <v>90</v>
      </c>
      <c r="AB681" s="9">
        <f t="shared" si="21"/>
        <v>120.01717353184171</v>
      </c>
      <c r="AD681" t="s">
        <v>73</v>
      </c>
      <c r="AF681" t="s">
        <v>73</v>
      </c>
      <c r="AH681" t="s">
        <v>3463</v>
      </c>
      <c r="AI681" t="s">
        <v>3463</v>
      </c>
      <c r="AJ681" t="s">
        <v>3463</v>
      </c>
      <c r="AK681" t="s">
        <v>3465</v>
      </c>
      <c r="AL681" t="s">
        <v>3465</v>
      </c>
      <c r="AM681" t="s">
        <v>1660</v>
      </c>
      <c r="AN681" t="s">
        <v>3755</v>
      </c>
      <c r="AP681" t="s">
        <v>3463</v>
      </c>
      <c r="AQ681" t="s">
        <v>551</v>
      </c>
      <c r="AR681" t="s">
        <v>3516</v>
      </c>
      <c r="AV681" t="s">
        <v>112</v>
      </c>
      <c r="AW681" t="s">
        <v>3917</v>
      </c>
      <c r="AX681" t="s">
        <v>3463</v>
      </c>
      <c r="AY681" t="s">
        <v>3465</v>
      </c>
      <c r="AZ681" t="s">
        <v>247</v>
      </c>
      <c r="BF681" t="s">
        <v>3921</v>
      </c>
      <c r="BH681" t="s">
        <v>4020</v>
      </c>
      <c r="BP681" t="s">
        <v>4260</v>
      </c>
      <c r="BQ681" t="s">
        <v>3463</v>
      </c>
      <c r="BR681" t="s">
        <v>3465</v>
      </c>
      <c r="BS681" t="s">
        <v>3465</v>
      </c>
      <c r="BT681" t="s">
        <v>3465</v>
      </c>
      <c r="BU681" t="s">
        <v>3463</v>
      </c>
      <c r="BV681" t="s">
        <v>3463</v>
      </c>
      <c r="BW681" t="s">
        <v>3463</v>
      </c>
      <c r="BX681" t="s">
        <v>121</v>
      </c>
      <c r="BY681" t="s">
        <v>79</v>
      </c>
      <c r="BZ681" t="s">
        <v>79</v>
      </c>
      <c r="CA681" s="10">
        <v>45911</v>
      </c>
    </row>
    <row r="682" spans="1:79">
      <c r="A682">
        <v>688</v>
      </c>
      <c r="B682">
        <v>4</v>
      </c>
      <c r="D682" t="s">
        <v>3462</v>
      </c>
      <c r="F682" t="s">
        <v>150</v>
      </c>
      <c r="G682" s="12" t="s">
        <v>3465</v>
      </c>
      <c r="H682" s="12" t="s">
        <v>88</v>
      </c>
      <c r="I682">
        <v>59</v>
      </c>
      <c r="J682">
        <v>58</v>
      </c>
      <c r="K682">
        <v>179</v>
      </c>
      <c r="L682">
        <v>107</v>
      </c>
      <c r="M682" t="s">
        <v>72</v>
      </c>
      <c r="N682">
        <v>201</v>
      </c>
      <c r="O682">
        <v>118</v>
      </c>
      <c r="P682" t="s">
        <v>96</v>
      </c>
      <c r="Q682" t="s">
        <v>72</v>
      </c>
      <c r="R682">
        <v>56.9</v>
      </c>
      <c r="S682">
        <v>138</v>
      </c>
      <c r="T682" s="8">
        <f t="shared" si="20"/>
        <v>29.878176853602184</v>
      </c>
      <c r="U682" s="13" t="str" cm="1">
        <f t="array" ref="U682">IF(T682="","",_xlfn.IFS(T682&lt;18.5,"Bajo peso",T682&lt;25,"Peso normal",T682&lt;30,"Sobrepeso",T682&lt;35,"Obesidad clase I",T682&lt;40,"Obesidad clase II",T682&gt;=40,"Obesidad clase III"))</f>
        <v>Sobrepeso</v>
      </c>
      <c r="V682">
        <v>88</v>
      </c>
      <c r="X682" t="s">
        <v>3463</v>
      </c>
      <c r="Y682">
        <v>0.53</v>
      </c>
      <c r="AA682">
        <v>90</v>
      </c>
      <c r="AB682" s="9" t="str">
        <f t="shared" si="21"/>
        <v/>
      </c>
      <c r="AD682" t="s">
        <v>73</v>
      </c>
      <c r="AF682" t="s">
        <v>73</v>
      </c>
      <c r="AH682" t="s">
        <v>3463</v>
      </c>
      <c r="AI682" t="s">
        <v>3465</v>
      </c>
      <c r="AJ682" t="s">
        <v>3463</v>
      </c>
      <c r="AL682" t="s">
        <v>3465</v>
      </c>
      <c r="AM682" t="s">
        <v>1661</v>
      </c>
      <c r="AN682" t="s">
        <v>110</v>
      </c>
      <c r="AP682" t="s">
        <v>3463</v>
      </c>
      <c r="AS682" t="s">
        <v>3465</v>
      </c>
      <c r="AV682" t="s">
        <v>74</v>
      </c>
      <c r="AW682" t="s">
        <v>3915</v>
      </c>
      <c r="BA682" t="s">
        <v>3920</v>
      </c>
      <c r="BF682" t="s">
        <v>3921</v>
      </c>
      <c r="BG682" t="s">
        <v>1662</v>
      </c>
      <c r="BH682" t="s">
        <v>4021</v>
      </c>
      <c r="BI682" t="s">
        <v>411</v>
      </c>
      <c r="BK682" t="s">
        <v>1663</v>
      </c>
      <c r="BL682" t="s">
        <v>1664</v>
      </c>
      <c r="BP682" t="s">
        <v>4451</v>
      </c>
      <c r="BQ682" t="s">
        <v>3463</v>
      </c>
      <c r="BR682" t="s">
        <v>3463</v>
      </c>
      <c r="BS682" t="s">
        <v>3463</v>
      </c>
      <c r="BT682" t="s">
        <v>3463</v>
      </c>
      <c r="BU682" t="s">
        <v>3463</v>
      </c>
      <c r="BV682" t="s">
        <v>3463</v>
      </c>
      <c r="BW682" t="s">
        <v>3463</v>
      </c>
      <c r="BX682" t="s">
        <v>79</v>
      </c>
      <c r="BY682" t="s">
        <v>87</v>
      </c>
      <c r="BZ682" t="s">
        <v>79</v>
      </c>
      <c r="CA682" s="10">
        <v>45911</v>
      </c>
    </row>
    <row r="683" spans="1:79">
      <c r="A683">
        <v>689</v>
      </c>
      <c r="B683">
        <v>5</v>
      </c>
      <c r="C683">
        <v>80</v>
      </c>
      <c r="D683" t="s">
        <v>3466</v>
      </c>
      <c r="F683" t="s">
        <v>150</v>
      </c>
      <c r="G683" s="12" t="s">
        <v>3463</v>
      </c>
      <c r="H683" s="12"/>
      <c r="K683">
        <v>145</v>
      </c>
      <c r="L683">
        <v>76</v>
      </c>
      <c r="M683" t="s">
        <v>72</v>
      </c>
      <c r="P683" t="s">
        <v>83</v>
      </c>
      <c r="Q683" t="s">
        <v>72</v>
      </c>
      <c r="R683">
        <v>62</v>
      </c>
      <c r="S683">
        <v>147</v>
      </c>
      <c r="T683" s="8">
        <f t="shared" si="20"/>
        <v>28.691748808366881</v>
      </c>
      <c r="U683" s="13" t="str" cm="1">
        <f t="array" ref="U683">IF(T683="","",_xlfn.IFS(T683&lt;18.5,"Bajo peso",T683&lt;25,"Peso normal",T683&lt;30,"Sobrepeso",T683&lt;35,"Obesidad clase I",T683&lt;40,"Obesidad clase II",T683&gt;=40,"Obesidad clase III"))</f>
        <v>Sobrepeso</v>
      </c>
      <c r="V683">
        <v>108</v>
      </c>
      <c r="X683" t="s">
        <v>3463</v>
      </c>
      <c r="Y683">
        <v>0.74</v>
      </c>
      <c r="AA683">
        <v>81</v>
      </c>
      <c r="AB683" s="9">
        <f t="shared" si="21"/>
        <v>81.738720274786772</v>
      </c>
      <c r="AD683" t="s">
        <v>73</v>
      </c>
      <c r="AF683" t="s">
        <v>73</v>
      </c>
      <c r="AH683" t="s">
        <v>3463</v>
      </c>
      <c r="AI683" t="s">
        <v>3465</v>
      </c>
      <c r="AJ683" t="s">
        <v>3463</v>
      </c>
      <c r="AK683" t="s">
        <v>3463</v>
      </c>
      <c r="AL683" t="s">
        <v>3465</v>
      </c>
      <c r="AM683" t="s">
        <v>356</v>
      </c>
      <c r="AN683" t="s">
        <v>110</v>
      </c>
      <c r="AO683" t="s">
        <v>3463</v>
      </c>
      <c r="AP683" t="s">
        <v>3465</v>
      </c>
      <c r="AQ683" t="s">
        <v>1665</v>
      </c>
      <c r="AR683" t="s">
        <v>3570</v>
      </c>
      <c r="AS683" t="s">
        <v>3465</v>
      </c>
      <c r="AT683" t="s">
        <v>3463</v>
      </c>
      <c r="AV683" t="s">
        <v>112</v>
      </c>
      <c r="AW683" t="s">
        <v>3917</v>
      </c>
      <c r="AX683" t="s">
        <v>3463</v>
      </c>
      <c r="AY683" t="s">
        <v>3463</v>
      </c>
      <c r="AZ683" t="s">
        <v>1230</v>
      </c>
      <c r="BA683" t="s">
        <v>3920</v>
      </c>
      <c r="BE683" t="s">
        <v>1666</v>
      </c>
      <c r="BF683" t="s">
        <v>3606</v>
      </c>
      <c r="BG683" t="s">
        <v>1667</v>
      </c>
      <c r="BH683" t="s">
        <v>4131</v>
      </c>
      <c r="BI683" t="s">
        <v>411</v>
      </c>
      <c r="BL683" t="s">
        <v>1668</v>
      </c>
      <c r="BP683" t="s">
        <v>4432</v>
      </c>
      <c r="BQ683" t="s">
        <v>3463</v>
      </c>
      <c r="BR683" t="s">
        <v>3463</v>
      </c>
      <c r="BS683" t="s">
        <v>3463</v>
      </c>
      <c r="BT683" t="s">
        <v>3463</v>
      </c>
      <c r="BU683" t="s">
        <v>3463</v>
      </c>
      <c r="BV683" t="s">
        <v>3463</v>
      </c>
      <c r="BW683" t="s">
        <v>3463</v>
      </c>
      <c r="BX683" t="s">
        <v>79</v>
      </c>
      <c r="BY683" t="s">
        <v>79</v>
      </c>
      <c r="BZ683" t="s">
        <v>79</v>
      </c>
      <c r="CA683" s="10">
        <v>45911</v>
      </c>
    </row>
    <row r="684" spans="1:79">
      <c r="A684">
        <v>690</v>
      </c>
      <c r="B684">
        <v>6</v>
      </c>
      <c r="C684">
        <v>47</v>
      </c>
      <c r="D684" t="s">
        <v>3466</v>
      </c>
      <c r="F684" t="s">
        <v>150</v>
      </c>
      <c r="G684" s="12" t="s">
        <v>3465</v>
      </c>
      <c r="H684" s="12" t="s">
        <v>88</v>
      </c>
      <c r="I684">
        <v>70</v>
      </c>
      <c r="J684">
        <v>70</v>
      </c>
      <c r="K684">
        <v>150</v>
      </c>
      <c r="L684">
        <v>79</v>
      </c>
      <c r="M684" t="s">
        <v>72</v>
      </c>
      <c r="N684">
        <v>135</v>
      </c>
      <c r="O684">
        <v>83</v>
      </c>
      <c r="P684" t="s">
        <v>82</v>
      </c>
      <c r="Q684" t="s">
        <v>82</v>
      </c>
      <c r="R684">
        <v>63.2</v>
      </c>
      <c r="S684">
        <v>150.5</v>
      </c>
      <c r="T684" s="8">
        <f t="shared" si="20"/>
        <v>27.902561781878791</v>
      </c>
      <c r="U684" s="13" t="str" cm="1">
        <f t="array" ref="U684">IF(T684="","",_xlfn.IFS(T684&lt;18.5,"Bajo peso",T684&lt;25,"Peso normal",T684&lt;30,"Sobrepeso",T684&lt;35,"Obesidad clase I",T684&lt;40,"Obesidad clase II",T684&gt;=40,"Obesidad clase III"))</f>
        <v>Sobrepeso</v>
      </c>
      <c r="V684">
        <v>87</v>
      </c>
      <c r="X684" t="s">
        <v>3463</v>
      </c>
      <c r="Y684">
        <v>0.52</v>
      </c>
      <c r="AA684">
        <v>90</v>
      </c>
      <c r="AB684" s="9">
        <f t="shared" si="21"/>
        <v>115.24797997234337</v>
      </c>
      <c r="AD684" t="s">
        <v>73</v>
      </c>
      <c r="AF684" t="s">
        <v>73</v>
      </c>
      <c r="AH684" t="s">
        <v>3463</v>
      </c>
      <c r="AI684" t="s">
        <v>3463</v>
      </c>
      <c r="AJ684" t="s">
        <v>3463</v>
      </c>
      <c r="AK684" t="s">
        <v>3463</v>
      </c>
      <c r="AL684" t="s">
        <v>3465</v>
      </c>
      <c r="AM684" t="s">
        <v>116</v>
      </c>
      <c r="AN684" t="s">
        <v>116</v>
      </c>
      <c r="AP684" t="s">
        <v>3463</v>
      </c>
      <c r="AQ684" t="s">
        <v>1520</v>
      </c>
      <c r="AR684" t="s">
        <v>3491</v>
      </c>
      <c r="AV684" t="s">
        <v>74</v>
      </c>
      <c r="AW684" t="s">
        <v>3915</v>
      </c>
      <c r="AX684" t="s">
        <v>3463</v>
      </c>
      <c r="AY684" t="s">
        <v>3465</v>
      </c>
      <c r="AZ684" t="s">
        <v>247</v>
      </c>
      <c r="BF684" t="s">
        <v>3921</v>
      </c>
      <c r="BH684" t="s">
        <v>4020</v>
      </c>
      <c r="BP684" t="s">
        <v>4260</v>
      </c>
      <c r="BQ684" t="s">
        <v>3463</v>
      </c>
      <c r="BR684" t="s">
        <v>3463</v>
      </c>
      <c r="BS684" t="s">
        <v>3463</v>
      </c>
      <c r="BT684" t="s">
        <v>3463</v>
      </c>
      <c r="BU684" t="s">
        <v>3463</v>
      </c>
      <c r="BV684" t="s">
        <v>3463</v>
      </c>
      <c r="BW684" t="s">
        <v>3463</v>
      </c>
      <c r="BX684" t="s">
        <v>79</v>
      </c>
      <c r="BY684" t="s">
        <v>79</v>
      </c>
      <c r="BZ684" t="s">
        <v>79</v>
      </c>
      <c r="CA684" s="10">
        <v>45911</v>
      </c>
    </row>
    <row r="685" spans="1:79">
      <c r="A685">
        <v>691</v>
      </c>
      <c r="B685">
        <v>7</v>
      </c>
      <c r="C685">
        <v>48</v>
      </c>
      <c r="D685" t="s">
        <v>3466</v>
      </c>
      <c r="E685" t="s">
        <v>1669</v>
      </c>
      <c r="F685" t="s">
        <v>150</v>
      </c>
      <c r="G685" s="12" t="s">
        <v>3463</v>
      </c>
      <c r="H685" s="12"/>
      <c r="I685">
        <v>93</v>
      </c>
      <c r="J685">
        <v>93</v>
      </c>
      <c r="K685">
        <v>165</v>
      </c>
      <c r="L685">
        <v>104</v>
      </c>
      <c r="M685" t="s">
        <v>72</v>
      </c>
      <c r="N685">
        <v>156</v>
      </c>
      <c r="O685">
        <v>102</v>
      </c>
      <c r="P685" t="s">
        <v>72</v>
      </c>
      <c r="Q685" t="s">
        <v>72</v>
      </c>
      <c r="R685">
        <v>77.5</v>
      </c>
      <c r="S685">
        <v>159</v>
      </c>
      <c r="T685" s="8">
        <f t="shared" si="20"/>
        <v>30.655432933823821</v>
      </c>
      <c r="U685" s="13" t="str" cm="1">
        <f t="array" ref="U685">IF(T685="","",_xlfn.IFS(T685&lt;18.5,"Bajo peso",T685&lt;25,"Peso normal",T685&lt;30,"Sobrepeso",T685&lt;35,"Obesidad clase I",T685&lt;40,"Obesidad clase II",T685&gt;=40,"Obesidad clase III"))</f>
        <v>Obesidad clase I</v>
      </c>
      <c r="V685">
        <v>101</v>
      </c>
      <c r="X685" t="s">
        <v>3463</v>
      </c>
      <c r="Y685">
        <v>0.68</v>
      </c>
      <c r="AA685">
        <v>90</v>
      </c>
      <c r="AB685" s="9">
        <f t="shared" si="21"/>
        <v>107.36295894266905</v>
      </c>
      <c r="AD685" t="s">
        <v>73</v>
      </c>
      <c r="AF685" t="s">
        <v>73</v>
      </c>
      <c r="AH685" t="s">
        <v>3463</v>
      </c>
      <c r="AI685" t="s">
        <v>3463</v>
      </c>
      <c r="AJ685" t="s">
        <v>3463</v>
      </c>
      <c r="AK685" t="s">
        <v>3463</v>
      </c>
      <c r="AL685" t="s">
        <v>3465</v>
      </c>
      <c r="AM685" t="s">
        <v>116</v>
      </c>
      <c r="AN685" t="s">
        <v>116</v>
      </c>
      <c r="AP685" t="s">
        <v>3463</v>
      </c>
      <c r="AQ685" t="s">
        <v>661</v>
      </c>
      <c r="AR685" t="s">
        <v>3504</v>
      </c>
      <c r="AV685" t="s">
        <v>178</v>
      </c>
      <c r="AW685" t="s">
        <v>3918</v>
      </c>
      <c r="AX685" t="s">
        <v>3463</v>
      </c>
      <c r="AY685" t="s">
        <v>3465</v>
      </c>
      <c r="AZ685" t="s">
        <v>90</v>
      </c>
      <c r="BF685" t="s">
        <v>3921</v>
      </c>
      <c r="BG685" t="s">
        <v>1670</v>
      </c>
      <c r="BH685" t="s">
        <v>4021</v>
      </c>
      <c r="BI685" t="s">
        <v>76</v>
      </c>
      <c r="BK685" t="s">
        <v>1152</v>
      </c>
      <c r="BL685" t="s">
        <v>1671</v>
      </c>
      <c r="BP685" t="s">
        <v>4261</v>
      </c>
      <c r="BQ685" t="s">
        <v>3463</v>
      </c>
      <c r="BR685" t="s">
        <v>3465</v>
      </c>
      <c r="BS685" t="s">
        <v>3465</v>
      </c>
      <c r="BT685" t="s">
        <v>3465</v>
      </c>
      <c r="BU685" t="s">
        <v>3463</v>
      </c>
      <c r="BV685" t="s">
        <v>3463</v>
      </c>
      <c r="BW685" t="s">
        <v>3463</v>
      </c>
      <c r="BX685" t="s">
        <v>79</v>
      </c>
      <c r="BY685" t="s">
        <v>79</v>
      </c>
      <c r="BZ685" t="s">
        <v>79</v>
      </c>
      <c r="CA685" s="10">
        <v>45911</v>
      </c>
    </row>
    <row r="686" spans="1:79">
      <c r="A686">
        <v>692</v>
      </c>
      <c r="B686">
        <v>8</v>
      </c>
      <c r="C686">
        <v>43</v>
      </c>
      <c r="D686" t="s">
        <v>3462</v>
      </c>
      <c r="F686" t="s">
        <v>150</v>
      </c>
      <c r="G686" s="12" t="s">
        <v>3463</v>
      </c>
      <c r="I686">
        <v>86</v>
      </c>
      <c r="K686">
        <v>148</v>
      </c>
      <c r="L686">
        <v>91</v>
      </c>
      <c r="M686" t="s">
        <v>72</v>
      </c>
      <c r="N686">
        <v>716</v>
      </c>
      <c r="O686">
        <v>95</v>
      </c>
      <c r="P686" t="s">
        <v>96</v>
      </c>
      <c r="Q686" t="s">
        <v>72</v>
      </c>
      <c r="R686">
        <v>62</v>
      </c>
      <c r="S686">
        <v>149</v>
      </c>
      <c r="T686" s="8">
        <f t="shared" si="20"/>
        <v>27.92666996982118</v>
      </c>
      <c r="U686" s="13" t="str" cm="1">
        <f t="array" ref="U686">IF(T686="","",_xlfn.IFS(T686&lt;18.5,"Bajo peso",T686&lt;25,"Peso normal",T686&lt;30,"Sobrepeso",T686&lt;35,"Obesidad clase I",T686&lt;40,"Obesidad clase II",T686&gt;=40,"Obesidad clase III"))</f>
        <v>Sobrepeso</v>
      </c>
      <c r="V686">
        <v>316</v>
      </c>
      <c r="X686" t="s">
        <v>3465</v>
      </c>
      <c r="Y686">
        <v>0.59</v>
      </c>
      <c r="AA686">
        <v>90</v>
      </c>
      <c r="AB686" s="9">
        <f t="shared" si="21"/>
        <v>123.46076064153884</v>
      </c>
      <c r="AD686" t="s">
        <v>73</v>
      </c>
      <c r="AF686" t="s">
        <v>73</v>
      </c>
      <c r="AG686" t="s">
        <v>3465</v>
      </c>
      <c r="AH686" t="s">
        <v>3465</v>
      </c>
      <c r="AI686" t="s">
        <v>3465</v>
      </c>
      <c r="AJ686" t="s">
        <v>3463</v>
      </c>
      <c r="AK686" t="s">
        <v>3463</v>
      </c>
      <c r="AL686" t="s">
        <v>3465</v>
      </c>
      <c r="AM686" t="s">
        <v>1661</v>
      </c>
      <c r="AN686" t="s">
        <v>110</v>
      </c>
      <c r="AO686" t="s">
        <v>3463</v>
      </c>
      <c r="AP686" t="s">
        <v>3465</v>
      </c>
      <c r="AQ686" t="s">
        <v>1672</v>
      </c>
      <c r="AR686" t="s">
        <v>3488</v>
      </c>
      <c r="AS686" t="s">
        <v>3465</v>
      </c>
      <c r="AV686" t="s">
        <v>74</v>
      </c>
      <c r="AW686" t="s">
        <v>3915</v>
      </c>
      <c r="BA686" t="s">
        <v>3920</v>
      </c>
      <c r="BB686" t="s">
        <v>3485</v>
      </c>
      <c r="BC686" t="s">
        <v>128</v>
      </c>
      <c r="BE686" t="s">
        <v>153</v>
      </c>
      <c r="BF686" t="s">
        <v>153</v>
      </c>
      <c r="BG686" t="s">
        <v>1673</v>
      </c>
      <c r="BH686" t="s">
        <v>4165</v>
      </c>
      <c r="BI686" t="s">
        <v>1674</v>
      </c>
      <c r="BK686" t="s">
        <v>1675</v>
      </c>
      <c r="BP686" t="s">
        <v>4452</v>
      </c>
      <c r="BQ686" t="s">
        <v>3465</v>
      </c>
      <c r="BR686" t="s">
        <v>3465</v>
      </c>
      <c r="BS686" t="s">
        <v>3465</v>
      </c>
      <c r="BT686" t="s">
        <v>3465</v>
      </c>
      <c r="BU686" t="s">
        <v>3463</v>
      </c>
      <c r="BV686" t="s">
        <v>3463</v>
      </c>
      <c r="BW686" t="s">
        <v>3463</v>
      </c>
      <c r="BX686" t="s">
        <v>79</v>
      </c>
      <c r="BY686" t="s">
        <v>121</v>
      </c>
      <c r="BZ686" t="s">
        <v>79</v>
      </c>
      <c r="CA686" s="10">
        <v>45911</v>
      </c>
    </row>
    <row r="687" spans="1:79">
      <c r="A687">
        <v>693</v>
      </c>
      <c r="B687">
        <v>9</v>
      </c>
      <c r="C687">
        <v>65</v>
      </c>
      <c r="D687" t="s">
        <v>3466</v>
      </c>
      <c r="F687" t="s">
        <v>150</v>
      </c>
      <c r="G687" s="12" t="s">
        <v>3463</v>
      </c>
      <c r="I687">
        <v>63</v>
      </c>
      <c r="J687">
        <v>64</v>
      </c>
      <c r="K687">
        <v>166</v>
      </c>
      <c r="L687">
        <v>83</v>
      </c>
      <c r="M687" t="s">
        <v>72</v>
      </c>
      <c r="N687">
        <v>175</v>
      </c>
      <c r="O687">
        <v>80</v>
      </c>
      <c r="P687" t="s">
        <v>72</v>
      </c>
      <c r="Q687" t="s">
        <v>72</v>
      </c>
      <c r="R687">
        <v>80</v>
      </c>
      <c r="S687">
        <v>161</v>
      </c>
      <c r="T687" s="8">
        <f t="shared" si="20"/>
        <v>30.863006828440263</v>
      </c>
      <c r="U687" s="13" t="str" cm="1">
        <f t="array" ref="U687">IF(T687="","",_xlfn.IFS(T687&lt;18.5,"Bajo peso",T687&lt;25,"Peso normal",T687&lt;30,"Sobrepeso",T687&lt;35,"Obesidad clase I",T687&lt;40,"Obesidad clase II",T687&gt;=40,"Obesidad clase III"))</f>
        <v>Obesidad clase I</v>
      </c>
      <c r="V687">
        <v>98</v>
      </c>
      <c r="X687" t="s">
        <v>3463</v>
      </c>
      <c r="Y687">
        <v>0.6</v>
      </c>
      <c r="AA687">
        <v>90</v>
      </c>
      <c r="AB687" s="9">
        <f t="shared" si="21"/>
        <v>99.549146251920618</v>
      </c>
      <c r="AD687" t="s">
        <v>73</v>
      </c>
      <c r="AF687" t="s">
        <v>73</v>
      </c>
      <c r="AH687" t="s">
        <v>3463</v>
      </c>
      <c r="AI687" t="s">
        <v>3463</v>
      </c>
      <c r="AJ687" t="s">
        <v>3463</v>
      </c>
      <c r="AK687" t="s">
        <v>3463</v>
      </c>
      <c r="AL687" t="s">
        <v>3463</v>
      </c>
      <c r="AP687" t="s">
        <v>3463</v>
      </c>
      <c r="AQ687" t="s">
        <v>1352</v>
      </c>
      <c r="AR687" t="s">
        <v>3493</v>
      </c>
      <c r="AT687" t="s">
        <v>3463</v>
      </c>
      <c r="AV687" t="s">
        <v>74</v>
      </c>
      <c r="AW687" t="s">
        <v>3915</v>
      </c>
      <c r="AX687" t="s">
        <v>3463</v>
      </c>
      <c r="AY687" t="s">
        <v>3463</v>
      </c>
      <c r="BF687" t="s">
        <v>3921</v>
      </c>
      <c r="BG687" t="s">
        <v>1676</v>
      </c>
      <c r="BH687" t="s">
        <v>4021</v>
      </c>
      <c r="BI687" t="s">
        <v>76</v>
      </c>
      <c r="BK687" t="s">
        <v>1677</v>
      </c>
      <c r="BL687" t="s">
        <v>1678</v>
      </c>
      <c r="BP687" t="s">
        <v>4261</v>
      </c>
      <c r="BQ687" t="s">
        <v>3463</v>
      </c>
      <c r="BR687" t="s">
        <v>3463</v>
      </c>
      <c r="BS687" t="s">
        <v>3463</v>
      </c>
      <c r="BT687" t="s">
        <v>3463</v>
      </c>
      <c r="BU687" t="s">
        <v>3463</v>
      </c>
      <c r="BV687" t="s">
        <v>3463</v>
      </c>
      <c r="BW687" t="s">
        <v>3463</v>
      </c>
      <c r="BX687" t="s">
        <v>121</v>
      </c>
      <c r="BY687" t="s">
        <v>79</v>
      </c>
      <c r="BZ687" t="s">
        <v>79</v>
      </c>
      <c r="CA687" s="10">
        <v>45911</v>
      </c>
    </row>
    <row r="688" spans="1:79">
      <c r="A688">
        <v>694</v>
      </c>
      <c r="B688">
        <v>10</v>
      </c>
      <c r="C688">
        <v>45</v>
      </c>
      <c r="D688" t="s">
        <v>3466</v>
      </c>
      <c r="E688" t="s">
        <v>1659</v>
      </c>
      <c r="F688" t="s">
        <v>380</v>
      </c>
      <c r="G688" s="12" t="s">
        <v>3463</v>
      </c>
      <c r="I688">
        <v>78</v>
      </c>
      <c r="J688">
        <v>75</v>
      </c>
      <c r="K688">
        <v>187</v>
      </c>
      <c r="L688">
        <v>89</v>
      </c>
      <c r="M688" t="s">
        <v>96</v>
      </c>
      <c r="N688">
        <v>158</v>
      </c>
      <c r="O688">
        <v>84</v>
      </c>
      <c r="P688" t="s">
        <v>72</v>
      </c>
      <c r="Q688" t="s">
        <v>72</v>
      </c>
      <c r="R688">
        <v>73.7</v>
      </c>
      <c r="S688">
        <v>151.6</v>
      </c>
      <c r="T688" s="8">
        <f t="shared" si="20"/>
        <v>32.067794014243852</v>
      </c>
      <c r="U688" s="13" t="str" cm="1">
        <f t="array" ref="U688">IF(T688="","",_xlfn.IFS(T688&lt;18.5,"Bajo peso",T688&lt;25,"Peso normal",T688&lt;30,"Sobrepeso",T688&lt;35,"Obesidad clase I",T688&lt;40,"Obesidad clase II",T688&gt;=40,"Obesidad clase III"))</f>
        <v>Obesidad clase I</v>
      </c>
      <c r="V688">
        <v>107</v>
      </c>
      <c r="X688" t="s">
        <v>3463</v>
      </c>
      <c r="Y688">
        <v>0.64</v>
      </c>
      <c r="AA688">
        <v>90</v>
      </c>
      <c r="AB688" s="9">
        <f t="shared" si="21"/>
        <v>110.99483482088907</v>
      </c>
      <c r="AD688" t="s">
        <v>73</v>
      </c>
      <c r="AF688" t="s">
        <v>73</v>
      </c>
      <c r="AH688" t="s">
        <v>3463</v>
      </c>
      <c r="AI688" t="s">
        <v>3465</v>
      </c>
      <c r="AJ688" t="s">
        <v>3464</v>
      </c>
      <c r="AK688" t="s">
        <v>3465</v>
      </c>
      <c r="AL688" t="s">
        <v>3465</v>
      </c>
      <c r="AM688" t="s">
        <v>1679</v>
      </c>
      <c r="AN688" t="s">
        <v>3756</v>
      </c>
      <c r="AP688" t="s">
        <v>3464</v>
      </c>
      <c r="AQ688" t="s">
        <v>1680</v>
      </c>
      <c r="AR688" t="s">
        <v>3516</v>
      </c>
      <c r="AS688" t="s">
        <v>3465</v>
      </c>
      <c r="AV688" t="s">
        <v>74</v>
      </c>
      <c r="AW688" t="s">
        <v>3915</v>
      </c>
      <c r="AX688" t="s">
        <v>3463</v>
      </c>
      <c r="AY688" t="s">
        <v>3465</v>
      </c>
      <c r="AZ688" t="s">
        <v>104</v>
      </c>
      <c r="BA688" t="s">
        <v>3920</v>
      </c>
      <c r="BF688" t="s">
        <v>3921</v>
      </c>
      <c r="BG688" t="s">
        <v>1681</v>
      </c>
      <c r="BH688" t="s">
        <v>4166</v>
      </c>
      <c r="BL688" t="s">
        <v>1682</v>
      </c>
      <c r="BP688" t="s">
        <v>4325</v>
      </c>
      <c r="BQ688" t="s">
        <v>3463</v>
      </c>
      <c r="BR688" t="s">
        <v>3463</v>
      </c>
      <c r="BS688" t="s">
        <v>3463</v>
      </c>
      <c r="BT688" t="s">
        <v>3463</v>
      </c>
      <c r="BU688" t="s">
        <v>3463</v>
      </c>
      <c r="BV688" t="s">
        <v>3463</v>
      </c>
      <c r="BW688" t="s">
        <v>3463</v>
      </c>
      <c r="BX688" t="s">
        <v>79</v>
      </c>
      <c r="BY688" t="s">
        <v>87</v>
      </c>
      <c r="BZ688" t="s">
        <v>79</v>
      </c>
      <c r="CA688" s="10">
        <v>45911</v>
      </c>
    </row>
    <row r="689" spans="1:79">
      <c r="A689">
        <v>695</v>
      </c>
      <c r="B689">
        <v>11</v>
      </c>
      <c r="C689">
        <v>65</v>
      </c>
      <c r="D689" t="s">
        <v>3466</v>
      </c>
      <c r="F689" t="s">
        <v>150</v>
      </c>
      <c r="G689" s="12" t="s">
        <v>3465</v>
      </c>
      <c r="H689" s="12" t="s">
        <v>88</v>
      </c>
      <c r="I689">
        <v>77</v>
      </c>
      <c r="J689">
        <v>75</v>
      </c>
      <c r="K689">
        <v>164</v>
      </c>
      <c r="L689">
        <v>88</v>
      </c>
      <c r="M689" t="s">
        <v>72</v>
      </c>
      <c r="N689">
        <v>166</v>
      </c>
      <c r="O689">
        <v>88</v>
      </c>
      <c r="P689" t="s">
        <v>72</v>
      </c>
      <c r="Q689" t="s">
        <v>72</v>
      </c>
      <c r="R689">
        <v>60</v>
      </c>
      <c r="S689">
        <v>139</v>
      </c>
      <c r="T689" s="8">
        <f t="shared" si="20"/>
        <v>31.054293256042648</v>
      </c>
      <c r="U689" s="13" t="str" cm="1">
        <f t="array" ref="U689">IF(T689="","",_xlfn.IFS(T689&lt;18.5,"Bajo peso",T689&lt;25,"Peso normal",T689&lt;30,"Sobrepeso",T689&lt;35,"Obesidad clase I",T689&lt;40,"Obesidad clase II",T689&gt;=40,"Obesidad clase III"))</f>
        <v>Obesidad clase I</v>
      </c>
      <c r="V689">
        <v>71</v>
      </c>
      <c r="X689" t="s">
        <v>3463</v>
      </c>
      <c r="Y689">
        <v>0.66</v>
      </c>
      <c r="AA689">
        <v>90</v>
      </c>
      <c r="AB689" s="9">
        <f t="shared" si="21"/>
        <v>97.288588534714506</v>
      </c>
      <c r="AD689" t="s">
        <v>73</v>
      </c>
      <c r="AF689" t="s">
        <v>73</v>
      </c>
      <c r="AH689" t="s">
        <v>3463</v>
      </c>
      <c r="AI689" t="s">
        <v>3463</v>
      </c>
      <c r="AJ689" t="s">
        <v>3463</v>
      </c>
      <c r="AK689" t="s">
        <v>3463</v>
      </c>
      <c r="AL689" t="s">
        <v>3465</v>
      </c>
      <c r="AM689" t="s">
        <v>1683</v>
      </c>
      <c r="AN689" t="s">
        <v>3757</v>
      </c>
      <c r="AP689" t="s">
        <v>3463</v>
      </c>
      <c r="AT689" t="s">
        <v>3465</v>
      </c>
      <c r="AU689" t="s">
        <v>80</v>
      </c>
      <c r="AV689" t="s">
        <v>126</v>
      </c>
      <c r="AW689" t="s">
        <v>126</v>
      </c>
      <c r="AX689" t="s">
        <v>3463</v>
      </c>
      <c r="AY689" t="s">
        <v>3465</v>
      </c>
      <c r="AZ689" t="s">
        <v>1684</v>
      </c>
      <c r="BC689" t="s">
        <v>128</v>
      </c>
      <c r="BE689" t="s">
        <v>1685</v>
      </c>
      <c r="BF689" t="s">
        <v>3966</v>
      </c>
      <c r="BG689" t="s">
        <v>1686</v>
      </c>
      <c r="BH689" t="s">
        <v>4167</v>
      </c>
      <c r="BI689" t="s">
        <v>1674</v>
      </c>
      <c r="BK689" t="s">
        <v>1687</v>
      </c>
      <c r="BP689" t="s">
        <v>4453</v>
      </c>
      <c r="BQ689" t="s">
        <v>3463</v>
      </c>
      <c r="BR689" t="s">
        <v>3463</v>
      </c>
      <c r="BS689" t="s">
        <v>3463</v>
      </c>
      <c r="BT689" t="s">
        <v>3463</v>
      </c>
      <c r="BU689" t="s">
        <v>3463</v>
      </c>
      <c r="BV689" t="s">
        <v>3463</v>
      </c>
      <c r="BW689" t="s">
        <v>3463</v>
      </c>
      <c r="BX689" t="s">
        <v>79</v>
      </c>
      <c r="BY689" t="s">
        <v>79</v>
      </c>
      <c r="BZ689" t="s">
        <v>79</v>
      </c>
      <c r="CA689" s="10">
        <v>45911</v>
      </c>
    </row>
    <row r="690" spans="1:79">
      <c r="A690">
        <v>696</v>
      </c>
      <c r="B690">
        <v>12</v>
      </c>
      <c r="C690">
        <v>70</v>
      </c>
      <c r="D690" t="s">
        <v>3462</v>
      </c>
      <c r="F690" t="s">
        <v>150</v>
      </c>
      <c r="G690" s="12" t="s">
        <v>3463</v>
      </c>
      <c r="I690">
        <v>63</v>
      </c>
      <c r="J690">
        <v>59</v>
      </c>
      <c r="K690">
        <v>174</v>
      </c>
      <c r="L690">
        <v>72</v>
      </c>
      <c r="M690" t="s">
        <v>72</v>
      </c>
      <c r="N690">
        <v>169</v>
      </c>
      <c r="O690">
        <v>71</v>
      </c>
      <c r="P690" t="s">
        <v>72</v>
      </c>
      <c r="Q690" t="s">
        <v>72</v>
      </c>
      <c r="R690">
        <v>81</v>
      </c>
      <c r="S690">
        <v>158.5</v>
      </c>
      <c r="T690" s="8">
        <f t="shared" si="20"/>
        <v>32.24233498193832</v>
      </c>
      <c r="U690" s="13" t="str" cm="1">
        <f t="array" ref="U690">IF(T690="","",_xlfn.IFS(T690&lt;18.5,"Bajo peso",T690&lt;25,"Peso normal",T690&lt;30,"Sobrepeso",T690&lt;35,"Obesidad clase I",T690&lt;40,"Obesidad clase II",T690&gt;=40,"Obesidad clase III"))</f>
        <v>Obesidad clase I</v>
      </c>
      <c r="V690">
        <v>231</v>
      </c>
      <c r="X690" t="s">
        <v>3465</v>
      </c>
      <c r="Y690">
        <v>0.77</v>
      </c>
      <c r="AA690">
        <v>90</v>
      </c>
      <c r="AB690" s="9">
        <f t="shared" si="21"/>
        <v>96.311656362698884</v>
      </c>
      <c r="AD690" t="s">
        <v>73</v>
      </c>
      <c r="AF690" t="s">
        <v>73</v>
      </c>
      <c r="AG690" t="s">
        <v>3463</v>
      </c>
      <c r="AH690" t="s">
        <v>3465</v>
      </c>
      <c r="AI690" t="s">
        <v>3463</v>
      </c>
      <c r="AJ690" t="s">
        <v>3463</v>
      </c>
      <c r="AK690" t="s">
        <v>3463</v>
      </c>
      <c r="AL690" t="s">
        <v>3463</v>
      </c>
      <c r="AP690" t="s">
        <v>3463</v>
      </c>
      <c r="AQ690" t="s">
        <v>1406</v>
      </c>
      <c r="AR690" t="s">
        <v>3493</v>
      </c>
      <c r="AV690" t="s">
        <v>112</v>
      </c>
      <c r="AW690" t="s">
        <v>3917</v>
      </c>
      <c r="BA690" t="s">
        <v>3920</v>
      </c>
      <c r="BB690" t="s">
        <v>3485</v>
      </c>
      <c r="BF690" t="s">
        <v>3921</v>
      </c>
      <c r="BG690" t="s">
        <v>1688</v>
      </c>
      <c r="BH690" t="s">
        <v>4168</v>
      </c>
      <c r="BI690" t="s">
        <v>1689</v>
      </c>
      <c r="BK690" t="s">
        <v>1690</v>
      </c>
      <c r="BP690" t="s">
        <v>4454</v>
      </c>
      <c r="BQ690" t="s">
        <v>3465</v>
      </c>
      <c r="BR690" t="s">
        <v>3465</v>
      </c>
      <c r="BS690" t="s">
        <v>3463</v>
      </c>
      <c r="BT690" t="s">
        <v>3463</v>
      </c>
      <c r="BU690" t="s">
        <v>3463</v>
      </c>
      <c r="BV690" t="s">
        <v>3463</v>
      </c>
      <c r="BW690" t="s">
        <v>3463</v>
      </c>
      <c r="BX690" t="s">
        <v>79</v>
      </c>
      <c r="BY690" t="s">
        <v>121</v>
      </c>
      <c r="BZ690" t="s">
        <v>79</v>
      </c>
      <c r="CA690" s="10">
        <v>45911</v>
      </c>
    </row>
    <row r="691" spans="1:79">
      <c r="A691">
        <v>697</v>
      </c>
      <c r="B691">
        <v>13</v>
      </c>
      <c r="C691">
        <v>74</v>
      </c>
      <c r="D691" t="s">
        <v>3462</v>
      </c>
      <c r="F691" t="s">
        <v>150</v>
      </c>
      <c r="G691" s="12" t="s">
        <v>3465</v>
      </c>
      <c r="H691" s="12" t="s">
        <v>88</v>
      </c>
      <c r="I691">
        <v>53</v>
      </c>
      <c r="J691">
        <v>55</v>
      </c>
      <c r="K691">
        <v>151</v>
      </c>
      <c r="L691">
        <v>76</v>
      </c>
      <c r="M691" t="s">
        <v>72</v>
      </c>
      <c r="N691">
        <v>54</v>
      </c>
      <c r="O691">
        <v>73</v>
      </c>
      <c r="P691" t="s">
        <v>80</v>
      </c>
      <c r="Q691" t="s">
        <v>80</v>
      </c>
      <c r="R691">
        <v>75</v>
      </c>
      <c r="S691">
        <v>161</v>
      </c>
      <c r="T691" s="8">
        <f t="shared" si="20"/>
        <v>28.934068901662744</v>
      </c>
      <c r="U691" s="13" t="str" cm="1">
        <f t="array" ref="U691">IF(T691="","",_xlfn.IFS(T691&lt;18.5,"Bajo peso",T691&lt;25,"Peso normal",T691&lt;30,"Sobrepeso",T691&lt;35,"Obesidad clase I",T691&lt;40,"Obesidad clase II",T691&gt;=40,"Obesidad clase III"))</f>
        <v>Sobrepeso</v>
      </c>
      <c r="V691">
        <v>112</v>
      </c>
      <c r="X691" t="s">
        <v>3463</v>
      </c>
      <c r="Y691">
        <v>0.91</v>
      </c>
      <c r="AA691">
        <v>89</v>
      </c>
      <c r="AB691" s="9">
        <f t="shared" si="21"/>
        <v>88.441301135160117</v>
      </c>
      <c r="AD691" t="s">
        <v>73</v>
      </c>
      <c r="AF691" t="s">
        <v>73</v>
      </c>
      <c r="AH691" t="s">
        <v>3463</v>
      </c>
      <c r="AI691" t="s">
        <v>3465</v>
      </c>
      <c r="AJ691" t="s">
        <v>3463</v>
      </c>
      <c r="AK691" t="s">
        <v>3463</v>
      </c>
      <c r="AL691" t="s">
        <v>3465</v>
      </c>
      <c r="AM691" t="s">
        <v>1661</v>
      </c>
      <c r="AN691" t="s">
        <v>110</v>
      </c>
      <c r="AP691" t="s">
        <v>3463</v>
      </c>
      <c r="AQ691" t="s">
        <v>1691</v>
      </c>
      <c r="AR691" t="s">
        <v>3491</v>
      </c>
      <c r="AS691" t="s">
        <v>3465</v>
      </c>
      <c r="AW691" t="s">
        <v>3916</v>
      </c>
      <c r="BA691" t="s">
        <v>3920</v>
      </c>
      <c r="BF691" t="s">
        <v>3921</v>
      </c>
      <c r="BG691" t="s">
        <v>1662</v>
      </c>
      <c r="BH691" t="s">
        <v>4014</v>
      </c>
      <c r="BK691" t="s">
        <v>1692</v>
      </c>
      <c r="BL691" t="s">
        <v>1693</v>
      </c>
      <c r="BP691" t="s">
        <v>4271</v>
      </c>
      <c r="BQ691" t="s">
        <v>3463</v>
      </c>
      <c r="BR691" t="s">
        <v>3463</v>
      </c>
      <c r="BS691" t="s">
        <v>3463</v>
      </c>
      <c r="BT691" t="s">
        <v>3463</v>
      </c>
      <c r="BU691" t="s">
        <v>3463</v>
      </c>
      <c r="BV691" t="s">
        <v>3463</v>
      </c>
      <c r="BW691" t="s">
        <v>3463</v>
      </c>
      <c r="BX691" t="s">
        <v>79</v>
      </c>
      <c r="BY691" t="s">
        <v>79</v>
      </c>
      <c r="BZ691" t="s">
        <v>79</v>
      </c>
      <c r="CA691" s="10">
        <v>45911</v>
      </c>
    </row>
    <row r="692" spans="1:79">
      <c r="A692">
        <v>698</v>
      </c>
      <c r="B692">
        <v>14</v>
      </c>
      <c r="C692">
        <v>71</v>
      </c>
      <c r="D692" t="s">
        <v>3462</v>
      </c>
      <c r="F692" t="s">
        <v>150</v>
      </c>
      <c r="G692" s="12" t="s">
        <v>3463</v>
      </c>
      <c r="I692">
        <v>77</v>
      </c>
      <c r="J692">
        <v>76</v>
      </c>
      <c r="K692">
        <v>177</v>
      </c>
      <c r="L692">
        <v>94</v>
      </c>
      <c r="M692" t="s">
        <v>72</v>
      </c>
      <c r="N692">
        <v>170</v>
      </c>
      <c r="O692">
        <v>90</v>
      </c>
      <c r="P692" t="s">
        <v>72</v>
      </c>
      <c r="Q692" t="s">
        <v>72</v>
      </c>
      <c r="R692">
        <v>102</v>
      </c>
      <c r="S692">
        <v>174</v>
      </c>
      <c r="T692" s="8">
        <f t="shared" si="20"/>
        <v>33.690051525961159</v>
      </c>
      <c r="U692" s="13" t="str" cm="1">
        <f t="array" ref="U692">IF(T692="","",_xlfn.IFS(T692&lt;18.5,"Bajo peso",T692&lt;25,"Peso normal",T692&lt;30,"Sobrepeso",T692&lt;35,"Obesidad clase I",T692&lt;40,"Obesidad clase II",T692&gt;=40,"Obesidad clase III"))</f>
        <v>Obesidad clase I</v>
      </c>
      <c r="V692">
        <v>183</v>
      </c>
      <c r="X692" t="s">
        <v>3463</v>
      </c>
      <c r="Y692">
        <v>0.75</v>
      </c>
      <c r="AA692">
        <v>90</v>
      </c>
      <c r="AB692" s="9">
        <f t="shared" si="21"/>
        <v>96.478277653069043</v>
      </c>
      <c r="AD692" t="s">
        <v>73</v>
      </c>
      <c r="AF692" t="s">
        <v>73</v>
      </c>
      <c r="AH692" t="s">
        <v>3463</v>
      </c>
      <c r="AI692" t="s">
        <v>3465</v>
      </c>
      <c r="AL692" t="s">
        <v>3465</v>
      </c>
      <c r="AM692" t="s">
        <v>1694</v>
      </c>
      <c r="AN692" t="s">
        <v>3758</v>
      </c>
      <c r="AP692" t="s">
        <v>3463</v>
      </c>
      <c r="AS692" t="s">
        <v>3465</v>
      </c>
      <c r="AV692" t="s">
        <v>126</v>
      </c>
      <c r="AW692" t="s">
        <v>126</v>
      </c>
      <c r="BA692" t="s">
        <v>3920</v>
      </c>
      <c r="BC692" t="s">
        <v>128</v>
      </c>
      <c r="BF692" t="s">
        <v>3921</v>
      </c>
      <c r="BG692" t="s">
        <v>1695</v>
      </c>
      <c r="BH692" t="s">
        <v>4169</v>
      </c>
      <c r="BI692" t="s">
        <v>411</v>
      </c>
      <c r="BK692" t="s">
        <v>1696</v>
      </c>
      <c r="BL692" t="s">
        <v>1697</v>
      </c>
      <c r="BP692" t="s">
        <v>4455</v>
      </c>
      <c r="BQ692" t="s">
        <v>3463</v>
      </c>
      <c r="BR692" t="s">
        <v>3465</v>
      </c>
      <c r="BS692" t="s">
        <v>3463</v>
      </c>
      <c r="BT692" t="s">
        <v>3463</v>
      </c>
      <c r="BU692" t="s">
        <v>3463</v>
      </c>
      <c r="BV692" t="s">
        <v>3463</v>
      </c>
      <c r="BW692" t="s">
        <v>3463</v>
      </c>
      <c r="BX692" t="s">
        <v>79</v>
      </c>
      <c r="BY692" t="s">
        <v>79</v>
      </c>
      <c r="BZ692" t="s">
        <v>79</v>
      </c>
      <c r="CA692" s="10">
        <v>45911</v>
      </c>
    </row>
    <row r="693" spans="1:79">
      <c r="A693">
        <v>699</v>
      </c>
      <c r="B693">
        <v>15</v>
      </c>
      <c r="C693">
        <v>72</v>
      </c>
      <c r="D693" t="s">
        <v>3466</v>
      </c>
      <c r="F693" t="s">
        <v>150</v>
      </c>
      <c r="G693" s="12" t="s">
        <v>3463</v>
      </c>
      <c r="I693">
        <v>75</v>
      </c>
      <c r="J693">
        <v>75</v>
      </c>
      <c r="K693">
        <v>172</v>
      </c>
      <c r="L693">
        <v>94</v>
      </c>
      <c r="M693" t="s">
        <v>72</v>
      </c>
      <c r="N693">
        <v>173</v>
      </c>
      <c r="O693">
        <v>96</v>
      </c>
      <c r="P693" t="s">
        <v>72</v>
      </c>
      <c r="Q693" t="s">
        <v>72</v>
      </c>
      <c r="R693">
        <v>99.1</v>
      </c>
      <c r="S693">
        <v>147</v>
      </c>
      <c r="T693" s="8">
        <f t="shared" si="20"/>
        <v>45.860521079179968</v>
      </c>
      <c r="U693" s="13" t="str" cm="1">
        <f t="array" ref="U693">IF(T693="","",_xlfn.IFS(T693&lt;18.5,"Bajo peso",T693&lt;25,"Peso normal",T693&lt;30,"Sobrepeso",T693&lt;35,"Obesidad clase I",T693&lt;40,"Obesidad clase II",T693&gt;=40,"Obesidad clase III"))</f>
        <v>Obesidad clase III</v>
      </c>
      <c r="V693">
        <v>87</v>
      </c>
      <c r="X693" t="s">
        <v>3463</v>
      </c>
      <c r="Y693">
        <v>0.68</v>
      </c>
      <c r="AA693">
        <v>90</v>
      </c>
      <c r="AB693" s="9">
        <f t="shared" si="21"/>
        <v>92.476266965417977</v>
      </c>
      <c r="AD693" t="s">
        <v>73</v>
      </c>
      <c r="AF693" t="s">
        <v>73</v>
      </c>
      <c r="AH693" t="s">
        <v>3463</v>
      </c>
      <c r="AI693" t="s">
        <v>3465</v>
      </c>
      <c r="AJ693" t="s">
        <v>3463</v>
      </c>
      <c r="AK693" t="s">
        <v>3463</v>
      </c>
      <c r="AL693" t="s">
        <v>3463</v>
      </c>
      <c r="AP693" t="s">
        <v>3463</v>
      </c>
      <c r="AS693" t="s">
        <v>3465</v>
      </c>
      <c r="AT693" t="s">
        <v>3465</v>
      </c>
      <c r="AU693" t="s">
        <v>80</v>
      </c>
      <c r="AV693" t="s">
        <v>74</v>
      </c>
      <c r="AW693" t="s">
        <v>3915</v>
      </c>
      <c r="AX693" t="s">
        <v>3465</v>
      </c>
      <c r="AY693" t="s">
        <v>3465</v>
      </c>
      <c r="BA693" t="s">
        <v>3920</v>
      </c>
      <c r="BF693" t="s">
        <v>3921</v>
      </c>
      <c r="BG693" t="s">
        <v>1698</v>
      </c>
      <c r="BH693" t="s">
        <v>4021</v>
      </c>
      <c r="BP693" t="s">
        <v>4456</v>
      </c>
      <c r="BQ693" t="s">
        <v>3463</v>
      </c>
      <c r="BR693" t="s">
        <v>3465</v>
      </c>
      <c r="BS693" t="s">
        <v>3463</v>
      </c>
      <c r="BT693" t="s">
        <v>3463</v>
      </c>
      <c r="BU693" t="s">
        <v>3463</v>
      </c>
      <c r="BV693" t="s">
        <v>3463</v>
      </c>
      <c r="BW693" t="s">
        <v>3463</v>
      </c>
      <c r="BX693" t="s">
        <v>79</v>
      </c>
      <c r="BY693" t="s">
        <v>79</v>
      </c>
      <c r="BZ693" t="s">
        <v>79</v>
      </c>
      <c r="CA693" s="10">
        <v>45911</v>
      </c>
    </row>
    <row r="694" spans="1:79">
      <c r="A694">
        <v>700</v>
      </c>
      <c r="B694">
        <v>16</v>
      </c>
      <c r="C694">
        <v>34</v>
      </c>
      <c r="D694" t="s">
        <v>3462</v>
      </c>
      <c r="F694" t="s">
        <v>150</v>
      </c>
      <c r="G694" s="12" t="s">
        <v>3465</v>
      </c>
      <c r="H694" t="s">
        <v>88</v>
      </c>
      <c r="I694">
        <v>61</v>
      </c>
      <c r="K694">
        <v>132</v>
      </c>
      <c r="L694">
        <v>80</v>
      </c>
      <c r="M694" t="s">
        <v>82</v>
      </c>
      <c r="P694" t="s">
        <v>83</v>
      </c>
      <c r="Q694" t="s">
        <v>82</v>
      </c>
      <c r="R694">
        <v>95</v>
      </c>
      <c r="S694">
        <v>171</v>
      </c>
      <c r="T694" s="8">
        <f t="shared" si="20"/>
        <v>32.488628979857047</v>
      </c>
      <c r="U694" s="13" t="str" cm="1">
        <f t="array" ref="U694">IF(T694="","",_xlfn.IFS(T694&lt;18.5,"Bajo peso",T694&lt;25,"Peso normal",T694&lt;30,"Sobrepeso",T694&lt;35,"Obesidad clase I",T694&lt;40,"Obesidad clase II",T694&gt;=40,"Obesidad clase III"))</f>
        <v>Obesidad clase I</v>
      </c>
      <c r="V694">
        <v>92</v>
      </c>
      <c r="X694" t="s">
        <v>3463</v>
      </c>
      <c r="Y694">
        <v>0.9</v>
      </c>
      <c r="AA694">
        <v>90</v>
      </c>
      <c r="AB694" s="9">
        <f t="shared" si="21"/>
        <v>114.93547270008951</v>
      </c>
      <c r="AD694" t="s">
        <v>73</v>
      </c>
      <c r="AF694" t="s">
        <v>73</v>
      </c>
      <c r="AH694" t="s">
        <v>3463</v>
      </c>
      <c r="AI694" t="s">
        <v>3463</v>
      </c>
      <c r="AJ694" t="s">
        <v>3463</v>
      </c>
      <c r="AK694" t="s">
        <v>3463</v>
      </c>
      <c r="AL694" t="s">
        <v>3463</v>
      </c>
      <c r="AM694" t="s">
        <v>1699</v>
      </c>
      <c r="AN694" t="s">
        <v>3617</v>
      </c>
      <c r="AP694" t="s">
        <v>3463</v>
      </c>
      <c r="AQ694" t="s">
        <v>1700</v>
      </c>
      <c r="AR694" t="s">
        <v>3491</v>
      </c>
      <c r="AV694" t="s">
        <v>74</v>
      </c>
      <c r="AW694" t="s">
        <v>3915</v>
      </c>
      <c r="BF694" t="s">
        <v>3921</v>
      </c>
      <c r="BH694" t="s">
        <v>4020</v>
      </c>
      <c r="BP694" t="s">
        <v>4260</v>
      </c>
      <c r="BQ694" t="s">
        <v>3463</v>
      </c>
      <c r="BR694" t="s">
        <v>3465</v>
      </c>
      <c r="BS694" t="s">
        <v>3465</v>
      </c>
      <c r="BT694" t="s">
        <v>3465</v>
      </c>
      <c r="BU694" t="s">
        <v>3463</v>
      </c>
      <c r="BV694" t="s">
        <v>3463</v>
      </c>
      <c r="BW694" t="s">
        <v>3463</v>
      </c>
      <c r="BX694" t="s">
        <v>518</v>
      </c>
      <c r="BY694" t="s">
        <v>79</v>
      </c>
      <c r="BZ694" t="s">
        <v>95</v>
      </c>
      <c r="CA694" s="10">
        <v>45911</v>
      </c>
    </row>
    <row r="695" spans="1:79">
      <c r="A695">
        <v>701</v>
      </c>
      <c r="B695">
        <v>17</v>
      </c>
      <c r="C695">
        <v>34</v>
      </c>
      <c r="D695" t="s">
        <v>3466</v>
      </c>
      <c r="F695" t="s">
        <v>150</v>
      </c>
      <c r="G695" s="12" t="s">
        <v>3463</v>
      </c>
      <c r="I695">
        <v>95</v>
      </c>
      <c r="J695">
        <v>93</v>
      </c>
      <c r="K695">
        <v>142</v>
      </c>
      <c r="L695">
        <v>87</v>
      </c>
      <c r="M695" t="s">
        <v>72</v>
      </c>
      <c r="N695">
        <v>138</v>
      </c>
      <c r="O695">
        <v>85</v>
      </c>
      <c r="P695" t="s">
        <v>82</v>
      </c>
      <c r="Q695" t="s">
        <v>82</v>
      </c>
      <c r="R695">
        <v>72.7</v>
      </c>
      <c r="S695">
        <v>154.5</v>
      </c>
      <c r="T695" s="8">
        <f t="shared" si="20"/>
        <v>30.456321152899534</v>
      </c>
      <c r="U695" s="13" t="str" cm="1">
        <f t="array" ref="U695">IF(T695="","",_xlfn.IFS(T695&lt;18.5,"Bajo peso",T695&lt;25,"Peso normal",T695&lt;30,"Sobrepeso",T695&lt;35,"Obesidad clase I",T695&lt;40,"Obesidad clase II",T695&gt;=40,"Obesidad clase III"))</f>
        <v>Obesidad clase I</v>
      </c>
      <c r="V695">
        <v>97</v>
      </c>
      <c r="X695" t="s">
        <v>3463</v>
      </c>
      <c r="Y695">
        <v>0.85</v>
      </c>
      <c r="AA695">
        <v>90</v>
      </c>
      <c r="AB695" s="9">
        <f t="shared" si="21"/>
        <v>92.140281760537292</v>
      </c>
      <c r="AD695" t="s">
        <v>73</v>
      </c>
      <c r="AF695" t="s">
        <v>73</v>
      </c>
      <c r="AH695" t="s">
        <v>3463</v>
      </c>
      <c r="AI695" t="s">
        <v>3463</v>
      </c>
      <c r="AJ695" t="s">
        <v>3465</v>
      </c>
      <c r="AK695" t="s">
        <v>3463</v>
      </c>
      <c r="AL695" t="s">
        <v>3463</v>
      </c>
      <c r="AP695" t="s">
        <v>3463</v>
      </c>
      <c r="AQ695" t="s">
        <v>1701</v>
      </c>
      <c r="AR695" t="s">
        <v>3571</v>
      </c>
      <c r="AT695" t="s">
        <v>3463</v>
      </c>
      <c r="AV695" t="s">
        <v>178</v>
      </c>
      <c r="AW695" t="s">
        <v>3918</v>
      </c>
      <c r="AX695" t="s">
        <v>3463</v>
      </c>
      <c r="AY695" t="s">
        <v>3465</v>
      </c>
      <c r="AZ695" t="s">
        <v>1702</v>
      </c>
      <c r="BF695" t="s">
        <v>3921</v>
      </c>
      <c r="BH695" t="s">
        <v>4020</v>
      </c>
      <c r="BP695" t="s">
        <v>4260</v>
      </c>
      <c r="BQ695" t="s">
        <v>3463</v>
      </c>
      <c r="BR695" t="s">
        <v>3463</v>
      </c>
      <c r="BS695" t="s">
        <v>3463</v>
      </c>
      <c r="BT695" t="s">
        <v>3463</v>
      </c>
      <c r="BU695" t="s">
        <v>3463</v>
      </c>
      <c r="BV695" t="s">
        <v>3463</v>
      </c>
      <c r="BW695" t="s">
        <v>3463</v>
      </c>
      <c r="BX695" t="s">
        <v>79</v>
      </c>
      <c r="BY695" t="s">
        <v>79</v>
      </c>
      <c r="BZ695" t="s">
        <v>79</v>
      </c>
      <c r="CA695" s="10">
        <v>45911</v>
      </c>
    </row>
    <row r="696" spans="1:79">
      <c r="A696">
        <v>702</v>
      </c>
      <c r="B696">
        <v>18</v>
      </c>
      <c r="C696">
        <v>44</v>
      </c>
      <c r="D696" t="s">
        <v>3466</v>
      </c>
      <c r="E696" t="s">
        <v>1659</v>
      </c>
      <c r="F696" t="s">
        <v>150</v>
      </c>
      <c r="G696" s="12" t="s">
        <v>3463</v>
      </c>
      <c r="H696" s="12"/>
      <c r="I696">
        <v>72</v>
      </c>
      <c r="K696">
        <v>133</v>
      </c>
      <c r="L696">
        <v>81</v>
      </c>
      <c r="M696" t="s">
        <v>82</v>
      </c>
      <c r="P696" t="s">
        <v>83</v>
      </c>
      <c r="Q696" t="s">
        <v>82</v>
      </c>
      <c r="R696">
        <v>81</v>
      </c>
      <c r="S696">
        <v>155</v>
      </c>
      <c r="T696" s="8">
        <f t="shared" si="20"/>
        <v>33.714880332986475</v>
      </c>
      <c r="U696" s="13" t="str" cm="1">
        <f t="array" ref="U696">IF(T696="","",_xlfn.IFS(T696&lt;18.5,"Bajo peso",T696&lt;25,"Peso normal",T696&lt;30,"Sobrepeso",T696&lt;35,"Obesidad clase I",T696&lt;40,"Obesidad clase II",T696&gt;=40,"Obesidad clase III"))</f>
        <v>Obesidad clase I</v>
      </c>
      <c r="V696">
        <v>90</v>
      </c>
      <c r="X696" t="s">
        <v>3463</v>
      </c>
      <c r="Y696">
        <v>0.78</v>
      </c>
      <c r="AA696">
        <v>90</v>
      </c>
      <c r="AB696" s="9">
        <f t="shared" si="21"/>
        <v>95.990587048842912</v>
      </c>
      <c r="AD696" t="s">
        <v>73</v>
      </c>
      <c r="AF696" t="s">
        <v>73</v>
      </c>
      <c r="AH696" t="s">
        <v>3464</v>
      </c>
      <c r="AI696" t="s">
        <v>3464</v>
      </c>
      <c r="AJ696" t="s">
        <v>3463</v>
      </c>
      <c r="AK696" t="s">
        <v>3465</v>
      </c>
      <c r="AL696" t="s">
        <v>3465</v>
      </c>
      <c r="AM696" t="s">
        <v>1703</v>
      </c>
      <c r="AN696" t="s">
        <v>3624</v>
      </c>
      <c r="AP696" t="s">
        <v>3464</v>
      </c>
      <c r="AQ696" t="s">
        <v>1704</v>
      </c>
      <c r="AR696" t="s">
        <v>3572</v>
      </c>
      <c r="AV696" t="s">
        <v>112</v>
      </c>
      <c r="AW696" t="s">
        <v>3917</v>
      </c>
      <c r="AX696" t="s">
        <v>3463</v>
      </c>
      <c r="AY696" t="s">
        <v>3465</v>
      </c>
      <c r="AZ696" t="s">
        <v>247</v>
      </c>
      <c r="BF696" t="s">
        <v>3921</v>
      </c>
      <c r="BH696" t="s">
        <v>4020</v>
      </c>
      <c r="BP696" t="s">
        <v>4260</v>
      </c>
      <c r="BQ696" t="s">
        <v>3463</v>
      </c>
      <c r="BR696" t="s">
        <v>3463</v>
      </c>
      <c r="BS696" t="s">
        <v>3463</v>
      </c>
      <c r="BT696" t="s">
        <v>3463</v>
      </c>
      <c r="BU696" t="s">
        <v>3463</v>
      </c>
      <c r="BV696" t="s">
        <v>3463</v>
      </c>
      <c r="BW696" t="s">
        <v>3463</v>
      </c>
      <c r="BX696" t="s">
        <v>518</v>
      </c>
      <c r="BY696" t="s">
        <v>79</v>
      </c>
      <c r="BZ696" t="s">
        <v>79</v>
      </c>
      <c r="CA696" s="10">
        <v>45911</v>
      </c>
    </row>
    <row r="697" spans="1:79">
      <c r="A697">
        <v>703</v>
      </c>
      <c r="B697">
        <v>19</v>
      </c>
      <c r="C697">
        <v>71</v>
      </c>
      <c r="D697" t="s">
        <v>3466</v>
      </c>
      <c r="F697" t="s">
        <v>150</v>
      </c>
      <c r="G697" s="12" t="s">
        <v>3463</v>
      </c>
      <c r="I697">
        <v>65</v>
      </c>
      <c r="J697">
        <v>59</v>
      </c>
      <c r="K697">
        <v>153</v>
      </c>
      <c r="L697">
        <v>91</v>
      </c>
      <c r="M697" t="s">
        <v>72</v>
      </c>
      <c r="N697">
        <v>152</v>
      </c>
      <c r="O697">
        <v>82</v>
      </c>
      <c r="P697" t="s">
        <v>72</v>
      </c>
      <c r="Q697" t="s">
        <v>72</v>
      </c>
      <c r="R697">
        <v>61</v>
      </c>
      <c r="S697">
        <v>149</v>
      </c>
      <c r="T697" s="8">
        <f t="shared" si="20"/>
        <v>27.47623980901761</v>
      </c>
      <c r="U697" s="13" t="str" cm="1">
        <f t="array" ref="U697">IF(T697="","",_xlfn.IFS(T697&lt;18.5,"Bajo peso",T697&lt;25,"Peso normal",T697&lt;30,"Sobrepeso",T697&lt;35,"Obesidad clase I",T697&lt;40,"Obesidad clase II",T697&gt;=40,"Obesidad clase III"))</f>
        <v>Sobrepeso</v>
      </c>
      <c r="V697">
        <v>88</v>
      </c>
      <c r="X697" t="s">
        <v>3463</v>
      </c>
      <c r="Y697">
        <v>0.47</v>
      </c>
      <c r="AA697">
        <v>90</v>
      </c>
      <c r="AB697" s="9">
        <f t="shared" si="21"/>
        <v>101.71625498737812</v>
      </c>
      <c r="AD697" t="s">
        <v>73</v>
      </c>
      <c r="AF697" t="s">
        <v>73</v>
      </c>
      <c r="AH697" t="s">
        <v>3463</v>
      </c>
      <c r="AI697" t="s">
        <v>3463</v>
      </c>
      <c r="AJ697" t="s">
        <v>3463</v>
      </c>
      <c r="AK697" t="s">
        <v>3463</v>
      </c>
      <c r="AL697" t="s">
        <v>3465</v>
      </c>
      <c r="AM697" t="s">
        <v>1705</v>
      </c>
      <c r="AN697" t="s">
        <v>3731</v>
      </c>
      <c r="AP697" t="s">
        <v>3463</v>
      </c>
      <c r="AQ697" t="s">
        <v>1706</v>
      </c>
      <c r="AR697" t="s">
        <v>3509</v>
      </c>
      <c r="AT697" t="s">
        <v>3463</v>
      </c>
      <c r="AV697" t="s">
        <v>74</v>
      </c>
      <c r="AW697" t="s">
        <v>3915</v>
      </c>
      <c r="AX697" t="s">
        <v>3463</v>
      </c>
      <c r="AY697" t="s">
        <v>3463</v>
      </c>
      <c r="BE697" t="s">
        <v>1707</v>
      </c>
      <c r="BF697" t="s">
        <v>3967</v>
      </c>
      <c r="BG697" t="s">
        <v>1708</v>
      </c>
      <c r="BH697" t="s">
        <v>4167</v>
      </c>
      <c r="BI697" t="s">
        <v>76</v>
      </c>
      <c r="BK697" t="s">
        <v>1709</v>
      </c>
      <c r="BL697" t="s">
        <v>1710</v>
      </c>
      <c r="BP697" t="s">
        <v>4261</v>
      </c>
      <c r="BQ697" t="s">
        <v>3463</v>
      </c>
      <c r="BR697" t="s">
        <v>3463</v>
      </c>
      <c r="BS697" t="s">
        <v>3463</v>
      </c>
      <c r="BT697" t="s">
        <v>3463</v>
      </c>
      <c r="BU697" t="s">
        <v>3463</v>
      </c>
      <c r="BV697" t="s">
        <v>3463</v>
      </c>
      <c r="BW697" t="s">
        <v>3463</v>
      </c>
      <c r="BX697" t="s">
        <v>518</v>
      </c>
      <c r="BY697" t="s">
        <v>79</v>
      </c>
      <c r="BZ697" t="s">
        <v>79</v>
      </c>
      <c r="CA697" s="10">
        <v>45911</v>
      </c>
    </row>
    <row r="698" spans="1:79">
      <c r="A698">
        <v>704</v>
      </c>
      <c r="B698">
        <v>20</v>
      </c>
      <c r="C698">
        <v>41</v>
      </c>
      <c r="D698" t="s">
        <v>3466</v>
      </c>
      <c r="F698" t="s">
        <v>150</v>
      </c>
      <c r="G698" s="12" t="s">
        <v>3463</v>
      </c>
      <c r="H698" s="12"/>
      <c r="I698">
        <v>74</v>
      </c>
      <c r="K698">
        <v>130</v>
      </c>
      <c r="L698">
        <v>79</v>
      </c>
      <c r="M698" t="s">
        <v>82</v>
      </c>
      <c r="P698" t="s">
        <v>83</v>
      </c>
      <c r="Q698" t="s">
        <v>82</v>
      </c>
      <c r="R698">
        <v>62</v>
      </c>
      <c r="S698">
        <v>153</v>
      </c>
      <c r="T698" s="8">
        <f t="shared" si="20"/>
        <v>26.485539749668931</v>
      </c>
      <c r="U698" s="13" t="str" cm="1">
        <f t="array" ref="U698">IF(T698="","",_xlfn.IFS(T698&lt;18.5,"Bajo peso",T698&lt;25,"Peso normal",T698&lt;30,"Sobrepeso",T698&lt;35,"Obesidad clase I",T698&lt;40,"Obesidad clase II",T698&gt;=40,"Obesidad clase III"))</f>
        <v>Sobrepeso</v>
      </c>
      <c r="V698">
        <v>78</v>
      </c>
      <c r="X698" t="s">
        <v>3463</v>
      </c>
      <c r="Y698">
        <v>0.59</v>
      </c>
      <c r="AA698">
        <v>90</v>
      </c>
      <c r="AB698" s="9">
        <f t="shared" si="21"/>
        <v>116.04350517984805</v>
      </c>
      <c r="AD698" t="s">
        <v>73</v>
      </c>
      <c r="AF698" t="s">
        <v>73</v>
      </c>
      <c r="AH698" t="s">
        <v>3463</v>
      </c>
      <c r="AI698" t="s">
        <v>3463</v>
      </c>
      <c r="AJ698" t="s">
        <v>3463</v>
      </c>
      <c r="AK698" t="s">
        <v>3463</v>
      </c>
      <c r="AL698" t="s">
        <v>3463</v>
      </c>
      <c r="AP698" t="s">
        <v>3463</v>
      </c>
      <c r="AQ698" t="s">
        <v>239</v>
      </c>
      <c r="AR698" t="s">
        <v>3493</v>
      </c>
      <c r="AW698" t="s">
        <v>3916</v>
      </c>
      <c r="AX698" t="s">
        <v>3463</v>
      </c>
      <c r="AY698" t="s">
        <v>3465</v>
      </c>
      <c r="AZ698" t="s">
        <v>90</v>
      </c>
      <c r="BF698" t="s">
        <v>3921</v>
      </c>
      <c r="BH698" t="s">
        <v>4020</v>
      </c>
      <c r="BP698" t="s">
        <v>4260</v>
      </c>
      <c r="BQ698" t="s">
        <v>3463</v>
      </c>
      <c r="BR698" t="s">
        <v>3463</v>
      </c>
      <c r="BS698" t="s">
        <v>3465</v>
      </c>
      <c r="BT698" t="s">
        <v>3465</v>
      </c>
      <c r="BU698" t="s">
        <v>3463</v>
      </c>
      <c r="BV698" t="s">
        <v>3463</v>
      </c>
      <c r="BW698" t="s">
        <v>3463</v>
      </c>
      <c r="BX698" t="s">
        <v>79</v>
      </c>
      <c r="BY698" t="s">
        <v>79</v>
      </c>
      <c r="BZ698" t="s">
        <v>79</v>
      </c>
      <c r="CA698" s="10">
        <v>45911</v>
      </c>
    </row>
    <row r="699" spans="1:79">
      <c r="A699">
        <v>705</v>
      </c>
      <c r="B699">
        <v>21</v>
      </c>
      <c r="C699">
        <v>76</v>
      </c>
      <c r="D699" t="s">
        <v>3466</v>
      </c>
      <c r="F699" t="s">
        <v>150</v>
      </c>
      <c r="G699" s="12" t="s">
        <v>3463</v>
      </c>
      <c r="I699">
        <v>71</v>
      </c>
      <c r="J699">
        <v>68</v>
      </c>
      <c r="K699">
        <v>184</v>
      </c>
      <c r="L699">
        <v>81</v>
      </c>
      <c r="M699" t="s">
        <v>96</v>
      </c>
      <c r="N699">
        <v>189</v>
      </c>
      <c r="O699">
        <v>84</v>
      </c>
      <c r="P699" t="s">
        <v>96</v>
      </c>
      <c r="Q699" t="s">
        <v>96</v>
      </c>
      <c r="R699">
        <v>54.7</v>
      </c>
      <c r="S699">
        <v>147</v>
      </c>
      <c r="T699" s="8">
        <f t="shared" si="20"/>
        <v>25.313526771252718</v>
      </c>
      <c r="U699" s="13" t="str" cm="1">
        <f t="array" ref="U699">IF(T699="","",_xlfn.IFS(T699&lt;18.5,"Bajo peso",T699&lt;25,"Peso normal",T699&lt;30,"Sobrepeso",T699&lt;35,"Obesidad clase I",T699&lt;40,"Obesidad clase II",T699&gt;=40,"Obesidad clase III"))</f>
        <v>Sobrepeso</v>
      </c>
      <c r="V699">
        <v>78</v>
      </c>
      <c r="X699" t="s">
        <v>3463</v>
      </c>
      <c r="Y699">
        <v>0.52</v>
      </c>
      <c r="AA699">
        <v>90</v>
      </c>
      <c r="AB699" s="9">
        <f t="shared" si="21"/>
        <v>96.228585467533975</v>
      </c>
      <c r="AD699" t="s">
        <v>73</v>
      </c>
      <c r="AF699" t="s">
        <v>73</v>
      </c>
      <c r="AH699" t="s">
        <v>3463</v>
      </c>
      <c r="AI699" t="s">
        <v>3463</v>
      </c>
      <c r="AL699" t="s">
        <v>3465</v>
      </c>
      <c r="AM699" t="s">
        <v>1711</v>
      </c>
      <c r="AN699" t="s">
        <v>3759</v>
      </c>
      <c r="AP699" t="s">
        <v>3463</v>
      </c>
      <c r="AT699" t="s">
        <v>3465</v>
      </c>
      <c r="AU699" t="s">
        <v>80</v>
      </c>
      <c r="AV699" t="s">
        <v>126</v>
      </c>
      <c r="AW699" t="s">
        <v>126</v>
      </c>
      <c r="AX699" t="s">
        <v>3463</v>
      </c>
      <c r="AY699" t="s">
        <v>3465</v>
      </c>
      <c r="AZ699" t="s">
        <v>1712</v>
      </c>
      <c r="BE699" t="s">
        <v>1713</v>
      </c>
      <c r="BF699" t="s">
        <v>3968</v>
      </c>
      <c r="BG699" t="s">
        <v>1714</v>
      </c>
      <c r="BH699" t="s">
        <v>4021</v>
      </c>
      <c r="BI699" t="s">
        <v>734</v>
      </c>
      <c r="BK699" t="s">
        <v>1715</v>
      </c>
      <c r="BP699" t="s">
        <v>4457</v>
      </c>
      <c r="BQ699" t="s">
        <v>3463</v>
      </c>
      <c r="BR699" t="s">
        <v>3465</v>
      </c>
      <c r="BS699" t="s">
        <v>3463</v>
      </c>
      <c r="BT699" t="s">
        <v>3463</v>
      </c>
      <c r="BU699" t="s">
        <v>3463</v>
      </c>
      <c r="BV699" t="s">
        <v>3463</v>
      </c>
      <c r="BW699" t="s">
        <v>3463</v>
      </c>
      <c r="BX699" t="s">
        <v>518</v>
      </c>
      <c r="BY699" t="s">
        <v>79</v>
      </c>
      <c r="BZ699" t="s">
        <v>79</v>
      </c>
      <c r="CA699" s="10">
        <v>45911</v>
      </c>
    </row>
    <row r="700" spans="1:79">
      <c r="A700">
        <v>706</v>
      </c>
      <c r="B700">
        <v>22</v>
      </c>
      <c r="C700">
        <v>57</v>
      </c>
      <c r="D700" t="s">
        <v>3462</v>
      </c>
      <c r="F700" t="s">
        <v>150</v>
      </c>
      <c r="G700" s="12" t="s">
        <v>3465</v>
      </c>
      <c r="H700" t="s">
        <v>88</v>
      </c>
      <c r="I700">
        <v>69</v>
      </c>
      <c r="J700">
        <v>62</v>
      </c>
      <c r="K700">
        <v>166</v>
      </c>
      <c r="L700">
        <v>94</v>
      </c>
      <c r="M700" t="s">
        <v>72</v>
      </c>
      <c r="N700">
        <v>166</v>
      </c>
      <c r="O700">
        <v>91</v>
      </c>
      <c r="P700" t="s">
        <v>72</v>
      </c>
      <c r="Q700" t="s">
        <v>72</v>
      </c>
      <c r="R700">
        <v>88.6</v>
      </c>
      <c r="S700">
        <v>162.5</v>
      </c>
      <c r="T700" s="8">
        <f t="shared" si="20"/>
        <v>33.552662721893491</v>
      </c>
      <c r="U700" s="13" t="str" cm="1">
        <f t="array" ref="U700">IF(T700="","",_xlfn.IFS(T700&lt;18.5,"Bajo peso",T700&lt;25,"Peso normal",T700&lt;30,"Sobrepeso",T700&lt;35,"Obesidad clase I",T700&lt;40,"Obesidad clase II",T700&gt;=40,"Obesidad clase III"))</f>
        <v>Obesidad clase I</v>
      </c>
      <c r="V700">
        <v>100</v>
      </c>
      <c r="X700" t="s">
        <v>3463</v>
      </c>
      <c r="Y700">
        <v>1.03</v>
      </c>
      <c r="AA700">
        <v>84</v>
      </c>
      <c r="AB700" s="9">
        <f t="shared" si="21"/>
        <v>84.726107298225358</v>
      </c>
      <c r="AD700" t="s">
        <v>73</v>
      </c>
      <c r="AF700" t="s">
        <v>73</v>
      </c>
      <c r="AH700" t="s">
        <v>3463</v>
      </c>
      <c r="AI700" t="s">
        <v>3465</v>
      </c>
      <c r="AJ700" t="s">
        <v>3463</v>
      </c>
      <c r="AK700" t="s">
        <v>3463</v>
      </c>
      <c r="AL700" t="s">
        <v>3463</v>
      </c>
      <c r="AP700" t="s">
        <v>3463</v>
      </c>
      <c r="AS700" t="s">
        <v>3465</v>
      </c>
      <c r="AV700" t="s">
        <v>74</v>
      </c>
      <c r="AW700" t="s">
        <v>3915</v>
      </c>
      <c r="BA700" t="s">
        <v>3920</v>
      </c>
      <c r="BF700" t="s">
        <v>3921</v>
      </c>
      <c r="BG700" t="s">
        <v>1716</v>
      </c>
      <c r="BH700" t="s">
        <v>4170</v>
      </c>
      <c r="BL700" t="s">
        <v>1717</v>
      </c>
      <c r="BP700" t="s">
        <v>4325</v>
      </c>
      <c r="BQ700" t="s">
        <v>3463</v>
      </c>
      <c r="BR700" t="s">
        <v>3463</v>
      </c>
      <c r="BS700" t="s">
        <v>3463</v>
      </c>
      <c r="BT700" t="s">
        <v>3463</v>
      </c>
      <c r="BU700" t="s">
        <v>3463</v>
      </c>
      <c r="BV700" t="s">
        <v>3463</v>
      </c>
      <c r="BW700" t="s">
        <v>3463</v>
      </c>
      <c r="BX700" t="s">
        <v>79</v>
      </c>
      <c r="BY700" t="s">
        <v>79</v>
      </c>
      <c r="BZ700" t="s">
        <v>79</v>
      </c>
      <c r="CA700" s="10">
        <v>45911</v>
      </c>
    </row>
    <row r="701" spans="1:79">
      <c r="A701">
        <v>707</v>
      </c>
      <c r="B701">
        <v>23</v>
      </c>
      <c r="C701">
        <v>47</v>
      </c>
      <c r="D701" t="s">
        <v>3462</v>
      </c>
      <c r="F701" t="s">
        <v>150</v>
      </c>
      <c r="G701" s="12" t="s">
        <v>3463</v>
      </c>
      <c r="H701" s="12"/>
      <c r="I701">
        <v>67</v>
      </c>
      <c r="J701">
        <v>73</v>
      </c>
      <c r="K701">
        <v>141</v>
      </c>
      <c r="L701">
        <v>86</v>
      </c>
      <c r="M701" t="s">
        <v>72</v>
      </c>
      <c r="N701">
        <v>140</v>
      </c>
      <c r="O701">
        <v>88</v>
      </c>
      <c r="P701" t="s">
        <v>72</v>
      </c>
      <c r="Q701" t="s">
        <v>72</v>
      </c>
      <c r="R701">
        <v>76</v>
      </c>
      <c r="S701">
        <v>152</v>
      </c>
      <c r="T701" s="8">
        <f t="shared" si="20"/>
        <v>32.89473684210526</v>
      </c>
      <c r="U701" s="13" t="str" cm="1">
        <f t="array" ref="U701">IF(T701="","",_xlfn.IFS(T701&lt;18.5,"Bajo peso",T701&lt;25,"Peso normal",T701&lt;30,"Sobrepeso",T701&lt;35,"Obesidad clase I",T701&lt;40,"Obesidad clase II",T701&gt;=40,"Obesidad clase III"))</f>
        <v>Obesidad clase I</v>
      </c>
      <c r="V701">
        <v>104</v>
      </c>
      <c r="X701" t="s">
        <v>3463</v>
      </c>
      <c r="Y701">
        <v>0.7</v>
      </c>
      <c r="AA701">
        <v>90</v>
      </c>
      <c r="AB701" s="9">
        <f t="shared" si="21"/>
        <v>114.36749725665105</v>
      </c>
      <c r="AD701" t="s">
        <v>73</v>
      </c>
      <c r="AF701" t="s">
        <v>73</v>
      </c>
      <c r="AH701" t="s">
        <v>3463</v>
      </c>
      <c r="AI701" t="s">
        <v>3463</v>
      </c>
      <c r="AJ701" t="s">
        <v>3463</v>
      </c>
      <c r="AK701" t="s">
        <v>3463</v>
      </c>
      <c r="AL701" t="s">
        <v>3463</v>
      </c>
      <c r="AP701" t="s">
        <v>3463</v>
      </c>
      <c r="AV701" t="s">
        <v>74</v>
      </c>
      <c r="AW701" t="s">
        <v>3915</v>
      </c>
      <c r="BC701" t="s">
        <v>128</v>
      </c>
      <c r="BF701" t="s">
        <v>3921</v>
      </c>
      <c r="BG701" t="s">
        <v>1718</v>
      </c>
      <c r="BH701" t="s">
        <v>4167</v>
      </c>
      <c r="BI701" t="s">
        <v>820</v>
      </c>
      <c r="BK701" t="s">
        <v>1719</v>
      </c>
      <c r="BP701" t="s">
        <v>4458</v>
      </c>
      <c r="BQ701" t="s">
        <v>3463</v>
      </c>
      <c r="BR701" t="s">
        <v>3465</v>
      </c>
      <c r="BS701" t="s">
        <v>3465</v>
      </c>
      <c r="BT701" t="s">
        <v>3465</v>
      </c>
      <c r="BU701" t="s">
        <v>3463</v>
      </c>
      <c r="BV701" t="s">
        <v>3463</v>
      </c>
      <c r="BW701" t="s">
        <v>3463</v>
      </c>
      <c r="BX701" t="s">
        <v>79</v>
      </c>
      <c r="BY701" t="s">
        <v>79</v>
      </c>
      <c r="BZ701" t="s">
        <v>79</v>
      </c>
      <c r="CA701" s="10">
        <v>45911</v>
      </c>
    </row>
    <row r="702" spans="1:79">
      <c r="A702">
        <v>709</v>
      </c>
      <c r="B702">
        <v>25</v>
      </c>
      <c r="C702">
        <v>65</v>
      </c>
      <c r="D702" t="s">
        <v>3462</v>
      </c>
      <c r="F702" t="s">
        <v>380</v>
      </c>
      <c r="G702" s="12" t="s">
        <v>3463</v>
      </c>
      <c r="I702">
        <v>75</v>
      </c>
      <c r="J702">
        <v>73</v>
      </c>
      <c r="K702">
        <v>151</v>
      </c>
      <c r="L702">
        <v>92</v>
      </c>
      <c r="M702" t="s">
        <v>72</v>
      </c>
      <c r="N702">
        <v>749</v>
      </c>
      <c r="O702">
        <v>89</v>
      </c>
      <c r="P702" t="s">
        <v>96</v>
      </c>
      <c r="Q702" t="s">
        <v>72</v>
      </c>
      <c r="R702">
        <v>89</v>
      </c>
      <c r="S702">
        <v>168</v>
      </c>
      <c r="T702" s="8">
        <f t="shared" si="20"/>
        <v>31.53344671201814</v>
      </c>
      <c r="U702" s="13" t="str" cm="1">
        <f t="array" ref="U702">IF(T702="","",_xlfn.IFS(T702&lt;18.5,"Bajo peso",T702&lt;25,"Peso normal",T702&lt;30,"Sobrepeso",T702&lt;35,"Obesidad clase I",T702&lt;40,"Obesidad clase II",T702&gt;=40,"Obesidad clase III"))</f>
        <v>Obesidad clase I</v>
      </c>
      <c r="V702">
        <v>340</v>
      </c>
      <c r="X702" t="s">
        <v>3465</v>
      </c>
      <c r="Y702">
        <v>0.64</v>
      </c>
      <c r="AA702">
        <v>90</v>
      </c>
      <c r="AB702" s="9">
        <f t="shared" si="21"/>
        <v>105.06008230781508</v>
      </c>
      <c r="AD702" t="s">
        <v>73</v>
      </c>
      <c r="AF702" t="s">
        <v>73</v>
      </c>
      <c r="AG702" t="s">
        <v>3465</v>
      </c>
      <c r="AH702" t="s">
        <v>3465</v>
      </c>
      <c r="AI702" t="s">
        <v>3465</v>
      </c>
      <c r="AJ702" t="s">
        <v>3463</v>
      </c>
      <c r="AK702" t="s">
        <v>3463</v>
      </c>
      <c r="AL702" t="s">
        <v>3463</v>
      </c>
      <c r="AP702" t="s">
        <v>3463</v>
      </c>
      <c r="AS702" t="s">
        <v>3465</v>
      </c>
      <c r="AV702" t="s">
        <v>74</v>
      </c>
      <c r="AW702" t="s">
        <v>3915</v>
      </c>
      <c r="BA702" t="s">
        <v>3920</v>
      </c>
      <c r="BB702" t="s">
        <v>3485</v>
      </c>
      <c r="BF702" t="s">
        <v>3921</v>
      </c>
      <c r="BG702" t="s">
        <v>1720</v>
      </c>
      <c r="BH702" t="s">
        <v>4107</v>
      </c>
      <c r="BI702" t="s">
        <v>411</v>
      </c>
      <c r="BK702" t="s">
        <v>1721</v>
      </c>
      <c r="BL702" t="s">
        <v>1722</v>
      </c>
      <c r="BP702" t="s">
        <v>4460</v>
      </c>
      <c r="BQ702" t="s">
        <v>3463</v>
      </c>
      <c r="BR702" t="s">
        <v>3465</v>
      </c>
      <c r="BS702" t="s">
        <v>3465</v>
      </c>
      <c r="BT702" t="s">
        <v>3465</v>
      </c>
      <c r="BU702" t="s">
        <v>3463</v>
      </c>
      <c r="BV702" t="s">
        <v>3463</v>
      </c>
      <c r="BW702" t="s">
        <v>3463</v>
      </c>
      <c r="BX702" t="s">
        <v>79</v>
      </c>
      <c r="BY702" t="s">
        <v>121</v>
      </c>
      <c r="BZ702" t="s">
        <v>95</v>
      </c>
      <c r="CA702" s="10">
        <v>45911</v>
      </c>
    </row>
    <row r="703" spans="1:79">
      <c r="A703">
        <v>710</v>
      </c>
      <c r="B703">
        <v>26</v>
      </c>
      <c r="C703">
        <v>63</v>
      </c>
      <c r="D703" t="s">
        <v>3466</v>
      </c>
      <c r="E703" t="s">
        <v>1659</v>
      </c>
      <c r="F703" t="s">
        <v>150</v>
      </c>
      <c r="G703" s="12" t="s">
        <v>3465</v>
      </c>
      <c r="H703" t="s">
        <v>88</v>
      </c>
      <c r="I703">
        <v>78</v>
      </c>
      <c r="J703">
        <v>73</v>
      </c>
      <c r="K703">
        <v>185</v>
      </c>
      <c r="L703">
        <v>80</v>
      </c>
      <c r="M703" t="s">
        <v>96</v>
      </c>
      <c r="N703">
        <v>165</v>
      </c>
      <c r="O703">
        <v>80</v>
      </c>
      <c r="P703" t="s">
        <v>72</v>
      </c>
      <c r="Q703" t="s">
        <v>72</v>
      </c>
      <c r="R703">
        <v>48</v>
      </c>
      <c r="S703">
        <v>143</v>
      </c>
      <c r="T703" s="8">
        <f t="shared" si="20"/>
        <v>23.473030466037457</v>
      </c>
      <c r="U703" s="13" t="str" cm="1">
        <f t="array" ref="U703">IF(T703="","",_xlfn.IFS(T703&lt;18.5,"Bajo peso",T703&lt;25,"Peso normal",T703&lt;30,"Sobrepeso",T703&lt;35,"Obesidad clase I",T703&lt;40,"Obesidad clase II",T703&gt;=40,"Obesidad clase III"))</f>
        <v>Peso normal</v>
      </c>
      <c r="V703">
        <v>97</v>
      </c>
      <c r="W703">
        <v>97</v>
      </c>
      <c r="X703" t="s">
        <v>3463</v>
      </c>
      <c r="Y703">
        <v>1.85</v>
      </c>
      <c r="Z703">
        <v>2.21</v>
      </c>
      <c r="AA703">
        <v>30</v>
      </c>
      <c r="AB703" s="9">
        <f t="shared" si="21"/>
        <v>30.256379068873507</v>
      </c>
      <c r="AC703">
        <v>24</v>
      </c>
      <c r="AD703" t="s">
        <v>218</v>
      </c>
      <c r="AE703" t="s">
        <v>303</v>
      </c>
      <c r="AF703" t="s">
        <v>218</v>
      </c>
      <c r="AH703" t="s">
        <v>3463</v>
      </c>
      <c r="AI703" t="s">
        <v>3465</v>
      </c>
      <c r="AJ703" t="s">
        <v>3464</v>
      </c>
      <c r="AK703" t="s">
        <v>3463</v>
      </c>
      <c r="AL703" t="s">
        <v>3463</v>
      </c>
      <c r="AO703" t="s">
        <v>3463</v>
      </c>
      <c r="AP703" t="s">
        <v>3465</v>
      </c>
      <c r="AQ703" t="s">
        <v>120</v>
      </c>
      <c r="AR703" t="s">
        <v>3491</v>
      </c>
      <c r="AS703" t="s">
        <v>3465</v>
      </c>
      <c r="AT703" t="s">
        <v>3465</v>
      </c>
      <c r="AU703" t="s">
        <v>80</v>
      </c>
      <c r="AV703" t="s">
        <v>126</v>
      </c>
      <c r="AW703" t="s">
        <v>126</v>
      </c>
      <c r="AX703" t="s">
        <v>3465</v>
      </c>
      <c r="AY703" t="s">
        <v>3465</v>
      </c>
      <c r="AZ703" t="s">
        <v>90</v>
      </c>
      <c r="BA703" t="s">
        <v>3920</v>
      </c>
      <c r="BF703" t="s">
        <v>3921</v>
      </c>
      <c r="BG703" t="s">
        <v>1723</v>
      </c>
      <c r="BH703" t="s">
        <v>4172</v>
      </c>
      <c r="BI703" t="s">
        <v>629</v>
      </c>
      <c r="BK703" t="s">
        <v>1724</v>
      </c>
      <c r="BP703" t="s">
        <v>4461</v>
      </c>
      <c r="BQ703" t="s">
        <v>3463</v>
      </c>
      <c r="BR703" t="s">
        <v>3463</v>
      </c>
      <c r="BS703" t="s">
        <v>3463</v>
      </c>
      <c r="BT703" t="s">
        <v>3465</v>
      </c>
      <c r="BU703" t="s">
        <v>3463</v>
      </c>
      <c r="BV703" t="s">
        <v>3463</v>
      </c>
      <c r="BW703" t="s">
        <v>3463</v>
      </c>
      <c r="BX703" t="s">
        <v>79</v>
      </c>
      <c r="BY703" t="s">
        <v>79</v>
      </c>
      <c r="BZ703" t="s">
        <v>79</v>
      </c>
      <c r="CA703" s="10">
        <v>45911</v>
      </c>
    </row>
    <row r="704" spans="1:79">
      <c r="A704">
        <v>711</v>
      </c>
      <c r="B704">
        <v>28</v>
      </c>
      <c r="C704">
        <v>34</v>
      </c>
      <c r="D704" t="s">
        <v>3466</v>
      </c>
      <c r="F704" t="s">
        <v>150</v>
      </c>
      <c r="G704" s="12" t="s">
        <v>3465</v>
      </c>
      <c r="H704" t="s">
        <v>88</v>
      </c>
      <c r="I704">
        <v>81</v>
      </c>
      <c r="K704">
        <v>148</v>
      </c>
      <c r="L704">
        <v>87</v>
      </c>
      <c r="M704" t="s">
        <v>72</v>
      </c>
      <c r="P704" t="s">
        <v>83</v>
      </c>
      <c r="Q704" t="s">
        <v>72</v>
      </c>
      <c r="R704">
        <v>74</v>
      </c>
      <c r="S704">
        <v>168</v>
      </c>
      <c r="T704" s="8">
        <f t="shared" si="20"/>
        <v>26.218820861678005</v>
      </c>
      <c r="U704" s="13" t="str" cm="1">
        <f t="array" ref="U704">IF(T704="","",_xlfn.IFS(T704&lt;18.5,"Bajo peso",T704&lt;25,"Peso normal",T704&lt;30,"Sobrepeso",T704&lt;35,"Obesidad clase I",T704&lt;40,"Obesidad clase II",T704&gt;=40,"Obesidad clase III"))</f>
        <v>Sobrepeso</v>
      </c>
      <c r="V704">
        <v>93</v>
      </c>
      <c r="X704" t="s">
        <v>3463</v>
      </c>
      <c r="Y704">
        <v>0.86</v>
      </c>
      <c r="AA704">
        <v>90</v>
      </c>
      <c r="AB704" s="9">
        <f t="shared" si="21"/>
        <v>90.856103045211952</v>
      </c>
      <c r="AD704" t="s">
        <v>73</v>
      </c>
      <c r="AF704" t="s">
        <v>73</v>
      </c>
      <c r="AH704" t="s">
        <v>3463</v>
      </c>
      <c r="AI704" t="s">
        <v>3463</v>
      </c>
      <c r="AJ704" t="s">
        <v>3463</v>
      </c>
      <c r="AK704" t="s">
        <v>3465</v>
      </c>
      <c r="AL704" t="s">
        <v>3463</v>
      </c>
      <c r="AP704" t="s">
        <v>3463</v>
      </c>
      <c r="AQ704" t="s">
        <v>1725</v>
      </c>
      <c r="AR704" t="s">
        <v>3491</v>
      </c>
      <c r="AT704" t="s">
        <v>3463</v>
      </c>
      <c r="AV704" t="s">
        <v>126</v>
      </c>
      <c r="AW704" t="s">
        <v>126</v>
      </c>
      <c r="AX704" t="s">
        <v>3463</v>
      </c>
      <c r="AY704" t="s">
        <v>3463</v>
      </c>
      <c r="AZ704" t="s">
        <v>1726</v>
      </c>
      <c r="BA704" t="s">
        <v>3920</v>
      </c>
      <c r="BF704" t="s">
        <v>3921</v>
      </c>
      <c r="BG704" t="s">
        <v>1727</v>
      </c>
      <c r="BH704" t="s">
        <v>4107</v>
      </c>
      <c r="BI704" t="s">
        <v>76</v>
      </c>
      <c r="BK704" t="s">
        <v>1728</v>
      </c>
      <c r="BL704" t="s">
        <v>1729</v>
      </c>
      <c r="BP704" t="s">
        <v>4430</v>
      </c>
      <c r="BQ704" t="s">
        <v>3463</v>
      </c>
      <c r="BR704" t="s">
        <v>3465</v>
      </c>
      <c r="BS704" t="s">
        <v>3463</v>
      </c>
      <c r="BT704" t="s">
        <v>3465</v>
      </c>
      <c r="BU704" t="s">
        <v>3463</v>
      </c>
      <c r="BV704" t="s">
        <v>3463</v>
      </c>
      <c r="BW704" t="s">
        <v>3463</v>
      </c>
      <c r="BX704" t="s">
        <v>518</v>
      </c>
      <c r="BY704" t="s">
        <v>79</v>
      </c>
      <c r="BZ704" t="s">
        <v>95</v>
      </c>
      <c r="CA704" s="10">
        <v>45911</v>
      </c>
    </row>
    <row r="705" spans="1:79">
      <c r="A705">
        <v>712</v>
      </c>
      <c r="B705">
        <v>29</v>
      </c>
      <c r="C705">
        <v>53</v>
      </c>
      <c r="D705" t="s">
        <v>3466</v>
      </c>
      <c r="G705" s="12" t="s">
        <v>3465</v>
      </c>
      <c r="H705" t="s">
        <v>88</v>
      </c>
      <c r="I705">
        <v>75</v>
      </c>
      <c r="J705">
        <v>67</v>
      </c>
      <c r="K705">
        <v>146</v>
      </c>
      <c r="L705">
        <v>80</v>
      </c>
      <c r="M705" t="s">
        <v>72</v>
      </c>
      <c r="N705">
        <v>136</v>
      </c>
      <c r="O705">
        <v>82</v>
      </c>
      <c r="P705" t="s">
        <v>82</v>
      </c>
      <c r="Q705" t="s">
        <v>82</v>
      </c>
      <c r="R705">
        <v>58.9</v>
      </c>
      <c r="S705">
        <v>145</v>
      </c>
      <c r="T705" s="8">
        <f t="shared" si="20"/>
        <v>28.014268727705112</v>
      </c>
      <c r="U705" s="13" t="str" cm="1">
        <f t="array" ref="U705">IF(T705="","",_xlfn.IFS(T705&lt;18.5,"Bajo peso",T705&lt;25,"Peso normal",T705&lt;30,"Sobrepeso",T705&lt;35,"Obesidad clase I",T705&lt;40,"Obesidad clase II",T705&gt;=40,"Obesidad clase III"))</f>
        <v>Sobrepeso</v>
      </c>
      <c r="V705">
        <v>94</v>
      </c>
      <c r="X705" t="s">
        <v>3463</v>
      </c>
      <c r="Y705">
        <v>0.74</v>
      </c>
      <c r="AA705">
        <v>90</v>
      </c>
      <c r="AB705" s="9">
        <f t="shared" si="21"/>
        <v>96.684095558655969</v>
      </c>
      <c r="AD705" t="s">
        <v>73</v>
      </c>
      <c r="AF705" t="s">
        <v>73</v>
      </c>
      <c r="AH705" t="s">
        <v>3463</v>
      </c>
      <c r="AI705" t="s">
        <v>3463</v>
      </c>
      <c r="AJ705" t="s">
        <v>3463</v>
      </c>
      <c r="AK705" t="s">
        <v>3463</v>
      </c>
      <c r="AL705" t="s">
        <v>3465</v>
      </c>
      <c r="AM705" t="s">
        <v>116</v>
      </c>
      <c r="AN705" t="s">
        <v>116</v>
      </c>
      <c r="AP705" t="s">
        <v>3463</v>
      </c>
      <c r="AQ705" t="s">
        <v>1730</v>
      </c>
      <c r="AR705" t="s">
        <v>3491</v>
      </c>
      <c r="AT705" t="s">
        <v>3463</v>
      </c>
      <c r="AV705" t="s">
        <v>74</v>
      </c>
      <c r="AW705" t="s">
        <v>3915</v>
      </c>
      <c r="AX705" t="s">
        <v>3463</v>
      </c>
      <c r="AY705" t="s">
        <v>3463</v>
      </c>
      <c r="BF705" t="s">
        <v>3921</v>
      </c>
      <c r="BH705" t="s">
        <v>4020</v>
      </c>
      <c r="BP705" t="s">
        <v>4260</v>
      </c>
      <c r="BQ705" t="s">
        <v>3463</v>
      </c>
      <c r="BR705" t="s">
        <v>3463</v>
      </c>
      <c r="BS705" t="s">
        <v>3463</v>
      </c>
      <c r="BT705" t="s">
        <v>3463</v>
      </c>
      <c r="BU705" t="s">
        <v>3463</v>
      </c>
      <c r="BV705" t="s">
        <v>3463</v>
      </c>
      <c r="BW705" t="s">
        <v>3463</v>
      </c>
      <c r="BX705" t="s">
        <v>79</v>
      </c>
      <c r="BY705" t="s">
        <v>79</v>
      </c>
      <c r="BZ705" t="s">
        <v>79</v>
      </c>
      <c r="CA705" s="10">
        <v>45911</v>
      </c>
    </row>
    <row r="706" spans="1:79">
      <c r="A706">
        <v>713</v>
      </c>
      <c r="B706">
        <v>30</v>
      </c>
      <c r="C706">
        <v>34</v>
      </c>
      <c r="D706" t="s">
        <v>3466</v>
      </c>
      <c r="F706" t="s">
        <v>150</v>
      </c>
      <c r="G706" s="12" t="s">
        <v>3463</v>
      </c>
      <c r="I706">
        <v>75</v>
      </c>
      <c r="K706">
        <v>107</v>
      </c>
      <c r="L706">
        <v>73</v>
      </c>
      <c r="M706" t="s">
        <v>80</v>
      </c>
      <c r="P706" t="s">
        <v>83</v>
      </c>
      <c r="Q706" t="s">
        <v>80</v>
      </c>
      <c r="R706">
        <v>65</v>
      </c>
      <c r="S706">
        <v>163</v>
      </c>
      <c r="T706" s="8">
        <f t="shared" ref="T706:T769" si="22">IFERROR(R706/(S706^2)*10000,"")</f>
        <v>24.464601603372348</v>
      </c>
      <c r="U706" s="13" t="str" cm="1">
        <f t="array" ref="U706">IF(T706="","",_xlfn.IFS(T706&lt;18.5,"Bajo peso",T706&lt;25,"Peso normal",T706&lt;30,"Sobrepeso",T706&lt;35,"Obesidad clase I",T706&lt;40,"Obesidad clase II",T706&gt;=40,"Obesidad clase III"))</f>
        <v>Peso normal</v>
      </c>
      <c r="V706">
        <v>94</v>
      </c>
      <c r="X706" t="s">
        <v>3463</v>
      </c>
      <c r="Y706">
        <v>0.87</v>
      </c>
      <c r="AA706">
        <v>90</v>
      </c>
      <c r="AB706" s="9">
        <f t="shared" ref="AB706:AB769" si="23">IF(OR(C706="",D706="",Y706=""),"",142*POWER(MIN(Y706/IF(D706="Mujer",0.7,0.9),1),IF(D706="Mujer",-0.241,-0.302))*POWER(MAX(Y706/IF(D706="Mujer",0.7,0.9),1),-1.2)*POWER(0.9938,C706)*IF(D706="Mujer",1.012,1))</f>
        <v>89.604360300695689</v>
      </c>
      <c r="AD706" t="s">
        <v>73</v>
      </c>
      <c r="AF706" t="s">
        <v>73</v>
      </c>
      <c r="AH706" t="s">
        <v>3463</v>
      </c>
      <c r="AI706" t="s">
        <v>3463</v>
      </c>
      <c r="AJ706" t="s">
        <v>3463</v>
      </c>
      <c r="AK706" t="s">
        <v>3463</v>
      </c>
      <c r="AL706" t="s">
        <v>3465</v>
      </c>
      <c r="AM706" t="s">
        <v>1731</v>
      </c>
      <c r="AN706" t="s">
        <v>1802</v>
      </c>
      <c r="AO706" t="s">
        <v>3465</v>
      </c>
      <c r="AP706" t="s">
        <v>3465</v>
      </c>
      <c r="AQ706" t="s">
        <v>239</v>
      </c>
      <c r="AR706" t="s">
        <v>3493</v>
      </c>
      <c r="AW706" t="s">
        <v>3916</v>
      </c>
      <c r="AX706" t="s">
        <v>3463</v>
      </c>
      <c r="AY706" t="s">
        <v>3465</v>
      </c>
      <c r="AZ706" t="s">
        <v>247</v>
      </c>
      <c r="BF706" t="s">
        <v>3921</v>
      </c>
      <c r="BH706" t="s">
        <v>4020</v>
      </c>
      <c r="BP706" t="s">
        <v>4260</v>
      </c>
      <c r="BQ706" t="s">
        <v>3463</v>
      </c>
      <c r="BR706" t="s">
        <v>3463</v>
      </c>
      <c r="BS706" t="s">
        <v>3463</v>
      </c>
      <c r="BT706" t="s">
        <v>3463</v>
      </c>
      <c r="BU706" t="s">
        <v>3463</v>
      </c>
      <c r="BV706" t="s">
        <v>3463</v>
      </c>
      <c r="BW706" t="s">
        <v>3463</v>
      </c>
      <c r="BX706" t="s">
        <v>79</v>
      </c>
      <c r="BY706" t="s">
        <v>79</v>
      </c>
      <c r="BZ706" t="s">
        <v>79</v>
      </c>
      <c r="CA706" s="10">
        <v>45911</v>
      </c>
    </row>
    <row r="707" spans="1:79">
      <c r="A707">
        <v>714</v>
      </c>
      <c r="B707">
        <v>31</v>
      </c>
      <c r="C707">
        <v>45</v>
      </c>
      <c r="D707" t="s">
        <v>3466</v>
      </c>
      <c r="E707" t="s">
        <v>1659</v>
      </c>
      <c r="F707" t="s">
        <v>380</v>
      </c>
      <c r="G707" s="12" t="s">
        <v>3465</v>
      </c>
      <c r="H707" s="12" t="s">
        <v>88</v>
      </c>
      <c r="I707">
        <v>83</v>
      </c>
      <c r="J707">
        <v>84</v>
      </c>
      <c r="K707">
        <v>148</v>
      </c>
      <c r="L707">
        <v>96</v>
      </c>
      <c r="M707" t="s">
        <v>72</v>
      </c>
      <c r="N707">
        <v>149</v>
      </c>
      <c r="O707">
        <v>95</v>
      </c>
      <c r="P707" t="s">
        <v>72</v>
      </c>
      <c r="Q707" t="s">
        <v>72</v>
      </c>
      <c r="R707">
        <v>84</v>
      </c>
      <c r="S707">
        <v>154.5</v>
      </c>
      <c r="T707" s="8">
        <f t="shared" si="22"/>
        <v>35.190247274326829</v>
      </c>
      <c r="U707" s="13" t="str" cm="1">
        <f t="array" ref="U707">IF(T707="","",_xlfn.IFS(T707&lt;18.5,"Bajo peso",T707&lt;25,"Peso normal",T707&lt;30,"Sobrepeso",T707&lt;35,"Obesidad clase I",T707&lt;40,"Obesidad clase II",T707&gt;=40,"Obesidad clase III"))</f>
        <v>Obesidad clase II</v>
      </c>
      <c r="V707">
        <v>84</v>
      </c>
      <c r="X707" t="s">
        <v>3463</v>
      </c>
      <c r="Y707">
        <v>0.61</v>
      </c>
      <c r="AA707">
        <v>90</v>
      </c>
      <c r="AB707" s="9">
        <f t="shared" si="23"/>
        <v>112.28652785867949</v>
      </c>
      <c r="AD707" t="s">
        <v>73</v>
      </c>
      <c r="AF707" t="s">
        <v>73</v>
      </c>
      <c r="AH707" t="s">
        <v>3463</v>
      </c>
      <c r="AI707" t="s">
        <v>3463</v>
      </c>
      <c r="AJ707" t="s">
        <v>3463</v>
      </c>
      <c r="AK707" t="s">
        <v>3463</v>
      </c>
      <c r="AL707" t="s">
        <v>3465</v>
      </c>
      <c r="AM707" t="s">
        <v>110</v>
      </c>
      <c r="AN707" t="s">
        <v>110</v>
      </c>
      <c r="AO707" t="s">
        <v>3465</v>
      </c>
      <c r="AP707" t="s">
        <v>3465</v>
      </c>
      <c r="AQ707" t="s">
        <v>1732</v>
      </c>
      <c r="AR707" t="s">
        <v>3524</v>
      </c>
      <c r="AV707" t="s">
        <v>74</v>
      </c>
      <c r="AW707" t="s">
        <v>3915</v>
      </c>
      <c r="AX707" t="s">
        <v>3463</v>
      </c>
      <c r="AY707" t="s">
        <v>3463</v>
      </c>
      <c r="BF707" t="s">
        <v>3921</v>
      </c>
      <c r="BG707" t="s">
        <v>1733</v>
      </c>
      <c r="BH707" t="s">
        <v>4021</v>
      </c>
      <c r="BI707" t="s">
        <v>76</v>
      </c>
      <c r="BK707" t="s">
        <v>1734</v>
      </c>
      <c r="BL707" t="s">
        <v>1735</v>
      </c>
      <c r="BP707" t="s">
        <v>4261</v>
      </c>
      <c r="BQ707" t="s">
        <v>3465</v>
      </c>
      <c r="BR707" t="s">
        <v>3465</v>
      </c>
      <c r="BS707" t="s">
        <v>3465</v>
      </c>
      <c r="BT707" t="s">
        <v>3465</v>
      </c>
      <c r="BU707" t="s">
        <v>3463</v>
      </c>
      <c r="BV707" t="s">
        <v>3463</v>
      </c>
      <c r="BW707" t="s">
        <v>3463</v>
      </c>
      <c r="BX707" t="s">
        <v>79</v>
      </c>
      <c r="BY707" t="s">
        <v>79</v>
      </c>
      <c r="BZ707" t="s">
        <v>79</v>
      </c>
      <c r="CA707" s="10">
        <v>45911</v>
      </c>
    </row>
    <row r="708" spans="1:79">
      <c r="A708">
        <v>715</v>
      </c>
      <c r="B708">
        <v>32</v>
      </c>
      <c r="C708">
        <v>36</v>
      </c>
      <c r="D708" t="s">
        <v>3462</v>
      </c>
      <c r="F708" t="s">
        <v>150</v>
      </c>
      <c r="G708" s="12" t="s">
        <v>3463</v>
      </c>
      <c r="I708">
        <v>61</v>
      </c>
      <c r="J708">
        <v>58</v>
      </c>
      <c r="K708">
        <v>146</v>
      </c>
      <c r="L708">
        <v>83</v>
      </c>
      <c r="M708" t="s">
        <v>72</v>
      </c>
      <c r="N708">
        <v>131</v>
      </c>
      <c r="O708">
        <v>80</v>
      </c>
      <c r="P708" t="s">
        <v>82</v>
      </c>
      <c r="Q708" t="s">
        <v>82</v>
      </c>
      <c r="R708">
        <v>113.8</v>
      </c>
      <c r="S708">
        <v>182</v>
      </c>
      <c r="T708" s="8">
        <f t="shared" si="22"/>
        <v>34.35575413597391</v>
      </c>
      <c r="U708" s="13" t="str" cm="1">
        <f t="array" ref="U708">IF(T708="","",_xlfn.IFS(T708&lt;18.5,"Bajo peso",T708&lt;25,"Peso normal",T708&lt;30,"Sobrepeso",T708&lt;35,"Obesidad clase I",T708&lt;40,"Obesidad clase II",T708&gt;=40,"Obesidad clase III"))</f>
        <v>Obesidad clase I</v>
      </c>
      <c r="V708">
        <v>98</v>
      </c>
      <c r="X708" t="s">
        <v>3463</v>
      </c>
      <c r="Y708">
        <v>0.82</v>
      </c>
      <c r="AA708">
        <v>90</v>
      </c>
      <c r="AB708" s="9">
        <f t="shared" si="23"/>
        <v>116.75124637328391</v>
      </c>
      <c r="AD708" t="s">
        <v>73</v>
      </c>
      <c r="AF708" t="s">
        <v>73</v>
      </c>
      <c r="AH708" t="s">
        <v>3463</v>
      </c>
      <c r="AI708" t="s">
        <v>3463</v>
      </c>
      <c r="AJ708" t="s">
        <v>3463</v>
      </c>
      <c r="AK708" t="s">
        <v>3463</v>
      </c>
      <c r="AL708" t="s">
        <v>3463</v>
      </c>
      <c r="AP708" t="s">
        <v>3463</v>
      </c>
      <c r="AQ708" t="s">
        <v>1736</v>
      </c>
      <c r="AR708" t="s">
        <v>3491</v>
      </c>
      <c r="AV708" t="s">
        <v>126</v>
      </c>
      <c r="AW708" t="s">
        <v>126</v>
      </c>
      <c r="BF708" t="s">
        <v>3921</v>
      </c>
      <c r="BH708" t="s">
        <v>4020</v>
      </c>
      <c r="BP708" t="s">
        <v>4260</v>
      </c>
      <c r="BQ708" t="s">
        <v>3463</v>
      </c>
      <c r="BR708" t="s">
        <v>3463</v>
      </c>
      <c r="BS708" t="s">
        <v>3463</v>
      </c>
      <c r="BT708" t="s">
        <v>3463</v>
      </c>
      <c r="BU708" t="s">
        <v>3463</v>
      </c>
      <c r="BV708" t="s">
        <v>3463</v>
      </c>
      <c r="BW708" t="s">
        <v>3463</v>
      </c>
      <c r="BX708" t="s">
        <v>79</v>
      </c>
      <c r="BY708" t="s">
        <v>79</v>
      </c>
      <c r="BZ708" t="s">
        <v>79</v>
      </c>
      <c r="CA708" s="10">
        <v>45911</v>
      </c>
    </row>
    <row r="709" spans="1:79">
      <c r="A709">
        <v>716</v>
      </c>
      <c r="B709">
        <v>33</v>
      </c>
      <c r="C709">
        <v>70</v>
      </c>
      <c r="D709" t="s">
        <v>3466</v>
      </c>
      <c r="F709" t="s">
        <v>150</v>
      </c>
      <c r="G709" s="12" t="s">
        <v>3465</v>
      </c>
      <c r="H709" s="12" t="s">
        <v>88</v>
      </c>
      <c r="I709">
        <v>65</v>
      </c>
      <c r="J709">
        <v>62</v>
      </c>
      <c r="K709">
        <v>174</v>
      </c>
      <c r="L709">
        <v>87</v>
      </c>
      <c r="M709" t="s">
        <v>72</v>
      </c>
      <c r="N709">
        <v>150</v>
      </c>
      <c r="O709">
        <v>81</v>
      </c>
      <c r="P709" t="s">
        <v>72</v>
      </c>
      <c r="Q709" t="s">
        <v>72</v>
      </c>
      <c r="R709">
        <v>64.3</v>
      </c>
      <c r="S709">
        <v>162</v>
      </c>
      <c r="T709" s="8">
        <f t="shared" si="22"/>
        <v>24.500838286846516</v>
      </c>
      <c r="U709" s="13" t="str" cm="1">
        <f t="array" ref="U709">IF(T709="","",_xlfn.IFS(T709&lt;18.5,"Bajo peso",T709&lt;25,"Peso normal",T709&lt;30,"Sobrepeso",T709&lt;35,"Obesidad clase I",T709&lt;40,"Obesidad clase II",T709&gt;=40,"Obesidad clase III"))</f>
        <v>Peso normal</v>
      </c>
      <c r="V709">
        <v>114</v>
      </c>
      <c r="X709" t="s">
        <v>3463</v>
      </c>
      <c r="Y709">
        <v>0.53</v>
      </c>
      <c r="AA709">
        <v>90</v>
      </c>
      <c r="AB709" s="9">
        <f t="shared" si="23"/>
        <v>99.429777741208142</v>
      </c>
      <c r="AD709" t="s">
        <v>73</v>
      </c>
      <c r="AF709" t="s">
        <v>73</v>
      </c>
      <c r="AH709" t="s">
        <v>3463</v>
      </c>
      <c r="AI709" t="s">
        <v>3465</v>
      </c>
      <c r="AJ709" t="s">
        <v>3463</v>
      </c>
      <c r="AK709" t="s">
        <v>3463</v>
      </c>
      <c r="AL709" t="s">
        <v>3465</v>
      </c>
      <c r="AM709" t="s">
        <v>1737</v>
      </c>
      <c r="AN709" t="s">
        <v>982</v>
      </c>
      <c r="AP709" t="s">
        <v>3463</v>
      </c>
      <c r="AS709" t="s">
        <v>3465</v>
      </c>
      <c r="AT709" t="s">
        <v>3463</v>
      </c>
      <c r="AV709" t="s">
        <v>126</v>
      </c>
      <c r="AW709" t="s">
        <v>126</v>
      </c>
      <c r="AX709" t="s">
        <v>3463</v>
      </c>
      <c r="AY709" t="s">
        <v>3463</v>
      </c>
      <c r="BA709" t="s">
        <v>3920</v>
      </c>
      <c r="BF709" t="s">
        <v>3921</v>
      </c>
      <c r="BG709" t="s">
        <v>1738</v>
      </c>
      <c r="BH709" t="s">
        <v>4045</v>
      </c>
      <c r="BL709" t="s">
        <v>1739</v>
      </c>
      <c r="BP709" t="s">
        <v>4260</v>
      </c>
      <c r="BQ709" t="s">
        <v>3463</v>
      </c>
      <c r="BR709" t="s">
        <v>3463</v>
      </c>
      <c r="BS709" t="s">
        <v>3463</v>
      </c>
      <c r="BT709" t="s">
        <v>3463</v>
      </c>
      <c r="BU709" t="s">
        <v>3463</v>
      </c>
      <c r="BV709" t="s">
        <v>3463</v>
      </c>
      <c r="BW709" t="s">
        <v>3463</v>
      </c>
      <c r="BX709" t="s">
        <v>79</v>
      </c>
      <c r="BY709" t="s">
        <v>79</v>
      </c>
      <c r="BZ709" t="s">
        <v>79</v>
      </c>
      <c r="CA709" s="10">
        <v>45911</v>
      </c>
    </row>
    <row r="710" spans="1:79">
      <c r="A710">
        <v>717</v>
      </c>
      <c r="B710">
        <v>34</v>
      </c>
      <c r="C710">
        <v>74</v>
      </c>
      <c r="D710" t="s">
        <v>3462</v>
      </c>
      <c r="F710" t="s">
        <v>150</v>
      </c>
      <c r="G710" s="12" t="s">
        <v>3463</v>
      </c>
      <c r="I710">
        <v>66</v>
      </c>
      <c r="J710">
        <v>69</v>
      </c>
      <c r="K710">
        <v>155</v>
      </c>
      <c r="L710">
        <v>82</v>
      </c>
      <c r="M710" t="s">
        <v>72</v>
      </c>
      <c r="N710">
        <v>160</v>
      </c>
      <c r="O710">
        <v>84</v>
      </c>
      <c r="P710" t="s">
        <v>72</v>
      </c>
      <c r="Q710" t="s">
        <v>72</v>
      </c>
      <c r="R710">
        <v>79</v>
      </c>
      <c r="S710">
        <v>170</v>
      </c>
      <c r="T710" s="8">
        <f t="shared" si="22"/>
        <v>27.335640138408305</v>
      </c>
      <c r="U710" s="13" t="str" cm="1">
        <f t="array" ref="U710">IF(T710="","",_xlfn.IFS(T710&lt;18.5,"Bajo peso",T710&lt;25,"Peso normal",T710&lt;30,"Sobrepeso",T710&lt;35,"Obesidad clase I",T710&lt;40,"Obesidad clase II",T710&gt;=40,"Obesidad clase III"))</f>
        <v>Sobrepeso</v>
      </c>
      <c r="V710">
        <v>91</v>
      </c>
      <c r="X710" t="s">
        <v>3463</v>
      </c>
      <c r="Y710">
        <v>0.64</v>
      </c>
      <c r="AA710">
        <v>90</v>
      </c>
      <c r="AB710" s="9">
        <f t="shared" si="23"/>
        <v>99.341032243063921</v>
      </c>
      <c r="AD710" t="s">
        <v>73</v>
      </c>
      <c r="AF710" t="s">
        <v>73</v>
      </c>
      <c r="AH710" t="s">
        <v>3463</v>
      </c>
      <c r="AI710" t="s">
        <v>3463</v>
      </c>
      <c r="AJ710" t="s">
        <v>3463</v>
      </c>
      <c r="AK710" t="s">
        <v>3463</v>
      </c>
      <c r="AL710" t="s">
        <v>3465</v>
      </c>
      <c r="AM710" t="s">
        <v>1740</v>
      </c>
      <c r="AN710" t="s">
        <v>3633</v>
      </c>
      <c r="AP710" t="s">
        <v>3463</v>
      </c>
      <c r="AQ710" t="s">
        <v>1093</v>
      </c>
      <c r="AR710" t="s">
        <v>3491</v>
      </c>
      <c r="AV710" t="s">
        <v>126</v>
      </c>
      <c r="AW710" t="s">
        <v>126</v>
      </c>
      <c r="BA710" t="s">
        <v>3920</v>
      </c>
      <c r="BF710" t="s">
        <v>3921</v>
      </c>
      <c r="BG710" t="s">
        <v>1741</v>
      </c>
      <c r="BH710" t="s">
        <v>4014</v>
      </c>
      <c r="BP710" t="s">
        <v>4255</v>
      </c>
      <c r="BQ710" t="s">
        <v>3463</v>
      </c>
      <c r="BR710" t="s">
        <v>3463</v>
      </c>
      <c r="BS710" t="s">
        <v>3465</v>
      </c>
      <c r="BT710" t="s">
        <v>3465</v>
      </c>
      <c r="BU710" t="s">
        <v>3463</v>
      </c>
      <c r="BV710" t="s">
        <v>3463</v>
      </c>
      <c r="BW710" t="s">
        <v>3463</v>
      </c>
      <c r="BX710" t="s">
        <v>79</v>
      </c>
      <c r="BY710" t="s">
        <v>79</v>
      </c>
      <c r="BZ710" t="s">
        <v>79</v>
      </c>
      <c r="CA710" s="10">
        <v>45911</v>
      </c>
    </row>
    <row r="711" spans="1:79">
      <c r="A711">
        <v>718</v>
      </c>
      <c r="B711">
        <v>35</v>
      </c>
      <c r="C711">
        <v>68</v>
      </c>
      <c r="D711" t="s">
        <v>3462</v>
      </c>
      <c r="F711" t="s">
        <v>150</v>
      </c>
      <c r="G711" s="12" t="s">
        <v>3465</v>
      </c>
      <c r="H711" s="12" t="s">
        <v>88</v>
      </c>
      <c r="I711">
        <v>67</v>
      </c>
      <c r="J711">
        <v>60</v>
      </c>
      <c r="K711">
        <v>151</v>
      </c>
      <c r="L711">
        <v>88</v>
      </c>
      <c r="M711" t="s">
        <v>72</v>
      </c>
      <c r="N711">
        <v>164</v>
      </c>
      <c r="O711">
        <v>86</v>
      </c>
      <c r="P711" t="s">
        <v>72</v>
      </c>
      <c r="Q711" t="s">
        <v>72</v>
      </c>
      <c r="R711">
        <v>81</v>
      </c>
      <c r="S711">
        <v>171</v>
      </c>
      <c r="T711" s="8">
        <f t="shared" si="22"/>
        <v>27.700831024930746</v>
      </c>
      <c r="U711" s="13" t="str" cm="1">
        <f t="array" ref="U711">IF(T711="","",_xlfn.IFS(T711&lt;18.5,"Bajo peso",T711&lt;25,"Peso normal",T711&lt;30,"Sobrepeso",T711&lt;35,"Obesidad clase I",T711&lt;40,"Obesidad clase II",T711&gt;=40,"Obesidad clase III"))</f>
        <v>Sobrepeso</v>
      </c>
      <c r="V711">
        <v>100</v>
      </c>
      <c r="X711" t="s">
        <v>3463</v>
      </c>
      <c r="Y711">
        <v>0.8</v>
      </c>
      <c r="AA711">
        <v>90</v>
      </c>
      <c r="AB711" s="9">
        <f t="shared" si="23"/>
        <v>96.39797035856698</v>
      </c>
      <c r="AD711" t="s">
        <v>73</v>
      </c>
      <c r="AF711" t="s">
        <v>73</v>
      </c>
      <c r="AH711" t="s">
        <v>3463</v>
      </c>
      <c r="AI711" t="s">
        <v>3463</v>
      </c>
      <c r="AL711" t="s">
        <v>3465</v>
      </c>
      <c r="AM711" t="s">
        <v>1742</v>
      </c>
      <c r="AN711" t="s">
        <v>3760</v>
      </c>
      <c r="AW711" t="s">
        <v>3916</v>
      </c>
      <c r="BA711" t="s">
        <v>3920</v>
      </c>
      <c r="BF711" t="s">
        <v>3921</v>
      </c>
      <c r="BG711" t="s">
        <v>1743</v>
      </c>
      <c r="BH711" t="s">
        <v>4021</v>
      </c>
      <c r="BI711" t="s">
        <v>411</v>
      </c>
      <c r="BP711" t="s">
        <v>4320</v>
      </c>
      <c r="BQ711" t="s">
        <v>3463</v>
      </c>
      <c r="BR711" t="s">
        <v>3465</v>
      </c>
      <c r="BS711" t="s">
        <v>3463</v>
      </c>
      <c r="BT711" t="s">
        <v>3463</v>
      </c>
      <c r="BU711" t="s">
        <v>3463</v>
      </c>
      <c r="BV711" t="s">
        <v>3463</v>
      </c>
      <c r="BW711" t="s">
        <v>3463</v>
      </c>
      <c r="BX711" t="s">
        <v>518</v>
      </c>
      <c r="BY711" t="s">
        <v>79</v>
      </c>
      <c r="BZ711" t="s">
        <v>79</v>
      </c>
      <c r="CA711" s="10">
        <v>45911</v>
      </c>
    </row>
    <row r="712" spans="1:79">
      <c r="A712">
        <v>719</v>
      </c>
      <c r="B712">
        <v>36</v>
      </c>
      <c r="C712">
        <v>48</v>
      </c>
      <c r="D712" t="s">
        <v>3466</v>
      </c>
      <c r="E712" t="s">
        <v>1744</v>
      </c>
      <c r="F712" t="s">
        <v>150</v>
      </c>
      <c r="G712" s="12" t="s">
        <v>3463</v>
      </c>
      <c r="H712" s="12"/>
      <c r="I712">
        <v>68</v>
      </c>
      <c r="J712">
        <v>65</v>
      </c>
      <c r="K712">
        <v>147</v>
      </c>
      <c r="L712">
        <v>103</v>
      </c>
      <c r="M712" t="s">
        <v>72</v>
      </c>
      <c r="N712">
        <v>146</v>
      </c>
      <c r="O712">
        <v>86</v>
      </c>
      <c r="P712" t="s">
        <v>72</v>
      </c>
      <c r="Q712" t="s">
        <v>72</v>
      </c>
      <c r="R712">
        <v>104</v>
      </c>
      <c r="S712">
        <v>159</v>
      </c>
      <c r="T712" s="8">
        <f t="shared" si="22"/>
        <v>41.13761322732487</v>
      </c>
      <c r="U712" s="13" t="str" cm="1">
        <f t="array" ref="U712">IF(T712="","",_xlfn.IFS(T712&lt;18.5,"Bajo peso",T712&lt;25,"Peso normal",T712&lt;30,"Sobrepeso",T712&lt;35,"Obesidad clase I",T712&lt;40,"Obesidad clase II",T712&gt;=40,"Obesidad clase III"))</f>
        <v>Obesidad clase III</v>
      </c>
      <c r="V712">
        <v>97</v>
      </c>
      <c r="X712" t="s">
        <v>3463</v>
      </c>
      <c r="Y712">
        <v>0.73</v>
      </c>
      <c r="AA712">
        <v>90</v>
      </c>
      <c r="AB712" s="9">
        <f t="shared" si="23"/>
        <v>101.3796315285189</v>
      </c>
      <c r="AD712" t="s">
        <v>73</v>
      </c>
      <c r="AF712" t="s">
        <v>73</v>
      </c>
      <c r="AH712" t="s">
        <v>3463</v>
      </c>
      <c r="AI712" t="s">
        <v>3463</v>
      </c>
      <c r="AJ712" t="s">
        <v>3463</v>
      </c>
      <c r="AK712" t="s">
        <v>3463</v>
      </c>
      <c r="AL712" t="s">
        <v>3463</v>
      </c>
      <c r="AP712" t="s">
        <v>3463</v>
      </c>
      <c r="AQ712" t="s">
        <v>698</v>
      </c>
      <c r="AR712" t="s">
        <v>3488</v>
      </c>
      <c r="AV712" t="s">
        <v>178</v>
      </c>
      <c r="AW712" t="s">
        <v>3918</v>
      </c>
      <c r="AX712" t="s">
        <v>3463</v>
      </c>
      <c r="AY712" t="s">
        <v>3465</v>
      </c>
      <c r="AZ712" t="s">
        <v>247</v>
      </c>
      <c r="BC712" t="s">
        <v>128</v>
      </c>
      <c r="BE712" t="s">
        <v>153</v>
      </c>
      <c r="BF712" t="s">
        <v>153</v>
      </c>
      <c r="BG712" t="s">
        <v>1745</v>
      </c>
      <c r="BH712" t="s">
        <v>4167</v>
      </c>
      <c r="BI712" t="s">
        <v>734</v>
      </c>
      <c r="BK712" t="s">
        <v>1746</v>
      </c>
      <c r="BP712" t="s">
        <v>4462</v>
      </c>
      <c r="BQ712" t="s">
        <v>3465</v>
      </c>
      <c r="BR712" t="s">
        <v>3465</v>
      </c>
      <c r="BS712" t="s">
        <v>3465</v>
      </c>
      <c r="BT712" t="s">
        <v>3465</v>
      </c>
      <c r="BU712" t="s">
        <v>3463</v>
      </c>
      <c r="BV712" t="s">
        <v>3463</v>
      </c>
      <c r="BW712" t="s">
        <v>3463</v>
      </c>
      <c r="BX712" t="s">
        <v>79</v>
      </c>
      <c r="BY712" t="s">
        <v>79</v>
      </c>
      <c r="BZ712" t="s">
        <v>79</v>
      </c>
      <c r="CA712" s="10">
        <v>45911</v>
      </c>
    </row>
    <row r="713" spans="1:79">
      <c r="A713">
        <v>720</v>
      </c>
      <c r="B713">
        <v>37</v>
      </c>
      <c r="C713">
        <v>54</v>
      </c>
      <c r="D713" t="s">
        <v>3466</v>
      </c>
      <c r="F713" t="s">
        <v>150</v>
      </c>
      <c r="G713" s="12" t="s">
        <v>3465</v>
      </c>
      <c r="H713" s="12" t="s">
        <v>88</v>
      </c>
      <c r="I713">
        <v>67</v>
      </c>
      <c r="J713">
        <v>61</v>
      </c>
      <c r="K713">
        <v>175</v>
      </c>
      <c r="L713">
        <v>94</v>
      </c>
      <c r="M713" t="s">
        <v>72</v>
      </c>
      <c r="N713">
        <v>171</v>
      </c>
      <c r="O713">
        <v>92</v>
      </c>
      <c r="P713" t="s">
        <v>72</v>
      </c>
      <c r="Q713" t="s">
        <v>72</v>
      </c>
      <c r="R713">
        <v>76</v>
      </c>
      <c r="S713">
        <v>153</v>
      </c>
      <c r="T713" s="8">
        <f t="shared" si="22"/>
        <v>32.466145499594177</v>
      </c>
      <c r="U713" s="13" t="str" cm="1">
        <f t="array" ref="U713">IF(T713="","",_xlfn.IFS(T713&lt;18.5,"Bajo peso",T713&lt;25,"Peso normal",T713&lt;30,"Sobrepeso",T713&lt;35,"Obesidad clase I",T713&lt;40,"Obesidad clase II",T713&gt;=40,"Obesidad clase III"))</f>
        <v>Obesidad clase I</v>
      </c>
      <c r="V713">
        <v>108</v>
      </c>
      <c r="X713" t="s">
        <v>3463</v>
      </c>
      <c r="Y713">
        <v>0.6</v>
      </c>
      <c r="AA713">
        <v>90</v>
      </c>
      <c r="AB713" s="9">
        <f t="shared" si="23"/>
        <v>106.59789367107774</v>
      </c>
      <c r="AD713" t="s">
        <v>73</v>
      </c>
      <c r="AF713" t="s">
        <v>73</v>
      </c>
      <c r="AH713" t="s">
        <v>3463</v>
      </c>
      <c r="AI713" t="s">
        <v>3465</v>
      </c>
      <c r="AJ713" t="s">
        <v>3463</v>
      </c>
      <c r="AK713" t="s">
        <v>3463</v>
      </c>
      <c r="AL713" t="s">
        <v>3465</v>
      </c>
      <c r="AM713" t="s">
        <v>116</v>
      </c>
      <c r="AN713" t="s">
        <v>116</v>
      </c>
      <c r="AP713" t="s">
        <v>3463</v>
      </c>
      <c r="AQ713" t="s">
        <v>1747</v>
      </c>
      <c r="AR713" t="s">
        <v>3508</v>
      </c>
      <c r="AS713" t="s">
        <v>3465</v>
      </c>
      <c r="AT713" t="s">
        <v>3465</v>
      </c>
      <c r="AU713" t="s">
        <v>80</v>
      </c>
      <c r="AV713" t="s">
        <v>74</v>
      </c>
      <c r="AW713" t="s">
        <v>3915</v>
      </c>
      <c r="AX713" t="s">
        <v>3463</v>
      </c>
      <c r="AY713" t="s">
        <v>3465</v>
      </c>
      <c r="AZ713" t="s">
        <v>247</v>
      </c>
      <c r="BA713" t="s">
        <v>3920</v>
      </c>
      <c r="BC713" t="s">
        <v>128</v>
      </c>
      <c r="BF713" t="s">
        <v>3921</v>
      </c>
      <c r="BG713" t="s">
        <v>1748</v>
      </c>
      <c r="BH713" t="s">
        <v>4069</v>
      </c>
      <c r="BP713" t="s">
        <v>4371</v>
      </c>
      <c r="BQ713" t="s">
        <v>3463</v>
      </c>
      <c r="BR713" t="s">
        <v>3463</v>
      </c>
      <c r="BS713" t="s">
        <v>3463</v>
      </c>
      <c r="BT713" t="s">
        <v>3463</v>
      </c>
      <c r="BU713" t="s">
        <v>3463</v>
      </c>
      <c r="BV713" t="s">
        <v>3463</v>
      </c>
      <c r="BW713" t="s">
        <v>3463</v>
      </c>
      <c r="BX713" t="s">
        <v>79</v>
      </c>
      <c r="BY713" t="s">
        <v>79</v>
      </c>
      <c r="BZ713" t="s">
        <v>79</v>
      </c>
      <c r="CA713" s="10">
        <v>45911</v>
      </c>
    </row>
    <row r="714" spans="1:79">
      <c r="A714">
        <v>721</v>
      </c>
      <c r="B714">
        <v>38</v>
      </c>
      <c r="C714">
        <v>64</v>
      </c>
      <c r="D714" t="s">
        <v>3462</v>
      </c>
      <c r="F714" t="s">
        <v>150</v>
      </c>
      <c r="G714" s="12" t="s">
        <v>3463</v>
      </c>
      <c r="I714">
        <v>59</v>
      </c>
      <c r="J714">
        <v>54</v>
      </c>
      <c r="K714">
        <v>184</v>
      </c>
      <c r="L714">
        <v>95</v>
      </c>
      <c r="M714" t="s">
        <v>96</v>
      </c>
      <c r="N714">
        <v>185</v>
      </c>
      <c r="O714">
        <v>93</v>
      </c>
      <c r="P714" t="s">
        <v>96</v>
      </c>
      <c r="Q714" t="s">
        <v>96</v>
      </c>
      <c r="R714">
        <v>88</v>
      </c>
      <c r="S714">
        <v>163</v>
      </c>
      <c r="T714" s="8">
        <f t="shared" si="22"/>
        <v>33.121306786104107</v>
      </c>
      <c r="U714" s="13" t="str" cm="1">
        <f t="array" ref="U714">IF(T714="","",_xlfn.IFS(T714&lt;18.5,"Bajo peso",T714&lt;25,"Peso normal",T714&lt;30,"Sobrepeso",T714&lt;35,"Obesidad clase I",T714&lt;40,"Obesidad clase II",T714&gt;=40,"Obesidad clase III"))</f>
        <v>Obesidad clase I</v>
      </c>
      <c r="V714">
        <v>97</v>
      </c>
      <c r="X714" t="s">
        <v>3463</v>
      </c>
      <c r="Y714">
        <v>0.8</v>
      </c>
      <c r="AA714">
        <v>90</v>
      </c>
      <c r="AB714" s="9">
        <f t="shared" si="23"/>
        <v>98.826159925325186</v>
      </c>
      <c r="AD714" t="s">
        <v>73</v>
      </c>
      <c r="AF714" t="s">
        <v>73</v>
      </c>
      <c r="AH714" t="s">
        <v>3463</v>
      </c>
      <c r="AI714" t="s">
        <v>3465</v>
      </c>
      <c r="AJ714" t="s">
        <v>3463</v>
      </c>
      <c r="AK714" t="s">
        <v>3463</v>
      </c>
      <c r="AL714" t="s">
        <v>3463</v>
      </c>
      <c r="AO714" t="s">
        <v>3463</v>
      </c>
      <c r="AP714" t="s">
        <v>3465</v>
      </c>
      <c r="AQ714" t="s">
        <v>1093</v>
      </c>
      <c r="AR714" t="s">
        <v>3491</v>
      </c>
      <c r="AS714" t="s">
        <v>3465</v>
      </c>
      <c r="AV714" t="s">
        <v>74</v>
      </c>
      <c r="AW714" t="s">
        <v>3915</v>
      </c>
      <c r="BA714" t="s">
        <v>3920</v>
      </c>
      <c r="BC714" t="s">
        <v>128</v>
      </c>
      <c r="BE714" t="s">
        <v>153</v>
      </c>
      <c r="BF714" t="s">
        <v>153</v>
      </c>
      <c r="BG714" t="s">
        <v>1749</v>
      </c>
      <c r="BH714" t="s">
        <v>4167</v>
      </c>
      <c r="BI714" t="s">
        <v>1689</v>
      </c>
      <c r="BK714" t="s">
        <v>1750</v>
      </c>
      <c r="BP714" t="s">
        <v>4463</v>
      </c>
      <c r="BQ714" t="s">
        <v>3465</v>
      </c>
      <c r="BR714" t="s">
        <v>3465</v>
      </c>
      <c r="BS714" t="s">
        <v>3463</v>
      </c>
      <c r="BT714" t="s">
        <v>3463</v>
      </c>
      <c r="BU714" t="s">
        <v>3463</v>
      </c>
      <c r="BV714" t="s">
        <v>3463</v>
      </c>
      <c r="BW714" t="s">
        <v>3463</v>
      </c>
      <c r="BX714" t="s">
        <v>79</v>
      </c>
      <c r="BY714" t="s">
        <v>79</v>
      </c>
      <c r="BZ714" t="s">
        <v>79</v>
      </c>
      <c r="CA714" s="10">
        <v>45911</v>
      </c>
    </row>
    <row r="715" spans="1:79">
      <c r="A715">
        <v>722</v>
      </c>
      <c r="B715">
        <v>39</v>
      </c>
      <c r="C715">
        <v>23</v>
      </c>
      <c r="D715" t="s">
        <v>3466</v>
      </c>
      <c r="E715" t="s">
        <v>1744</v>
      </c>
      <c r="F715" t="s">
        <v>150</v>
      </c>
      <c r="G715" s="12" t="s">
        <v>3463</v>
      </c>
      <c r="H715" s="12"/>
      <c r="I715">
        <v>73</v>
      </c>
      <c r="K715">
        <v>128</v>
      </c>
      <c r="L715">
        <v>68</v>
      </c>
      <c r="M715" t="s">
        <v>118</v>
      </c>
      <c r="P715" t="s">
        <v>83</v>
      </c>
      <c r="Q715" t="s">
        <v>118</v>
      </c>
      <c r="R715">
        <v>82</v>
      </c>
      <c r="S715">
        <v>152</v>
      </c>
      <c r="T715" s="8">
        <f t="shared" si="22"/>
        <v>35.491689750692522</v>
      </c>
      <c r="U715" s="13" t="str" cm="1">
        <f t="array" ref="U715">IF(T715="","",_xlfn.IFS(T715&lt;18.5,"Bajo peso",T715&lt;25,"Peso normal",T715&lt;30,"Sobrepeso",T715&lt;35,"Obesidad clase I",T715&lt;40,"Obesidad clase II",T715&gt;=40,"Obesidad clase III"))</f>
        <v>Obesidad clase II</v>
      </c>
      <c r="V715">
        <v>88</v>
      </c>
      <c r="X715" t="s">
        <v>3463</v>
      </c>
      <c r="Y715">
        <v>0.81</v>
      </c>
      <c r="AA715">
        <v>90</v>
      </c>
      <c r="AB715" s="9">
        <f t="shared" si="23"/>
        <v>104.53971401177415</v>
      </c>
      <c r="AD715" t="s">
        <v>73</v>
      </c>
      <c r="AF715" t="s">
        <v>73</v>
      </c>
      <c r="AH715" t="s">
        <v>3463</v>
      </c>
      <c r="AI715" t="s">
        <v>3463</v>
      </c>
      <c r="AJ715" t="s">
        <v>3463</v>
      </c>
      <c r="AK715" t="s">
        <v>3463</v>
      </c>
      <c r="AL715" t="s">
        <v>3463</v>
      </c>
      <c r="AP715" t="s">
        <v>3463</v>
      </c>
      <c r="AQ715" t="s">
        <v>698</v>
      </c>
      <c r="AR715" t="s">
        <v>3488</v>
      </c>
      <c r="AV715" t="s">
        <v>74</v>
      </c>
      <c r="AW715" t="s">
        <v>3915</v>
      </c>
      <c r="AX715" t="s">
        <v>3463</v>
      </c>
      <c r="BF715" t="s">
        <v>3921</v>
      </c>
      <c r="BH715" t="s">
        <v>4020</v>
      </c>
      <c r="BP715" t="s">
        <v>4260</v>
      </c>
      <c r="BQ715" t="s">
        <v>3463</v>
      </c>
      <c r="BR715" t="s">
        <v>3463</v>
      </c>
      <c r="BS715" t="s">
        <v>3465</v>
      </c>
      <c r="BT715" t="s">
        <v>3465</v>
      </c>
      <c r="BU715" t="s">
        <v>3463</v>
      </c>
      <c r="BV715" t="s">
        <v>3463</v>
      </c>
      <c r="BW715" t="s">
        <v>3463</v>
      </c>
      <c r="BX715" t="s">
        <v>79</v>
      </c>
      <c r="BY715" t="s">
        <v>87</v>
      </c>
      <c r="BZ715" t="s">
        <v>79</v>
      </c>
      <c r="CA715" s="10">
        <v>45911</v>
      </c>
    </row>
    <row r="716" spans="1:79">
      <c r="A716">
        <v>723</v>
      </c>
      <c r="B716">
        <v>40</v>
      </c>
      <c r="C716">
        <v>59</v>
      </c>
      <c r="D716" t="s">
        <v>3466</v>
      </c>
      <c r="F716" t="s">
        <v>150</v>
      </c>
      <c r="G716" s="12" t="s">
        <v>3463</v>
      </c>
      <c r="I716">
        <v>86</v>
      </c>
      <c r="K716">
        <v>139</v>
      </c>
      <c r="L716">
        <v>89</v>
      </c>
      <c r="M716" t="s">
        <v>82</v>
      </c>
      <c r="P716" t="s">
        <v>83</v>
      </c>
      <c r="Q716" t="s">
        <v>82</v>
      </c>
      <c r="R716">
        <v>72</v>
      </c>
      <c r="S716">
        <v>155</v>
      </c>
      <c r="T716" s="8">
        <f t="shared" si="22"/>
        <v>29.968782518210197</v>
      </c>
      <c r="U716" s="13" t="str" cm="1">
        <f t="array" ref="U716">IF(T716="","",_xlfn.IFS(T716&lt;18.5,"Bajo peso",T716&lt;25,"Peso normal",T716&lt;30,"Sobrepeso",T716&lt;35,"Obesidad clase I",T716&lt;40,"Obesidad clase II",T716&gt;=40,"Obesidad clase III"))</f>
        <v>Sobrepeso</v>
      </c>
      <c r="V716">
        <v>88</v>
      </c>
      <c r="X716" t="s">
        <v>3463</v>
      </c>
      <c r="Y716">
        <v>0.87</v>
      </c>
      <c r="AA716">
        <v>77</v>
      </c>
      <c r="AB716" s="9">
        <f t="shared" si="23"/>
        <v>76.701517075498302</v>
      </c>
      <c r="AD716" t="s">
        <v>73</v>
      </c>
      <c r="AF716" t="s">
        <v>73</v>
      </c>
      <c r="AH716" t="s">
        <v>3463</v>
      </c>
      <c r="AI716" t="s">
        <v>3463</v>
      </c>
      <c r="AJ716" t="s">
        <v>3463</v>
      </c>
      <c r="AK716" t="s">
        <v>3465</v>
      </c>
      <c r="AL716" t="s">
        <v>3465</v>
      </c>
      <c r="AM716" t="s">
        <v>1751</v>
      </c>
      <c r="AN716" t="s">
        <v>3761</v>
      </c>
      <c r="AP716" t="s">
        <v>3463</v>
      </c>
      <c r="AQ716" t="s">
        <v>1752</v>
      </c>
      <c r="AR716" t="s">
        <v>3573</v>
      </c>
      <c r="AT716" t="s">
        <v>3465</v>
      </c>
      <c r="AU716" t="s">
        <v>125</v>
      </c>
      <c r="AV716" t="s">
        <v>74</v>
      </c>
      <c r="AW716" t="s">
        <v>3915</v>
      </c>
      <c r="AY716" t="s">
        <v>3465</v>
      </c>
      <c r="AZ716" t="s">
        <v>1753</v>
      </c>
      <c r="BF716" t="s">
        <v>3921</v>
      </c>
      <c r="BG716" t="s">
        <v>1754</v>
      </c>
      <c r="BH716" t="s">
        <v>4173</v>
      </c>
      <c r="BI716" t="s">
        <v>76</v>
      </c>
      <c r="BL716" t="s">
        <v>720</v>
      </c>
      <c r="BP716" t="s">
        <v>4261</v>
      </c>
      <c r="BQ716" t="s">
        <v>3463</v>
      </c>
      <c r="BR716" t="s">
        <v>3463</v>
      </c>
      <c r="BS716" t="s">
        <v>3465</v>
      </c>
      <c r="BT716" t="s">
        <v>3465</v>
      </c>
      <c r="BU716" t="s">
        <v>3463</v>
      </c>
      <c r="BV716" t="s">
        <v>3463</v>
      </c>
      <c r="BW716" t="s">
        <v>3463</v>
      </c>
      <c r="BX716" t="s">
        <v>79</v>
      </c>
      <c r="BY716" t="s">
        <v>79</v>
      </c>
      <c r="BZ716" t="s">
        <v>79</v>
      </c>
      <c r="CA716" s="10">
        <v>45911</v>
      </c>
    </row>
    <row r="717" spans="1:79">
      <c r="A717">
        <v>724</v>
      </c>
      <c r="B717">
        <v>41</v>
      </c>
      <c r="C717">
        <v>61</v>
      </c>
      <c r="D717" t="s">
        <v>3466</v>
      </c>
      <c r="F717" t="s">
        <v>150</v>
      </c>
      <c r="G717" s="12" t="s">
        <v>3463</v>
      </c>
      <c r="H717" s="12"/>
      <c r="I717">
        <v>82</v>
      </c>
      <c r="J717">
        <v>79</v>
      </c>
      <c r="K717">
        <v>151</v>
      </c>
      <c r="L717">
        <v>85</v>
      </c>
      <c r="M717" t="s">
        <v>72</v>
      </c>
      <c r="N717">
        <v>140</v>
      </c>
      <c r="O717">
        <v>82</v>
      </c>
      <c r="P717" t="s">
        <v>72</v>
      </c>
      <c r="Q717" t="s">
        <v>72</v>
      </c>
      <c r="R717">
        <v>83</v>
      </c>
      <c r="S717">
        <v>152</v>
      </c>
      <c r="T717" s="8">
        <f t="shared" si="22"/>
        <v>35.924515235457065</v>
      </c>
      <c r="U717" s="13" t="str" cm="1">
        <f t="array" ref="U717">IF(T717="","",_xlfn.IFS(T717&lt;18.5,"Bajo peso",T717&lt;25,"Peso normal",T717&lt;30,"Sobrepeso",T717&lt;35,"Obesidad clase I",T717&lt;40,"Obesidad clase II",T717&gt;=40,"Obesidad clase III"))</f>
        <v>Obesidad clase II</v>
      </c>
      <c r="V717">
        <v>98</v>
      </c>
      <c r="X717" t="s">
        <v>3463</v>
      </c>
      <c r="Y717">
        <v>0.79</v>
      </c>
      <c r="AA717">
        <v>84</v>
      </c>
      <c r="AB717" s="9">
        <f t="shared" si="23"/>
        <v>85.049650315478502</v>
      </c>
      <c r="AD717" t="s">
        <v>73</v>
      </c>
      <c r="AF717" t="s">
        <v>73</v>
      </c>
      <c r="AH717" t="s">
        <v>3463</v>
      </c>
      <c r="AI717" t="s">
        <v>3465</v>
      </c>
      <c r="AJ717" t="s">
        <v>3463</v>
      </c>
      <c r="AK717" t="s">
        <v>3463</v>
      </c>
      <c r="AL717" t="s">
        <v>3465</v>
      </c>
      <c r="AM717" t="s">
        <v>1755</v>
      </c>
      <c r="AN717" t="s">
        <v>3762</v>
      </c>
      <c r="AP717" t="s">
        <v>3463</v>
      </c>
      <c r="AQ717" t="s">
        <v>1756</v>
      </c>
      <c r="AR717" t="s">
        <v>3488</v>
      </c>
      <c r="AS717" t="s">
        <v>3465</v>
      </c>
      <c r="AT717" t="s">
        <v>3465</v>
      </c>
      <c r="AU717" t="s">
        <v>80</v>
      </c>
      <c r="AV717" t="s">
        <v>74</v>
      </c>
      <c r="AW717" t="s">
        <v>3915</v>
      </c>
      <c r="AX717" t="s">
        <v>3465</v>
      </c>
      <c r="AY717" t="s">
        <v>3465</v>
      </c>
      <c r="AZ717" t="s">
        <v>137</v>
      </c>
      <c r="BA717" t="s">
        <v>3920</v>
      </c>
      <c r="BF717" t="s">
        <v>3921</v>
      </c>
      <c r="BG717" t="s">
        <v>1757</v>
      </c>
      <c r="BH717" t="s">
        <v>4021</v>
      </c>
      <c r="BK717" t="s">
        <v>1758</v>
      </c>
      <c r="BL717" t="s">
        <v>1759</v>
      </c>
      <c r="BP717" t="s">
        <v>4464</v>
      </c>
      <c r="BQ717" t="s">
        <v>3465</v>
      </c>
      <c r="BR717" t="s">
        <v>3465</v>
      </c>
      <c r="BS717" t="s">
        <v>3465</v>
      </c>
      <c r="BT717" t="s">
        <v>3465</v>
      </c>
      <c r="BU717" t="s">
        <v>3463</v>
      </c>
      <c r="BV717" t="s">
        <v>3463</v>
      </c>
      <c r="BW717" t="s">
        <v>3463</v>
      </c>
      <c r="BX717" t="s">
        <v>79</v>
      </c>
      <c r="BY717" t="s">
        <v>79</v>
      </c>
      <c r="BZ717" t="s">
        <v>79</v>
      </c>
      <c r="CA717" s="10">
        <v>45911</v>
      </c>
    </row>
    <row r="718" spans="1:79">
      <c r="A718">
        <v>725</v>
      </c>
      <c r="B718">
        <v>42</v>
      </c>
      <c r="C718">
        <v>60</v>
      </c>
      <c r="D718" t="s">
        <v>3466</v>
      </c>
      <c r="F718" t="s">
        <v>150</v>
      </c>
      <c r="G718" s="12" t="s">
        <v>3463</v>
      </c>
      <c r="I718">
        <v>82</v>
      </c>
      <c r="J718">
        <v>80</v>
      </c>
      <c r="K718">
        <v>147</v>
      </c>
      <c r="L718">
        <v>86</v>
      </c>
      <c r="M718" t="s">
        <v>72</v>
      </c>
      <c r="N718">
        <v>150</v>
      </c>
      <c r="O718">
        <v>85</v>
      </c>
      <c r="P718" t="s">
        <v>72</v>
      </c>
      <c r="Q718" t="s">
        <v>72</v>
      </c>
      <c r="R718">
        <v>63.2</v>
      </c>
      <c r="S718">
        <v>149.5</v>
      </c>
      <c r="T718" s="8">
        <f t="shared" si="22"/>
        <v>28.277088623169764</v>
      </c>
      <c r="U718" s="13" t="str" cm="1">
        <f t="array" ref="U718">IF(T718="","",_xlfn.IFS(T718&lt;18.5,"Bajo peso",T718&lt;25,"Peso normal",T718&lt;30,"Sobrepeso",T718&lt;35,"Obesidad clase I",T718&lt;40,"Obesidad clase II",T718&gt;=40,"Obesidad clase III"))</f>
        <v>Sobrepeso</v>
      </c>
      <c r="V718">
        <v>120</v>
      </c>
      <c r="X718" t="s">
        <v>3463</v>
      </c>
      <c r="Y718">
        <v>1.17</v>
      </c>
      <c r="AA718">
        <v>54</v>
      </c>
      <c r="AB718" s="9">
        <f t="shared" si="23"/>
        <v>53.419893194916938</v>
      </c>
      <c r="AD718" t="s">
        <v>158</v>
      </c>
      <c r="AF718" t="s">
        <v>158</v>
      </c>
      <c r="AH718" t="s">
        <v>3463</v>
      </c>
      <c r="AI718" t="s">
        <v>3463</v>
      </c>
      <c r="AJ718" t="s">
        <v>3464</v>
      </c>
      <c r="AK718" t="s">
        <v>3463</v>
      </c>
      <c r="AL718" t="s">
        <v>3463</v>
      </c>
      <c r="AP718" t="s">
        <v>3463</v>
      </c>
      <c r="AQ718" t="s">
        <v>881</v>
      </c>
      <c r="AR718" t="s">
        <v>3488</v>
      </c>
      <c r="AT718" t="s">
        <v>3465</v>
      </c>
      <c r="AU718" t="s">
        <v>125</v>
      </c>
      <c r="AW718" t="s">
        <v>3916</v>
      </c>
      <c r="AX718" t="s">
        <v>3463</v>
      </c>
      <c r="AY718" t="s">
        <v>3465</v>
      </c>
      <c r="AZ718" t="s">
        <v>90</v>
      </c>
      <c r="BF718" t="s">
        <v>3921</v>
      </c>
      <c r="BG718" t="s">
        <v>1760</v>
      </c>
      <c r="BH718" t="s">
        <v>4174</v>
      </c>
      <c r="BI718" t="s">
        <v>734</v>
      </c>
      <c r="BK718" t="s">
        <v>1761</v>
      </c>
      <c r="BL718" t="s">
        <v>1762</v>
      </c>
      <c r="BP718" t="s">
        <v>4373</v>
      </c>
      <c r="BQ718" t="s">
        <v>3463</v>
      </c>
      <c r="BR718" t="s">
        <v>3465</v>
      </c>
      <c r="BS718" t="s">
        <v>3465</v>
      </c>
      <c r="BT718" t="s">
        <v>3465</v>
      </c>
      <c r="BU718" t="s">
        <v>3463</v>
      </c>
      <c r="BV718" t="s">
        <v>3463</v>
      </c>
      <c r="BW718" t="s">
        <v>3463</v>
      </c>
      <c r="BX718" t="s">
        <v>654</v>
      </c>
      <c r="BY718" t="s">
        <v>79</v>
      </c>
      <c r="BZ718" t="s">
        <v>79</v>
      </c>
      <c r="CA718" s="10">
        <v>45911</v>
      </c>
    </row>
    <row r="719" spans="1:79">
      <c r="A719">
        <v>726</v>
      </c>
      <c r="B719">
        <v>43</v>
      </c>
      <c r="C719">
        <v>74</v>
      </c>
      <c r="D719" t="s">
        <v>3466</v>
      </c>
      <c r="E719" t="s">
        <v>1659</v>
      </c>
      <c r="F719" t="s">
        <v>150</v>
      </c>
      <c r="G719" s="12" t="s">
        <v>3463</v>
      </c>
      <c r="H719" s="12"/>
      <c r="I719">
        <v>75</v>
      </c>
      <c r="K719">
        <v>128</v>
      </c>
      <c r="L719">
        <v>67</v>
      </c>
      <c r="M719" t="s">
        <v>118</v>
      </c>
      <c r="P719" t="s">
        <v>83</v>
      </c>
      <c r="Q719" t="s">
        <v>118</v>
      </c>
      <c r="R719">
        <v>75</v>
      </c>
      <c r="S719">
        <v>155</v>
      </c>
      <c r="T719" s="8">
        <f t="shared" si="22"/>
        <v>31.217481789802289</v>
      </c>
      <c r="U719" s="13" t="str" cm="1">
        <f t="array" ref="U719">IF(T719="","",_xlfn.IFS(T719&lt;18.5,"Bajo peso",T719&lt;25,"Peso normal",T719&lt;30,"Sobrepeso",T719&lt;35,"Obesidad clase I",T719&lt;40,"Obesidad clase II",T719&gt;=40,"Obesidad clase III"))</f>
        <v>Obesidad clase I</v>
      </c>
      <c r="V719">
        <v>180</v>
      </c>
      <c r="X719" t="s">
        <v>3463</v>
      </c>
      <c r="Y719">
        <v>1.17</v>
      </c>
      <c r="AA719">
        <v>49</v>
      </c>
      <c r="AB719" s="9">
        <f t="shared" si="23"/>
        <v>48.965355181933177</v>
      </c>
      <c r="AD719" t="s">
        <v>158</v>
      </c>
      <c r="AF719" t="s">
        <v>158</v>
      </c>
      <c r="AG719" t="s">
        <v>3465</v>
      </c>
      <c r="AH719" t="s">
        <v>3465</v>
      </c>
      <c r="AI719" t="s">
        <v>3465</v>
      </c>
      <c r="AJ719" t="s">
        <v>3463</v>
      </c>
      <c r="AK719" t="s">
        <v>3463</v>
      </c>
      <c r="AL719" t="s">
        <v>3465</v>
      </c>
      <c r="AM719" t="s">
        <v>1763</v>
      </c>
      <c r="AN719" t="s">
        <v>3664</v>
      </c>
      <c r="AO719" t="s">
        <v>3463</v>
      </c>
      <c r="AP719" t="s">
        <v>3465</v>
      </c>
      <c r="AQ719" t="s">
        <v>1764</v>
      </c>
      <c r="AR719" t="s">
        <v>3530</v>
      </c>
      <c r="AS719" t="s">
        <v>3465</v>
      </c>
      <c r="AT719" t="s">
        <v>3465</v>
      </c>
      <c r="AU719" t="s">
        <v>80</v>
      </c>
      <c r="AV719" t="s">
        <v>112</v>
      </c>
      <c r="AW719" t="s">
        <v>3917</v>
      </c>
      <c r="AX719" t="s">
        <v>3463</v>
      </c>
      <c r="AY719" t="s">
        <v>3465</v>
      </c>
      <c r="AZ719" t="s">
        <v>90</v>
      </c>
      <c r="BA719" t="s">
        <v>3920</v>
      </c>
      <c r="BB719" t="s">
        <v>3485</v>
      </c>
      <c r="BC719" t="s">
        <v>128</v>
      </c>
      <c r="BE719" t="s">
        <v>1765</v>
      </c>
      <c r="BF719" t="s">
        <v>3664</v>
      </c>
      <c r="BG719" t="s">
        <v>1766</v>
      </c>
      <c r="BH719" t="s">
        <v>4150</v>
      </c>
      <c r="BI719" t="s">
        <v>629</v>
      </c>
      <c r="BK719" t="s">
        <v>1767</v>
      </c>
      <c r="BP719" t="s">
        <v>4258</v>
      </c>
      <c r="BQ719" t="s">
        <v>3463</v>
      </c>
      <c r="BR719" t="s">
        <v>3463</v>
      </c>
      <c r="BS719" t="s">
        <v>3463</v>
      </c>
      <c r="BT719" t="s">
        <v>3463</v>
      </c>
      <c r="BU719" t="s">
        <v>3463</v>
      </c>
      <c r="BV719" t="s">
        <v>3463</v>
      </c>
      <c r="BW719" t="s">
        <v>3463</v>
      </c>
      <c r="BX719" t="s">
        <v>79</v>
      </c>
      <c r="BY719" t="s">
        <v>121</v>
      </c>
      <c r="BZ719" t="s">
        <v>79</v>
      </c>
      <c r="CA719" s="10">
        <v>45911</v>
      </c>
    </row>
    <row r="720" spans="1:79">
      <c r="A720">
        <v>727</v>
      </c>
      <c r="B720">
        <v>44</v>
      </c>
      <c r="C720">
        <v>55</v>
      </c>
      <c r="D720" t="s">
        <v>3466</v>
      </c>
      <c r="F720" t="s">
        <v>150</v>
      </c>
      <c r="G720" s="12" t="s">
        <v>3465</v>
      </c>
      <c r="H720" t="s">
        <v>88</v>
      </c>
      <c r="I720">
        <v>67</v>
      </c>
      <c r="J720">
        <v>64</v>
      </c>
      <c r="K720">
        <v>183</v>
      </c>
      <c r="L720">
        <v>101</v>
      </c>
      <c r="M720" t="s">
        <v>96</v>
      </c>
      <c r="N720">
        <v>161</v>
      </c>
      <c r="O720">
        <v>94</v>
      </c>
      <c r="P720" t="s">
        <v>72</v>
      </c>
      <c r="Q720" t="s">
        <v>72</v>
      </c>
      <c r="R720">
        <v>73.5</v>
      </c>
      <c r="S720">
        <v>156</v>
      </c>
      <c r="T720" s="8">
        <f t="shared" si="22"/>
        <v>30.202169625246547</v>
      </c>
      <c r="U720" s="13" t="str" cm="1">
        <f t="array" ref="U720">IF(T720="","",_xlfn.IFS(T720&lt;18.5,"Bajo peso",T720&lt;25,"Peso normal",T720&lt;30,"Sobrepeso",T720&lt;35,"Obesidad clase I",T720&lt;40,"Obesidad clase II",T720&gt;=40,"Obesidad clase III"))</f>
        <v>Obesidad clase I</v>
      </c>
      <c r="V720">
        <v>135</v>
      </c>
      <c r="X720" t="s">
        <v>3463</v>
      </c>
      <c r="Y720">
        <v>0.69</v>
      </c>
      <c r="AA720">
        <v>90</v>
      </c>
      <c r="AB720" s="9">
        <f t="shared" si="23"/>
        <v>102.42817532604248</v>
      </c>
      <c r="AD720" t="s">
        <v>73</v>
      </c>
      <c r="AF720" t="s">
        <v>73</v>
      </c>
      <c r="AG720" t="s">
        <v>3465</v>
      </c>
      <c r="AH720" t="s">
        <v>3465</v>
      </c>
      <c r="AI720" t="s">
        <v>3463</v>
      </c>
      <c r="AJ720" t="s">
        <v>3463</v>
      </c>
      <c r="AK720" t="s">
        <v>3463</v>
      </c>
      <c r="AL720" t="s">
        <v>3463</v>
      </c>
      <c r="AP720" t="s">
        <v>3463</v>
      </c>
      <c r="AS720" t="s">
        <v>3465</v>
      </c>
      <c r="AT720" t="s">
        <v>3465</v>
      </c>
      <c r="AU720" t="s">
        <v>80</v>
      </c>
      <c r="AV720" t="s">
        <v>74</v>
      </c>
      <c r="AW720" t="s">
        <v>3915</v>
      </c>
      <c r="AX720" t="s">
        <v>3463</v>
      </c>
      <c r="AY720" t="s">
        <v>3465</v>
      </c>
      <c r="AZ720" t="s">
        <v>247</v>
      </c>
      <c r="BB720" t="s">
        <v>3485</v>
      </c>
      <c r="BC720" t="s">
        <v>128</v>
      </c>
      <c r="BF720" t="s">
        <v>3921</v>
      </c>
      <c r="BG720" t="s">
        <v>1768</v>
      </c>
      <c r="BH720" t="s">
        <v>4167</v>
      </c>
      <c r="BI720" t="s">
        <v>76</v>
      </c>
      <c r="BK720" t="s">
        <v>1769</v>
      </c>
      <c r="BP720" t="s">
        <v>4465</v>
      </c>
      <c r="BQ720" t="s">
        <v>3463</v>
      </c>
      <c r="BR720" t="s">
        <v>3465</v>
      </c>
      <c r="BS720" t="s">
        <v>3463</v>
      </c>
      <c r="BT720" t="s">
        <v>3463</v>
      </c>
      <c r="BU720" t="s">
        <v>3463</v>
      </c>
      <c r="BV720" t="s">
        <v>3463</v>
      </c>
      <c r="BW720" t="s">
        <v>3463</v>
      </c>
      <c r="BX720" t="s">
        <v>79</v>
      </c>
      <c r="BY720" t="s">
        <v>79</v>
      </c>
      <c r="BZ720" t="s">
        <v>79</v>
      </c>
      <c r="CA720" s="10">
        <v>45911</v>
      </c>
    </row>
    <row r="721" spans="1:79">
      <c r="A721">
        <v>728</v>
      </c>
      <c r="B721">
        <v>45</v>
      </c>
      <c r="C721">
        <v>60</v>
      </c>
      <c r="D721" t="s">
        <v>3466</v>
      </c>
      <c r="F721" t="s">
        <v>150</v>
      </c>
      <c r="G721" s="12" t="s">
        <v>3465</v>
      </c>
      <c r="H721" s="12" t="s">
        <v>88</v>
      </c>
      <c r="I721">
        <v>90</v>
      </c>
      <c r="J721">
        <v>86</v>
      </c>
      <c r="K721">
        <v>145</v>
      </c>
      <c r="L721">
        <v>78</v>
      </c>
      <c r="M721" t="s">
        <v>72</v>
      </c>
      <c r="N721">
        <v>128</v>
      </c>
      <c r="O721">
        <v>75</v>
      </c>
      <c r="P721" t="s">
        <v>118</v>
      </c>
      <c r="Q721" t="s">
        <v>118</v>
      </c>
      <c r="R721">
        <v>80.7</v>
      </c>
      <c r="S721">
        <v>143</v>
      </c>
      <c r="T721" s="8">
        <f t="shared" si="22"/>
        <v>39.464032471025476</v>
      </c>
      <c r="U721" s="13" t="str" cm="1">
        <f t="array" ref="U721">IF(T721="","",_xlfn.IFS(T721&lt;18.5,"Bajo peso",T721&lt;25,"Peso normal",T721&lt;30,"Sobrepeso",T721&lt;35,"Obesidad clase I",T721&lt;40,"Obesidad clase II",T721&gt;=40,"Obesidad clase III"))</f>
        <v>Obesidad clase II</v>
      </c>
      <c r="V721">
        <v>424</v>
      </c>
      <c r="X721" t="s">
        <v>3465</v>
      </c>
      <c r="Y721">
        <v>0.72</v>
      </c>
      <c r="AA721">
        <v>90</v>
      </c>
      <c r="AB721" s="9">
        <f t="shared" si="23"/>
        <v>95.659268109989554</v>
      </c>
      <c r="AD721" t="s">
        <v>73</v>
      </c>
      <c r="AF721" t="s">
        <v>73</v>
      </c>
      <c r="AG721" t="s">
        <v>3463</v>
      </c>
      <c r="AH721" t="s">
        <v>3465</v>
      </c>
      <c r="AI721" t="s">
        <v>3463</v>
      </c>
      <c r="AJ721" t="s">
        <v>3463</v>
      </c>
      <c r="AK721" t="s">
        <v>3465</v>
      </c>
      <c r="AL721" t="s">
        <v>3465</v>
      </c>
      <c r="AM721" t="s">
        <v>1770</v>
      </c>
      <c r="AN721" t="s">
        <v>3763</v>
      </c>
      <c r="AP721" t="s">
        <v>3463</v>
      </c>
      <c r="AQ721" t="s">
        <v>1771</v>
      </c>
      <c r="AR721" t="s">
        <v>3491</v>
      </c>
      <c r="AT721" t="s">
        <v>3465</v>
      </c>
      <c r="AU721" t="s">
        <v>80</v>
      </c>
      <c r="AV721" t="s">
        <v>74</v>
      </c>
      <c r="AW721" t="s">
        <v>3915</v>
      </c>
      <c r="AX721" t="s">
        <v>3463</v>
      </c>
      <c r="AY721" t="s">
        <v>3465</v>
      </c>
      <c r="AZ721" t="s">
        <v>104</v>
      </c>
      <c r="BA721" t="s">
        <v>3920</v>
      </c>
      <c r="BB721" t="s">
        <v>3485</v>
      </c>
      <c r="BF721" t="s">
        <v>3921</v>
      </c>
      <c r="BG721" t="s">
        <v>1772</v>
      </c>
      <c r="BH721" t="s">
        <v>4175</v>
      </c>
      <c r="BL721" t="s">
        <v>1773</v>
      </c>
      <c r="BP721" t="s">
        <v>4309</v>
      </c>
      <c r="BQ721" t="s">
        <v>3463</v>
      </c>
      <c r="BR721" t="s">
        <v>3463</v>
      </c>
      <c r="BS721" t="s">
        <v>3463</v>
      </c>
      <c r="BT721" t="s">
        <v>3463</v>
      </c>
      <c r="BU721" t="s">
        <v>3465</v>
      </c>
      <c r="BV721" t="s">
        <v>3465</v>
      </c>
      <c r="BW721" t="s">
        <v>3465</v>
      </c>
      <c r="BX721" t="s">
        <v>79</v>
      </c>
      <c r="BY721" t="s">
        <v>487</v>
      </c>
      <c r="BZ721" t="s">
        <v>79</v>
      </c>
      <c r="CA721" s="10">
        <v>45911</v>
      </c>
    </row>
    <row r="722" spans="1:79">
      <c r="A722">
        <v>729</v>
      </c>
      <c r="B722">
        <v>46</v>
      </c>
      <c r="C722">
        <v>32</v>
      </c>
      <c r="D722" t="s">
        <v>3466</v>
      </c>
      <c r="F722" t="s">
        <v>150</v>
      </c>
      <c r="G722" s="12" t="s">
        <v>3465</v>
      </c>
      <c r="H722" t="s">
        <v>88</v>
      </c>
      <c r="I722">
        <v>81</v>
      </c>
      <c r="K722">
        <v>112</v>
      </c>
      <c r="L722">
        <v>71</v>
      </c>
      <c r="M722" t="s">
        <v>80</v>
      </c>
      <c r="P722" t="s">
        <v>83</v>
      </c>
      <c r="Q722" t="s">
        <v>80</v>
      </c>
      <c r="R722">
        <v>79</v>
      </c>
      <c r="S722">
        <v>163</v>
      </c>
      <c r="T722" s="8">
        <f t="shared" si="22"/>
        <v>29.733900410252552</v>
      </c>
      <c r="U722" s="13" t="str" cm="1">
        <f t="array" ref="U722">IF(T722="","",_xlfn.IFS(T722&lt;18.5,"Bajo peso",T722&lt;25,"Peso normal",T722&lt;30,"Sobrepeso",T722&lt;35,"Obesidad clase I",T722&lt;40,"Obesidad clase II",T722&gt;=40,"Obesidad clase III"))</f>
        <v>Sobrepeso</v>
      </c>
      <c r="V722">
        <v>110</v>
      </c>
      <c r="X722" t="s">
        <v>3463</v>
      </c>
      <c r="Y722">
        <v>0.98</v>
      </c>
      <c r="AA722">
        <v>79</v>
      </c>
      <c r="AB722" s="9">
        <f t="shared" si="23"/>
        <v>78.647146706162403</v>
      </c>
      <c r="AD722" t="s">
        <v>73</v>
      </c>
      <c r="AF722" t="s">
        <v>73</v>
      </c>
      <c r="AH722" t="s">
        <v>3463</v>
      </c>
      <c r="AI722" t="s">
        <v>3463</v>
      </c>
      <c r="AJ722" t="s">
        <v>3463</v>
      </c>
      <c r="AK722" t="s">
        <v>3463</v>
      </c>
      <c r="AL722" t="s">
        <v>3463</v>
      </c>
      <c r="AP722" t="s">
        <v>3463</v>
      </c>
      <c r="AQ722" t="s">
        <v>881</v>
      </c>
      <c r="AR722" t="s">
        <v>3488</v>
      </c>
      <c r="AV722" t="s">
        <v>126</v>
      </c>
      <c r="AW722" t="s">
        <v>126</v>
      </c>
      <c r="AX722" t="s">
        <v>3463</v>
      </c>
      <c r="AY722" t="s">
        <v>3465</v>
      </c>
      <c r="AZ722" t="s">
        <v>247</v>
      </c>
      <c r="BF722" t="s">
        <v>3921</v>
      </c>
      <c r="BH722" t="s">
        <v>4020</v>
      </c>
      <c r="BP722" t="s">
        <v>4260</v>
      </c>
      <c r="BQ722" t="s">
        <v>3463</v>
      </c>
      <c r="BR722" t="s">
        <v>3463</v>
      </c>
      <c r="BS722" t="s">
        <v>3465</v>
      </c>
      <c r="BT722" t="s">
        <v>3465</v>
      </c>
      <c r="BU722" t="s">
        <v>3463</v>
      </c>
      <c r="BV722" t="s">
        <v>3463</v>
      </c>
      <c r="BW722" t="s">
        <v>3463</v>
      </c>
      <c r="BX722" t="s">
        <v>79</v>
      </c>
      <c r="BY722" t="s">
        <v>79</v>
      </c>
      <c r="BZ722" t="s">
        <v>79</v>
      </c>
      <c r="CA722" s="10">
        <v>45911</v>
      </c>
    </row>
    <row r="723" spans="1:79">
      <c r="A723">
        <v>730</v>
      </c>
      <c r="B723">
        <v>47</v>
      </c>
      <c r="C723">
        <v>34</v>
      </c>
      <c r="D723" t="s">
        <v>3466</v>
      </c>
      <c r="F723" t="s">
        <v>150</v>
      </c>
      <c r="G723" s="12" t="s">
        <v>3465</v>
      </c>
      <c r="H723" t="s">
        <v>88</v>
      </c>
      <c r="I723">
        <v>80</v>
      </c>
      <c r="J723">
        <v>80</v>
      </c>
      <c r="K723">
        <v>156</v>
      </c>
      <c r="L723">
        <v>93</v>
      </c>
      <c r="M723" t="s">
        <v>72</v>
      </c>
      <c r="N723">
        <v>165</v>
      </c>
      <c r="O723">
        <v>97</v>
      </c>
      <c r="P723" t="s">
        <v>72</v>
      </c>
      <c r="Q723" t="s">
        <v>72</v>
      </c>
      <c r="R723">
        <v>100</v>
      </c>
      <c r="S723">
        <v>159</v>
      </c>
      <c r="T723" s="8">
        <f t="shared" si="22"/>
        <v>39.555397333966219</v>
      </c>
      <c r="U723" s="13" t="str" cm="1">
        <f t="array" ref="U723">IF(T723="","",_xlfn.IFS(T723&lt;18.5,"Bajo peso",T723&lt;25,"Peso normal",T723&lt;30,"Sobrepeso",T723&lt;35,"Obesidad clase I",T723&lt;40,"Obesidad clase II",T723&gt;=40,"Obesidad clase III"))</f>
        <v>Obesidad clase II</v>
      </c>
      <c r="V723">
        <v>81</v>
      </c>
      <c r="X723" t="s">
        <v>3463</v>
      </c>
      <c r="Y723">
        <v>1.07</v>
      </c>
      <c r="AA723">
        <v>70</v>
      </c>
      <c r="AB723" s="9">
        <f t="shared" si="23"/>
        <v>69.902339917795686</v>
      </c>
      <c r="AD723" t="s">
        <v>73</v>
      </c>
      <c r="AF723" t="s">
        <v>73</v>
      </c>
      <c r="AH723" t="s">
        <v>3463</v>
      </c>
      <c r="AI723" t="s">
        <v>3463</v>
      </c>
      <c r="AJ723" t="s">
        <v>3463</v>
      </c>
      <c r="AK723" t="s">
        <v>3465</v>
      </c>
      <c r="AL723" t="s">
        <v>3463</v>
      </c>
      <c r="AP723" t="s">
        <v>3463</v>
      </c>
      <c r="AV723" t="s">
        <v>74</v>
      </c>
      <c r="AW723" t="s">
        <v>3915</v>
      </c>
      <c r="AX723" t="s">
        <v>3463</v>
      </c>
      <c r="AY723" t="s">
        <v>3465</v>
      </c>
      <c r="AZ723" t="s">
        <v>247</v>
      </c>
      <c r="BC723" t="s">
        <v>128</v>
      </c>
      <c r="BF723" t="s">
        <v>3921</v>
      </c>
      <c r="BG723" t="s">
        <v>1774</v>
      </c>
      <c r="BH723" t="s">
        <v>4024</v>
      </c>
      <c r="BI723" t="s">
        <v>734</v>
      </c>
      <c r="BK723" t="s">
        <v>1775</v>
      </c>
      <c r="BP723" t="s">
        <v>4462</v>
      </c>
      <c r="BQ723" t="s">
        <v>3465</v>
      </c>
      <c r="BR723" t="s">
        <v>3463</v>
      </c>
      <c r="BS723" t="s">
        <v>3465</v>
      </c>
      <c r="BT723" t="s">
        <v>3465</v>
      </c>
      <c r="BU723" t="s">
        <v>3463</v>
      </c>
      <c r="BV723" t="s">
        <v>3463</v>
      </c>
      <c r="BW723" t="s">
        <v>3463</v>
      </c>
      <c r="BX723" t="s">
        <v>79</v>
      </c>
      <c r="BY723" t="s">
        <v>79</v>
      </c>
      <c r="BZ723" t="s">
        <v>79</v>
      </c>
      <c r="CA723" s="10">
        <v>45911</v>
      </c>
    </row>
    <row r="724" spans="1:79">
      <c r="A724">
        <v>731</v>
      </c>
      <c r="B724">
        <v>48</v>
      </c>
      <c r="C724">
        <v>59</v>
      </c>
      <c r="D724" t="s">
        <v>3466</v>
      </c>
      <c r="E724" t="s">
        <v>1659</v>
      </c>
      <c r="F724" t="s">
        <v>150</v>
      </c>
      <c r="G724" s="12" t="s">
        <v>3463</v>
      </c>
      <c r="I724">
        <v>73</v>
      </c>
      <c r="K724">
        <v>133</v>
      </c>
      <c r="L724">
        <v>82</v>
      </c>
      <c r="M724" t="s">
        <v>82</v>
      </c>
      <c r="P724" t="s">
        <v>83</v>
      </c>
      <c r="Q724" t="s">
        <v>82</v>
      </c>
      <c r="R724">
        <v>71.2</v>
      </c>
      <c r="S724">
        <v>149</v>
      </c>
      <c r="T724" s="8">
        <f t="shared" si="22"/>
        <v>32.070627449214001</v>
      </c>
      <c r="U724" s="13" t="str" cm="1">
        <f t="array" ref="U724">IF(T724="","",_xlfn.IFS(T724&lt;18.5,"Bajo peso",T724&lt;25,"Peso normal",T724&lt;30,"Sobrepeso",T724&lt;35,"Obesidad clase I",T724&lt;40,"Obesidad clase II",T724&gt;=40,"Obesidad clase III"))</f>
        <v>Obesidad clase I</v>
      </c>
      <c r="V724">
        <v>302</v>
      </c>
      <c r="X724" t="s">
        <v>3465</v>
      </c>
      <c r="Y724">
        <v>0.44</v>
      </c>
      <c r="AA724">
        <v>92</v>
      </c>
      <c r="AB724" s="9">
        <f t="shared" si="23"/>
        <v>111.35403064248833</v>
      </c>
      <c r="AD724" t="s">
        <v>73</v>
      </c>
      <c r="AF724" t="s">
        <v>73</v>
      </c>
      <c r="AG724" t="s">
        <v>3465</v>
      </c>
      <c r="AH724" t="s">
        <v>3465</v>
      </c>
      <c r="AI724" t="s">
        <v>3465</v>
      </c>
      <c r="AJ724" t="s">
        <v>3463</v>
      </c>
      <c r="AK724" t="s">
        <v>3463</v>
      </c>
      <c r="AL724" t="s">
        <v>3465</v>
      </c>
      <c r="AM724" t="s">
        <v>1776</v>
      </c>
      <c r="AN724" t="s">
        <v>3764</v>
      </c>
      <c r="AP724" t="s">
        <v>3463</v>
      </c>
      <c r="AQ724" t="s">
        <v>698</v>
      </c>
      <c r="AR724" t="s">
        <v>3488</v>
      </c>
      <c r="AS724" t="s">
        <v>3465</v>
      </c>
      <c r="AT724" t="s">
        <v>3465</v>
      </c>
      <c r="AU724" t="s">
        <v>80</v>
      </c>
      <c r="AV724" t="s">
        <v>178</v>
      </c>
      <c r="AW724" t="s">
        <v>3918</v>
      </c>
      <c r="AX724" t="s">
        <v>3463</v>
      </c>
      <c r="AY724" t="s">
        <v>3465</v>
      </c>
      <c r="AZ724" t="s">
        <v>104</v>
      </c>
      <c r="BB724" t="s">
        <v>3485</v>
      </c>
      <c r="BF724" t="s">
        <v>3921</v>
      </c>
      <c r="BG724" t="s">
        <v>1777</v>
      </c>
      <c r="BH724" t="s">
        <v>4176</v>
      </c>
      <c r="BK724" t="s">
        <v>1778</v>
      </c>
      <c r="BL724" t="s">
        <v>1779</v>
      </c>
      <c r="BP724" t="s">
        <v>4466</v>
      </c>
      <c r="BQ724" t="s">
        <v>3463</v>
      </c>
      <c r="BR724" t="s">
        <v>3465</v>
      </c>
      <c r="BS724" t="s">
        <v>3463</v>
      </c>
      <c r="BT724" t="s">
        <v>3463</v>
      </c>
      <c r="BU724" t="s">
        <v>3463</v>
      </c>
      <c r="BV724" t="s">
        <v>3463</v>
      </c>
      <c r="BW724" t="s">
        <v>3463</v>
      </c>
      <c r="BX724" t="s">
        <v>79</v>
      </c>
      <c r="BY724" t="s">
        <v>121</v>
      </c>
      <c r="BZ724" t="s">
        <v>79</v>
      </c>
      <c r="CA724" s="10">
        <v>45911</v>
      </c>
    </row>
    <row r="725" spans="1:79">
      <c r="A725">
        <v>732</v>
      </c>
      <c r="B725">
        <v>49</v>
      </c>
      <c r="C725">
        <v>56</v>
      </c>
      <c r="D725" t="s">
        <v>3466</v>
      </c>
      <c r="F725" t="s">
        <v>150</v>
      </c>
      <c r="G725" s="12" t="s">
        <v>3463</v>
      </c>
      <c r="I725">
        <v>81</v>
      </c>
      <c r="J725">
        <v>78</v>
      </c>
      <c r="K725">
        <v>151</v>
      </c>
      <c r="L725">
        <v>97</v>
      </c>
      <c r="M725" t="s">
        <v>72</v>
      </c>
      <c r="N725">
        <v>151</v>
      </c>
      <c r="O725">
        <v>92</v>
      </c>
      <c r="P725" t="s">
        <v>72</v>
      </c>
      <c r="Q725" t="s">
        <v>72</v>
      </c>
      <c r="R725">
        <v>90</v>
      </c>
      <c r="S725">
        <v>165</v>
      </c>
      <c r="T725" s="8">
        <f t="shared" si="22"/>
        <v>33.057851239669418</v>
      </c>
      <c r="U725" s="13" t="str" cm="1">
        <f t="array" ref="U725">IF(T725="","",_xlfn.IFS(T725&lt;18.5,"Bajo peso",T725&lt;25,"Peso normal",T725&lt;30,"Sobrepeso",T725&lt;35,"Obesidad clase I",T725&lt;40,"Obesidad clase II",T725&gt;=40,"Obesidad clase III"))</f>
        <v>Obesidad clase I</v>
      </c>
      <c r="V725">
        <v>98</v>
      </c>
      <c r="X725" t="s">
        <v>3463</v>
      </c>
      <c r="Y725">
        <v>0.89</v>
      </c>
      <c r="AA725">
        <v>76</v>
      </c>
      <c r="AB725" s="9">
        <f t="shared" si="23"/>
        <v>76.043495490681224</v>
      </c>
      <c r="AD725" t="s">
        <v>73</v>
      </c>
      <c r="AF725" t="s">
        <v>73</v>
      </c>
      <c r="AH725" t="s">
        <v>3463</v>
      </c>
      <c r="AI725" t="s">
        <v>3465</v>
      </c>
      <c r="AJ725" t="s">
        <v>3463</v>
      </c>
      <c r="AK725" t="s">
        <v>3463</v>
      </c>
      <c r="AL725" t="s">
        <v>3465</v>
      </c>
      <c r="AM725" t="s">
        <v>1780</v>
      </c>
      <c r="AN725" t="s">
        <v>3765</v>
      </c>
      <c r="AP725" t="s">
        <v>3463</v>
      </c>
      <c r="AQ725" t="s">
        <v>1781</v>
      </c>
      <c r="AR725" t="s">
        <v>3491</v>
      </c>
      <c r="AS725" t="s">
        <v>3465</v>
      </c>
      <c r="AT725" t="s">
        <v>3465</v>
      </c>
      <c r="AU725" t="s">
        <v>80</v>
      </c>
      <c r="AV725" t="s">
        <v>178</v>
      </c>
      <c r="AW725" t="s">
        <v>3918</v>
      </c>
      <c r="AX725" t="s">
        <v>3463</v>
      </c>
      <c r="AY725" t="s">
        <v>3465</v>
      </c>
      <c r="AZ725" t="s">
        <v>104</v>
      </c>
      <c r="BF725" t="s">
        <v>3921</v>
      </c>
      <c r="BH725" t="s">
        <v>4020</v>
      </c>
      <c r="BP725" t="s">
        <v>4260</v>
      </c>
      <c r="BQ725" t="s">
        <v>3463</v>
      </c>
      <c r="BR725" t="s">
        <v>3463</v>
      </c>
      <c r="BS725" t="s">
        <v>3465</v>
      </c>
      <c r="BT725" t="s">
        <v>3465</v>
      </c>
      <c r="BU725" t="s">
        <v>3465</v>
      </c>
      <c r="BV725" t="s">
        <v>3465</v>
      </c>
      <c r="BW725" t="s">
        <v>3465</v>
      </c>
      <c r="BX725" t="s">
        <v>79</v>
      </c>
      <c r="BY725" t="s">
        <v>79</v>
      </c>
      <c r="BZ725" t="s">
        <v>79</v>
      </c>
      <c r="CA725" s="10">
        <v>45911</v>
      </c>
    </row>
    <row r="726" spans="1:79">
      <c r="A726">
        <v>733</v>
      </c>
      <c r="B726">
        <v>50</v>
      </c>
      <c r="C726">
        <v>59</v>
      </c>
      <c r="D726" t="s">
        <v>3466</v>
      </c>
      <c r="F726" t="s">
        <v>150</v>
      </c>
      <c r="G726" s="12" t="s">
        <v>3463</v>
      </c>
      <c r="I726">
        <v>73</v>
      </c>
      <c r="K726">
        <v>126</v>
      </c>
      <c r="L726">
        <v>73</v>
      </c>
      <c r="M726" t="s">
        <v>118</v>
      </c>
      <c r="P726" t="s">
        <v>83</v>
      </c>
      <c r="Q726" t="s">
        <v>118</v>
      </c>
      <c r="R726">
        <v>69</v>
      </c>
      <c r="S726">
        <v>150.5</v>
      </c>
      <c r="T726" s="8">
        <f t="shared" si="22"/>
        <v>30.463239920089183</v>
      </c>
      <c r="U726" s="13" t="str" cm="1">
        <f t="array" ref="U726">IF(T726="","",_xlfn.IFS(T726&lt;18.5,"Bajo peso",T726&lt;25,"Peso normal",T726&lt;30,"Sobrepeso",T726&lt;35,"Obesidad clase I",T726&lt;40,"Obesidad clase II",T726&gt;=40,"Obesidad clase III"))</f>
        <v>Obesidad clase I</v>
      </c>
      <c r="V726">
        <v>82</v>
      </c>
      <c r="X726" t="s">
        <v>3463</v>
      </c>
      <c r="Y726">
        <v>0.52</v>
      </c>
      <c r="AA726">
        <v>90</v>
      </c>
      <c r="AB726" s="9">
        <f t="shared" si="23"/>
        <v>106.9599597624603</v>
      </c>
      <c r="AD726" t="s">
        <v>73</v>
      </c>
      <c r="AF726" t="s">
        <v>73</v>
      </c>
      <c r="AG726" t="s">
        <v>3465</v>
      </c>
      <c r="AH726" t="s">
        <v>3465</v>
      </c>
      <c r="AI726" t="s">
        <v>3463</v>
      </c>
      <c r="AJ726" t="s">
        <v>3465</v>
      </c>
      <c r="AK726" t="s">
        <v>3463</v>
      </c>
      <c r="AL726" t="s">
        <v>3465</v>
      </c>
      <c r="AM726" t="s">
        <v>1782</v>
      </c>
      <c r="AN726" t="s">
        <v>3766</v>
      </c>
      <c r="AP726" t="s">
        <v>3463</v>
      </c>
      <c r="AQ726" t="s">
        <v>1783</v>
      </c>
      <c r="AR726" t="s">
        <v>3491</v>
      </c>
      <c r="AT726" t="s">
        <v>3465</v>
      </c>
      <c r="AU726" t="s">
        <v>80</v>
      </c>
      <c r="AV726" t="s">
        <v>126</v>
      </c>
      <c r="AW726" t="s">
        <v>126</v>
      </c>
      <c r="AX726" t="s">
        <v>3463</v>
      </c>
      <c r="AY726" t="s">
        <v>3463</v>
      </c>
      <c r="AZ726" t="s">
        <v>1784</v>
      </c>
      <c r="BF726" t="s">
        <v>3921</v>
      </c>
      <c r="BH726" t="s">
        <v>4020</v>
      </c>
      <c r="BP726" t="s">
        <v>4260</v>
      </c>
      <c r="BQ726" t="s">
        <v>3465</v>
      </c>
      <c r="BR726" t="s">
        <v>3465</v>
      </c>
      <c r="BS726" t="s">
        <v>3465</v>
      </c>
      <c r="BT726" t="s">
        <v>3465</v>
      </c>
      <c r="BU726" t="s">
        <v>3463</v>
      </c>
      <c r="BV726" t="s">
        <v>3463</v>
      </c>
      <c r="BW726" t="s">
        <v>3463</v>
      </c>
      <c r="BX726" t="s">
        <v>79</v>
      </c>
      <c r="BY726" t="s">
        <v>87</v>
      </c>
      <c r="BZ726" t="s">
        <v>79</v>
      </c>
      <c r="CA726" s="10">
        <v>45911</v>
      </c>
    </row>
    <row r="727" spans="1:79">
      <c r="A727">
        <v>734</v>
      </c>
      <c r="B727">
        <v>51</v>
      </c>
      <c r="C727">
        <v>43</v>
      </c>
      <c r="D727" t="s">
        <v>3466</v>
      </c>
      <c r="F727" t="s">
        <v>150</v>
      </c>
      <c r="G727" s="12" t="s">
        <v>3463</v>
      </c>
      <c r="I727">
        <v>80</v>
      </c>
      <c r="K727">
        <v>153</v>
      </c>
      <c r="L727">
        <v>80</v>
      </c>
      <c r="M727" t="s">
        <v>72</v>
      </c>
      <c r="P727" t="s">
        <v>83</v>
      </c>
      <c r="Q727" t="s">
        <v>72</v>
      </c>
      <c r="R727">
        <v>113</v>
      </c>
      <c r="S727">
        <v>171</v>
      </c>
      <c r="T727" s="8">
        <f t="shared" si="22"/>
        <v>38.644369207619441</v>
      </c>
      <c r="U727" s="13" t="str" cm="1">
        <f t="array" ref="U727">IF(T727="","",_xlfn.IFS(T727&lt;18.5,"Bajo peso",T727&lt;25,"Peso normal",T727&lt;30,"Sobrepeso",T727&lt;35,"Obesidad clase I",T727&lt;40,"Obesidad clase II",T727&gt;=40,"Obesidad clase III"))</f>
        <v>Obesidad clase II</v>
      </c>
      <c r="V727">
        <v>78</v>
      </c>
      <c r="X727" t="s">
        <v>3463</v>
      </c>
      <c r="Y727">
        <v>0.98</v>
      </c>
      <c r="AA727">
        <v>73</v>
      </c>
      <c r="AB727" s="9">
        <f t="shared" si="23"/>
        <v>73.44663238756155</v>
      </c>
      <c r="AD727" t="s">
        <v>73</v>
      </c>
      <c r="AF727" t="s">
        <v>73</v>
      </c>
      <c r="AH727" t="s">
        <v>3463</v>
      </c>
      <c r="AI727" t="s">
        <v>3463</v>
      </c>
      <c r="AJ727" t="s">
        <v>3465</v>
      </c>
      <c r="AK727" t="s">
        <v>3463</v>
      </c>
      <c r="AL727" t="s">
        <v>3465</v>
      </c>
      <c r="AM727" t="s">
        <v>1273</v>
      </c>
      <c r="AN727" t="s">
        <v>3716</v>
      </c>
      <c r="AP727" t="s">
        <v>3463</v>
      </c>
      <c r="AQ727" t="s">
        <v>1785</v>
      </c>
      <c r="AR727" t="s">
        <v>3491</v>
      </c>
      <c r="AV727" t="s">
        <v>178</v>
      </c>
      <c r="AW727" t="s">
        <v>3918</v>
      </c>
      <c r="AX727" t="s">
        <v>3465</v>
      </c>
      <c r="AY727" t="s">
        <v>3465</v>
      </c>
      <c r="AZ727" t="s">
        <v>247</v>
      </c>
      <c r="BA727" t="s">
        <v>3920</v>
      </c>
      <c r="BC727" t="s">
        <v>128</v>
      </c>
      <c r="BF727" t="s">
        <v>3921</v>
      </c>
      <c r="BG727" t="s">
        <v>1786</v>
      </c>
      <c r="BH727" t="s">
        <v>4048</v>
      </c>
      <c r="BI727" t="s">
        <v>76</v>
      </c>
      <c r="BK727" t="s">
        <v>1787</v>
      </c>
      <c r="BL727" t="s">
        <v>1788</v>
      </c>
      <c r="BP727" t="s">
        <v>4294</v>
      </c>
      <c r="BQ727" t="s">
        <v>3465</v>
      </c>
      <c r="BR727" t="s">
        <v>3465</v>
      </c>
      <c r="BS727" t="s">
        <v>3465</v>
      </c>
      <c r="BT727" t="s">
        <v>3465</v>
      </c>
      <c r="BU727" t="s">
        <v>3463</v>
      </c>
      <c r="BV727" t="s">
        <v>3463</v>
      </c>
      <c r="BW727" t="s">
        <v>3463</v>
      </c>
      <c r="BX727" t="s">
        <v>79</v>
      </c>
      <c r="BY727" t="s">
        <v>79</v>
      </c>
      <c r="BZ727" t="s">
        <v>79</v>
      </c>
      <c r="CA727" s="10">
        <v>45911</v>
      </c>
    </row>
    <row r="728" spans="1:79">
      <c r="A728">
        <v>735</v>
      </c>
      <c r="B728">
        <v>52</v>
      </c>
      <c r="C728">
        <v>61</v>
      </c>
      <c r="D728" t="s">
        <v>3466</v>
      </c>
      <c r="E728" t="s">
        <v>1659</v>
      </c>
      <c r="F728" t="s">
        <v>150</v>
      </c>
      <c r="G728" s="12" t="s">
        <v>3465</v>
      </c>
      <c r="H728" s="12" t="s">
        <v>88</v>
      </c>
      <c r="I728">
        <v>68</v>
      </c>
      <c r="K728">
        <v>122</v>
      </c>
      <c r="L728">
        <v>78</v>
      </c>
      <c r="M728" t="s">
        <v>118</v>
      </c>
      <c r="P728" t="s">
        <v>83</v>
      </c>
      <c r="Q728" t="s">
        <v>118</v>
      </c>
      <c r="R728">
        <v>71</v>
      </c>
      <c r="S728">
        <v>155</v>
      </c>
      <c r="T728" s="8">
        <f t="shared" si="22"/>
        <v>29.552549427679502</v>
      </c>
      <c r="U728" s="13" t="str" cm="1">
        <f t="array" ref="U728">IF(T728="","",_xlfn.IFS(T728&lt;18.5,"Bajo peso",T728&lt;25,"Peso normal",T728&lt;30,"Sobrepeso",T728&lt;35,"Obesidad clase I",T728&lt;40,"Obesidad clase II",T728&gt;=40,"Obesidad clase III"))</f>
        <v>Sobrepeso</v>
      </c>
      <c r="V728">
        <v>133</v>
      </c>
      <c r="X728" t="s">
        <v>3463</v>
      </c>
      <c r="Y728">
        <v>0.65</v>
      </c>
      <c r="AA728">
        <v>90</v>
      </c>
      <c r="AB728" s="9">
        <f t="shared" si="23"/>
        <v>100.10687458207887</v>
      </c>
      <c r="AD728" t="s">
        <v>73</v>
      </c>
      <c r="AF728" t="s">
        <v>73</v>
      </c>
      <c r="AH728" t="s">
        <v>3463</v>
      </c>
      <c r="AI728" t="s">
        <v>3465</v>
      </c>
      <c r="AJ728" t="s">
        <v>3463</v>
      </c>
      <c r="AK728" t="s">
        <v>3463</v>
      </c>
      <c r="AL728" t="s">
        <v>3465</v>
      </c>
      <c r="AM728" t="s">
        <v>116</v>
      </c>
      <c r="AN728" t="s">
        <v>116</v>
      </c>
      <c r="AP728" t="s">
        <v>3463</v>
      </c>
      <c r="AS728" t="s">
        <v>3465</v>
      </c>
      <c r="AT728" t="s">
        <v>3465</v>
      </c>
      <c r="AU728" t="s">
        <v>80</v>
      </c>
      <c r="AV728" t="s">
        <v>74</v>
      </c>
      <c r="AW728" t="s">
        <v>3915</v>
      </c>
      <c r="AX728" t="s">
        <v>3465</v>
      </c>
      <c r="AY728" t="s">
        <v>3465</v>
      </c>
      <c r="AZ728" t="s">
        <v>247</v>
      </c>
      <c r="BF728" t="s">
        <v>3921</v>
      </c>
      <c r="BH728" t="s">
        <v>4020</v>
      </c>
      <c r="BP728" t="s">
        <v>4260</v>
      </c>
      <c r="BQ728" t="s">
        <v>3465</v>
      </c>
      <c r="BR728" t="s">
        <v>3465</v>
      </c>
      <c r="BS728" t="s">
        <v>3465</v>
      </c>
      <c r="BT728" t="s">
        <v>3465</v>
      </c>
      <c r="BU728" t="s">
        <v>3463</v>
      </c>
      <c r="BV728" t="s">
        <v>3463</v>
      </c>
      <c r="BW728" t="s">
        <v>3463</v>
      </c>
      <c r="BX728" t="s">
        <v>79</v>
      </c>
      <c r="BY728" t="s">
        <v>87</v>
      </c>
      <c r="BZ728" t="s">
        <v>79</v>
      </c>
      <c r="CA728" s="10">
        <v>45911</v>
      </c>
    </row>
    <row r="729" spans="1:79">
      <c r="A729">
        <v>736</v>
      </c>
      <c r="B729">
        <v>53</v>
      </c>
      <c r="C729">
        <v>56</v>
      </c>
      <c r="D729" t="s">
        <v>3462</v>
      </c>
      <c r="F729" t="s">
        <v>150</v>
      </c>
      <c r="G729" s="12" t="s">
        <v>3463</v>
      </c>
      <c r="H729" s="12"/>
      <c r="I729">
        <v>97</v>
      </c>
      <c r="J729">
        <v>84</v>
      </c>
      <c r="K729">
        <v>159</v>
      </c>
      <c r="L729">
        <v>99</v>
      </c>
      <c r="M729" t="s">
        <v>72</v>
      </c>
      <c r="N729">
        <v>154</v>
      </c>
      <c r="O729">
        <v>96</v>
      </c>
      <c r="P729" t="s">
        <v>72</v>
      </c>
      <c r="Q729" t="s">
        <v>72</v>
      </c>
      <c r="R729">
        <v>74</v>
      </c>
      <c r="S729">
        <v>166</v>
      </c>
      <c r="T729" s="8">
        <f t="shared" si="22"/>
        <v>26.854405574103641</v>
      </c>
      <c r="U729" s="13" t="str" cm="1">
        <f t="array" ref="U729">IF(T729="","",_xlfn.IFS(T729&lt;18.5,"Bajo peso",T729&lt;25,"Peso normal",T729&lt;30,"Sobrepeso",T729&lt;35,"Obesidad clase I",T729&lt;40,"Obesidad clase II",T729&gt;=40,"Obesidad clase III"))</f>
        <v>Sobrepeso</v>
      </c>
      <c r="V729">
        <v>295</v>
      </c>
      <c r="X729" t="s">
        <v>3465</v>
      </c>
      <c r="Y729">
        <v>1.1200000000000001</v>
      </c>
      <c r="AA729">
        <v>77</v>
      </c>
      <c r="AB729" s="9">
        <f t="shared" si="23"/>
        <v>77.101229469134665</v>
      </c>
      <c r="AD729" t="s">
        <v>73</v>
      </c>
      <c r="AF729" t="s">
        <v>73</v>
      </c>
      <c r="AG729" t="s">
        <v>3465</v>
      </c>
      <c r="AH729" t="s">
        <v>3465</v>
      </c>
      <c r="AI729" t="s">
        <v>3463</v>
      </c>
      <c r="AJ729" t="s">
        <v>3463</v>
      </c>
      <c r="AK729" t="s">
        <v>3463</v>
      </c>
      <c r="AL729" t="s">
        <v>3463</v>
      </c>
      <c r="AP729" t="s">
        <v>3463</v>
      </c>
      <c r="AQ729" t="s">
        <v>1789</v>
      </c>
      <c r="AR729" t="s">
        <v>3528</v>
      </c>
      <c r="AV729" t="s">
        <v>74</v>
      </c>
      <c r="AW729" t="s">
        <v>3915</v>
      </c>
      <c r="BB729" t="s">
        <v>3485</v>
      </c>
      <c r="BF729" t="s">
        <v>3921</v>
      </c>
      <c r="BG729" t="s">
        <v>1790</v>
      </c>
      <c r="BH729" t="s">
        <v>4035</v>
      </c>
      <c r="BI729" t="s">
        <v>76</v>
      </c>
      <c r="BK729" t="s">
        <v>1791</v>
      </c>
      <c r="BL729" t="s">
        <v>1792</v>
      </c>
      <c r="BP729" t="s">
        <v>4467</v>
      </c>
      <c r="BQ729" t="s">
        <v>3463</v>
      </c>
      <c r="BR729" t="s">
        <v>3463</v>
      </c>
      <c r="BS729" t="s">
        <v>3463</v>
      </c>
      <c r="BT729" t="s">
        <v>3463</v>
      </c>
      <c r="BU729" t="s">
        <v>3463</v>
      </c>
      <c r="BV729" t="s">
        <v>3463</v>
      </c>
      <c r="BW729" t="s">
        <v>3463</v>
      </c>
      <c r="BX729" t="s">
        <v>79</v>
      </c>
      <c r="BY729" t="s">
        <v>121</v>
      </c>
      <c r="BZ729" t="s">
        <v>79</v>
      </c>
      <c r="CA729" s="10">
        <v>45911</v>
      </c>
    </row>
    <row r="730" spans="1:79">
      <c r="A730">
        <v>737</v>
      </c>
      <c r="B730">
        <v>54</v>
      </c>
      <c r="C730">
        <v>63</v>
      </c>
      <c r="D730" t="s">
        <v>3462</v>
      </c>
      <c r="F730" t="s">
        <v>380</v>
      </c>
      <c r="G730" s="12" t="s">
        <v>3463</v>
      </c>
      <c r="H730" s="12"/>
      <c r="I730">
        <v>85</v>
      </c>
      <c r="J730">
        <v>85</v>
      </c>
      <c r="K730">
        <v>142</v>
      </c>
      <c r="L730">
        <v>87</v>
      </c>
      <c r="M730" t="s">
        <v>72</v>
      </c>
      <c r="N730">
        <v>136</v>
      </c>
      <c r="O730">
        <v>82</v>
      </c>
      <c r="P730" t="s">
        <v>82</v>
      </c>
      <c r="Q730" t="s">
        <v>82</v>
      </c>
      <c r="R730">
        <v>91</v>
      </c>
      <c r="S730">
        <v>168</v>
      </c>
      <c r="T730" s="8">
        <f t="shared" si="22"/>
        <v>32.242063492063487</v>
      </c>
      <c r="U730" s="13" t="str" cm="1">
        <f t="array" ref="U730">IF(T730="","",_xlfn.IFS(T730&lt;18.5,"Bajo peso",T730&lt;25,"Peso normal",T730&lt;30,"Sobrepeso",T730&lt;35,"Obesidad clase I",T730&lt;40,"Obesidad clase II",T730&gt;=40,"Obesidad clase III"))</f>
        <v>Obesidad clase I</v>
      </c>
      <c r="V730">
        <v>88</v>
      </c>
      <c r="X730" t="s">
        <v>3463</v>
      </c>
      <c r="Y730">
        <v>0.93</v>
      </c>
      <c r="AA730">
        <v>90</v>
      </c>
      <c r="AB730" s="9">
        <f t="shared" si="23"/>
        <v>92.264862581392634</v>
      </c>
      <c r="AD730" t="s">
        <v>73</v>
      </c>
      <c r="AF730" t="s">
        <v>73</v>
      </c>
      <c r="AG730" t="s">
        <v>3465</v>
      </c>
      <c r="AH730" t="s">
        <v>3465</v>
      </c>
      <c r="AI730" t="s">
        <v>3465</v>
      </c>
      <c r="AJ730" t="s">
        <v>3463</v>
      </c>
      <c r="AK730" t="s">
        <v>3463</v>
      </c>
      <c r="AL730" t="s">
        <v>3463</v>
      </c>
      <c r="AP730" t="s">
        <v>3463</v>
      </c>
      <c r="AQ730" t="s">
        <v>1123</v>
      </c>
      <c r="AR730" t="s">
        <v>3491</v>
      </c>
      <c r="AS730" t="s">
        <v>3465</v>
      </c>
      <c r="AV730" t="s">
        <v>178</v>
      </c>
      <c r="AW730" t="s">
        <v>3918</v>
      </c>
      <c r="BF730" t="s">
        <v>3921</v>
      </c>
      <c r="BH730" t="s">
        <v>4020</v>
      </c>
      <c r="BP730" t="s">
        <v>4260</v>
      </c>
      <c r="BQ730" t="s">
        <v>3463</v>
      </c>
      <c r="BR730" t="s">
        <v>3463</v>
      </c>
      <c r="BS730" t="s">
        <v>3463</v>
      </c>
      <c r="BT730" t="s">
        <v>3463</v>
      </c>
      <c r="BU730" t="s">
        <v>3463</v>
      </c>
      <c r="BV730" t="s">
        <v>3463</v>
      </c>
      <c r="BW730" t="s">
        <v>3463</v>
      </c>
      <c r="BX730" t="s">
        <v>79</v>
      </c>
      <c r="BY730" t="s">
        <v>79</v>
      </c>
      <c r="BZ730" t="s">
        <v>79</v>
      </c>
      <c r="CA730" s="10">
        <v>45911</v>
      </c>
    </row>
    <row r="731" spans="1:79">
      <c r="A731">
        <v>738</v>
      </c>
      <c r="B731">
        <v>55</v>
      </c>
      <c r="C731">
        <v>76</v>
      </c>
      <c r="D731" t="s">
        <v>3466</v>
      </c>
      <c r="F731" t="s">
        <v>150</v>
      </c>
      <c r="G731" s="12" t="s">
        <v>3463</v>
      </c>
      <c r="H731" s="12"/>
      <c r="I731">
        <v>87</v>
      </c>
      <c r="J731">
        <v>83</v>
      </c>
      <c r="K731">
        <v>172</v>
      </c>
      <c r="L731">
        <v>73</v>
      </c>
      <c r="M731" t="s">
        <v>72</v>
      </c>
      <c r="N731">
        <v>167</v>
      </c>
      <c r="O731">
        <v>77</v>
      </c>
      <c r="P731" t="s">
        <v>72</v>
      </c>
      <c r="Q731" t="s">
        <v>72</v>
      </c>
      <c r="R731">
        <v>70</v>
      </c>
      <c r="S731">
        <v>161</v>
      </c>
      <c r="T731" s="8">
        <f t="shared" si="22"/>
        <v>27.005130974885226</v>
      </c>
      <c r="U731" s="13" t="str" cm="1">
        <f t="array" ref="U731">IF(T731="","",_xlfn.IFS(T731&lt;18.5,"Bajo peso",T731&lt;25,"Peso normal",T731&lt;30,"Sobrepeso",T731&lt;35,"Obesidad clase I",T731&lt;40,"Obesidad clase II",T731&gt;=40,"Obesidad clase III"))</f>
        <v>Sobrepeso</v>
      </c>
      <c r="V731">
        <v>107</v>
      </c>
      <c r="X731" t="s">
        <v>3463</v>
      </c>
      <c r="Y731">
        <v>0.47</v>
      </c>
      <c r="AA731">
        <v>90</v>
      </c>
      <c r="AB731" s="9">
        <f t="shared" si="23"/>
        <v>98.601909143435279</v>
      </c>
      <c r="AD731" t="s">
        <v>73</v>
      </c>
      <c r="AF731" t="s">
        <v>73</v>
      </c>
      <c r="AH731" t="s">
        <v>3463</v>
      </c>
      <c r="AI731" t="s">
        <v>3464</v>
      </c>
      <c r="AJ731" t="s">
        <v>3465</v>
      </c>
      <c r="AK731" t="s">
        <v>3463</v>
      </c>
      <c r="AL731" t="s">
        <v>3463</v>
      </c>
      <c r="AP731" t="s">
        <v>3463</v>
      </c>
      <c r="AT731" t="s">
        <v>3463</v>
      </c>
      <c r="AV731" t="s">
        <v>126</v>
      </c>
      <c r="AW731" t="s">
        <v>126</v>
      </c>
      <c r="AX731" t="s">
        <v>3463</v>
      </c>
      <c r="AY731" t="s">
        <v>3463</v>
      </c>
      <c r="BF731" t="s">
        <v>3921</v>
      </c>
      <c r="BG731" t="s">
        <v>1793</v>
      </c>
      <c r="BH731" t="s">
        <v>4029</v>
      </c>
      <c r="BI731" t="s">
        <v>162</v>
      </c>
      <c r="BK731" t="s">
        <v>1794</v>
      </c>
      <c r="BP731" t="s">
        <v>4468</v>
      </c>
      <c r="BQ731" t="s">
        <v>3463</v>
      </c>
      <c r="BR731" t="s">
        <v>3463</v>
      </c>
      <c r="BS731" t="s">
        <v>3463</v>
      </c>
      <c r="BT731" t="s">
        <v>3463</v>
      </c>
      <c r="BU731" t="s">
        <v>3463</v>
      </c>
      <c r="BV731" t="s">
        <v>3463</v>
      </c>
      <c r="BW731" t="s">
        <v>3463</v>
      </c>
      <c r="BX731" t="s">
        <v>79</v>
      </c>
      <c r="BY731" t="s">
        <v>79</v>
      </c>
      <c r="BZ731" t="s">
        <v>79</v>
      </c>
      <c r="CA731" s="10">
        <v>45911</v>
      </c>
    </row>
    <row r="732" spans="1:79">
      <c r="A732">
        <v>739</v>
      </c>
      <c r="B732">
        <v>56</v>
      </c>
      <c r="C732">
        <v>34</v>
      </c>
      <c r="D732" t="s">
        <v>3466</v>
      </c>
      <c r="F732" t="s">
        <v>150</v>
      </c>
      <c r="G732" s="12" t="s">
        <v>3465</v>
      </c>
      <c r="H732" t="s">
        <v>88</v>
      </c>
      <c r="I732">
        <v>81</v>
      </c>
      <c r="K732">
        <v>124</v>
      </c>
      <c r="L732">
        <v>71</v>
      </c>
      <c r="M732" t="s">
        <v>118</v>
      </c>
      <c r="P732" t="s">
        <v>83</v>
      </c>
      <c r="Q732" t="s">
        <v>118</v>
      </c>
      <c r="R732">
        <v>105.6</v>
      </c>
      <c r="S732">
        <v>168</v>
      </c>
      <c r="T732" s="8">
        <f t="shared" si="22"/>
        <v>37.414965986394556</v>
      </c>
      <c r="U732" s="13" t="str" cm="1">
        <f t="array" ref="U732">IF(T732="","",_xlfn.IFS(T732&lt;18.5,"Bajo peso",T732&lt;25,"Peso normal",T732&lt;30,"Sobrepeso",T732&lt;35,"Obesidad clase I",T732&lt;40,"Obesidad clase II",T732&gt;=40,"Obesidad clase III"))</f>
        <v>Obesidad clase II</v>
      </c>
      <c r="V732">
        <v>86</v>
      </c>
      <c r="X732" t="s">
        <v>3463</v>
      </c>
      <c r="Y732">
        <v>1.44</v>
      </c>
      <c r="AA732">
        <v>49</v>
      </c>
      <c r="AB732" s="9">
        <f t="shared" si="23"/>
        <v>48.946005685596134</v>
      </c>
      <c r="AD732" t="s">
        <v>158</v>
      </c>
      <c r="AF732" t="s">
        <v>158</v>
      </c>
      <c r="AH732" t="s">
        <v>3463</v>
      </c>
      <c r="AI732" t="s">
        <v>3465</v>
      </c>
      <c r="AJ732" t="s">
        <v>3463</v>
      </c>
      <c r="AK732" t="s">
        <v>3465</v>
      </c>
      <c r="AL732" t="s">
        <v>3465</v>
      </c>
      <c r="AM732" t="s">
        <v>1795</v>
      </c>
      <c r="AN732" t="s">
        <v>3767</v>
      </c>
      <c r="AP732" t="s">
        <v>3463</v>
      </c>
      <c r="AQ732" t="s">
        <v>1796</v>
      </c>
      <c r="AR732" t="s">
        <v>3489</v>
      </c>
      <c r="AS732" t="s">
        <v>3465</v>
      </c>
      <c r="AT732" t="s">
        <v>3463</v>
      </c>
      <c r="AV732" t="s">
        <v>74</v>
      </c>
      <c r="AW732" t="s">
        <v>3915</v>
      </c>
      <c r="AX732" t="s">
        <v>3465</v>
      </c>
      <c r="AY732" t="s">
        <v>3465</v>
      </c>
      <c r="AZ732" t="s">
        <v>1797</v>
      </c>
      <c r="BF732" t="s">
        <v>3921</v>
      </c>
      <c r="BH732" t="s">
        <v>4020</v>
      </c>
      <c r="BP732" t="s">
        <v>4260</v>
      </c>
      <c r="BQ732" t="s">
        <v>3463</v>
      </c>
      <c r="BR732" t="s">
        <v>3465</v>
      </c>
      <c r="BS732" t="s">
        <v>3463</v>
      </c>
      <c r="BT732" t="s">
        <v>3465</v>
      </c>
      <c r="BU732" t="s">
        <v>3463</v>
      </c>
      <c r="BV732" t="s">
        <v>3463</v>
      </c>
      <c r="BW732" t="s">
        <v>3463</v>
      </c>
      <c r="BX732" t="s">
        <v>79</v>
      </c>
      <c r="BY732" t="s">
        <v>79</v>
      </c>
      <c r="BZ732" t="s">
        <v>79</v>
      </c>
      <c r="CA732" s="10">
        <v>45911</v>
      </c>
    </row>
    <row r="733" spans="1:79">
      <c r="A733">
        <v>740</v>
      </c>
      <c r="B733">
        <v>57</v>
      </c>
      <c r="C733">
        <v>62</v>
      </c>
      <c r="D733" t="s">
        <v>3466</v>
      </c>
      <c r="E733" t="s">
        <v>1798</v>
      </c>
      <c r="F733" t="s">
        <v>1799</v>
      </c>
      <c r="G733" s="12" t="s">
        <v>3463</v>
      </c>
      <c r="I733">
        <v>82</v>
      </c>
      <c r="J733">
        <v>87</v>
      </c>
      <c r="K733">
        <v>150</v>
      </c>
      <c r="L733">
        <v>80</v>
      </c>
      <c r="M733" t="s">
        <v>72</v>
      </c>
      <c r="N733">
        <v>150</v>
      </c>
      <c r="O733">
        <v>82</v>
      </c>
      <c r="P733" t="s">
        <v>72</v>
      </c>
      <c r="Q733" t="s">
        <v>72</v>
      </c>
      <c r="R733">
        <v>72.900000000000006</v>
      </c>
      <c r="S733">
        <v>165</v>
      </c>
      <c r="T733" s="8">
        <f t="shared" si="22"/>
        <v>26.776859504132233</v>
      </c>
      <c r="U733" s="13" t="str" cm="1">
        <f t="array" ref="U733">IF(T733="","",_xlfn.IFS(T733&lt;18.5,"Bajo peso",T733&lt;25,"Peso normal",T733&lt;30,"Sobrepeso",T733&lt;35,"Obesidad clase I",T733&lt;40,"Obesidad clase II",T733&gt;=40,"Obesidad clase III"))</f>
        <v>Sobrepeso</v>
      </c>
      <c r="V733">
        <v>96</v>
      </c>
      <c r="X733" t="s">
        <v>3463</v>
      </c>
      <c r="Y733">
        <v>0.98</v>
      </c>
      <c r="AA733">
        <v>65</v>
      </c>
      <c r="AB733" s="9">
        <f t="shared" si="23"/>
        <v>65.260852620490709</v>
      </c>
      <c r="AD733" t="s">
        <v>73</v>
      </c>
      <c r="AF733" t="s">
        <v>73</v>
      </c>
      <c r="AH733" t="s">
        <v>3463</v>
      </c>
      <c r="AI733" t="s">
        <v>3463</v>
      </c>
      <c r="AJ733" t="s">
        <v>3463</v>
      </c>
      <c r="AK733" t="s">
        <v>3463</v>
      </c>
      <c r="AL733" t="s">
        <v>3463</v>
      </c>
      <c r="AP733" t="s">
        <v>3463</v>
      </c>
      <c r="AQ733" t="s">
        <v>698</v>
      </c>
      <c r="AR733" t="s">
        <v>3488</v>
      </c>
      <c r="AT733" t="s">
        <v>3465</v>
      </c>
      <c r="AU733" t="s">
        <v>80</v>
      </c>
      <c r="AV733" t="s">
        <v>74</v>
      </c>
      <c r="AW733" t="s">
        <v>3915</v>
      </c>
      <c r="AX733" t="s">
        <v>3463</v>
      </c>
      <c r="AY733" t="s">
        <v>3465</v>
      </c>
      <c r="AZ733" t="s">
        <v>247</v>
      </c>
      <c r="BF733" t="s">
        <v>3921</v>
      </c>
      <c r="BH733" t="s">
        <v>4021</v>
      </c>
      <c r="BI733" t="s">
        <v>734</v>
      </c>
      <c r="BK733" t="s">
        <v>1800</v>
      </c>
      <c r="BL733" t="s">
        <v>1801</v>
      </c>
      <c r="BP733" t="s">
        <v>4398</v>
      </c>
      <c r="BQ733" t="s">
        <v>3463</v>
      </c>
      <c r="BR733" t="s">
        <v>3463</v>
      </c>
      <c r="BS733" t="s">
        <v>3465</v>
      </c>
      <c r="BT733" t="s">
        <v>3465</v>
      </c>
      <c r="BU733" t="s">
        <v>3463</v>
      </c>
      <c r="BV733" t="s">
        <v>3463</v>
      </c>
      <c r="BW733" t="s">
        <v>3463</v>
      </c>
      <c r="BX733" t="s">
        <v>79</v>
      </c>
      <c r="BY733" t="s">
        <v>79</v>
      </c>
      <c r="BZ733" t="s">
        <v>79</v>
      </c>
      <c r="CA733" s="10">
        <v>45911</v>
      </c>
    </row>
    <row r="734" spans="1:79">
      <c r="A734">
        <v>741</v>
      </c>
      <c r="B734">
        <v>58</v>
      </c>
      <c r="C734">
        <v>28</v>
      </c>
      <c r="D734" t="s">
        <v>3466</v>
      </c>
      <c r="F734" t="s">
        <v>295</v>
      </c>
      <c r="G734" s="12" t="s">
        <v>3465</v>
      </c>
      <c r="H734" t="s">
        <v>88</v>
      </c>
      <c r="I734">
        <v>74</v>
      </c>
      <c r="K734">
        <v>105</v>
      </c>
      <c r="L734">
        <v>65</v>
      </c>
      <c r="M734" t="s">
        <v>80</v>
      </c>
      <c r="P734" t="s">
        <v>83</v>
      </c>
      <c r="Q734" t="s">
        <v>80</v>
      </c>
      <c r="R734">
        <v>85.7</v>
      </c>
      <c r="S734">
        <v>156</v>
      </c>
      <c r="T734" s="8">
        <f t="shared" si="22"/>
        <v>35.215318869165024</v>
      </c>
      <c r="U734" s="13" t="str" cm="1">
        <f t="array" ref="U734">IF(T734="","",_xlfn.IFS(T734&lt;18.5,"Bajo peso",T734&lt;25,"Peso normal",T734&lt;30,"Sobrepeso",T734&lt;35,"Obesidad clase I",T734&lt;40,"Obesidad clase II",T734&gt;=40,"Obesidad clase III"))</f>
        <v>Obesidad clase II</v>
      </c>
      <c r="V734">
        <v>121</v>
      </c>
      <c r="X734" t="s">
        <v>3463</v>
      </c>
      <c r="Y734">
        <v>1.03</v>
      </c>
      <c r="AA734">
        <v>76</v>
      </c>
      <c r="AB734" s="9">
        <f t="shared" si="23"/>
        <v>75.954519859649267</v>
      </c>
      <c r="AD734" t="s">
        <v>73</v>
      </c>
      <c r="AF734" t="s">
        <v>73</v>
      </c>
      <c r="AH734" t="s">
        <v>3463</v>
      </c>
      <c r="AI734" t="s">
        <v>3463</v>
      </c>
      <c r="AJ734" t="s">
        <v>3463</v>
      </c>
      <c r="AK734" t="s">
        <v>3465</v>
      </c>
      <c r="AL734" t="s">
        <v>3465</v>
      </c>
      <c r="AM734" t="s">
        <v>1802</v>
      </c>
      <c r="AN734" t="s">
        <v>1802</v>
      </c>
      <c r="AP734" t="s">
        <v>3463</v>
      </c>
      <c r="AV734" t="s">
        <v>74</v>
      </c>
      <c r="AW734" t="s">
        <v>3915</v>
      </c>
      <c r="AX734" t="s">
        <v>3465</v>
      </c>
      <c r="AY734" t="s">
        <v>3465</v>
      </c>
      <c r="AZ734" t="s">
        <v>90</v>
      </c>
      <c r="BF734" t="s">
        <v>3921</v>
      </c>
      <c r="BH734" t="s">
        <v>4020</v>
      </c>
      <c r="BP734" t="s">
        <v>4260</v>
      </c>
      <c r="BQ734" t="s">
        <v>3463</v>
      </c>
      <c r="BR734" t="s">
        <v>3463</v>
      </c>
      <c r="BS734" t="s">
        <v>3463</v>
      </c>
      <c r="BT734" t="s">
        <v>3465</v>
      </c>
      <c r="BU734" t="s">
        <v>3463</v>
      </c>
      <c r="BV734" t="s">
        <v>3463</v>
      </c>
      <c r="BW734" t="s">
        <v>3463</v>
      </c>
      <c r="BX734" t="s">
        <v>79</v>
      </c>
      <c r="BY734" t="s">
        <v>79</v>
      </c>
      <c r="BZ734" t="s">
        <v>79</v>
      </c>
      <c r="CA734" s="10">
        <v>45911</v>
      </c>
    </row>
    <row r="735" spans="1:79">
      <c r="A735">
        <v>742</v>
      </c>
      <c r="B735">
        <v>59</v>
      </c>
      <c r="C735">
        <v>23</v>
      </c>
      <c r="D735" t="s">
        <v>3466</v>
      </c>
      <c r="E735" t="s">
        <v>1803</v>
      </c>
      <c r="F735" t="s">
        <v>1804</v>
      </c>
      <c r="G735" s="12" t="s">
        <v>3463</v>
      </c>
      <c r="I735">
        <v>93</v>
      </c>
      <c r="J735">
        <v>95</v>
      </c>
      <c r="K735">
        <v>142</v>
      </c>
      <c r="L735">
        <v>87</v>
      </c>
      <c r="M735" t="s">
        <v>72</v>
      </c>
      <c r="N735">
        <v>150</v>
      </c>
      <c r="O735">
        <v>94</v>
      </c>
      <c r="P735" t="s">
        <v>72</v>
      </c>
      <c r="Q735" t="s">
        <v>72</v>
      </c>
      <c r="R735">
        <v>65.2</v>
      </c>
      <c r="S735">
        <v>165</v>
      </c>
      <c r="T735" s="8">
        <f t="shared" si="22"/>
        <v>23.948576675849402</v>
      </c>
      <c r="U735" s="13" t="str" cm="1">
        <f t="array" ref="U735">IF(T735="","",_xlfn.IFS(T735&lt;18.5,"Bajo peso",T735&lt;25,"Peso normal",T735&lt;30,"Sobrepeso",T735&lt;35,"Obesidad clase I",T735&lt;40,"Obesidad clase II",T735&gt;=40,"Obesidad clase III"))</f>
        <v>Peso normal</v>
      </c>
      <c r="V735">
        <v>79</v>
      </c>
      <c r="X735" t="s">
        <v>3463</v>
      </c>
      <c r="Y735">
        <v>0.92</v>
      </c>
      <c r="AA735">
        <v>89</v>
      </c>
      <c r="AB735" s="9">
        <f t="shared" si="23"/>
        <v>89.725923608166781</v>
      </c>
      <c r="AD735" t="s">
        <v>73</v>
      </c>
      <c r="AF735" t="s">
        <v>73</v>
      </c>
      <c r="AH735" t="s">
        <v>3463</v>
      </c>
      <c r="AI735" t="s">
        <v>3463</v>
      </c>
      <c r="AJ735" t="s">
        <v>3463</v>
      </c>
      <c r="AK735" t="s">
        <v>3465</v>
      </c>
      <c r="AL735" t="s">
        <v>3463</v>
      </c>
      <c r="AP735" t="s">
        <v>3463</v>
      </c>
      <c r="AQ735" t="s">
        <v>1805</v>
      </c>
      <c r="AR735" t="s">
        <v>3516</v>
      </c>
      <c r="AV735" t="s">
        <v>126</v>
      </c>
      <c r="AW735" t="s">
        <v>126</v>
      </c>
      <c r="AX735" t="s">
        <v>3463</v>
      </c>
      <c r="AY735" t="s">
        <v>3463</v>
      </c>
      <c r="BF735" t="s">
        <v>3921</v>
      </c>
      <c r="BG735" t="s">
        <v>1806</v>
      </c>
      <c r="BH735" t="s">
        <v>4021</v>
      </c>
      <c r="BI735" t="s">
        <v>76</v>
      </c>
      <c r="BK735" t="s">
        <v>1807</v>
      </c>
      <c r="BL735" t="s">
        <v>1671</v>
      </c>
      <c r="BP735" t="s">
        <v>4261</v>
      </c>
      <c r="BQ735" t="s">
        <v>3463</v>
      </c>
      <c r="BR735" t="s">
        <v>3465</v>
      </c>
      <c r="BS735" t="s">
        <v>3465</v>
      </c>
      <c r="BT735" t="s">
        <v>3465</v>
      </c>
      <c r="BU735" t="s">
        <v>3463</v>
      </c>
      <c r="BV735" t="s">
        <v>3463</v>
      </c>
      <c r="BW735" t="s">
        <v>3463</v>
      </c>
      <c r="BX735" t="s">
        <v>79</v>
      </c>
      <c r="BY735" t="s">
        <v>79</v>
      </c>
      <c r="BZ735" t="s">
        <v>79</v>
      </c>
      <c r="CA735" s="10">
        <v>45911</v>
      </c>
    </row>
    <row r="736" spans="1:79">
      <c r="A736">
        <v>743</v>
      </c>
      <c r="B736">
        <v>60</v>
      </c>
      <c r="C736">
        <v>34</v>
      </c>
      <c r="D736" t="s">
        <v>3466</v>
      </c>
      <c r="F736" t="s">
        <v>150</v>
      </c>
      <c r="G736" s="12" t="s">
        <v>3463</v>
      </c>
      <c r="H736" s="12"/>
      <c r="I736">
        <v>81</v>
      </c>
      <c r="K736">
        <v>108</v>
      </c>
      <c r="L736">
        <v>76</v>
      </c>
      <c r="M736" t="s">
        <v>80</v>
      </c>
      <c r="P736" t="s">
        <v>83</v>
      </c>
      <c r="Q736" t="s">
        <v>80</v>
      </c>
      <c r="R736">
        <v>67</v>
      </c>
      <c r="S736">
        <v>159.5</v>
      </c>
      <c r="T736" s="8">
        <f t="shared" si="22"/>
        <v>26.336219180236043</v>
      </c>
      <c r="U736" s="13" t="str" cm="1">
        <f t="array" ref="U736">IF(T736="","",_xlfn.IFS(T736&lt;18.5,"Bajo peso",T736&lt;25,"Peso normal",T736&lt;30,"Sobrepeso",T736&lt;35,"Obesidad clase I",T736&lt;40,"Obesidad clase II",T736&gt;=40,"Obesidad clase III"))</f>
        <v>Sobrepeso</v>
      </c>
      <c r="V736">
        <v>124</v>
      </c>
      <c r="X736" t="s">
        <v>3463</v>
      </c>
      <c r="Y736">
        <v>0.67</v>
      </c>
      <c r="AA736">
        <v>90</v>
      </c>
      <c r="AB736" s="9">
        <f t="shared" si="23"/>
        <v>117.54907040275386</v>
      </c>
      <c r="AD736" t="s">
        <v>73</v>
      </c>
      <c r="AF736" t="s">
        <v>73</v>
      </c>
      <c r="AH736" t="s">
        <v>3463</v>
      </c>
      <c r="AI736" t="s">
        <v>3463</v>
      </c>
      <c r="AJ736" t="s">
        <v>3463</v>
      </c>
      <c r="AK736" t="s">
        <v>3463</v>
      </c>
      <c r="AL736" t="s">
        <v>3463</v>
      </c>
      <c r="AP736" t="s">
        <v>3463</v>
      </c>
      <c r="AQ736" t="s">
        <v>1808</v>
      </c>
      <c r="AR736" t="s">
        <v>3488</v>
      </c>
      <c r="AV736" t="s">
        <v>126</v>
      </c>
      <c r="AW736" t="s">
        <v>126</v>
      </c>
      <c r="AX736" t="s">
        <v>3465</v>
      </c>
      <c r="AY736" t="s">
        <v>3465</v>
      </c>
      <c r="AZ736" t="s">
        <v>90</v>
      </c>
      <c r="BF736" t="s">
        <v>3921</v>
      </c>
      <c r="BH736" t="s">
        <v>4020</v>
      </c>
      <c r="BP736" t="s">
        <v>4260</v>
      </c>
      <c r="BQ736" t="s">
        <v>3463</v>
      </c>
      <c r="BR736" t="s">
        <v>3465</v>
      </c>
      <c r="BS736" t="s">
        <v>3463</v>
      </c>
      <c r="BT736" t="s">
        <v>3463</v>
      </c>
      <c r="BU736" t="s">
        <v>3463</v>
      </c>
      <c r="BV736" t="s">
        <v>3463</v>
      </c>
      <c r="BW736" t="s">
        <v>3463</v>
      </c>
      <c r="BX736" t="s">
        <v>79</v>
      </c>
      <c r="BY736" t="s">
        <v>79</v>
      </c>
      <c r="BZ736" t="s">
        <v>79</v>
      </c>
      <c r="CA736" s="10">
        <v>45911</v>
      </c>
    </row>
    <row r="737" spans="1:79">
      <c r="A737">
        <v>744</v>
      </c>
      <c r="B737">
        <v>61</v>
      </c>
      <c r="C737">
        <v>45</v>
      </c>
      <c r="D737" t="s">
        <v>3466</v>
      </c>
      <c r="F737" t="s">
        <v>150</v>
      </c>
      <c r="G737" s="12" t="s">
        <v>3463</v>
      </c>
      <c r="I737">
        <v>70</v>
      </c>
      <c r="J737">
        <v>69</v>
      </c>
      <c r="K737">
        <v>124</v>
      </c>
      <c r="L737">
        <v>84</v>
      </c>
      <c r="M737" t="s">
        <v>82</v>
      </c>
      <c r="N737">
        <v>130</v>
      </c>
      <c r="O737">
        <v>76</v>
      </c>
      <c r="P737" t="s">
        <v>82</v>
      </c>
      <c r="Q737" t="s">
        <v>82</v>
      </c>
      <c r="R737">
        <v>74</v>
      </c>
      <c r="S737">
        <v>142.5</v>
      </c>
      <c r="T737" s="8">
        <f t="shared" si="22"/>
        <v>36.44198214835334</v>
      </c>
      <c r="U737" s="13" t="str" cm="1">
        <f t="array" ref="U737">IF(T737="","",_xlfn.IFS(T737&lt;18.5,"Bajo peso",T737&lt;25,"Peso normal",T737&lt;30,"Sobrepeso",T737&lt;35,"Obesidad clase I",T737&lt;40,"Obesidad clase II",T737&gt;=40,"Obesidad clase III"))</f>
        <v>Obesidad clase II</v>
      </c>
      <c r="V737">
        <v>187</v>
      </c>
      <c r="X737" t="s">
        <v>3463</v>
      </c>
      <c r="Y737">
        <v>0.75</v>
      </c>
      <c r="AA737">
        <v>90</v>
      </c>
      <c r="AB737" s="9">
        <f t="shared" si="23"/>
        <v>99.992550784252117</v>
      </c>
      <c r="AD737" t="s">
        <v>73</v>
      </c>
      <c r="AF737" t="s">
        <v>73</v>
      </c>
      <c r="AG737" t="s">
        <v>3465</v>
      </c>
      <c r="AH737" t="s">
        <v>3465</v>
      </c>
      <c r="AI737" t="s">
        <v>3463</v>
      </c>
      <c r="AJ737" t="s">
        <v>3463</v>
      </c>
      <c r="AK737" t="s">
        <v>3465</v>
      </c>
      <c r="AL737" t="s">
        <v>3465</v>
      </c>
      <c r="AM737" t="s">
        <v>1809</v>
      </c>
      <c r="AN737" t="s">
        <v>3768</v>
      </c>
      <c r="AO737" t="s">
        <v>3463</v>
      </c>
      <c r="AP737" t="s">
        <v>3465</v>
      </c>
      <c r="AQ737" t="s">
        <v>1810</v>
      </c>
      <c r="AR737" t="s">
        <v>3565</v>
      </c>
      <c r="AT737" t="s">
        <v>3465</v>
      </c>
      <c r="AU737" t="s">
        <v>125</v>
      </c>
      <c r="AV737" t="s">
        <v>74</v>
      </c>
      <c r="AW737" t="s">
        <v>3915</v>
      </c>
      <c r="AX737" t="s">
        <v>3465</v>
      </c>
      <c r="AY737" t="s">
        <v>3463</v>
      </c>
      <c r="AZ737" t="s">
        <v>1811</v>
      </c>
      <c r="BB737" t="s">
        <v>3485</v>
      </c>
      <c r="BC737" t="s">
        <v>128</v>
      </c>
      <c r="BE737" t="s">
        <v>116</v>
      </c>
      <c r="BF737" t="s">
        <v>116</v>
      </c>
      <c r="BG737" t="s">
        <v>1812</v>
      </c>
      <c r="BH737" t="s">
        <v>4029</v>
      </c>
      <c r="BK737" t="s">
        <v>1813</v>
      </c>
      <c r="BL737" t="s">
        <v>1814</v>
      </c>
      <c r="BP737" t="s">
        <v>4405</v>
      </c>
      <c r="BQ737" t="s">
        <v>3463</v>
      </c>
      <c r="BR737" t="s">
        <v>3463</v>
      </c>
      <c r="BS737" t="s">
        <v>3465</v>
      </c>
      <c r="BT737" t="s">
        <v>3465</v>
      </c>
      <c r="BU737" t="s">
        <v>3463</v>
      </c>
      <c r="BV737" t="s">
        <v>3463</v>
      </c>
      <c r="BW737" t="s">
        <v>3463</v>
      </c>
      <c r="BX737" t="s">
        <v>79</v>
      </c>
      <c r="BY737" t="s">
        <v>79</v>
      </c>
      <c r="BZ737" t="s">
        <v>79</v>
      </c>
      <c r="CA737" s="10">
        <v>45911</v>
      </c>
    </row>
    <row r="738" spans="1:79">
      <c r="A738">
        <v>745</v>
      </c>
      <c r="B738">
        <v>62</v>
      </c>
      <c r="C738">
        <v>38</v>
      </c>
      <c r="D738" t="s">
        <v>3466</v>
      </c>
      <c r="F738" t="s">
        <v>150</v>
      </c>
      <c r="G738" s="12" t="s">
        <v>3465</v>
      </c>
      <c r="H738" t="s">
        <v>88</v>
      </c>
      <c r="I738">
        <v>69</v>
      </c>
      <c r="K738">
        <v>131</v>
      </c>
      <c r="L738">
        <v>67</v>
      </c>
      <c r="M738" t="s">
        <v>82</v>
      </c>
      <c r="P738" t="s">
        <v>83</v>
      </c>
      <c r="Q738" t="s">
        <v>82</v>
      </c>
      <c r="R738">
        <v>66</v>
      </c>
      <c r="S738">
        <v>164</v>
      </c>
      <c r="T738" s="8">
        <f t="shared" si="22"/>
        <v>24.538964901844139</v>
      </c>
      <c r="U738" s="13" t="str" cm="1">
        <f t="array" ref="U738">IF(T738="","",_xlfn.IFS(T738&lt;18.5,"Bajo peso",T738&lt;25,"Peso normal",T738&lt;30,"Sobrepeso",T738&lt;35,"Obesidad clase I",T738&lt;40,"Obesidad clase II",T738&gt;=40,"Obesidad clase III"))</f>
        <v>Peso normal</v>
      </c>
      <c r="V738">
        <v>92</v>
      </c>
      <c r="X738" t="s">
        <v>3463</v>
      </c>
      <c r="Y738">
        <v>0.74</v>
      </c>
      <c r="AA738">
        <v>90</v>
      </c>
      <c r="AB738" s="9">
        <f t="shared" si="23"/>
        <v>106.13781743931587</v>
      </c>
      <c r="AD738" t="s">
        <v>73</v>
      </c>
      <c r="AF738" t="s">
        <v>73</v>
      </c>
      <c r="AH738" t="s">
        <v>3463</v>
      </c>
      <c r="AI738" t="s">
        <v>3463</v>
      </c>
      <c r="AJ738" t="s">
        <v>3463</v>
      </c>
      <c r="AK738" t="s">
        <v>3463</v>
      </c>
      <c r="AL738" t="s">
        <v>3465</v>
      </c>
      <c r="AM738" t="s">
        <v>1815</v>
      </c>
      <c r="AN738" t="s">
        <v>1815</v>
      </c>
      <c r="AP738" t="s">
        <v>3463</v>
      </c>
      <c r="AQ738" t="s">
        <v>1112</v>
      </c>
      <c r="AR738" t="s">
        <v>3488</v>
      </c>
      <c r="AV738" t="s">
        <v>74</v>
      </c>
      <c r="AW738" t="s">
        <v>3915</v>
      </c>
      <c r="AX738" t="s">
        <v>3463</v>
      </c>
      <c r="AY738" t="s">
        <v>3465</v>
      </c>
      <c r="AZ738" t="s">
        <v>247</v>
      </c>
      <c r="BF738" t="s">
        <v>3921</v>
      </c>
      <c r="BH738" t="s">
        <v>4020</v>
      </c>
      <c r="BP738" t="s">
        <v>4260</v>
      </c>
      <c r="BQ738" t="s">
        <v>3463</v>
      </c>
      <c r="BR738" t="s">
        <v>3463</v>
      </c>
      <c r="BS738" t="s">
        <v>3465</v>
      </c>
      <c r="BT738" t="s">
        <v>3465</v>
      </c>
      <c r="BU738" t="s">
        <v>3463</v>
      </c>
      <c r="BV738" t="s">
        <v>3463</v>
      </c>
      <c r="BW738" t="s">
        <v>3463</v>
      </c>
      <c r="BX738" t="s">
        <v>79</v>
      </c>
      <c r="BY738" t="s">
        <v>87</v>
      </c>
      <c r="BZ738" t="s">
        <v>79</v>
      </c>
      <c r="CA738" s="10">
        <v>45911</v>
      </c>
    </row>
    <row r="739" spans="1:79">
      <c r="A739">
        <v>746</v>
      </c>
      <c r="B739">
        <v>63</v>
      </c>
      <c r="C739">
        <v>68</v>
      </c>
      <c r="D739" t="s">
        <v>3462</v>
      </c>
      <c r="F739" t="s">
        <v>150</v>
      </c>
      <c r="G739" s="12" t="s">
        <v>3465</v>
      </c>
      <c r="H739" t="s">
        <v>88</v>
      </c>
      <c r="I739">
        <v>68</v>
      </c>
      <c r="K739">
        <v>137</v>
      </c>
      <c r="L739">
        <v>78</v>
      </c>
      <c r="M739" t="s">
        <v>82</v>
      </c>
      <c r="P739" t="s">
        <v>83</v>
      </c>
      <c r="Q739" t="s">
        <v>82</v>
      </c>
      <c r="R739">
        <v>61</v>
      </c>
      <c r="S739">
        <v>155</v>
      </c>
      <c r="T739" s="8">
        <f t="shared" si="22"/>
        <v>25.390218522372528</v>
      </c>
      <c r="U739" s="13" t="str" cm="1">
        <f t="array" ref="U739">IF(T739="","",_xlfn.IFS(T739&lt;18.5,"Bajo peso",T739&lt;25,"Peso normal",T739&lt;30,"Sobrepeso",T739&lt;35,"Obesidad clase I",T739&lt;40,"Obesidad clase II",T739&gt;=40,"Obesidad clase III"))</f>
        <v>Sobrepeso</v>
      </c>
      <c r="V739">
        <v>128</v>
      </c>
      <c r="X739" t="s">
        <v>3463</v>
      </c>
      <c r="Y739">
        <v>0.78</v>
      </c>
      <c r="AA739">
        <v>90</v>
      </c>
      <c r="AB739" s="9">
        <f t="shared" si="23"/>
        <v>97.13785207541325</v>
      </c>
      <c r="AD739" t="s">
        <v>73</v>
      </c>
      <c r="AF739" t="s">
        <v>73</v>
      </c>
      <c r="AH739" t="s">
        <v>3464</v>
      </c>
      <c r="AI739" t="s">
        <v>3464</v>
      </c>
      <c r="AJ739" t="s">
        <v>3463</v>
      </c>
      <c r="AK739" t="s">
        <v>3463</v>
      </c>
      <c r="AL739" t="s">
        <v>3463</v>
      </c>
      <c r="AP739" t="s">
        <v>3464</v>
      </c>
      <c r="AQ739" t="s">
        <v>239</v>
      </c>
      <c r="AR739" t="s">
        <v>3493</v>
      </c>
      <c r="AV739" t="s">
        <v>74</v>
      </c>
      <c r="AW739" t="s">
        <v>3915</v>
      </c>
      <c r="BF739" t="s">
        <v>3921</v>
      </c>
      <c r="BH739" t="s">
        <v>4020</v>
      </c>
      <c r="BP739" t="s">
        <v>4260</v>
      </c>
      <c r="BQ739" t="s">
        <v>3463</v>
      </c>
      <c r="BR739" t="s">
        <v>3463</v>
      </c>
      <c r="BS739" t="s">
        <v>3463</v>
      </c>
      <c r="BT739" t="s">
        <v>3463</v>
      </c>
      <c r="BU739" t="s">
        <v>3463</v>
      </c>
      <c r="BV739" t="s">
        <v>3463</v>
      </c>
      <c r="BW739" t="s">
        <v>3463</v>
      </c>
      <c r="BX739" t="s">
        <v>79</v>
      </c>
      <c r="BY739" t="s">
        <v>79</v>
      </c>
      <c r="BZ739" t="s">
        <v>79</v>
      </c>
      <c r="CA739" s="10">
        <v>45911</v>
      </c>
    </row>
    <row r="740" spans="1:79">
      <c r="A740">
        <v>747</v>
      </c>
      <c r="B740">
        <v>64</v>
      </c>
      <c r="C740">
        <v>54</v>
      </c>
      <c r="D740" t="s">
        <v>3466</v>
      </c>
      <c r="F740" t="s">
        <v>150</v>
      </c>
      <c r="G740" s="12" t="s">
        <v>3465</v>
      </c>
      <c r="H740" s="12" t="s">
        <v>88</v>
      </c>
      <c r="I740">
        <v>66</v>
      </c>
      <c r="J740">
        <v>66</v>
      </c>
      <c r="K740">
        <v>167</v>
      </c>
      <c r="L740">
        <v>92</v>
      </c>
      <c r="M740" t="s">
        <v>72</v>
      </c>
      <c r="N740">
        <v>156</v>
      </c>
      <c r="O740">
        <v>90</v>
      </c>
      <c r="P740" t="s">
        <v>72</v>
      </c>
      <c r="Q740" t="s">
        <v>72</v>
      </c>
      <c r="R740">
        <v>91</v>
      </c>
      <c r="S740">
        <v>151</v>
      </c>
      <c r="T740" s="8">
        <f t="shared" si="22"/>
        <v>39.91053023990176</v>
      </c>
      <c r="U740" s="13" t="str" cm="1">
        <f t="array" ref="U740">IF(T740="","",_xlfn.IFS(T740&lt;18.5,"Bajo peso",T740&lt;25,"Peso normal",T740&lt;30,"Sobrepeso",T740&lt;35,"Obesidad clase I",T740&lt;40,"Obesidad clase II",T740&gt;=40,"Obesidad clase III"))</f>
        <v>Obesidad clase II</v>
      </c>
      <c r="V740">
        <v>71</v>
      </c>
      <c r="X740" t="s">
        <v>3463</v>
      </c>
      <c r="Y740">
        <v>0.75</v>
      </c>
      <c r="AA740">
        <v>90</v>
      </c>
      <c r="AB740" s="9">
        <f t="shared" si="23"/>
        <v>94.549356837746217</v>
      </c>
      <c r="AD740" t="s">
        <v>73</v>
      </c>
      <c r="AF740" t="s">
        <v>73</v>
      </c>
      <c r="AH740" t="s">
        <v>3463</v>
      </c>
      <c r="AI740" t="s">
        <v>3463</v>
      </c>
      <c r="AJ740" t="s">
        <v>3463</v>
      </c>
      <c r="AK740" t="s">
        <v>3463</v>
      </c>
      <c r="AL740" t="s">
        <v>3463</v>
      </c>
      <c r="AO740" t="s">
        <v>3463</v>
      </c>
      <c r="AP740" t="s">
        <v>3465</v>
      </c>
      <c r="AQ740" t="s">
        <v>1816</v>
      </c>
      <c r="AR740" t="s">
        <v>3536</v>
      </c>
      <c r="AT740" t="s">
        <v>3465</v>
      </c>
      <c r="AU740" t="s">
        <v>80</v>
      </c>
      <c r="AV740" t="s">
        <v>178</v>
      </c>
      <c r="AW740" t="s">
        <v>3918</v>
      </c>
      <c r="AX740" t="s">
        <v>3463</v>
      </c>
      <c r="AY740" t="s">
        <v>3465</v>
      </c>
      <c r="AZ740" t="s">
        <v>90</v>
      </c>
      <c r="BF740" t="s">
        <v>3921</v>
      </c>
      <c r="BG740" t="s">
        <v>1817</v>
      </c>
      <c r="BH740" t="s">
        <v>4021</v>
      </c>
      <c r="BK740" t="s">
        <v>1152</v>
      </c>
      <c r="BL740" t="s">
        <v>1818</v>
      </c>
      <c r="BP740" t="s">
        <v>4260</v>
      </c>
      <c r="BQ740" t="s">
        <v>3463</v>
      </c>
      <c r="BR740" t="s">
        <v>3465</v>
      </c>
      <c r="BS740" t="s">
        <v>3465</v>
      </c>
      <c r="BT740" t="s">
        <v>3465</v>
      </c>
      <c r="BU740" t="s">
        <v>3463</v>
      </c>
      <c r="BV740" t="s">
        <v>3463</v>
      </c>
      <c r="BW740" t="s">
        <v>3463</v>
      </c>
      <c r="BX740" t="s">
        <v>79</v>
      </c>
      <c r="BY740" t="s">
        <v>79</v>
      </c>
      <c r="BZ740" t="s">
        <v>79</v>
      </c>
      <c r="CA740" s="10">
        <v>45911</v>
      </c>
    </row>
    <row r="741" spans="1:79">
      <c r="A741">
        <v>748</v>
      </c>
      <c r="B741">
        <v>65</v>
      </c>
      <c r="C741">
        <v>36</v>
      </c>
      <c r="D741" t="s">
        <v>3466</v>
      </c>
      <c r="E741" t="s">
        <v>1659</v>
      </c>
      <c r="F741" t="s">
        <v>150</v>
      </c>
      <c r="G741" s="12" t="s">
        <v>3465</v>
      </c>
      <c r="H741" t="s">
        <v>88</v>
      </c>
      <c r="I741">
        <v>69</v>
      </c>
      <c r="K741">
        <v>129</v>
      </c>
      <c r="L741">
        <v>84</v>
      </c>
      <c r="M741" t="s">
        <v>82</v>
      </c>
      <c r="P741" t="s">
        <v>83</v>
      </c>
      <c r="Q741" t="s">
        <v>82</v>
      </c>
      <c r="R741">
        <v>73.7</v>
      </c>
      <c r="S741">
        <v>169</v>
      </c>
      <c r="T741" s="8">
        <f t="shared" si="22"/>
        <v>25.804418612793668</v>
      </c>
      <c r="U741" s="13" t="str" cm="1">
        <f t="array" ref="U741">IF(T741="","",_xlfn.IFS(T741&lt;18.5,"Bajo peso",T741&lt;25,"Peso normal",T741&lt;30,"Sobrepeso",T741&lt;35,"Obesidad clase I",T741&lt;40,"Obesidad clase II",T741&gt;=40,"Obesidad clase III"))</f>
        <v>Sobrepeso</v>
      </c>
      <c r="V741">
        <v>107</v>
      </c>
      <c r="X741" t="s">
        <v>3463</v>
      </c>
      <c r="Y741">
        <v>0.95</v>
      </c>
      <c r="AA741">
        <v>80</v>
      </c>
      <c r="AB741" s="9">
        <f t="shared" si="23"/>
        <v>79.630951539174774</v>
      </c>
      <c r="AD741" t="s">
        <v>73</v>
      </c>
      <c r="AF741" t="s">
        <v>73</v>
      </c>
      <c r="AH741" t="s">
        <v>3463</v>
      </c>
      <c r="AI741" t="s">
        <v>3463</v>
      </c>
      <c r="AJ741" t="s">
        <v>3463</v>
      </c>
      <c r="AK741" t="s">
        <v>3463</v>
      </c>
      <c r="AL741" t="s">
        <v>3463</v>
      </c>
      <c r="AP741" t="s">
        <v>3463</v>
      </c>
      <c r="AQ741" t="s">
        <v>1805</v>
      </c>
      <c r="AR741" t="s">
        <v>3516</v>
      </c>
      <c r="AV741" t="s">
        <v>178</v>
      </c>
      <c r="AW741" t="s">
        <v>3918</v>
      </c>
      <c r="AX741" t="s">
        <v>3463</v>
      </c>
      <c r="AY741" t="s">
        <v>3463</v>
      </c>
      <c r="BF741" t="s">
        <v>3921</v>
      </c>
      <c r="BH741" t="s">
        <v>4020</v>
      </c>
      <c r="BP741" t="s">
        <v>4260</v>
      </c>
      <c r="BQ741" t="s">
        <v>3463</v>
      </c>
      <c r="BR741" t="s">
        <v>3465</v>
      </c>
      <c r="BS741" t="s">
        <v>3463</v>
      </c>
      <c r="BT741" t="s">
        <v>3463</v>
      </c>
      <c r="BU741" t="s">
        <v>3463</v>
      </c>
      <c r="BV741" t="s">
        <v>3463</v>
      </c>
      <c r="BW741" t="s">
        <v>3463</v>
      </c>
      <c r="BX741" t="s">
        <v>79</v>
      </c>
      <c r="BY741" t="s">
        <v>79</v>
      </c>
      <c r="BZ741" t="s">
        <v>79</v>
      </c>
      <c r="CA741" s="10">
        <v>45911</v>
      </c>
    </row>
    <row r="742" spans="1:79">
      <c r="A742">
        <v>749</v>
      </c>
      <c r="B742">
        <v>66</v>
      </c>
      <c r="C742">
        <v>62</v>
      </c>
      <c r="D742" t="s">
        <v>3462</v>
      </c>
      <c r="F742" t="s">
        <v>150</v>
      </c>
      <c r="G742" s="12" t="s">
        <v>3463</v>
      </c>
      <c r="H742" s="12"/>
      <c r="I742">
        <v>65</v>
      </c>
      <c r="J742">
        <v>67</v>
      </c>
      <c r="K742">
        <v>150</v>
      </c>
      <c r="L742">
        <v>81</v>
      </c>
      <c r="M742" t="s">
        <v>72</v>
      </c>
      <c r="N742">
        <v>146</v>
      </c>
      <c r="O742">
        <v>84</v>
      </c>
      <c r="P742" t="s">
        <v>72</v>
      </c>
      <c r="Q742" t="s">
        <v>72</v>
      </c>
      <c r="R742">
        <v>87</v>
      </c>
      <c r="S742">
        <v>161</v>
      </c>
      <c r="T742" s="8">
        <f t="shared" si="22"/>
        <v>33.56351992592878</v>
      </c>
      <c r="U742" s="13" t="str" cm="1">
        <f t="array" ref="U742">IF(T742="","",_xlfn.IFS(T742&lt;18.5,"Bajo peso",T742&lt;25,"Peso normal",T742&lt;30,"Sobrepeso",T742&lt;35,"Obesidad clase I",T742&lt;40,"Obesidad clase II",T742&gt;=40,"Obesidad clase III"))</f>
        <v>Obesidad clase I</v>
      </c>
      <c r="V742">
        <v>91</v>
      </c>
      <c r="X742" t="s">
        <v>3463</v>
      </c>
      <c r="Y742">
        <v>0.99</v>
      </c>
      <c r="AA742">
        <v>86</v>
      </c>
      <c r="AB742" s="9">
        <f t="shared" si="23"/>
        <v>86.130040530388243</v>
      </c>
      <c r="AD742" t="s">
        <v>73</v>
      </c>
      <c r="AF742" t="s">
        <v>73</v>
      </c>
      <c r="AH742" t="s">
        <v>3463</v>
      </c>
      <c r="AI742" t="s">
        <v>3463</v>
      </c>
      <c r="AJ742" t="s">
        <v>3463</v>
      </c>
      <c r="AK742" t="s">
        <v>3463</v>
      </c>
      <c r="AL742" t="s">
        <v>3463</v>
      </c>
      <c r="AO742" t="s">
        <v>3463</v>
      </c>
      <c r="AP742" t="s">
        <v>3465</v>
      </c>
      <c r="AQ742" t="s">
        <v>1819</v>
      </c>
      <c r="AR742" t="s">
        <v>3493</v>
      </c>
      <c r="AV742" t="s">
        <v>74</v>
      </c>
      <c r="AW742" t="s">
        <v>3915</v>
      </c>
      <c r="BA742" t="s">
        <v>3920</v>
      </c>
      <c r="BF742" t="s">
        <v>3921</v>
      </c>
      <c r="BG742" t="s">
        <v>1820</v>
      </c>
      <c r="BH742" t="s">
        <v>4125</v>
      </c>
      <c r="BI742" t="s">
        <v>162</v>
      </c>
      <c r="BK742" t="s">
        <v>1821</v>
      </c>
      <c r="BP742" t="s">
        <v>4469</v>
      </c>
      <c r="BQ742" t="s">
        <v>3465</v>
      </c>
      <c r="BR742" t="s">
        <v>3465</v>
      </c>
      <c r="BS742" t="s">
        <v>3465</v>
      </c>
      <c r="BT742" t="s">
        <v>3465</v>
      </c>
      <c r="BU742" t="s">
        <v>3463</v>
      </c>
      <c r="BV742" t="s">
        <v>3463</v>
      </c>
      <c r="BW742" t="s">
        <v>3463</v>
      </c>
      <c r="BX742" t="s">
        <v>79</v>
      </c>
      <c r="BY742" t="s">
        <v>79</v>
      </c>
      <c r="BZ742" t="s">
        <v>79</v>
      </c>
      <c r="CA742" s="10">
        <v>45911</v>
      </c>
    </row>
    <row r="743" spans="1:79">
      <c r="A743">
        <v>750</v>
      </c>
      <c r="B743">
        <v>67</v>
      </c>
      <c r="C743">
        <v>47</v>
      </c>
      <c r="D743" t="s">
        <v>3462</v>
      </c>
      <c r="F743" t="s">
        <v>168</v>
      </c>
      <c r="G743" s="12" t="s">
        <v>3463</v>
      </c>
      <c r="I743">
        <v>63</v>
      </c>
      <c r="J743">
        <v>57</v>
      </c>
      <c r="K743">
        <v>140</v>
      </c>
      <c r="L743">
        <v>80</v>
      </c>
      <c r="M743" t="s">
        <v>72</v>
      </c>
      <c r="N743">
        <v>138</v>
      </c>
      <c r="O743">
        <v>85</v>
      </c>
      <c r="P743" t="s">
        <v>82</v>
      </c>
      <c r="Q743" t="s">
        <v>82</v>
      </c>
      <c r="R743">
        <v>87.2</v>
      </c>
      <c r="S743">
        <v>165.5</v>
      </c>
      <c r="T743" s="8">
        <f t="shared" si="22"/>
        <v>31.836146073876652</v>
      </c>
      <c r="U743" s="13" t="str" cm="1">
        <f t="array" ref="U743">IF(T743="","",_xlfn.IFS(T743&lt;18.5,"Bajo peso",T743&lt;25,"Peso normal",T743&lt;30,"Sobrepeso",T743&lt;35,"Obesidad clase I",T743&lt;40,"Obesidad clase II",T743&gt;=40,"Obesidad clase III"))</f>
        <v>Obesidad clase I</v>
      </c>
      <c r="V743">
        <v>107</v>
      </c>
      <c r="X743" t="s">
        <v>3463</v>
      </c>
      <c r="Y743">
        <v>0.53</v>
      </c>
      <c r="AA743">
        <v>90</v>
      </c>
      <c r="AB743" s="9">
        <f t="shared" si="23"/>
        <v>124.39155957083338</v>
      </c>
      <c r="AD743" t="s">
        <v>73</v>
      </c>
      <c r="AF743" t="s">
        <v>73</v>
      </c>
      <c r="AH743" t="s">
        <v>3463</v>
      </c>
      <c r="AI743" t="s">
        <v>3463</v>
      </c>
      <c r="AJ743" t="s">
        <v>3463</v>
      </c>
      <c r="AK743" t="s">
        <v>3463</v>
      </c>
      <c r="AL743" t="s">
        <v>3465</v>
      </c>
      <c r="AM743" t="s">
        <v>1822</v>
      </c>
      <c r="AN743" t="s">
        <v>3769</v>
      </c>
      <c r="AP743" t="s">
        <v>3463</v>
      </c>
      <c r="AQ743" t="s">
        <v>1823</v>
      </c>
      <c r="AR743" t="s">
        <v>3553</v>
      </c>
      <c r="AV743" t="s">
        <v>74</v>
      </c>
      <c r="AW743" t="s">
        <v>3915</v>
      </c>
      <c r="BC743" t="s">
        <v>128</v>
      </c>
      <c r="BE743" t="s">
        <v>301</v>
      </c>
      <c r="BF743" t="s">
        <v>457</v>
      </c>
      <c r="BG743" t="s">
        <v>1824</v>
      </c>
      <c r="BH743" t="s">
        <v>4167</v>
      </c>
      <c r="BI743" t="s">
        <v>1825</v>
      </c>
      <c r="BK743" t="s">
        <v>1826</v>
      </c>
      <c r="BP743" t="s">
        <v>4470</v>
      </c>
      <c r="BQ743" t="s">
        <v>3463</v>
      </c>
      <c r="BR743" t="s">
        <v>3465</v>
      </c>
      <c r="BS743" t="s">
        <v>3465</v>
      </c>
      <c r="BT743" t="s">
        <v>3465</v>
      </c>
      <c r="BU743" t="s">
        <v>3463</v>
      </c>
      <c r="BV743" t="s">
        <v>3463</v>
      </c>
      <c r="BW743" t="s">
        <v>3463</v>
      </c>
      <c r="BX743" t="s">
        <v>79</v>
      </c>
      <c r="BY743" t="s">
        <v>79</v>
      </c>
      <c r="BZ743" t="s">
        <v>79</v>
      </c>
      <c r="CA743" s="10">
        <v>45911</v>
      </c>
    </row>
    <row r="744" spans="1:79">
      <c r="A744">
        <v>751</v>
      </c>
      <c r="B744">
        <v>68</v>
      </c>
      <c r="C744">
        <v>18</v>
      </c>
      <c r="D744" t="s">
        <v>3462</v>
      </c>
      <c r="E744" t="s">
        <v>1659</v>
      </c>
      <c r="F744" t="s">
        <v>150</v>
      </c>
      <c r="G744" s="12" t="s">
        <v>3463</v>
      </c>
      <c r="I744">
        <v>73</v>
      </c>
      <c r="K744">
        <v>119</v>
      </c>
      <c r="L744">
        <v>71</v>
      </c>
      <c r="M744" t="s">
        <v>80</v>
      </c>
      <c r="P744" t="s">
        <v>83</v>
      </c>
      <c r="Q744" t="s">
        <v>80</v>
      </c>
      <c r="R744">
        <v>65.5</v>
      </c>
      <c r="S744">
        <v>181</v>
      </c>
      <c r="T744" s="8">
        <f t="shared" si="22"/>
        <v>19.993284698269285</v>
      </c>
      <c r="U744" s="13" t="str" cm="1">
        <f t="array" ref="U744">IF(T744="","",_xlfn.IFS(T744&lt;18.5,"Bajo peso",T744&lt;25,"Peso normal",T744&lt;30,"Sobrepeso",T744&lt;35,"Obesidad clase I",T744&lt;40,"Obesidad clase II",T744&gt;=40,"Obesidad clase III"))</f>
        <v>Peso normal</v>
      </c>
      <c r="V744">
        <v>80</v>
      </c>
      <c r="X744" t="s">
        <v>3463</v>
      </c>
      <c r="Y744">
        <v>1.1000000000000001</v>
      </c>
      <c r="AA744">
        <v>90</v>
      </c>
      <c r="AB744" s="9">
        <f t="shared" si="23"/>
        <v>99.790683414150649</v>
      </c>
      <c r="AD744" t="s">
        <v>73</v>
      </c>
      <c r="AF744" t="s">
        <v>73</v>
      </c>
      <c r="AH744" t="s">
        <v>3463</v>
      </c>
      <c r="AI744" t="s">
        <v>3463</v>
      </c>
      <c r="AJ744" t="s">
        <v>3463</v>
      </c>
      <c r="AK744" t="s">
        <v>3463</v>
      </c>
      <c r="AL744" t="s">
        <v>3465</v>
      </c>
      <c r="AM744" t="s">
        <v>1827</v>
      </c>
      <c r="AN744" t="s">
        <v>3672</v>
      </c>
      <c r="AP744" t="s">
        <v>3463</v>
      </c>
      <c r="AQ744" t="s">
        <v>120</v>
      </c>
      <c r="AR744" t="s">
        <v>3491</v>
      </c>
      <c r="AV744" t="s">
        <v>74</v>
      </c>
      <c r="AW744" t="s">
        <v>3915</v>
      </c>
      <c r="BF744" t="s">
        <v>3921</v>
      </c>
      <c r="BH744" t="s">
        <v>4020</v>
      </c>
      <c r="BP744" t="s">
        <v>4260</v>
      </c>
      <c r="BQ744" t="s">
        <v>3463</v>
      </c>
      <c r="BR744" t="s">
        <v>3463</v>
      </c>
      <c r="BS744" t="s">
        <v>3463</v>
      </c>
      <c r="BT744" t="s">
        <v>3465</v>
      </c>
      <c r="BU744" t="s">
        <v>3463</v>
      </c>
      <c r="BV744" t="s">
        <v>3463</v>
      </c>
      <c r="BW744" t="s">
        <v>3463</v>
      </c>
      <c r="BX744" t="s">
        <v>79</v>
      </c>
      <c r="BY744" t="s">
        <v>79</v>
      </c>
      <c r="BZ744" t="s">
        <v>79</v>
      </c>
      <c r="CA744" s="10">
        <v>45911</v>
      </c>
    </row>
    <row r="745" spans="1:79">
      <c r="A745">
        <v>752</v>
      </c>
      <c r="B745">
        <v>69</v>
      </c>
      <c r="C745">
        <v>66</v>
      </c>
      <c r="D745" t="s">
        <v>3466</v>
      </c>
      <c r="F745" t="s">
        <v>150</v>
      </c>
      <c r="G745" s="12" t="s">
        <v>3463</v>
      </c>
      <c r="I745">
        <v>83</v>
      </c>
      <c r="K745">
        <v>150</v>
      </c>
      <c r="L745">
        <v>81</v>
      </c>
      <c r="M745" t="s">
        <v>72</v>
      </c>
      <c r="P745" t="s">
        <v>83</v>
      </c>
      <c r="Q745" t="s">
        <v>72</v>
      </c>
      <c r="R745">
        <v>57</v>
      </c>
      <c r="S745">
        <v>150</v>
      </c>
      <c r="T745" s="8">
        <f t="shared" si="22"/>
        <v>25.333333333333332</v>
      </c>
      <c r="U745" s="13" t="str" cm="1">
        <f t="array" ref="U745">IF(T745="","",_xlfn.IFS(T745&lt;18.5,"Bajo peso",T745&lt;25,"Peso normal",T745&lt;30,"Sobrepeso",T745&lt;35,"Obesidad clase I",T745&lt;40,"Obesidad clase II",T745&gt;=40,"Obesidad clase III"))</f>
        <v>Sobrepeso</v>
      </c>
      <c r="V745">
        <v>100</v>
      </c>
      <c r="X745" t="s">
        <v>3463</v>
      </c>
      <c r="Y745">
        <v>0.88</v>
      </c>
      <c r="AA745">
        <v>72</v>
      </c>
      <c r="AB745" s="9">
        <f t="shared" si="23"/>
        <v>72.433721232192966</v>
      </c>
      <c r="AD745" t="s">
        <v>73</v>
      </c>
      <c r="AF745" t="s">
        <v>73</v>
      </c>
      <c r="AH745" t="s">
        <v>3463</v>
      </c>
      <c r="AI745" t="s">
        <v>3463</v>
      </c>
      <c r="AJ745" t="s">
        <v>3463</v>
      </c>
      <c r="AK745" t="s">
        <v>3463</v>
      </c>
      <c r="AL745" t="s">
        <v>3465</v>
      </c>
      <c r="AM745" t="s">
        <v>1828</v>
      </c>
      <c r="AN745" t="s">
        <v>3770</v>
      </c>
      <c r="AP745" t="s">
        <v>3463</v>
      </c>
      <c r="AQ745" t="s">
        <v>1829</v>
      </c>
      <c r="AR745" t="s">
        <v>3491</v>
      </c>
      <c r="AT745" t="s">
        <v>3463</v>
      </c>
      <c r="AV745" t="s">
        <v>126</v>
      </c>
      <c r="AW745" t="s">
        <v>126</v>
      </c>
      <c r="AX745" t="s">
        <v>3463</v>
      </c>
      <c r="AY745" t="s">
        <v>3463</v>
      </c>
      <c r="BE745" t="s">
        <v>257</v>
      </c>
      <c r="BF745" t="s">
        <v>116</v>
      </c>
      <c r="BG745" t="s">
        <v>1830</v>
      </c>
      <c r="BH745" t="s">
        <v>4021</v>
      </c>
      <c r="BI745" t="s">
        <v>734</v>
      </c>
      <c r="BK745" t="s">
        <v>1821</v>
      </c>
      <c r="BP745" t="s">
        <v>4471</v>
      </c>
      <c r="BQ745" t="s">
        <v>3465</v>
      </c>
      <c r="BR745" t="s">
        <v>3465</v>
      </c>
      <c r="BS745" t="s">
        <v>3463</v>
      </c>
      <c r="BT745" t="s">
        <v>3463</v>
      </c>
      <c r="BU745" t="s">
        <v>3463</v>
      </c>
      <c r="BV745" t="s">
        <v>3463</v>
      </c>
      <c r="BW745" t="s">
        <v>3463</v>
      </c>
      <c r="BX745" t="s">
        <v>79</v>
      </c>
      <c r="BY745" t="s">
        <v>79</v>
      </c>
      <c r="BZ745" t="s">
        <v>79</v>
      </c>
      <c r="CA745" s="10">
        <v>45911</v>
      </c>
    </row>
    <row r="746" spans="1:79">
      <c r="A746">
        <v>753</v>
      </c>
      <c r="B746">
        <v>70</v>
      </c>
      <c r="C746">
        <v>42</v>
      </c>
      <c r="D746" t="s">
        <v>3466</v>
      </c>
      <c r="F746" t="s">
        <v>150</v>
      </c>
      <c r="G746" s="12" t="s">
        <v>3463</v>
      </c>
      <c r="H746" s="12"/>
      <c r="I746">
        <v>80</v>
      </c>
      <c r="K746">
        <v>125</v>
      </c>
      <c r="L746">
        <v>70</v>
      </c>
      <c r="M746" t="s">
        <v>118</v>
      </c>
      <c r="P746" t="s">
        <v>83</v>
      </c>
      <c r="Q746" t="s">
        <v>118</v>
      </c>
      <c r="R746">
        <v>71.900000000000006</v>
      </c>
      <c r="S746">
        <v>158</v>
      </c>
      <c r="T746" s="8">
        <f t="shared" si="22"/>
        <v>28.801474122736742</v>
      </c>
      <c r="U746" s="13" t="str" cm="1">
        <f t="array" ref="U746">IF(T746="","",_xlfn.IFS(T746&lt;18.5,"Bajo peso",T746&lt;25,"Peso normal",T746&lt;30,"Sobrepeso",T746&lt;35,"Obesidad clase I",T746&lt;40,"Obesidad clase II",T746&gt;=40,"Obesidad clase III"))</f>
        <v>Sobrepeso</v>
      </c>
      <c r="V746">
        <v>96</v>
      </c>
      <c r="X746" t="s">
        <v>3463</v>
      </c>
      <c r="Y746">
        <v>1.05</v>
      </c>
      <c r="AA746">
        <v>68</v>
      </c>
      <c r="AB746" s="9">
        <f t="shared" si="23"/>
        <v>68.032593502378191</v>
      </c>
      <c r="AD746" t="s">
        <v>73</v>
      </c>
      <c r="AF746" t="s">
        <v>73</v>
      </c>
      <c r="AH746" t="s">
        <v>3463</v>
      </c>
      <c r="AI746" t="s">
        <v>3463</v>
      </c>
      <c r="AJ746" t="s">
        <v>3463</v>
      </c>
      <c r="AK746" t="s">
        <v>3465</v>
      </c>
      <c r="AL746" t="s">
        <v>3463</v>
      </c>
      <c r="AP746" t="s">
        <v>3463</v>
      </c>
      <c r="AQ746" t="s">
        <v>1093</v>
      </c>
      <c r="AR746" t="s">
        <v>3491</v>
      </c>
      <c r="AV746" t="s">
        <v>126</v>
      </c>
      <c r="AW746" t="s">
        <v>126</v>
      </c>
      <c r="AX746" t="s">
        <v>3463</v>
      </c>
      <c r="AY746" t="s">
        <v>3463</v>
      </c>
      <c r="AZ746" t="s">
        <v>90</v>
      </c>
      <c r="BF746" t="s">
        <v>3921</v>
      </c>
      <c r="BH746" t="s">
        <v>4020</v>
      </c>
      <c r="BP746" t="s">
        <v>4260</v>
      </c>
      <c r="BQ746" t="s">
        <v>3463</v>
      </c>
      <c r="BR746" t="s">
        <v>3463</v>
      </c>
      <c r="BS746" t="s">
        <v>3465</v>
      </c>
      <c r="BT746" t="s">
        <v>3465</v>
      </c>
      <c r="BU746" t="s">
        <v>3463</v>
      </c>
      <c r="BV746" t="s">
        <v>3463</v>
      </c>
      <c r="BW746" t="s">
        <v>3463</v>
      </c>
      <c r="BX746" t="s">
        <v>79</v>
      </c>
      <c r="BY746" t="s">
        <v>79</v>
      </c>
      <c r="BZ746" t="s">
        <v>79</v>
      </c>
      <c r="CA746" s="10">
        <v>45911</v>
      </c>
    </row>
    <row r="747" spans="1:79">
      <c r="A747">
        <v>754</v>
      </c>
      <c r="B747">
        <v>71</v>
      </c>
      <c r="C747">
        <v>70</v>
      </c>
      <c r="D747" t="s">
        <v>3462</v>
      </c>
      <c r="F747" t="s">
        <v>150</v>
      </c>
      <c r="G747" s="12" t="s">
        <v>3463</v>
      </c>
      <c r="H747" s="12"/>
      <c r="I747">
        <v>84</v>
      </c>
      <c r="J747">
        <v>80</v>
      </c>
      <c r="K747">
        <v>165</v>
      </c>
      <c r="L747">
        <v>93</v>
      </c>
      <c r="M747" t="s">
        <v>72</v>
      </c>
      <c r="N747">
        <v>169</v>
      </c>
      <c r="O747">
        <v>88</v>
      </c>
      <c r="P747" t="s">
        <v>72</v>
      </c>
      <c r="Q747" t="s">
        <v>72</v>
      </c>
      <c r="R747">
        <v>97.5</v>
      </c>
      <c r="S747">
        <v>175</v>
      </c>
      <c r="T747" s="8">
        <f t="shared" si="22"/>
        <v>31.836734693877549</v>
      </c>
      <c r="U747" s="13" t="str" cm="1">
        <f t="array" ref="U747">IF(T747="","",_xlfn.IFS(T747&lt;18.5,"Bajo peso",T747&lt;25,"Peso normal",T747&lt;30,"Sobrepeso",T747&lt;35,"Obesidad clase I",T747&lt;40,"Obesidad clase II",T747&gt;=40,"Obesidad clase III"))</f>
        <v>Obesidad clase I</v>
      </c>
      <c r="V747">
        <v>127</v>
      </c>
      <c r="X747" t="s">
        <v>3463</v>
      </c>
      <c r="Y747">
        <v>1.22</v>
      </c>
      <c r="AA747">
        <v>64</v>
      </c>
      <c r="AB747" s="9">
        <f t="shared" si="23"/>
        <v>63.778900427071989</v>
      </c>
      <c r="AD747" t="s">
        <v>73</v>
      </c>
      <c r="AF747" t="s">
        <v>73</v>
      </c>
      <c r="AG747" t="s">
        <v>3465</v>
      </c>
      <c r="AH747" t="s">
        <v>3465</v>
      </c>
      <c r="AI747" t="s">
        <v>3465</v>
      </c>
      <c r="AJ747" t="s">
        <v>3463</v>
      </c>
      <c r="AK747" t="s">
        <v>3463</v>
      </c>
      <c r="AL747" t="s">
        <v>3463</v>
      </c>
      <c r="AP747" t="s">
        <v>3463</v>
      </c>
      <c r="AQ747" t="s">
        <v>1831</v>
      </c>
      <c r="AR747" t="s">
        <v>3493</v>
      </c>
      <c r="AS747" t="s">
        <v>3465</v>
      </c>
      <c r="AV747" t="s">
        <v>126</v>
      </c>
      <c r="AW747" t="s">
        <v>126</v>
      </c>
      <c r="BA747" t="s">
        <v>3920</v>
      </c>
      <c r="BB747" t="s">
        <v>3485</v>
      </c>
      <c r="BE747" t="s">
        <v>1832</v>
      </c>
      <c r="BF747" t="s">
        <v>3943</v>
      </c>
      <c r="BG747" t="s">
        <v>1833</v>
      </c>
      <c r="BH747" t="s">
        <v>4177</v>
      </c>
      <c r="BI747" t="s">
        <v>411</v>
      </c>
      <c r="BK747" t="s">
        <v>1834</v>
      </c>
      <c r="BL747" t="s">
        <v>1835</v>
      </c>
      <c r="BP747" t="s">
        <v>4472</v>
      </c>
      <c r="BQ747" t="s">
        <v>3463</v>
      </c>
      <c r="BR747" t="s">
        <v>3463</v>
      </c>
      <c r="BS747" t="s">
        <v>3463</v>
      </c>
      <c r="BT747" t="s">
        <v>3463</v>
      </c>
      <c r="BU747" t="s">
        <v>3463</v>
      </c>
      <c r="BV747" t="s">
        <v>3463</v>
      </c>
      <c r="BW747" t="s">
        <v>3463</v>
      </c>
      <c r="BX747" t="s">
        <v>79</v>
      </c>
      <c r="BY747" t="s">
        <v>121</v>
      </c>
      <c r="BZ747" t="s">
        <v>95</v>
      </c>
      <c r="CA747" s="10">
        <v>45911</v>
      </c>
    </row>
    <row r="748" spans="1:79">
      <c r="A748">
        <v>755</v>
      </c>
      <c r="B748">
        <v>72</v>
      </c>
      <c r="C748">
        <v>41</v>
      </c>
      <c r="D748" t="s">
        <v>3462</v>
      </c>
      <c r="E748" t="s">
        <v>1659</v>
      </c>
      <c r="F748" t="s">
        <v>150</v>
      </c>
      <c r="G748" s="12" t="s">
        <v>3465</v>
      </c>
      <c r="H748" s="12" t="s">
        <v>88</v>
      </c>
      <c r="I748">
        <v>65</v>
      </c>
      <c r="J748">
        <v>60</v>
      </c>
      <c r="K748">
        <v>152</v>
      </c>
      <c r="L748">
        <v>83</v>
      </c>
      <c r="M748" t="s">
        <v>72</v>
      </c>
      <c r="N748">
        <v>150</v>
      </c>
      <c r="O748">
        <v>79</v>
      </c>
      <c r="P748" t="s">
        <v>72</v>
      </c>
      <c r="Q748" t="s">
        <v>72</v>
      </c>
      <c r="R748">
        <v>101.5</v>
      </c>
      <c r="S748">
        <v>175</v>
      </c>
      <c r="T748" s="8">
        <f t="shared" si="22"/>
        <v>33.142857142857146</v>
      </c>
      <c r="U748" s="13" t="str" cm="1">
        <f t="array" ref="U748">IF(T748="","",_xlfn.IFS(T748&lt;18.5,"Bajo peso",T748&lt;25,"Peso normal",T748&lt;30,"Sobrepeso",T748&lt;35,"Obesidad clase I",T748&lt;40,"Obesidad clase II",T748&gt;=40,"Obesidad clase III"))</f>
        <v>Obesidad clase I</v>
      </c>
      <c r="V748">
        <v>104</v>
      </c>
      <c r="X748" t="s">
        <v>3463</v>
      </c>
      <c r="Y748">
        <v>0.92</v>
      </c>
      <c r="AA748">
        <v>90</v>
      </c>
      <c r="AB748" s="9">
        <f t="shared" si="23"/>
        <v>107.17479258271894</v>
      </c>
      <c r="AD748" t="s">
        <v>73</v>
      </c>
      <c r="AF748" t="s">
        <v>73</v>
      </c>
      <c r="AH748" t="s">
        <v>3463</v>
      </c>
      <c r="AI748" t="s">
        <v>3465</v>
      </c>
      <c r="AJ748" t="s">
        <v>3463</v>
      </c>
      <c r="AK748" t="s">
        <v>3463</v>
      </c>
      <c r="AL748" t="s">
        <v>3463</v>
      </c>
      <c r="AP748" t="s">
        <v>3463</v>
      </c>
      <c r="AQ748" t="s">
        <v>120</v>
      </c>
      <c r="AR748" t="s">
        <v>3491</v>
      </c>
      <c r="AS748" t="s">
        <v>3463</v>
      </c>
      <c r="AV748" t="s">
        <v>74</v>
      </c>
      <c r="AW748" t="s">
        <v>3915</v>
      </c>
      <c r="BA748" t="s">
        <v>3920</v>
      </c>
      <c r="BC748" t="s">
        <v>128</v>
      </c>
      <c r="BF748" t="s">
        <v>3921</v>
      </c>
      <c r="BG748" t="s">
        <v>1836</v>
      </c>
      <c r="BH748" t="s">
        <v>4068</v>
      </c>
      <c r="BI748" t="s">
        <v>462</v>
      </c>
      <c r="BK748" t="s">
        <v>1837</v>
      </c>
      <c r="BP748" t="s">
        <v>4329</v>
      </c>
      <c r="BQ748" t="s">
        <v>3465</v>
      </c>
      <c r="BR748" t="s">
        <v>3465</v>
      </c>
      <c r="BS748" t="s">
        <v>3463</v>
      </c>
      <c r="BT748" t="s">
        <v>3463</v>
      </c>
      <c r="BU748" t="s">
        <v>3463</v>
      </c>
      <c r="BV748" t="s">
        <v>3463</v>
      </c>
      <c r="BW748" t="s">
        <v>3463</v>
      </c>
      <c r="BX748" t="s">
        <v>79</v>
      </c>
      <c r="BY748" t="s">
        <v>87</v>
      </c>
      <c r="BZ748" t="s">
        <v>79</v>
      </c>
      <c r="CA748" s="10">
        <v>45911</v>
      </c>
    </row>
    <row r="749" spans="1:79">
      <c r="A749">
        <v>756</v>
      </c>
      <c r="B749">
        <v>73</v>
      </c>
      <c r="C749">
        <v>50</v>
      </c>
      <c r="D749" t="s">
        <v>3462</v>
      </c>
      <c r="F749" t="s">
        <v>150</v>
      </c>
      <c r="G749" s="12" t="s">
        <v>3463</v>
      </c>
      <c r="H749" s="12"/>
      <c r="I749">
        <v>57</v>
      </c>
      <c r="K749">
        <v>143</v>
      </c>
      <c r="L749">
        <v>68</v>
      </c>
      <c r="M749" t="s">
        <v>72</v>
      </c>
      <c r="P749" t="s">
        <v>83</v>
      </c>
      <c r="Q749" t="s">
        <v>72</v>
      </c>
      <c r="R749">
        <v>66</v>
      </c>
      <c r="S749">
        <v>164</v>
      </c>
      <c r="T749" s="8">
        <f t="shared" si="22"/>
        <v>24.538964901844139</v>
      </c>
      <c r="U749" s="13" t="str" cm="1">
        <f t="array" ref="U749">IF(T749="","",_xlfn.IFS(T749&lt;18.5,"Bajo peso",T749&lt;25,"Peso normal",T749&lt;30,"Sobrepeso",T749&lt;35,"Obesidad clase I",T749&lt;40,"Obesidad clase II",T749&gt;=40,"Obesidad clase III"))</f>
        <v>Peso normal</v>
      </c>
      <c r="V749">
        <v>82</v>
      </c>
      <c r="X749" t="s">
        <v>3463</v>
      </c>
      <c r="Y749">
        <v>0.97</v>
      </c>
      <c r="AA749">
        <v>90</v>
      </c>
      <c r="AB749" s="9">
        <f t="shared" si="23"/>
        <v>95.104900395907748</v>
      </c>
      <c r="AD749" t="s">
        <v>73</v>
      </c>
      <c r="AF749" t="s">
        <v>73</v>
      </c>
      <c r="AH749" t="s">
        <v>3463</v>
      </c>
      <c r="AI749" t="s">
        <v>3463</v>
      </c>
      <c r="AJ749" t="s">
        <v>3463</v>
      </c>
      <c r="AK749" t="s">
        <v>3463</v>
      </c>
      <c r="AL749" t="s">
        <v>3463</v>
      </c>
      <c r="AP749" t="s">
        <v>3463</v>
      </c>
      <c r="AQ749" t="s">
        <v>1838</v>
      </c>
      <c r="AR749" t="s">
        <v>3491</v>
      </c>
      <c r="AV749" t="s">
        <v>74</v>
      </c>
      <c r="AW749" t="s">
        <v>3915</v>
      </c>
      <c r="BE749" t="s">
        <v>153</v>
      </c>
      <c r="BF749" t="s">
        <v>153</v>
      </c>
      <c r="BG749" t="s">
        <v>1839</v>
      </c>
      <c r="BH749" t="s">
        <v>4021</v>
      </c>
      <c r="BI749" t="s">
        <v>734</v>
      </c>
      <c r="BK749" t="s">
        <v>1840</v>
      </c>
      <c r="BP749" t="s">
        <v>4471</v>
      </c>
      <c r="BQ749" t="s">
        <v>3465</v>
      </c>
      <c r="BR749" t="s">
        <v>3465</v>
      </c>
      <c r="BS749" t="s">
        <v>3465</v>
      </c>
      <c r="BT749" t="s">
        <v>3465</v>
      </c>
      <c r="BU749" t="s">
        <v>3463</v>
      </c>
      <c r="BV749" t="s">
        <v>3463</v>
      </c>
      <c r="BW749" t="s">
        <v>3463</v>
      </c>
      <c r="BX749" t="s">
        <v>79</v>
      </c>
      <c r="BY749" t="s">
        <v>79</v>
      </c>
      <c r="BZ749" t="s">
        <v>79</v>
      </c>
      <c r="CA749" s="10">
        <v>45911</v>
      </c>
    </row>
    <row r="750" spans="1:79">
      <c r="A750">
        <v>757</v>
      </c>
      <c r="B750">
        <v>74</v>
      </c>
      <c r="C750">
        <v>42</v>
      </c>
      <c r="D750" t="s">
        <v>3462</v>
      </c>
      <c r="F750" t="s">
        <v>150</v>
      </c>
      <c r="G750" s="12" t="s">
        <v>3465</v>
      </c>
      <c r="H750" t="s">
        <v>88</v>
      </c>
      <c r="I750">
        <v>81</v>
      </c>
      <c r="K750">
        <v>162</v>
      </c>
      <c r="L750">
        <v>106</v>
      </c>
      <c r="M750" t="s">
        <v>72</v>
      </c>
      <c r="P750" t="s">
        <v>83</v>
      </c>
      <c r="Q750" t="s">
        <v>72</v>
      </c>
      <c r="R750">
        <v>106</v>
      </c>
      <c r="S750">
        <v>178</v>
      </c>
      <c r="T750" s="8">
        <f t="shared" si="22"/>
        <v>33.455371796490347</v>
      </c>
      <c r="U750" s="13" t="str" cm="1">
        <f t="array" ref="U750">IF(T750="","",_xlfn.IFS(T750&lt;18.5,"Bajo peso",T750&lt;25,"Peso normal",T750&lt;30,"Sobrepeso",T750&lt;35,"Obesidad clase I",T750&lt;40,"Obesidad clase II",T750&gt;=40,"Obesidad clase III"))</f>
        <v>Obesidad clase I</v>
      </c>
      <c r="V750">
        <v>102</v>
      </c>
      <c r="X750" t="s">
        <v>3463</v>
      </c>
      <c r="Y750">
        <v>1.1499999999999999</v>
      </c>
      <c r="AA750">
        <v>81</v>
      </c>
      <c r="AB750" s="9">
        <f t="shared" si="23"/>
        <v>81.489120111996812</v>
      </c>
      <c r="AD750" t="s">
        <v>73</v>
      </c>
      <c r="AF750" t="s">
        <v>73</v>
      </c>
      <c r="AH750" t="s">
        <v>3463</v>
      </c>
      <c r="AI750" t="s">
        <v>3463</v>
      </c>
      <c r="AJ750" t="s">
        <v>3463</v>
      </c>
      <c r="AK750" t="s">
        <v>3463</v>
      </c>
      <c r="AL750" t="s">
        <v>3463</v>
      </c>
      <c r="AP750" t="s">
        <v>3463</v>
      </c>
      <c r="AQ750" t="s">
        <v>1841</v>
      </c>
      <c r="AR750" t="s">
        <v>3493</v>
      </c>
      <c r="AV750" t="s">
        <v>126</v>
      </c>
      <c r="AW750" t="s">
        <v>126</v>
      </c>
      <c r="BF750" t="s">
        <v>3921</v>
      </c>
      <c r="BG750" t="s">
        <v>1842</v>
      </c>
      <c r="BH750" t="s">
        <v>4021</v>
      </c>
      <c r="BI750" t="s">
        <v>76</v>
      </c>
      <c r="BK750" t="s">
        <v>911</v>
      </c>
      <c r="BL750" t="s">
        <v>1153</v>
      </c>
      <c r="BP750" t="s">
        <v>4362</v>
      </c>
      <c r="BQ750" t="s">
        <v>3465</v>
      </c>
      <c r="BR750" t="s">
        <v>3465</v>
      </c>
      <c r="BS750" t="s">
        <v>3465</v>
      </c>
      <c r="BT750" t="s">
        <v>3465</v>
      </c>
      <c r="BU750" t="s">
        <v>3463</v>
      </c>
      <c r="BV750" t="s">
        <v>3463</v>
      </c>
      <c r="BW750" t="s">
        <v>3463</v>
      </c>
      <c r="BX750" t="s">
        <v>79</v>
      </c>
      <c r="BY750" t="s">
        <v>79</v>
      </c>
      <c r="BZ750" t="s">
        <v>79</v>
      </c>
      <c r="CA750" s="10">
        <v>45911</v>
      </c>
    </row>
    <row r="751" spans="1:79">
      <c r="A751">
        <v>758</v>
      </c>
      <c r="B751">
        <v>75</v>
      </c>
      <c r="C751">
        <v>51</v>
      </c>
      <c r="D751" t="s">
        <v>3466</v>
      </c>
      <c r="F751" t="s">
        <v>150</v>
      </c>
      <c r="G751" s="12" t="s">
        <v>3463</v>
      </c>
      <c r="I751">
        <v>71</v>
      </c>
      <c r="K751">
        <v>145</v>
      </c>
      <c r="L751">
        <v>78</v>
      </c>
      <c r="M751" t="s">
        <v>72</v>
      </c>
      <c r="P751" t="s">
        <v>83</v>
      </c>
      <c r="Q751" t="s">
        <v>72</v>
      </c>
      <c r="R751">
        <v>79</v>
      </c>
      <c r="S751">
        <v>154</v>
      </c>
      <c r="T751" s="8">
        <f t="shared" si="22"/>
        <v>33.310844999156686</v>
      </c>
      <c r="U751" s="13" t="str" cm="1">
        <f t="array" ref="U751">IF(T751="","",_xlfn.IFS(T751&lt;18.5,"Bajo peso",T751&lt;25,"Peso normal",T751&lt;30,"Sobrepeso",T751&lt;35,"Obesidad clase I",T751&lt;40,"Obesidad clase II",T751&gt;=40,"Obesidad clase III"))</f>
        <v>Obesidad clase I</v>
      </c>
      <c r="V751">
        <v>74</v>
      </c>
      <c r="X751" t="s">
        <v>3463</v>
      </c>
      <c r="Y751">
        <v>1.25</v>
      </c>
      <c r="AA751">
        <v>52</v>
      </c>
      <c r="AB751" s="9">
        <f t="shared" si="23"/>
        <v>52.184689311329308</v>
      </c>
      <c r="AD751" t="s">
        <v>158</v>
      </c>
      <c r="AF751" t="s">
        <v>158</v>
      </c>
      <c r="AG751" t="s">
        <v>3465</v>
      </c>
      <c r="AH751" t="s">
        <v>3463</v>
      </c>
      <c r="AI751" t="s">
        <v>3465</v>
      </c>
      <c r="AJ751" t="s">
        <v>3463</v>
      </c>
      <c r="AK751" t="s">
        <v>3463</v>
      </c>
      <c r="AL751" t="s">
        <v>3465</v>
      </c>
      <c r="AM751" t="s">
        <v>1843</v>
      </c>
      <c r="AN751" t="s">
        <v>3771</v>
      </c>
      <c r="AO751" t="s">
        <v>3463</v>
      </c>
      <c r="AP751" t="s">
        <v>3463</v>
      </c>
      <c r="AQ751" t="s">
        <v>1844</v>
      </c>
      <c r="AR751" t="s">
        <v>3553</v>
      </c>
      <c r="AS751" t="s">
        <v>3465</v>
      </c>
      <c r="AT751" t="s">
        <v>3465</v>
      </c>
      <c r="AU751" t="s">
        <v>80</v>
      </c>
      <c r="AV751" t="s">
        <v>178</v>
      </c>
      <c r="AW751" t="s">
        <v>3918</v>
      </c>
      <c r="AX751" t="s">
        <v>3465</v>
      </c>
      <c r="AY751" t="s">
        <v>3465</v>
      </c>
      <c r="AZ751" t="s">
        <v>1110</v>
      </c>
      <c r="BA751" t="s">
        <v>3920</v>
      </c>
      <c r="BE751" t="s">
        <v>1845</v>
      </c>
      <c r="BF751" t="s">
        <v>901</v>
      </c>
      <c r="BG751" t="s">
        <v>1846</v>
      </c>
      <c r="BH751" t="s">
        <v>4022</v>
      </c>
      <c r="BK751" t="s">
        <v>1847</v>
      </c>
      <c r="BL751" t="s">
        <v>1848</v>
      </c>
      <c r="BP751" t="s">
        <v>4383</v>
      </c>
      <c r="BQ751" t="s">
        <v>3465</v>
      </c>
      <c r="BR751" t="s">
        <v>3465</v>
      </c>
      <c r="BS751" t="s">
        <v>3465</v>
      </c>
      <c r="BT751" t="s">
        <v>3465</v>
      </c>
      <c r="BU751" t="s">
        <v>3463</v>
      </c>
      <c r="BV751" t="s">
        <v>3463</v>
      </c>
      <c r="BW751" t="s">
        <v>3463</v>
      </c>
      <c r="BX751" t="s">
        <v>79</v>
      </c>
      <c r="BY751" t="s">
        <v>79</v>
      </c>
      <c r="BZ751" t="s">
        <v>79</v>
      </c>
      <c r="CA751" s="10">
        <v>45911</v>
      </c>
    </row>
    <row r="752" spans="1:79">
      <c r="A752">
        <v>759</v>
      </c>
      <c r="B752">
        <v>76</v>
      </c>
      <c r="C752">
        <v>78</v>
      </c>
      <c r="D752" t="s">
        <v>3462</v>
      </c>
      <c r="F752" t="s">
        <v>150</v>
      </c>
      <c r="G752" s="12" t="s">
        <v>3463</v>
      </c>
      <c r="I752">
        <v>62</v>
      </c>
      <c r="K752">
        <v>132</v>
      </c>
      <c r="L752">
        <v>66</v>
      </c>
      <c r="M752" t="s">
        <v>82</v>
      </c>
      <c r="P752" t="s">
        <v>83</v>
      </c>
      <c r="Q752" t="s">
        <v>82</v>
      </c>
      <c r="R752">
        <v>86</v>
      </c>
      <c r="S752">
        <v>160</v>
      </c>
      <c r="T752" s="8">
        <f t="shared" si="22"/>
        <v>33.59375</v>
      </c>
      <c r="U752" s="13" t="str" cm="1">
        <f t="array" ref="U752">IF(T752="","",_xlfn.IFS(T752&lt;18.5,"Bajo peso",T752&lt;25,"Peso normal",T752&lt;30,"Sobrepeso",T752&lt;35,"Obesidad clase I",T752&lt;40,"Obesidad clase II",T752&gt;=40,"Obesidad clase III"))</f>
        <v>Obesidad clase I</v>
      </c>
      <c r="V752">
        <v>94</v>
      </c>
      <c r="X752" t="s">
        <v>3463</v>
      </c>
      <c r="Y752">
        <v>1.81</v>
      </c>
      <c r="Z752">
        <v>1.77</v>
      </c>
      <c r="AA752">
        <v>38</v>
      </c>
      <c r="AB752" s="9">
        <f t="shared" si="23"/>
        <v>37.799536437535153</v>
      </c>
      <c r="AC752">
        <v>39</v>
      </c>
      <c r="AD752" t="s">
        <v>218</v>
      </c>
      <c r="AE752" t="s">
        <v>218</v>
      </c>
      <c r="AF752" t="s">
        <v>218</v>
      </c>
      <c r="AG752" t="s">
        <v>3465</v>
      </c>
      <c r="AH752" t="s">
        <v>3465</v>
      </c>
      <c r="AI752" t="s">
        <v>3465</v>
      </c>
      <c r="AJ752" t="s">
        <v>3465</v>
      </c>
      <c r="AK752" t="s">
        <v>3463</v>
      </c>
      <c r="AL752" t="s">
        <v>3465</v>
      </c>
      <c r="AM752" t="s">
        <v>1849</v>
      </c>
      <c r="AN752" t="s">
        <v>3772</v>
      </c>
      <c r="AP752" t="s">
        <v>3463</v>
      </c>
      <c r="AQ752" t="s">
        <v>196</v>
      </c>
      <c r="AR752" t="s">
        <v>3522</v>
      </c>
      <c r="AS752" t="s">
        <v>3465</v>
      </c>
      <c r="AV752" t="s">
        <v>74</v>
      </c>
      <c r="AW752" t="s">
        <v>3915</v>
      </c>
      <c r="BA752" t="s">
        <v>3920</v>
      </c>
      <c r="BE752" t="s">
        <v>1850</v>
      </c>
      <c r="BF752" t="s">
        <v>3969</v>
      </c>
      <c r="BG752" t="s">
        <v>1851</v>
      </c>
      <c r="BH752" t="s">
        <v>4029</v>
      </c>
      <c r="BI752" t="s">
        <v>411</v>
      </c>
      <c r="BK752" t="s">
        <v>1852</v>
      </c>
      <c r="BL752" t="s">
        <v>1853</v>
      </c>
      <c r="BP752" t="s">
        <v>4336</v>
      </c>
      <c r="BQ752" t="s">
        <v>3463</v>
      </c>
      <c r="BR752" t="s">
        <v>3465</v>
      </c>
      <c r="BS752" t="s">
        <v>3463</v>
      </c>
      <c r="BT752" t="s">
        <v>3463</v>
      </c>
      <c r="BU752" t="s">
        <v>3463</v>
      </c>
      <c r="BV752" t="s">
        <v>3463</v>
      </c>
      <c r="BW752" t="s">
        <v>3463</v>
      </c>
      <c r="BX752" t="s">
        <v>79</v>
      </c>
      <c r="BY752" t="s">
        <v>79</v>
      </c>
      <c r="BZ752" t="s">
        <v>79</v>
      </c>
      <c r="CA752" s="10">
        <v>45911</v>
      </c>
    </row>
    <row r="753" spans="1:79">
      <c r="A753">
        <v>760</v>
      </c>
      <c r="B753">
        <v>77</v>
      </c>
      <c r="C753">
        <v>39</v>
      </c>
      <c r="D753" t="s">
        <v>3462</v>
      </c>
      <c r="E753" t="s">
        <v>1659</v>
      </c>
      <c r="F753" t="s">
        <v>150</v>
      </c>
      <c r="G753" s="12" t="s">
        <v>3463</v>
      </c>
      <c r="I753">
        <v>66</v>
      </c>
      <c r="K753">
        <v>135</v>
      </c>
      <c r="L753">
        <v>78</v>
      </c>
      <c r="M753" t="s">
        <v>82</v>
      </c>
      <c r="P753" t="s">
        <v>83</v>
      </c>
      <c r="Q753" t="s">
        <v>82</v>
      </c>
      <c r="R753">
        <v>82</v>
      </c>
      <c r="S753">
        <v>164</v>
      </c>
      <c r="T753" s="8">
        <f t="shared" si="22"/>
        <v>30.487804878048781</v>
      </c>
      <c r="U753" s="13" t="str" cm="1">
        <f t="array" ref="U753">IF(T753="","",_xlfn.IFS(T753&lt;18.5,"Bajo peso",T753&lt;25,"Peso normal",T753&lt;30,"Sobrepeso",T753&lt;35,"Obesidad clase I",T753&lt;40,"Obesidad clase II",T753&gt;=40,"Obesidad clase III"))</f>
        <v>Obesidad clase I</v>
      </c>
      <c r="V753">
        <v>83</v>
      </c>
      <c r="X753" t="s">
        <v>3463</v>
      </c>
      <c r="Y753">
        <v>1.36</v>
      </c>
      <c r="AA753">
        <v>68</v>
      </c>
      <c r="AB753" s="9">
        <f t="shared" si="23"/>
        <v>67.888055526404727</v>
      </c>
      <c r="AD753" t="s">
        <v>73</v>
      </c>
      <c r="AF753" t="s">
        <v>73</v>
      </c>
      <c r="AH753" t="s">
        <v>3463</v>
      </c>
      <c r="AI753" t="s">
        <v>3463</v>
      </c>
      <c r="AJ753" t="s">
        <v>3463</v>
      </c>
      <c r="AK753" t="s">
        <v>3463</v>
      </c>
      <c r="AL753" t="s">
        <v>3463</v>
      </c>
      <c r="AP753" t="s">
        <v>3463</v>
      </c>
      <c r="AQ753" t="s">
        <v>143</v>
      </c>
      <c r="AR753" t="s">
        <v>3493</v>
      </c>
      <c r="AV753" t="s">
        <v>74</v>
      </c>
      <c r="AW753" t="s">
        <v>3915</v>
      </c>
      <c r="BF753" t="s">
        <v>3921</v>
      </c>
      <c r="BH753" t="s">
        <v>4020</v>
      </c>
      <c r="BP753" t="s">
        <v>4260</v>
      </c>
      <c r="BQ753" t="s">
        <v>3463</v>
      </c>
      <c r="BR753" t="s">
        <v>3465</v>
      </c>
      <c r="BS753" t="s">
        <v>3463</v>
      </c>
      <c r="BT753" t="s">
        <v>3465</v>
      </c>
      <c r="BU753" t="s">
        <v>3463</v>
      </c>
      <c r="BV753" t="s">
        <v>3463</v>
      </c>
      <c r="BW753" t="s">
        <v>3463</v>
      </c>
      <c r="BX753" t="s">
        <v>79</v>
      </c>
      <c r="BY753" t="s">
        <v>87</v>
      </c>
      <c r="BZ753" t="s">
        <v>79</v>
      </c>
      <c r="CA753" s="10">
        <v>45911</v>
      </c>
    </row>
    <row r="754" spans="1:79">
      <c r="A754">
        <v>761</v>
      </c>
      <c r="B754">
        <v>79</v>
      </c>
      <c r="C754">
        <v>51</v>
      </c>
      <c r="D754" t="s">
        <v>3462</v>
      </c>
      <c r="F754" t="s">
        <v>380</v>
      </c>
      <c r="G754" s="12" t="s">
        <v>3463</v>
      </c>
      <c r="I754">
        <v>70</v>
      </c>
      <c r="K754">
        <v>123</v>
      </c>
      <c r="L754">
        <v>70</v>
      </c>
      <c r="M754" t="s">
        <v>118</v>
      </c>
      <c r="P754" t="s">
        <v>83</v>
      </c>
      <c r="Q754" t="s">
        <v>118</v>
      </c>
      <c r="R754">
        <v>86.5</v>
      </c>
      <c r="S754">
        <v>169</v>
      </c>
      <c r="T754" s="8">
        <f t="shared" si="22"/>
        <v>30.286054409859599</v>
      </c>
      <c r="U754" s="13" t="str" cm="1">
        <f t="array" ref="U754">IF(T754="","",_xlfn.IFS(T754&lt;18.5,"Bajo peso",T754&lt;25,"Peso normal",T754&lt;30,"Sobrepeso",T754&lt;35,"Obesidad clase I",T754&lt;40,"Obesidad clase II",T754&gt;=40,"Obesidad clase III"))</f>
        <v>Obesidad clase I</v>
      </c>
      <c r="V754">
        <v>98</v>
      </c>
      <c r="X754" t="s">
        <v>3463</v>
      </c>
      <c r="Y754">
        <v>0.96</v>
      </c>
      <c r="AA754">
        <v>90</v>
      </c>
      <c r="AB754" s="9">
        <f t="shared" si="23"/>
        <v>95.697917903350287</v>
      </c>
      <c r="AD754" t="s">
        <v>73</v>
      </c>
      <c r="AF754" t="s">
        <v>73</v>
      </c>
      <c r="AH754" t="s">
        <v>3463</v>
      </c>
      <c r="AI754" t="s">
        <v>3463</v>
      </c>
      <c r="AJ754" t="s">
        <v>3465</v>
      </c>
      <c r="AK754" t="s">
        <v>3463</v>
      </c>
      <c r="AL754" t="s">
        <v>3463</v>
      </c>
      <c r="AP754" t="s">
        <v>3463</v>
      </c>
      <c r="AQ754" t="s">
        <v>1854</v>
      </c>
      <c r="AR754" t="s">
        <v>3493</v>
      </c>
      <c r="AV754" t="s">
        <v>74</v>
      </c>
      <c r="AW754" t="s">
        <v>3915</v>
      </c>
      <c r="BF754" t="s">
        <v>3921</v>
      </c>
      <c r="BH754" t="s">
        <v>4020</v>
      </c>
      <c r="BP754" t="s">
        <v>4260</v>
      </c>
      <c r="BQ754" t="s">
        <v>3463</v>
      </c>
      <c r="BR754" t="s">
        <v>3463</v>
      </c>
      <c r="BS754" t="s">
        <v>3463</v>
      </c>
      <c r="BT754" t="s">
        <v>3463</v>
      </c>
      <c r="BU754" t="s">
        <v>3463</v>
      </c>
      <c r="BV754" t="s">
        <v>3463</v>
      </c>
      <c r="BW754" t="s">
        <v>3463</v>
      </c>
      <c r="BX754" t="s">
        <v>79</v>
      </c>
      <c r="BY754" t="s">
        <v>79</v>
      </c>
      <c r="BZ754" t="s">
        <v>79</v>
      </c>
      <c r="CA754" s="10">
        <v>45911</v>
      </c>
    </row>
    <row r="755" spans="1:79">
      <c r="A755">
        <v>762</v>
      </c>
      <c r="B755">
        <v>80</v>
      </c>
      <c r="C755">
        <v>39</v>
      </c>
      <c r="D755" t="s">
        <v>3466</v>
      </c>
      <c r="E755" t="s">
        <v>1744</v>
      </c>
      <c r="F755" t="s">
        <v>150</v>
      </c>
      <c r="G755" s="12" t="s">
        <v>3465</v>
      </c>
      <c r="H755" t="s">
        <v>88</v>
      </c>
      <c r="I755">
        <v>96</v>
      </c>
      <c r="K755">
        <v>175</v>
      </c>
      <c r="L755">
        <v>101</v>
      </c>
      <c r="M755" t="s">
        <v>72</v>
      </c>
      <c r="P755" t="s">
        <v>83</v>
      </c>
      <c r="Q755" t="s">
        <v>72</v>
      </c>
      <c r="R755">
        <v>90</v>
      </c>
      <c r="S755">
        <v>160</v>
      </c>
      <c r="T755" s="8">
        <f t="shared" si="22"/>
        <v>35.15625</v>
      </c>
      <c r="U755" s="13" t="str" cm="1">
        <f t="array" ref="U755">IF(T755="","",_xlfn.IFS(T755&lt;18.5,"Bajo peso",T755&lt;25,"Peso normal",T755&lt;30,"Sobrepeso",T755&lt;35,"Obesidad clase I",T755&lt;40,"Obesidad clase II",T755&gt;=40,"Obesidad clase III"))</f>
        <v>Obesidad clase II</v>
      </c>
      <c r="V755">
        <v>132</v>
      </c>
      <c r="X755" t="s">
        <v>3463</v>
      </c>
      <c r="Y755">
        <v>1.07</v>
      </c>
      <c r="AA755">
        <v>68</v>
      </c>
      <c r="AB755" s="9">
        <f t="shared" si="23"/>
        <v>67.762071758769579</v>
      </c>
      <c r="AD755" t="s">
        <v>73</v>
      </c>
      <c r="AF755" t="s">
        <v>73</v>
      </c>
      <c r="AH755" t="s">
        <v>3463</v>
      </c>
      <c r="AI755" t="s">
        <v>3463</v>
      </c>
      <c r="AJ755" t="s">
        <v>3463</v>
      </c>
      <c r="AK755" t="s">
        <v>3463</v>
      </c>
      <c r="AL755" t="s">
        <v>3465</v>
      </c>
      <c r="AM755" t="s">
        <v>1855</v>
      </c>
      <c r="AN755" t="s">
        <v>3723</v>
      </c>
      <c r="AP755" t="s">
        <v>3463</v>
      </c>
      <c r="AQ755" t="s">
        <v>1856</v>
      </c>
      <c r="AR755" t="s">
        <v>3516</v>
      </c>
      <c r="AV755" t="s">
        <v>74</v>
      </c>
      <c r="AW755" t="s">
        <v>3915</v>
      </c>
      <c r="AX755" t="s">
        <v>3463</v>
      </c>
      <c r="AY755" t="s">
        <v>3465</v>
      </c>
      <c r="AZ755" t="s">
        <v>247</v>
      </c>
      <c r="BA755" t="s">
        <v>3920</v>
      </c>
      <c r="BC755" t="s">
        <v>128</v>
      </c>
      <c r="BF755" t="s">
        <v>3921</v>
      </c>
      <c r="BG755" t="s">
        <v>1857</v>
      </c>
      <c r="BH755" t="s">
        <v>4021</v>
      </c>
      <c r="BI755" t="s">
        <v>734</v>
      </c>
      <c r="BK755" t="s">
        <v>1858</v>
      </c>
      <c r="BL755" t="s">
        <v>1859</v>
      </c>
      <c r="BP755" t="s">
        <v>4473</v>
      </c>
      <c r="BQ755" t="s">
        <v>3465</v>
      </c>
      <c r="BR755" t="s">
        <v>3465</v>
      </c>
      <c r="BS755" t="s">
        <v>3465</v>
      </c>
      <c r="BT755" t="s">
        <v>3465</v>
      </c>
      <c r="BU755" t="s">
        <v>3463</v>
      </c>
      <c r="BV755" t="s">
        <v>3463</v>
      </c>
      <c r="BW755" t="s">
        <v>3463</v>
      </c>
      <c r="BX755" t="s">
        <v>79</v>
      </c>
      <c r="BY755" t="s">
        <v>87</v>
      </c>
      <c r="BZ755" t="s">
        <v>79</v>
      </c>
      <c r="CA755" s="10">
        <v>45911</v>
      </c>
    </row>
    <row r="756" spans="1:79">
      <c r="A756">
        <v>763</v>
      </c>
      <c r="B756">
        <v>82</v>
      </c>
      <c r="C756">
        <v>19</v>
      </c>
      <c r="D756" t="s">
        <v>3462</v>
      </c>
      <c r="F756" t="s">
        <v>380</v>
      </c>
      <c r="G756" s="12" t="s">
        <v>3465</v>
      </c>
      <c r="H756" s="12" t="s">
        <v>88</v>
      </c>
      <c r="I756">
        <v>89</v>
      </c>
      <c r="J756">
        <v>91</v>
      </c>
      <c r="K756">
        <v>153</v>
      </c>
      <c r="L756">
        <v>86</v>
      </c>
      <c r="M756" t="s">
        <v>72</v>
      </c>
      <c r="N756">
        <v>165</v>
      </c>
      <c r="O756">
        <v>89</v>
      </c>
      <c r="P756" t="s">
        <v>72</v>
      </c>
      <c r="Q756" t="s">
        <v>72</v>
      </c>
      <c r="R756">
        <v>88</v>
      </c>
      <c r="S756">
        <v>175</v>
      </c>
      <c r="T756" s="8">
        <f t="shared" si="22"/>
        <v>28.73469387755102</v>
      </c>
      <c r="U756" s="13" t="str" cm="1">
        <f t="array" ref="U756">IF(T756="","",_xlfn.IFS(T756&lt;18.5,"Bajo peso",T756&lt;25,"Peso normal",T756&lt;30,"Sobrepeso",T756&lt;35,"Obesidad clase I",T756&lt;40,"Obesidad clase II",T756&gt;=40,"Obesidad clase III"))</f>
        <v>Sobrepeso</v>
      </c>
      <c r="V756">
        <v>107</v>
      </c>
      <c r="X756" t="s">
        <v>3463</v>
      </c>
      <c r="Y756">
        <v>1.25</v>
      </c>
      <c r="AA756">
        <v>83</v>
      </c>
      <c r="AB756" s="9">
        <f t="shared" si="23"/>
        <v>85.068386559186635</v>
      </c>
      <c r="AD756" t="s">
        <v>73</v>
      </c>
      <c r="AF756" t="s">
        <v>73</v>
      </c>
      <c r="AH756" t="s">
        <v>3463</v>
      </c>
      <c r="AI756" t="s">
        <v>3465</v>
      </c>
      <c r="AJ756" t="s">
        <v>3463</v>
      </c>
      <c r="AK756" t="s">
        <v>3463</v>
      </c>
      <c r="AL756" t="s">
        <v>3463</v>
      </c>
      <c r="AP756" t="s">
        <v>3463</v>
      </c>
      <c r="AQ756" t="s">
        <v>1860</v>
      </c>
      <c r="AR756" t="s">
        <v>3491</v>
      </c>
      <c r="AS756" t="s">
        <v>3465</v>
      </c>
      <c r="AV756" t="s">
        <v>126</v>
      </c>
      <c r="AW756" t="s">
        <v>126</v>
      </c>
      <c r="BA756" t="s">
        <v>3920</v>
      </c>
      <c r="BF756" t="s">
        <v>3921</v>
      </c>
      <c r="BG756" t="s">
        <v>1861</v>
      </c>
      <c r="BH756" t="s">
        <v>4021</v>
      </c>
      <c r="BK756" t="s">
        <v>1862</v>
      </c>
      <c r="BP756" t="s">
        <v>4342</v>
      </c>
      <c r="BQ756" t="s">
        <v>3463</v>
      </c>
      <c r="BR756" t="s">
        <v>3463</v>
      </c>
      <c r="BS756" t="s">
        <v>3463</v>
      </c>
      <c r="BT756" t="s">
        <v>3465</v>
      </c>
      <c r="BU756" t="s">
        <v>3463</v>
      </c>
      <c r="BV756" t="s">
        <v>3463</v>
      </c>
      <c r="BW756" t="s">
        <v>3463</v>
      </c>
      <c r="BX756" t="s">
        <v>79</v>
      </c>
      <c r="BY756" t="s">
        <v>87</v>
      </c>
      <c r="BZ756" t="s">
        <v>79</v>
      </c>
      <c r="CA756" s="10">
        <v>45911</v>
      </c>
    </row>
    <row r="757" spans="1:79">
      <c r="A757">
        <v>764</v>
      </c>
      <c r="B757">
        <v>83</v>
      </c>
      <c r="C757">
        <v>34</v>
      </c>
      <c r="D757" t="s">
        <v>3462</v>
      </c>
      <c r="F757" t="s">
        <v>380</v>
      </c>
      <c r="G757" s="12" t="s">
        <v>3465</v>
      </c>
      <c r="H757" t="s">
        <v>88</v>
      </c>
      <c r="I757">
        <v>84</v>
      </c>
      <c r="J757">
        <v>78</v>
      </c>
      <c r="K757">
        <v>140</v>
      </c>
      <c r="L757">
        <v>87</v>
      </c>
      <c r="M757" t="s">
        <v>72</v>
      </c>
      <c r="N757">
        <v>142</v>
      </c>
      <c r="O757">
        <v>81</v>
      </c>
      <c r="P757" t="s">
        <v>72</v>
      </c>
      <c r="Q757" t="s">
        <v>72</v>
      </c>
      <c r="R757">
        <v>89</v>
      </c>
      <c r="S757">
        <v>178</v>
      </c>
      <c r="T757" s="8">
        <f t="shared" si="22"/>
        <v>28.089887640449437</v>
      </c>
      <c r="U757" s="13" t="str" cm="1">
        <f t="array" ref="U757">IF(T757="","",_xlfn.IFS(T757&lt;18.5,"Bajo peso",T757&lt;25,"Peso normal",T757&lt;30,"Sobrepeso",T757&lt;35,"Obesidad clase I",T757&lt;40,"Obesidad clase II",T757&gt;=40,"Obesidad clase III"))</f>
        <v>Sobrepeso</v>
      </c>
      <c r="V757">
        <v>100</v>
      </c>
      <c r="X757" t="s">
        <v>3463</v>
      </c>
      <c r="Y757">
        <v>0.95</v>
      </c>
      <c r="AA757">
        <v>90</v>
      </c>
      <c r="AB757" s="9">
        <f t="shared" si="23"/>
        <v>107.715145218592</v>
      </c>
      <c r="AD757" t="s">
        <v>73</v>
      </c>
      <c r="AF757" t="s">
        <v>73</v>
      </c>
      <c r="AH757" t="s">
        <v>3463</v>
      </c>
      <c r="AI757" t="s">
        <v>3463</v>
      </c>
      <c r="AJ757" t="s">
        <v>3463</v>
      </c>
      <c r="AK757" t="s">
        <v>3463</v>
      </c>
      <c r="AL757" t="s">
        <v>3463</v>
      </c>
      <c r="AP757" t="s">
        <v>3463</v>
      </c>
      <c r="AQ757" t="s">
        <v>1123</v>
      </c>
      <c r="AR757" t="s">
        <v>3491</v>
      </c>
      <c r="AV757" t="s">
        <v>74</v>
      </c>
      <c r="AW757" t="s">
        <v>3915</v>
      </c>
      <c r="BF757" t="s">
        <v>3921</v>
      </c>
      <c r="BG757" t="s">
        <v>1863</v>
      </c>
      <c r="BH757" t="s">
        <v>4021</v>
      </c>
      <c r="BK757" t="s">
        <v>1864</v>
      </c>
      <c r="BL757" t="s">
        <v>1865</v>
      </c>
      <c r="BP757" t="s">
        <v>4261</v>
      </c>
      <c r="BQ757" t="s">
        <v>3463</v>
      </c>
      <c r="BR757" t="s">
        <v>3465</v>
      </c>
      <c r="BS757" t="s">
        <v>3465</v>
      </c>
      <c r="BT757" t="s">
        <v>3465</v>
      </c>
      <c r="BU757" t="s">
        <v>3463</v>
      </c>
      <c r="BV757" t="s">
        <v>3463</v>
      </c>
      <c r="BW757" t="s">
        <v>3463</v>
      </c>
      <c r="BX757" t="s">
        <v>79</v>
      </c>
      <c r="BY757" t="s">
        <v>87</v>
      </c>
      <c r="BZ757" t="s">
        <v>79</v>
      </c>
      <c r="CA757" s="10">
        <v>45911</v>
      </c>
    </row>
    <row r="758" spans="1:79">
      <c r="A758">
        <v>765</v>
      </c>
      <c r="B758">
        <v>84</v>
      </c>
      <c r="C758">
        <v>72</v>
      </c>
      <c r="D758" t="s">
        <v>3466</v>
      </c>
      <c r="F758" t="s">
        <v>150</v>
      </c>
      <c r="G758" s="12" t="s">
        <v>3463</v>
      </c>
      <c r="H758" s="12"/>
      <c r="I758">
        <v>75</v>
      </c>
      <c r="K758">
        <v>136</v>
      </c>
      <c r="L758">
        <v>66</v>
      </c>
      <c r="M758" t="s">
        <v>82</v>
      </c>
      <c r="P758" t="s">
        <v>83</v>
      </c>
      <c r="Q758" t="s">
        <v>82</v>
      </c>
      <c r="R758">
        <v>58</v>
      </c>
      <c r="S758">
        <v>152</v>
      </c>
      <c r="T758" s="8">
        <f t="shared" si="22"/>
        <v>25.103878116343488</v>
      </c>
      <c r="U758" s="13" t="str" cm="1">
        <f t="array" ref="U758">IF(T758="","",_xlfn.IFS(T758&lt;18.5,"Bajo peso",T758&lt;25,"Peso normal",T758&lt;30,"Sobrepeso",T758&lt;35,"Obesidad clase I",T758&lt;40,"Obesidad clase II",T758&gt;=40,"Obesidad clase III"))</f>
        <v>Sobrepeso</v>
      </c>
      <c r="V758">
        <v>91</v>
      </c>
      <c r="X758" t="s">
        <v>3463</v>
      </c>
      <c r="Y758">
        <v>0.91</v>
      </c>
      <c r="AA758">
        <v>67</v>
      </c>
      <c r="AB758" s="9">
        <f t="shared" si="23"/>
        <v>67.029238820601506</v>
      </c>
      <c r="AD758" t="s">
        <v>73</v>
      </c>
      <c r="AF758" t="s">
        <v>73</v>
      </c>
      <c r="AH758" t="s">
        <v>3463</v>
      </c>
      <c r="AI758" t="s">
        <v>3463</v>
      </c>
      <c r="AJ758" t="s">
        <v>3463</v>
      </c>
      <c r="AK758" t="s">
        <v>3465</v>
      </c>
      <c r="AL758" t="s">
        <v>3465</v>
      </c>
      <c r="AM758" t="s">
        <v>1866</v>
      </c>
      <c r="AN758" t="s">
        <v>3773</v>
      </c>
      <c r="AP758" t="s">
        <v>3463</v>
      </c>
      <c r="AQ758" t="s">
        <v>1867</v>
      </c>
      <c r="AR758" t="s">
        <v>3516</v>
      </c>
      <c r="AT758" t="s">
        <v>3465</v>
      </c>
      <c r="AU758" t="s">
        <v>80</v>
      </c>
      <c r="AV758" t="s">
        <v>74</v>
      </c>
      <c r="AW758" t="s">
        <v>3915</v>
      </c>
      <c r="AX758" t="s">
        <v>3463</v>
      </c>
      <c r="AY758" t="s">
        <v>3463</v>
      </c>
      <c r="BF758" t="s">
        <v>3921</v>
      </c>
      <c r="BH758" t="s">
        <v>4020</v>
      </c>
      <c r="BP758" t="s">
        <v>4260</v>
      </c>
      <c r="BQ758" t="s">
        <v>3465</v>
      </c>
      <c r="BR758" t="s">
        <v>3465</v>
      </c>
      <c r="BS758" t="s">
        <v>3465</v>
      </c>
      <c r="BT758" t="s">
        <v>3465</v>
      </c>
      <c r="BU758" t="s">
        <v>3463</v>
      </c>
      <c r="BV758" t="s">
        <v>3463</v>
      </c>
      <c r="BW758" t="s">
        <v>3463</v>
      </c>
      <c r="BX758" t="s">
        <v>79</v>
      </c>
      <c r="BY758" t="s">
        <v>79</v>
      </c>
      <c r="BZ758" t="s">
        <v>79</v>
      </c>
      <c r="CA758" s="10">
        <v>45911</v>
      </c>
    </row>
    <row r="759" spans="1:79">
      <c r="A759">
        <v>766</v>
      </c>
      <c r="B759">
        <v>85</v>
      </c>
      <c r="C759">
        <v>61</v>
      </c>
      <c r="D759" t="s">
        <v>3466</v>
      </c>
      <c r="F759" t="s">
        <v>150</v>
      </c>
      <c r="G759" s="12" t="s">
        <v>3463</v>
      </c>
      <c r="I759">
        <v>68</v>
      </c>
      <c r="J759">
        <v>70</v>
      </c>
      <c r="K759">
        <v>149</v>
      </c>
      <c r="L759">
        <v>81</v>
      </c>
      <c r="M759" t="s">
        <v>72</v>
      </c>
      <c r="N759">
        <v>145</v>
      </c>
      <c r="O759">
        <v>80</v>
      </c>
      <c r="P759" t="s">
        <v>72</v>
      </c>
      <c r="Q759" t="s">
        <v>72</v>
      </c>
      <c r="R759">
        <v>97</v>
      </c>
      <c r="S759">
        <v>158</v>
      </c>
      <c r="T759" s="8">
        <f t="shared" si="22"/>
        <v>38.855952571703256</v>
      </c>
      <c r="U759" s="13" t="str" cm="1">
        <f t="array" ref="U759">IF(T759="","",_xlfn.IFS(T759&lt;18.5,"Bajo peso",T759&lt;25,"Peso normal",T759&lt;30,"Sobrepeso",T759&lt;35,"Obesidad clase I",T759&lt;40,"Obesidad clase II",T759&gt;=40,"Obesidad clase III"))</f>
        <v>Obesidad clase II</v>
      </c>
      <c r="V759">
        <v>79</v>
      </c>
      <c r="X759" t="s">
        <v>3463</v>
      </c>
      <c r="Y759">
        <v>1.0900000000000001</v>
      </c>
      <c r="AA759">
        <v>58</v>
      </c>
      <c r="AB759" s="9">
        <f t="shared" si="23"/>
        <v>57.798057717014665</v>
      </c>
      <c r="AD759" t="s">
        <v>158</v>
      </c>
      <c r="AF759" t="s">
        <v>158</v>
      </c>
      <c r="AH759" t="s">
        <v>3463</v>
      </c>
      <c r="AI759" t="s">
        <v>3465</v>
      </c>
      <c r="AJ759" t="s">
        <v>3463</v>
      </c>
      <c r="AK759" t="s">
        <v>3463</v>
      </c>
      <c r="AL759" t="s">
        <v>3465</v>
      </c>
      <c r="AM759" t="s">
        <v>116</v>
      </c>
      <c r="AN759" t="s">
        <v>116</v>
      </c>
      <c r="AP759" t="s">
        <v>3463</v>
      </c>
      <c r="AQ759" t="s">
        <v>1868</v>
      </c>
      <c r="AR759" t="s">
        <v>3531</v>
      </c>
      <c r="AS759" t="s">
        <v>3465</v>
      </c>
      <c r="AT759" t="s">
        <v>3465</v>
      </c>
      <c r="AU759" t="s">
        <v>80</v>
      </c>
      <c r="AV759" t="s">
        <v>74</v>
      </c>
      <c r="AW759" t="s">
        <v>3915</v>
      </c>
      <c r="AX759" t="s">
        <v>3463</v>
      </c>
      <c r="AY759" t="s">
        <v>3465</v>
      </c>
      <c r="AZ759" t="s">
        <v>137</v>
      </c>
      <c r="BA759" t="s">
        <v>3920</v>
      </c>
      <c r="BE759" t="s">
        <v>1869</v>
      </c>
      <c r="BF759" t="s">
        <v>3970</v>
      </c>
      <c r="BG759" t="s">
        <v>1501</v>
      </c>
      <c r="BH759" t="s">
        <v>4029</v>
      </c>
      <c r="BI759" t="s">
        <v>411</v>
      </c>
      <c r="BK759" t="s">
        <v>1870</v>
      </c>
      <c r="BL759" t="s">
        <v>1871</v>
      </c>
      <c r="BP759" t="s">
        <v>4336</v>
      </c>
      <c r="BQ759" t="s">
        <v>3463</v>
      </c>
      <c r="BR759" t="s">
        <v>3465</v>
      </c>
      <c r="BS759" t="s">
        <v>3463</v>
      </c>
      <c r="BT759" t="s">
        <v>3463</v>
      </c>
      <c r="BU759" t="s">
        <v>3463</v>
      </c>
      <c r="BV759" t="s">
        <v>3463</v>
      </c>
      <c r="BW759" t="s">
        <v>3463</v>
      </c>
      <c r="BX759" t="s">
        <v>518</v>
      </c>
      <c r="BY759" t="s">
        <v>79</v>
      </c>
      <c r="BZ759" t="s">
        <v>79</v>
      </c>
      <c r="CA759" s="10">
        <v>45911</v>
      </c>
    </row>
    <row r="760" spans="1:79">
      <c r="A760">
        <v>767</v>
      </c>
      <c r="B760">
        <v>86</v>
      </c>
      <c r="C760">
        <v>63</v>
      </c>
      <c r="D760" t="s">
        <v>3462</v>
      </c>
      <c r="F760" t="s">
        <v>150</v>
      </c>
      <c r="G760" s="12" t="s">
        <v>3463</v>
      </c>
      <c r="I760">
        <v>77</v>
      </c>
      <c r="K760">
        <v>186</v>
      </c>
      <c r="L760">
        <v>121</v>
      </c>
      <c r="M760" t="s">
        <v>96</v>
      </c>
      <c r="P760" t="s">
        <v>83</v>
      </c>
      <c r="Q760" t="s">
        <v>96</v>
      </c>
      <c r="R760">
        <v>80</v>
      </c>
      <c r="S760">
        <v>172</v>
      </c>
      <c r="T760" s="8">
        <f t="shared" si="22"/>
        <v>27.041644131963224</v>
      </c>
      <c r="U760" s="13" t="str" cm="1">
        <f t="array" ref="U760">IF(T760="","",_xlfn.IFS(T760&lt;18.5,"Bajo peso",T760&lt;25,"Peso normal",T760&lt;30,"Sobrepeso",T760&lt;35,"Obesidad clase I",T760&lt;40,"Obesidad clase II",T760&gt;=40,"Obesidad clase III"))</f>
        <v>Sobrepeso</v>
      </c>
      <c r="V760">
        <v>111</v>
      </c>
      <c r="X760" t="s">
        <v>3463</v>
      </c>
      <c r="Y760">
        <v>0.87</v>
      </c>
      <c r="AA760">
        <v>90</v>
      </c>
      <c r="AB760" s="9">
        <f t="shared" si="23"/>
        <v>96.955240894301824</v>
      </c>
      <c r="AD760" t="s">
        <v>73</v>
      </c>
      <c r="AF760" t="s">
        <v>73</v>
      </c>
      <c r="AH760" t="s">
        <v>3463</v>
      </c>
      <c r="AI760" t="s">
        <v>3465</v>
      </c>
      <c r="AL760" t="s">
        <v>3465</v>
      </c>
      <c r="AM760" t="s">
        <v>1872</v>
      </c>
      <c r="AN760" t="s">
        <v>3774</v>
      </c>
      <c r="AP760" t="s">
        <v>3463</v>
      </c>
      <c r="AS760" t="s">
        <v>3465</v>
      </c>
      <c r="AV760" t="s">
        <v>112</v>
      </c>
      <c r="AW760" t="s">
        <v>3917</v>
      </c>
      <c r="BA760" t="s">
        <v>3920</v>
      </c>
      <c r="BF760" t="s">
        <v>3921</v>
      </c>
      <c r="BG760" t="s">
        <v>1873</v>
      </c>
      <c r="BH760" t="s">
        <v>4178</v>
      </c>
      <c r="BI760" t="s">
        <v>411</v>
      </c>
      <c r="BK760" t="s">
        <v>1874</v>
      </c>
      <c r="BL760" t="s">
        <v>1875</v>
      </c>
      <c r="BP760" t="s">
        <v>4474</v>
      </c>
      <c r="BQ760" t="s">
        <v>3465</v>
      </c>
      <c r="BR760" t="s">
        <v>3465</v>
      </c>
      <c r="BS760" t="s">
        <v>3465</v>
      </c>
      <c r="BT760" t="s">
        <v>3465</v>
      </c>
      <c r="BU760" t="s">
        <v>3463</v>
      </c>
      <c r="BV760" t="s">
        <v>3463</v>
      </c>
      <c r="BW760" t="s">
        <v>3463</v>
      </c>
      <c r="BX760" t="s">
        <v>79</v>
      </c>
      <c r="BY760" t="s">
        <v>79</v>
      </c>
      <c r="BZ760" t="s">
        <v>79</v>
      </c>
      <c r="CA760" s="10">
        <v>45911</v>
      </c>
    </row>
    <row r="761" spans="1:79">
      <c r="A761">
        <v>768</v>
      </c>
      <c r="B761">
        <v>87</v>
      </c>
      <c r="C761">
        <v>52</v>
      </c>
      <c r="D761" t="s">
        <v>3466</v>
      </c>
      <c r="E761" t="s">
        <v>1803</v>
      </c>
      <c r="F761" t="s">
        <v>380</v>
      </c>
      <c r="G761" s="12" t="s">
        <v>3463</v>
      </c>
      <c r="I761">
        <v>85</v>
      </c>
      <c r="K761">
        <v>140</v>
      </c>
      <c r="L761">
        <v>91</v>
      </c>
      <c r="M761" t="s">
        <v>72</v>
      </c>
      <c r="P761" t="s">
        <v>83</v>
      </c>
      <c r="Q761" t="s">
        <v>72</v>
      </c>
      <c r="R761">
        <v>85</v>
      </c>
      <c r="S761">
        <v>156</v>
      </c>
      <c r="T761" s="8">
        <f t="shared" si="22"/>
        <v>34.927679158448392</v>
      </c>
      <c r="U761" s="13" t="str" cm="1">
        <f t="array" ref="U761">IF(T761="","",_xlfn.IFS(T761&lt;18.5,"Bajo peso",T761&lt;25,"Peso normal",T761&lt;30,"Sobrepeso",T761&lt;35,"Obesidad clase I",T761&lt;40,"Obesidad clase II",T761&gt;=40,"Obesidad clase III"))</f>
        <v>Obesidad clase I</v>
      </c>
      <c r="V761">
        <v>152</v>
      </c>
      <c r="X761" t="s">
        <v>3463</v>
      </c>
      <c r="Y761">
        <v>1.04</v>
      </c>
      <c r="AA761">
        <v>65</v>
      </c>
      <c r="AB761" s="9">
        <f t="shared" si="23"/>
        <v>64.668695889177968</v>
      </c>
      <c r="AD761" t="s">
        <v>73</v>
      </c>
      <c r="AF761" t="s">
        <v>73</v>
      </c>
      <c r="AH761" t="s">
        <v>3463</v>
      </c>
      <c r="AI761" t="s">
        <v>3463</v>
      </c>
      <c r="AJ761" t="s">
        <v>3463</v>
      </c>
      <c r="AK761" t="s">
        <v>3463</v>
      </c>
      <c r="AL761" t="s">
        <v>3465</v>
      </c>
      <c r="AM761" t="s">
        <v>1876</v>
      </c>
      <c r="AN761" t="s">
        <v>3775</v>
      </c>
      <c r="AP761" t="s">
        <v>3464</v>
      </c>
      <c r="AT761" t="s">
        <v>3465</v>
      </c>
      <c r="AV761" t="s">
        <v>178</v>
      </c>
      <c r="AW761" t="s">
        <v>3918</v>
      </c>
      <c r="AX761" t="s">
        <v>3465</v>
      </c>
      <c r="AY761" t="s">
        <v>3465</v>
      </c>
      <c r="AZ761" t="s">
        <v>247</v>
      </c>
      <c r="BC761" t="s">
        <v>128</v>
      </c>
      <c r="BF761" t="s">
        <v>3921</v>
      </c>
      <c r="BG761" t="s">
        <v>1877</v>
      </c>
      <c r="BH761" t="s">
        <v>4017</v>
      </c>
      <c r="BI761" t="s">
        <v>1825</v>
      </c>
      <c r="BK761" t="s">
        <v>1878</v>
      </c>
      <c r="BP761" t="s">
        <v>4475</v>
      </c>
      <c r="BQ761" t="s">
        <v>3463</v>
      </c>
      <c r="BR761" t="s">
        <v>3465</v>
      </c>
      <c r="BS761" t="s">
        <v>3463</v>
      </c>
      <c r="BT761" t="s">
        <v>3465</v>
      </c>
      <c r="BU761" t="s">
        <v>3463</v>
      </c>
      <c r="BV761" t="s">
        <v>3463</v>
      </c>
      <c r="BW761" t="s">
        <v>3463</v>
      </c>
      <c r="BX761" t="s">
        <v>79</v>
      </c>
      <c r="BY761" t="s">
        <v>79</v>
      </c>
      <c r="BZ761" t="s">
        <v>79</v>
      </c>
      <c r="CA761" s="10">
        <v>45911</v>
      </c>
    </row>
    <row r="762" spans="1:79">
      <c r="A762">
        <v>769</v>
      </c>
      <c r="B762">
        <v>88</v>
      </c>
      <c r="C762">
        <v>67</v>
      </c>
      <c r="D762" t="s">
        <v>3462</v>
      </c>
      <c r="F762" t="s">
        <v>150</v>
      </c>
      <c r="G762" s="12" t="s">
        <v>3465</v>
      </c>
      <c r="H762" t="s">
        <v>88</v>
      </c>
      <c r="I762">
        <v>64</v>
      </c>
      <c r="J762">
        <v>63</v>
      </c>
      <c r="K762">
        <v>173</v>
      </c>
      <c r="L762">
        <v>94</v>
      </c>
      <c r="M762" t="s">
        <v>72</v>
      </c>
      <c r="N762">
        <v>169</v>
      </c>
      <c r="O762">
        <v>94</v>
      </c>
      <c r="P762" t="s">
        <v>72</v>
      </c>
      <c r="Q762" t="s">
        <v>72</v>
      </c>
      <c r="R762">
        <v>77</v>
      </c>
      <c r="S762">
        <v>152</v>
      </c>
      <c r="T762" s="8">
        <f t="shared" si="22"/>
        <v>33.327562326869803</v>
      </c>
      <c r="U762" s="13" t="str" cm="1">
        <f t="array" ref="U762">IF(T762="","",_xlfn.IFS(T762&lt;18.5,"Bajo peso",T762&lt;25,"Peso normal",T762&lt;30,"Sobrepeso",T762&lt;35,"Obesidad clase I",T762&lt;40,"Obesidad clase II",T762&gt;=40,"Obesidad clase III"))</f>
        <v>Obesidad clase I</v>
      </c>
      <c r="V762">
        <v>86</v>
      </c>
      <c r="X762" t="s">
        <v>3463</v>
      </c>
      <c r="Y762">
        <v>1.44</v>
      </c>
      <c r="AA762">
        <v>53</v>
      </c>
      <c r="AB762" s="9">
        <f t="shared" si="23"/>
        <v>53.257019365572525</v>
      </c>
      <c r="AD762" t="s">
        <v>158</v>
      </c>
      <c r="AF762" t="s">
        <v>158</v>
      </c>
      <c r="AH762" t="s">
        <v>3463</v>
      </c>
      <c r="AI762" t="s">
        <v>3465</v>
      </c>
      <c r="AJ762" t="s">
        <v>3463</v>
      </c>
      <c r="AK762" t="s">
        <v>3465</v>
      </c>
      <c r="AL762" t="s">
        <v>3465</v>
      </c>
      <c r="AM762" t="s">
        <v>1879</v>
      </c>
      <c r="AN762" t="s">
        <v>697</v>
      </c>
      <c r="AP762" t="s">
        <v>3463</v>
      </c>
      <c r="AQ762" t="s">
        <v>1880</v>
      </c>
      <c r="AR762" t="s">
        <v>3488</v>
      </c>
      <c r="AS762" t="s">
        <v>3465</v>
      </c>
      <c r="AV762" t="s">
        <v>74</v>
      </c>
      <c r="AW762" t="s">
        <v>3915</v>
      </c>
      <c r="BA762" t="s">
        <v>3920</v>
      </c>
      <c r="BF762" t="s">
        <v>3921</v>
      </c>
      <c r="BG762" t="s">
        <v>1881</v>
      </c>
      <c r="BH762" t="s">
        <v>4179</v>
      </c>
      <c r="BK762" t="s">
        <v>1882</v>
      </c>
      <c r="BL762" t="s">
        <v>1883</v>
      </c>
      <c r="BP762" t="s">
        <v>4321</v>
      </c>
      <c r="BQ762" t="s">
        <v>3463</v>
      </c>
      <c r="BR762" t="s">
        <v>3463</v>
      </c>
      <c r="BS762" t="s">
        <v>3463</v>
      </c>
      <c r="BT762" t="s">
        <v>3463</v>
      </c>
      <c r="BU762" t="s">
        <v>3463</v>
      </c>
      <c r="BV762" t="s">
        <v>3463</v>
      </c>
      <c r="BW762" t="s">
        <v>3463</v>
      </c>
      <c r="BX762" t="s">
        <v>79</v>
      </c>
      <c r="BY762" t="s">
        <v>79</v>
      </c>
      <c r="BZ762" t="s">
        <v>79</v>
      </c>
      <c r="CA762" s="10">
        <v>45911</v>
      </c>
    </row>
    <row r="763" spans="1:79">
      <c r="A763">
        <v>770</v>
      </c>
      <c r="B763">
        <v>89</v>
      </c>
      <c r="C763">
        <v>83</v>
      </c>
      <c r="D763" t="s">
        <v>3466</v>
      </c>
      <c r="F763" t="s">
        <v>150</v>
      </c>
      <c r="G763" s="12" t="s">
        <v>3463</v>
      </c>
      <c r="H763" s="12"/>
      <c r="I763">
        <v>79</v>
      </c>
      <c r="J763">
        <v>66</v>
      </c>
      <c r="K763">
        <v>171</v>
      </c>
      <c r="L763">
        <v>82</v>
      </c>
      <c r="M763" t="s">
        <v>72</v>
      </c>
      <c r="N763">
        <v>178</v>
      </c>
      <c r="O763">
        <v>88</v>
      </c>
      <c r="P763" t="s">
        <v>72</v>
      </c>
      <c r="Q763" t="s">
        <v>72</v>
      </c>
      <c r="R763">
        <v>70</v>
      </c>
      <c r="S763">
        <v>150</v>
      </c>
      <c r="T763" s="8">
        <f t="shared" si="22"/>
        <v>31.111111111111111</v>
      </c>
      <c r="U763" s="13" t="str" cm="1">
        <f t="array" ref="U763">IF(T763="","",_xlfn.IFS(T763&lt;18.5,"Bajo peso",T763&lt;25,"Peso normal",T763&lt;30,"Sobrepeso",T763&lt;35,"Obesidad clase I",T763&lt;40,"Obesidad clase II",T763&gt;=40,"Obesidad clase III"))</f>
        <v>Obesidad clase I</v>
      </c>
      <c r="V763">
        <v>92</v>
      </c>
      <c r="X763" t="s">
        <v>3463</v>
      </c>
      <c r="Y763">
        <v>0.96</v>
      </c>
      <c r="AA763">
        <v>58</v>
      </c>
      <c r="AB763" s="9">
        <f t="shared" si="23"/>
        <v>58.705311285677958</v>
      </c>
      <c r="AD763" t="s">
        <v>158</v>
      </c>
      <c r="AF763" t="s">
        <v>158</v>
      </c>
      <c r="AH763" t="s">
        <v>3463</v>
      </c>
      <c r="AI763" t="s">
        <v>3465</v>
      </c>
      <c r="AJ763" t="s">
        <v>3463</v>
      </c>
      <c r="AK763" t="s">
        <v>3463</v>
      </c>
      <c r="AL763" t="s">
        <v>3465</v>
      </c>
      <c r="AM763" t="s">
        <v>1643</v>
      </c>
      <c r="AN763" t="s">
        <v>3776</v>
      </c>
      <c r="AP763" t="s">
        <v>3463</v>
      </c>
      <c r="AQ763" t="s">
        <v>1884</v>
      </c>
      <c r="AR763" t="s">
        <v>3491</v>
      </c>
      <c r="AS763" t="s">
        <v>3465</v>
      </c>
      <c r="AT763" t="s">
        <v>3465</v>
      </c>
      <c r="AU763" t="s">
        <v>80</v>
      </c>
      <c r="AV763" t="s">
        <v>74</v>
      </c>
      <c r="AW763" t="s">
        <v>3915</v>
      </c>
      <c r="AX763" t="s">
        <v>3465</v>
      </c>
      <c r="AY763" t="s">
        <v>3463</v>
      </c>
      <c r="BA763" t="s">
        <v>3920</v>
      </c>
      <c r="BE763" t="s">
        <v>116</v>
      </c>
      <c r="BF763" t="s">
        <v>116</v>
      </c>
      <c r="BG763" t="s">
        <v>1885</v>
      </c>
      <c r="BH763" t="s">
        <v>4021</v>
      </c>
      <c r="BK763" t="s">
        <v>1734</v>
      </c>
      <c r="BL763" t="s">
        <v>1886</v>
      </c>
      <c r="BP763" t="s">
        <v>4329</v>
      </c>
      <c r="BQ763" t="s">
        <v>3463</v>
      </c>
      <c r="BR763" t="s">
        <v>3463</v>
      </c>
      <c r="BS763" t="s">
        <v>3463</v>
      </c>
      <c r="BT763" t="s">
        <v>3463</v>
      </c>
      <c r="BU763" t="s">
        <v>3463</v>
      </c>
      <c r="BV763" t="s">
        <v>3463</v>
      </c>
      <c r="BW763" t="s">
        <v>3463</v>
      </c>
      <c r="BX763" t="s">
        <v>79</v>
      </c>
      <c r="BY763" t="s">
        <v>121</v>
      </c>
      <c r="BZ763" t="s">
        <v>79</v>
      </c>
      <c r="CA763" s="10">
        <v>45911</v>
      </c>
    </row>
    <row r="764" spans="1:79">
      <c r="A764">
        <v>771</v>
      </c>
      <c r="B764">
        <v>90</v>
      </c>
      <c r="C764">
        <v>59</v>
      </c>
      <c r="D764" t="s">
        <v>3466</v>
      </c>
      <c r="F764" t="s">
        <v>150</v>
      </c>
      <c r="G764" s="12" t="s">
        <v>3463</v>
      </c>
      <c r="H764" s="12"/>
      <c r="I764">
        <v>87</v>
      </c>
      <c r="J764">
        <v>84</v>
      </c>
      <c r="K764">
        <v>181</v>
      </c>
      <c r="L764">
        <v>110</v>
      </c>
      <c r="M764" t="s">
        <v>96</v>
      </c>
      <c r="N764">
        <v>166</v>
      </c>
      <c r="O764">
        <v>106</v>
      </c>
      <c r="P764" t="s">
        <v>72</v>
      </c>
      <c r="Q764" t="s">
        <v>72</v>
      </c>
      <c r="R764">
        <v>87</v>
      </c>
      <c r="S764">
        <v>164</v>
      </c>
      <c r="T764" s="8">
        <f t="shared" si="22"/>
        <v>32.346817370612733</v>
      </c>
      <c r="U764" s="13" t="str" cm="1">
        <f t="array" ref="U764">IF(T764="","",_xlfn.IFS(T764&lt;18.5,"Bajo peso",T764&lt;25,"Peso normal",T764&lt;30,"Sobrepeso",T764&lt;35,"Obesidad clase I",T764&lt;40,"Obesidad clase II",T764&gt;=40,"Obesidad clase III"))</f>
        <v>Obesidad clase I</v>
      </c>
      <c r="V764">
        <v>96</v>
      </c>
      <c r="X764" t="s">
        <v>3463</v>
      </c>
      <c r="Y764">
        <v>0.93</v>
      </c>
      <c r="AA764">
        <v>71</v>
      </c>
      <c r="AB764" s="9">
        <f t="shared" si="23"/>
        <v>70.802324927585218</v>
      </c>
      <c r="AD764" t="s">
        <v>73</v>
      </c>
      <c r="AF764" t="s">
        <v>73</v>
      </c>
      <c r="AH764" t="s">
        <v>3463</v>
      </c>
      <c r="AI764" t="s">
        <v>3465</v>
      </c>
      <c r="AJ764" t="s">
        <v>3463</v>
      </c>
      <c r="AK764" t="s">
        <v>3465</v>
      </c>
      <c r="AL764" t="s">
        <v>3463</v>
      </c>
      <c r="AO764" t="s">
        <v>3463</v>
      </c>
      <c r="AP764" t="s">
        <v>3465</v>
      </c>
      <c r="AQ764" t="s">
        <v>1887</v>
      </c>
      <c r="AR764" t="s">
        <v>3528</v>
      </c>
      <c r="AS764" t="s">
        <v>3465</v>
      </c>
      <c r="AT764" t="s">
        <v>3465</v>
      </c>
      <c r="AU764" t="s">
        <v>80</v>
      </c>
      <c r="AV764" t="s">
        <v>74</v>
      </c>
      <c r="AW764" t="s">
        <v>3915</v>
      </c>
      <c r="AX764" t="s">
        <v>3463</v>
      </c>
      <c r="AY764" t="s">
        <v>3465</v>
      </c>
      <c r="AZ764" t="s">
        <v>247</v>
      </c>
      <c r="BA764" t="s">
        <v>3920</v>
      </c>
      <c r="BF764" t="s">
        <v>3921</v>
      </c>
      <c r="BG764" t="s">
        <v>1888</v>
      </c>
      <c r="BH764" t="s">
        <v>4180</v>
      </c>
      <c r="BK764" t="s">
        <v>1889</v>
      </c>
      <c r="BL764" t="s">
        <v>1890</v>
      </c>
      <c r="BP764" t="s">
        <v>4476</v>
      </c>
      <c r="BQ764" t="s">
        <v>3465</v>
      </c>
      <c r="BR764" t="s">
        <v>3465</v>
      </c>
      <c r="BS764" t="s">
        <v>3465</v>
      </c>
      <c r="BT764" t="s">
        <v>3465</v>
      </c>
      <c r="BU764" t="s">
        <v>3463</v>
      </c>
      <c r="BV764" t="s">
        <v>3463</v>
      </c>
      <c r="BW764" t="s">
        <v>3463</v>
      </c>
      <c r="BX764" t="s">
        <v>121</v>
      </c>
      <c r="BY764" t="s">
        <v>79</v>
      </c>
      <c r="BZ764" t="s">
        <v>79</v>
      </c>
      <c r="CA764" s="10">
        <v>45911</v>
      </c>
    </row>
    <row r="765" spans="1:79">
      <c r="A765">
        <v>772</v>
      </c>
      <c r="B765">
        <v>91</v>
      </c>
      <c r="C765">
        <v>76</v>
      </c>
      <c r="D765" t="s">
        <v>3462</v>
      </c>
      <c r="E765" t="s">
        <v>1891</v>
      </c>
      <c r="F765" t="s">
        <v>150</v>
      </c>
      <c r="G765" s="12" t="s">
        <v>3463</v>
      </c>
      <c r="H765" s="12"/>
      <c r="I765">
        <v>69</v>
      </c>
      <c r="J765">
        <v>67</v>
      </c>
      <c r="K765">
        <v>151</v>
      </c>
      <c r="L765">
        <v>74</v>
      </c>
      <c r="M765" t="s">
        <v>72</v>
      </c>
      <c r="N765">
        <v>151</v>
      </c>
      <c r="O765">
        <v>78</v>
      </c>
      <c r="P765" t="s">
        <v>72</v>
      </c>
      <c r="Q765" t="s">
        <v>72</v>
      </c>
      <c r="R765">
        <v>92</v>
      </c>
      <c r="S765">
        <v>167</v>
      </c>
      <c r="T765" s="8">
        <f t="shared" si="22"/>
        <v>32.987916382803256</v>
      </c>
      <c r="U765" s="13" t="str" cm="1">
        <f t="array" ref="U765">IF(T765="","",_xlfn.IFS(T765&lt;18.5,"Bajo peso",T765&lt;25,"Peso normal",T765&lt;30,"Sobrepeso",T765&lt;35,"Obesidad clase I",T765&lt;40,"Obesidad clase II",T765&gt;=40,"Obesidad clase III"))</f>
        <v>Obesidad clase I</v>
      </c>
      <c r="V765">
        <v>109</v>
      </c>
      <c r="X765" t="s">
        <v>3463</v>
      </c>
      <c r="Y765">
        <v>1.23</v>
      </c>
      <c r="AA765">
        <v>61</v>
      </c>
      <c r="AB765" s="9">
        <f t="shared" si="23"/>
        <v>60.843844132687153</v>
      </c>
      <c r="AD765" t="s">
        <v>73</v>
      </c>
      <c r="AF765" t="s">
        <v>73</v>
      </c>
      <c r="AH765" t="s">
        <v>3463</v>
      </c>
      <c r="AI765" t="s">
        <v>3465</v>
      </c>
      <c r="AJ765" t="s">
        <v>3463</v>
      </c>
      <c r="AK765" t="s">
        <v>3463</v>
      </c>
      <c r="AL765" t="s">
        <v>3465</v>
      </c>
      <c r="AM765" t="s">
        <v>116</v>
      </c>
      <c r="AN765" t="s">
        <v>116</v>
      </c>
      <c r="AO765" t="s">
        <v>3463</v>
      </c>
      <c r="AP765" t="s">
        <v>3465</v>
      </c>
      <c r="AS765" t="s">
        <v>3465</v>
      </c>
      <c r="AV765" t="s">
        <v>74</v>
      </c>
      <c r="AW765" t="s">
        <v>3915</v>
      </c>
      <c r="BA765" t="s">
        <v>3920</v>
      </c>
      <c r="BC765" t="s">
        <v>128</v>
      </c>
      <c r="BF765" t="s">
        <v>3921</v>
      </c>
      <c r="BG765" t="s">
        <v>1892</v>
      </c>
      <c r="BH765" t="s">
        <v>4068</v>
      </c>
      <c r="BI765" t="s">
        <v>1125</v>
      </c>
      <c r="BK765" t="s">
        <v>1893</v>
      </c>
      <c r="BP765" t="s">
        <v>4477</v>
      </c>
      <c r="BQ765" t="s">
        <v>3465</v>
      </c>
      <c r="BR765" t="s">
        <v>3465</v>
      </c>
      <c r="BS765" t="s">
        <v>3463</v>
      </c>
      <c r="BT765" t="s">
        <v>3463</v>
      </c>
      <c r="BU765" t="s">
        <v>3463</v>
      </c>
      <c r="BV765" t="s">
        <v>3463</v>
      </c>
      <c r="BW765" t="s">
        <v>3463</v>
      </c>
      <c r="BX765" t="s">
        <v>79</v>
      </c>
      <c r="BY765" t="s">
        <v>79</v>
      </c>
      <c r="BZ765" t="s">
        <v>79</v>
      </c>
      <c r="CA765" s="10">
        <v>45911</v>
      </c>
    </row>
    <row r="766" spans="1:79">
      <c r="A766">
        <v>773</v>
      </c>
      <c r="B766">
        <v>92</v>
      </c>
      <c r="C766">
        <v>66</v>
      </c>
      <c r="D766" t="s">
        <v>3466</v>
      </c>
      <c r="E766" t="s">
        <v>1894</v>
      </c>
      <c r="F766" t="s">
        <v>150</v>
      </c>
      <c r="G766" s="12" t="s">
        <v>3463</v>
      </c>
      <c r="I766">
        <v>100</v>
      </c>
      <c r="K766">
        <v>125</v>
      </c>
      <c r="L766">
        <v>65</v>
      </c>
      <c r="M766" t="s">
        <v>118</v>
      </c>
      <c r="P766" t="s">
        <v>83</v>
      </c>
      <c r="Q766" t="s">
        <v>118</v>
      </c>
      <c r="R766">
        <v>62</v>
      </c>
      <c r="S766">
        <v>58</v>
      </c>
      <c r="T766" s="8">
        <f t="shared" si="22"/>
        <v>184.30439952437573</v>
      </c>
      <c r="U766" s="13" t="str" cm="1">
        <f t="array" ref="U766">IF(T766="","",_xlfn.IFS(T766&lt;18.5,"Bajo peso",T766&lt;25,"Peso normal",T766&lt;30,"Sobrepeso",T766&lt;35,"Obesidad clase I",T766&lt;40,"Obesidad clase II",T766&gt;=40,"Obesidad clase III"))</f>
        <v>Obesidad clase III</v>
      </c>
      <c r="V766">
        <v>107</v>
      </c>
      <c r="X766" t="s">
        <v>3463</v>
      </c>
      <c r="Y766">
        <v>0.79</v>
      </c>
      <c r="AA766">
        <v>82</v>
      </c>
      <c r="AB766" s="9">
        <f t="shared" si="23"/>
        <v>82.445602171731267</v>
      </c>
      <c r="AD766" t="s">
        <v>73</v>
      </c>
      <c r="AF766" t="s">
        <v>73</v>
      </c>
      <c r="AH766" t="s">
        <v>3463</v>
      </c>
      <c r="AI766" t="s">
        <v>3465</v>
      </c>
      <c r="AJ766" t="s">
        <v>3465</v>
      </c>
      <c r="AK766" t="s">
        <v>3463</v>
      </c>
      <c r="AL766" t="s">
        <v>3465</v>
      </c>
      <c r="AM766" t="s">
        <v>1895</v>
      </c>
      <c r="AN766" t="s">
        <v>3777</v>
      </c>
      <c r="AO766" t="s">
        <v>3463</v>
      </c>
      <c r="AP766" t="s">
        <v>3465</v>
      </c>
      <c r="AQ766" t="s">
        <v>1896</v>
      </c>
      <c r="AR766" t="s">
        <v>3512</v>
      </c>
      <c r="AS766" t="s">
        <v>3465</v>
      </c>
      <c r="AT766" t="s">
        <v>3465</v>
      </c>
      <c r="AU766" t="s">
        <v>80</v>
      </c>
      <c r="AV766" t="s">
        <v>74</v>
      </c>
      <c r="AW766" t="s">
        <v>3915</v>
      </c>
      <c r="BF766" t="s">
        <v>3921</v>
      </c>
      <c r="BH766" t="s">
        <v>4020</v>
      </c>
      <c r="BP766" t="s">
        <v>4260</v>
      </c>
      <c r="BQ766" t="s">
        <v>3465</v>
      </c>
      <c r="BR766" t="s">
        <v>3463</v>
      </c>
      <c r="BS766" t="s">
        <v>3463</v>
      </c>
      <c r="BT766" t="s">
        <v>3465</v>
      </c>
      <c r="BU766" t="s">
        <v>3463</v>
      </c>
      <c r="BV766" t="s">
        <v>3463</v>
      </c>
      <c r="BW766" t="s">
        <v>3463</v>
      </c>
      <c r="BX766" t="s">
        <v>79</v>
      </c>
      <c r="BY766" t="s">
        <v>79</v>
      </c>
      <c r="BZ766" t="s">
        <v>79</v>
      </c>
      <c r="CA766" s="10">
        <v>45911</v>
      </c>
    </row>
    <row r="767" spans="1:79">
      <c r="A767">
        <v>774</v>
      </c>
      <c r="B767">
        <v>93</v>
      </c>
      <c r="C767">
        <v>75</v>
      </c>
      <c r="D767" t="s">
        <v>3466</v>
      </c>
      <c r="F767" t="s">
        <v>150</v>
      </c>
      <c r="G767" s="12" t="s">
        <v>3463</v>
      </c>
      <c r="I767">
        <v>86</v>
      </c>
      <c r="J767">
        <v>83</v>
      </c>
      <c r="K767">
        <v>154</v>
      </c>
      <c r="L767">
        <v>79</v>
      </c>
      <c r="M767" t="s">
        <v>72</v>
      </c>
      <c r="N767">
        <v>132</v>
      </c>
      <c r="O767">
        <v>74</v>
      </c>
      <c r="P767" t="s">
        <v>82</v>
      </c>
      <c r="Q767" t="s">
        <v>82</v>
      </c>
      <c r="R767">
        <v>80</v>
      </c>
      <c r="S767">
        <v>158</v>
      </c>
      <c r="T767" s="8">
        <f t="shared" si="22"/>
        <v>32.046146450889282</v>
      </c>
      <c r="U767" s="13" t="str" cm="1">
        <f t="array" ref="U767">IF(T767="","",_xlfn.IFS(T767&lt;18.5,"Bajo peso",T767&lt;25,"Peso normal",T767&lt;30,"Sobrepeso",T767&lt;35,"Obesidad clase I",T767&lt;40,"Obesidad clase II",T767&gt;=40,"Obesidad clase III"))</f>
        <v>Obesidad clase I</v>
      </c>
      <c r="V767">
        <v>109</v>
      </c>
      <c r="X767" t="s">
        <v>3463</v>
      </c>
      <c r="Y767">
        <v>1.01</v>
      </c>
      <c r="AA767">
        <v>58</v>
      </c>
      <c r="AB767" s="9">
        <f t="shared" si="23"/>
        <v>58.053082799739173</v>
      </c>
      <c r="AD767" t="s">
        <v>158</v>
      </c>
      <c r="AF767" t="s">
        <v>158</v>
      </c>
      <c r="AH767" t="s">
        <v>3463</v>
      </c>
      <c r="AI767" t="s">
        <v>3465</v>
      </c>
      <c r="AJ767" t="s">
        <v>3463</v>
      </c>
      <c r="AK767" t="s">
        <v>3463</v>
      </c>
      <c r="AL767" t="s">
        <v>3465</v>
      </c>
      <c r="AM767" t="s">
        <v>1897</v>
      </c>
      <c r="AN767" t="s">
        <v>3765</v>
      </c>
      <c r="AO767" t="s">
        <v>3463</v>
      </c>
      <c r="AP767" t="s">
        <v>3465</v>
      </c>
      <c r="AQ767" t="s">
        <v>1898</v>
      </c>
      <c r="AR767" t="s">
        <v>3548</v>
      </c>
      <c r="AS767" t="s">
        <v>3465</v>
      </c>
      <c r="AT767" t="s">
        <v>3465</v>
      </c>
      <c r="AU767" t="s">
        <v>80</v>
      </c>
      <c r="AV767" t="s">
        <v>74</v>
      </c>
      <c r="AW767" t="s">
        <v>3915</v>
      </c>
      <c r="AX767" t="s">
        <v>3465</v>
      </c>
      <c r="AY767" t="s">
        <v>3465</v>
      </c>
      <c r="AZ767" t="s">
        <v>1899</v>
      </c>
      <c r="BA767" t="s">
        <v>3920</v>
      </c>
      <c r="BF767" t="s">
        <v>3921</v>
      </c>
      <c r="BG767" t="s">
        <v>1900</v>
      </c>
      <c r="BH767" t="s">
        <v>4029</v>
      </c>
      <c r="BI767" t="s">
        <v>411</v>
      </c>
      <c r="BK767" t="s">
        <v>1535</v>
      </c>
      <c r="BL767" t="s">
        <v>1901</v>
      </c>
      <c r="BP767" t="s">
        <v>4336</v>
      </c>
      <c r="BQ767" t="s">
        <v>3463</v>
      </c>
      <c r="BR767" t="s">
        <v>3463</v>
      </c>
      <c r="BS767" t="s">
        <v>3465</v>
      </c>
      <c r="BT767" t="s">
        <v>3465</v>
      </c>
      <c r="BU767" t="s">
        <v>3463</v>
      </c>
      <c r="BV767" t="s">
        <v>3463</v>
      </c>
      <c r="BW767" t="s">
        <v>3463</v>
      </c>
      <c r="BX767" t="s">
        <v>79</v>
      </c>
      <c r="BY767" t="s">
        <v>79</v>
      </c>
      <c r="BZ767" t="s">
        <v>79</v>
      </c>
      <c r="CA767" s="10">
        <v>45911</v>
      </c>
    </row>
    <row r="768" spans="1:79">
      <c r="A768">
        <v>775</v>
      </c>
      <c r="B768">
        <v>94</v>
      </c>
      <c r="C768">
        <v>70</v>
      </c>
      <c r="D768" t="s">
        <v>3466</v>
      </c>
      <c r="F768" t="s">
        <v>150</v>
      </c>
      <c r="G768" s="12" t="s">
        <v>3463</v>
      </c>
      <c r="I768">
        <v>77</v>
      </c>
      <c r="J768">
        <v>76</v>
      </c>
      <c r="K768">
        <v>144</v>
      </c>
      <c r="L768">
        <v>67</v>
      </c>
      <c r="M768" t="s">
        <v>72</v>
      </c>
      <c r="N768">
        <v>143</v>
      </c>
      <c r="O768">
        <v>67</v>
      </c>
      <c r="P768" t="s">
        <v>72</v>
      </c>
      <c r="Q768" t="s">
        <v>72</v>
      </c>
      <c r="R768">
        <v>83.5</v>
      </c>
      <c r="S768">
        <v>152</v>
      </c>
      <c r="T768" s="8">
        <f t="shared" si="22"/>
        <v>36.14092797783934</v>
      </c>
      <c r="U768" s="13" t="str" cm="1">
        <f t="array" ref="U768">IF(T768="","",_xlfn.IFS(T768&lt;18.5,"Bajo peso",T768&lt;25,"Peso normal",T768&lt;30,"Sobrepeso",T768&lt;35,"Obesidad clase I",T768&lt;40,"Obesidad clase II",T768&gt;=40,"Obesidad clase III"))</f>
        <v>Obesidad clase II</v>
      </c>
      <c r="V768">
        <v>351</v>
      </c>
      <c r="X768" t="s">
        <v>3465</v>
      </c>
      <c r="Y768">
        <v>0.85</v>
      </c>
      <c r="AA768">
        <v>73</v>
      </c>
      <c r="AB768" s="9">
        <f t="shared" si="23"/>
        <v>73.656870484837512</v>
      </c>
      <c r="AD768" t="s">
        <v>73</v>
      </c>
      <c r="AF768" t="s">
        <v>73</v>
      </c>
      <c r="AG768" t="s">
        <v>3465</v>
      </c>
      <c r="AH768" t="s">
        <v>3465</v>
      </c>
      <c r="AI768" t="s">
        <v>3465</v>
      </c>
      <c r="AJ768" t="s">
        <v>3465</v>
      </c>
      <c r="AK768" t="s">
        <v>3465</v>
      </c>
      <c r="AL768" t="s">
        <v>3465</v>
      </c>
      <c r="AM768" t="s">
        <v>1902</v>
      </c>
      <c r="AN768" t="s">
        <v>3740</v>
      </c>
      <c r="AP768" t="s">
        <v>3463</v>
      </c>
      <c r="AQ768" t="s">
        <v>1903</v>
      </c>
      <c r="AR768" t="s">
        <v>3498</v>
      </c>
      <c r="AS768" t="s">
        <v>3465</v>
      </c>
      <c r="AT768" t="s">
        <v>3463</v>
      </c>
      <c r="AV768" t="s">
        <v>74</v>
      </c>
      <c r="AW768" t="s">
        <v>3915</v>
      </c>
      <c r="AX768" t="s">
        <v>3463</v>
      </c>
      <c r="AY768" t="s">
        <v>3463</v>
      </c>
      <c r="BA768" t="s">
        <v>3920</v>
      </c>
      <c r="BB768" t="s">
        <v>3485</v>
      </c>
      <c r="BC768" t="s">
        <v>128</v>
      </c>
      <c r="BE768" t="s">
        <v>1904</v>
      </c>
      <c r="BF768" t="s">
        <v>3971</v>
      </c>
      <c r="BG768" t="s">
        <v>1905</v>
      </c>
      <c r="BH768" t="s">
        <v>4176</v>
      </c>
      <c r="BK768" t="s">
        <v>1906</v>
      </c>
      <c r="BL768" t="s">
        <v>1907</v>
      </c>
      <c r="BP768" t="s">
        <v>4255</v>
      </c>
      <c r="BQ768" t="s">
        <v>3465</v>
      </c>
      <c r="BR768" t="s">
        <v>3463</v>
      </c>
      <c r="BS768" t="s">
        <v>3463</v>
      </c>
      <c r="BT768" t="s">
        <v>3463</v>
      </c>
      <c r="BU768" t="s">
        <v>3463</v>
      </c>
      <c r="BV768" t="s">
        <v>3463</v>
      </c>
      <c r="BW768" t="s">
        <v>3463</v>
      </c>
      <c r="BX768" t="s">
        <v>79</v>
      </c>
      <c r="BY768" t="s">
        <v>121</v>
      </c>
      <c r="BZ768" t="s">
        <v>79</v>
      </c>
      <c r="CA768" s="10">
        <v>45911</v>
      </c>
    </row>
    <row r="769" spans="1:79">
      <c r="A769">
        <v>776</v>
      </c>
      <c r="B769">
        <v>95</v>
      </c>
      <c r="C769">
        <v>71</v>
      </c>
      <c r="D769" t="s">
        <v>3462</v>
      </c>
      <c r="F769" t="s">
        <v>150</v>
      </c>
      <c r="G769" s="12" t="s">
        <v>3463</v>
      </c>
      <c r="I769">
        <v>73</v>
      </c>
      <c r="J769">
        <v>71</v>
      </c>
      <c r="K769">
        <v>155</v>
      </c>
      <c r="L769">
        <v>89</v>
      </c>
      <c r="M769" t="s">
        <v>72</v>
      </c>
      <c r="N769">
        <v>153</v>
      </c>
      <c r="O769">
        <v>87</v>
      </c>
      <c r="P769" t="s">
        <v>72</v>
      </c>
      <c r="Q769" t="s">
        <v>72</v>
      </c>
      <c r="R769">
        <v>73</v>
      </c>
      <c r="S769">
        <v>169</v>
      </c>
      <c r="T769" s="8">
        <f t="shared" si="22"/>
        <v>25.559329155141626</v>
      </c>
      <c r="U769" s="13" t="str" cm="1">
        <f t="array" ref="U769">IF(T769="","",_xlfn.IFS(T769&lt;18.5,"Bajo peso",T769&lt;25,"Peso normal",T769&lt;30,"Sobrepeso",T769&lt;35,"Obesidad clase I",T769&lt;40,"Obesidad clase II",T769&gt;=40,"Obesidad clase III"))</f>
        <v>Sobrepeso</v>
      </c>
      <c r="V769">
        <v>96</v>
      </c>
      <c r="X769" t="s">
        <v>3463</v>
      </c>
      <c r="Y769">
        <v>1.07</v>
      </c>
      <c r="AA769">
        <v>74</v>
      </c>
      <c r="AB769" s="9">
        <f t="shared" si="23"/>
        <v>74.190326707791797</v>
      </c>
      <c r="AD769" t="s">
        <v>73</v>
      </c>
      <c r="AF769" t="s">
        <v>73</v>
      </c>
      <c r="AH769" t="s">
        <v>3463</v>
      </c>
      <c r="AI769" t="s">
        <v>3465</v>
      </c>
      <c r="AL769" t="s">
        <v>3465</v>
      </c>
      <c r="AM769" t="s">
        <v>1908</v>
      </c>
      <c r="AN769" t="s">
        <v>3778</v>
      </c>
      <c r="AP769" t="s">
        <v>3463</v>
      </c>
      <c r="AQ769" t="s">
        <v>1909</v>
      </c>
      <c r="AR769" t="s">
        <v>3508</v>
      </c>
      <c r="AS769" t="s">
        <v>3465</v>
      </c>
      <c r="AV769" t="s">
        <v>126</v>
      </c>
      <c r="AW769" t="s">
        <v>126</v>
      </c>
      <c r="BA769" t="s">
        <v>3920</v>
      </c>
      <c r="BF769" t="s">
        <v>3921</v>
      </c>
      <c r="BG769" t="s">
        <v>1910</v>
      </c>
      <c r="BH769" t="s">
        <v>4045</v>
      </c>
      <c r="BP769" t="s">
        <v>4260</v>
      </c>
      <c r="BQ769" t="s">
        <v>3463</v>
      </c>
      <c r="BR769" t="s">
        <v>3465</v>
      </c>
      <c r="BS769" t="s">
        <v>3465</v>
      </c>
      <c r="BT769" t="s">
        <v>3465</v>
      </c>
      <c r="BU769" t="s">
        <v>3463</v>
      </c>
      <c r="BV769" t="s">
        <v>3463</v>
      </c>
      <c r="BW769" t="s">
        <v>3463</v>
      </c>
      <c r="BX769" t="s">
        <v>79</v>
      </c>
      <c r="BY769" t="s">
        <v>79</v>
      </c>
      <c r="BZ769" t="s">
        <v>79</v>
      </c>
      <c r="CA769" s="10">
        <v>45911</v>
      </c>
    </row>
    <row r="770" spans="1:79">
      <c r="A770">
        <v>777</v>
      </c>
      <c r="B770">
        <v>96</v>
      </c>
      <c r="C770">
        <v>69</v>
      </c>
      <c r="D770" t="s">
        <v>3466</v>
      </c>
      <c r="F770" t="s">
        <v>150</v>
      </c>
      <c r="G770" s="12" t="s">
        <v>3463</v>
      </c>
      <c r="H770" s="12"/>
      <c r="I770">
        <v>74</v>
      </c>
      <c r="J770">
        <v>69</v>
      </c>
      <c r="K770">
        <v>153</v>
      </c>
      <c r="L770">
        <v>86</v>
      </c>
      <c r="M770" t="s">
        <v>72</v>
      </c>
      <c r="N770">
        <v>149</v>
      </c>
      <c r="O770">
        <v>86</v>
      </c>
      <c r="P770" t="s">
        <v>72</v>
      </c>
      <c r="Q770" t="s">
        <v>72</v>
      </c>
      <c r="R770">
        <v>71</v>
      </c>
      <c r="S770">
        <v>161</v>
      </c>
      <c r="T770" s="8">
        <f t="shared" ref="T770:T833" si="24">IFERROR(R770/(S770^2)*10000,"")</f>
        <v>27.390918560240731</v>
      </c>
      <c r="U770" s="13" t="str" cm="1">
        <f t="array" ref="U770">IF(T770="","",_xlfn.IFS(T770&lt;18.5,"Bajo peso",T770&lt;25,"Peso normal",T770&lt;30,"Sobrepeso",T770&lt;35,"Obesidad clase I",T770&lt;40,"Obesidad clase II",T770&gt;=40,"Obesidad clase III"))</f>
        <v>Sobrepeso</v>
      </c>
      <c r="V770">
        <v>84</v>
      </c>
      <c r="X770" t="s">
        <v>3463</v>
      </c>
      <c r="Y770">
        <v>0.81</v>
      </c>
      <c r="AA770">
        <v>79</v>
      </c>
      <c r="AB770" s="9">
        <f t="shared" ref="AB770:AB833" si="25">IF(OR(C770="",D770="",Y770=""),"",142*POWER(MIN(Y770/IF(D770="Mujer",0.7,0.9),1),IF(D770="Mujer",-0.241,-0.302))*POWER(MAX(Y770/IF(D770="Mujer",0.7,0.9),1),-1.2)*POWER(0.9938,C770)*IF(D770="Mujer",1.012,1))</f>
        <v>78.529884464533808</v>
      </c>
      <c r="AD770" t="s">
        <v>73</v>
      </c>
      <c r="AF770" t="s">
        <v>73</v>
      </c>
      <c r="AH770" t="s">
        <v>3463</v>
      </c>
      <c r="AI770" t="s">
        <v>3463</v>
      </c>
      <c r="AJ770" t="s">
        <v>3463</v>
      </c>
      <c r="AK770" t="s">
        <v>3463</v>
      </c>
      <c r="AL770" t="s">
        <v>3463</v>
      </c>
      <c r="AP770" t="s">
        <v>3463</v>
      </c>
      <c r="AQ770" t="s">
        <v>1093</v>
      </c>
      <c r="AR770" t="s">
        <v>3491</v>
      </c>
      <c r="AT770" t="s">
        <v>3465</v>
      </c>
      <c r="AU770" t="s">
        <v>80</v>
      </c>
      <c r="AV770" t="s">
        <v>126</v>
      </c>
      <c r="AW770" t="s">
        <v>126</v>
      </c>
      <c r="AX770" t="s">
        <v>3463</v>
      </c>
      <c r="AY770" t="s">
        <v>3465</v>
      </c>
      <c r="AZ770" t="s">
        <v>104</v>
      </c>
      <c r="BA770" t="s">
        <v>3920</v>
      </c>
      <c r="BF770" t="s">
        <v>3921</v>
      </c>
      <c r="BG770" t="s">
        <v>1911</v>
      </c>
      <c r="BH770" t="s">
        <v>4048</v>
      </c>
      <c r="BI770" t="s">
        <v>76</v>
      </c>
      <c r="BK770" t="s">
        <v>1912</v>
      </c>
      <c r="BL770" t="s">
        <v>1913</v>
      </c>
      <c r="BP770" t="s">
        <v>4294</v>
      </c>
      <c r="BQ770" t="s">
        <v>3463</v>
      </c>
      <c r="BR770" t="s">
        <v>3465</v>
      </c>
      <c r="BS770" t="s">
        <v>3465</v>
      </c>
      <c r="BT770" t="s">
        <v>3465</v>
      </c>
      <c r="BU770" t="s">
        <v>3463</v>
      </c>
      <c r="BV770" t="s">
        <v>3463</v>
      </c>
      <c r="BW770" t="s">
        <v>3463</v>
      </c>
      <c r="BX770" t="s">
        <v>79</v>
      </c>
      <c r="BY770" t="s">
        <v>79</v>
      </c>
      <c r="BZ770" t="s">
        <v>79</v>
      </c>
      <c r="CA770" s="10">
        <v>45911</v>
      </c>
    </row>
    <row r="771" spans="1:79">
      <c r="A771">
        <v>778</v>
      </c>
      <c r="B771">
        <v>97</v>
      </c>
      <c r="C771">
        <v>19</v>
      </c>
      <c r="D771" t="s">
        <v>3466</v>
      </c>
      <c r="F771" t="s">
        <v>150</v>
      </c>
      <c r="G771" s="12" t="s">
        <v>3463</v>
      </c>
      <c r="I771">
        <v>83</v>
      </c>
      <c r="K771">
        <v>121</v>
      </c>
      <c r="L771">
        <v>74</v>
      </c>
      <c r="M771" t="s">
        <v>118</v>
      </c>
      <c r="P771" t="s">
        <v>83</v>
      </c>
      <c r="Q771" t="s">
        <v>118</v>
      </c>
      <c r="R771">
        <v>89.6</v>
      </c>
      <c r="S771">
        <v>155.30000000000001</v>
      </c>
      <c r="T771" s="8">
        <f t="shared" si="24"/>
        <v>37.150537210865366</v>
      </c>
      <c r="U771" s="13" t="str" cm="1">
        <f t="array" ref="U771">IF(T771="","",_xlfn.IFS(T771&lt;18.5,"Bajo peso",T771&lt;25,"Peso normal",T771&lt;30,"Sobrepeso",T771&lt;35,"Obesidad clase I",T771&lt;40,"Obesidad clase II",T771&gt;=40,"Obesidad clase III"))</f>
        <v>Obesidad clase II</v>
      </c>
      <c r="V771">
        <v>98</v>
      </c>
      <c r="X771" t="s">
        <v>3463</v>
      </c>
      <c r="Y771">
        <v>0.69</v>
      </c>
      <c r="AA771">
        <v>90</v>
      </c>
      <c r="AB771" s="9">
        <f t="shared" si="25"/>
        <v>128.1314407282897</v>
      </c>
      <c r="AD771" t="s">
        <v>73</v>
      </c>
      <c r="AF771" t="s">
        <v>73</v>
      </c>
      <c r="AH771" t="s">
        <v>3463</v>
      </c>
      <c r="AI771" t="s">
        <v>3463</v>
      </c>
      <c r="AJ771" t="s">
        <v>3463</v>
      </c>
      <c r="AK771" t="s">
        <v>3463</v>
      </c>
      <c r="AL771" t="s">
        <v>3465</v>
      </c>
      <c r="AM771" t="s">
        <v>116</v>
      </c>
      <c r="AN771" t="s">
        <v>116</v>
      </c>
      <c r="AP771" t="s">
        <v>3463</v>
      </c>
      <c r="AV771" t="s">
        <v>74</v>
      </c>
      <c r="AW771" t="s">
        <v>3915</v>
      </c>
      <c r="AX771" t="s">
        <v>3463</v>
      </c>
      <c r="AY771" t="s">
        <v>3463</v>
      </c>
      <c r="BF771" t="s">
        <v>3921</v>
      </c>
      <c r="BH771" t="s">
        <v>4020</v>
      </c>
      <c r="BP771" t="s">
        <v>4260</v>
      </c>
      <c r="BQ771" t="s">
        <v>3465</v>
      </c>
      <c r="BR771" t="s">
        <v>3465</v>
      </c>
      <c r="BS771" t="s">
        <v>3463</v>
      </c>
      <c r="BT771" t="s">
        <v>3463</v>
      </c>
      <c r="BU771" t="s">
        <v>3463</v>
      </c>
      <c r="BV771" t="s">
        <v>3463</v>
      </c>
      <c r="BW771" t="s">
        <v>3463</v>
      </c>
      <c r="BX771" t="s">
        <v>79</v>
      </c>
      <c r="BY771" t="s">
        <v>79</v>
      </c>
      <c r="BZ771" t="s">
        <v>79</v>
      </c>
      <c r="CA771" s="10">
        <v>45911</v>
      </c>
    </row>
    <row r="772" spans="1:79">
      <c r="A772">
        <v>779</v>
      </c>
      <c r="B772">
        <v>98</v>
      </c>
      <c r="C772">
        <v>21</v>
      </c>
      <c r="D772" t="s">
        <v>3462</v>
      </c>
      <c r="E772" t="s">
        <v>1914</v>
      </c>
      <c r="F772" t="s">
        <v>168</v>
      </c>
      <c r="G772" s="12" t="s">
        <v>3463</v>
      </c>
      <c r="I772">
        <v>65</v>
      </c>
      <c r="K772">
        <v>145</v>
      </c>
      <c r="L772">
        <v>72</v>
      </c>
      <c r="M772" t="s">
        <v>72</v>
      </c>
      <c r="P772" t="s">
        <v>83</v>
      </c>
      <c r="Q772" t="s">
        <v>72</v>
      </c>
      <c r="R772">
        <v>103</v>
      </c>
      <c r="S772">
        <v>178</v>
      </c>
      <c r="T772" s="8">
        <f t="shared" si="24"/>
        <v>32.508521651306651</v>
      </c>
      <c r="U772" s="13" t="str" cm="1">
        <f t="array" ref="U772">IF(T772="","",_xlfn.IFS(T772&lt;18.5,"Bajo peso",T772&lt;25,"Peso normal",T772&lt;30,"Sobrepeso",T772&lt;35,"Obesidad clase I",T772&lt;40,"Obesidad clase II",T772&gt;=40,"Obesidad clase III"))</f>
        <v>Obesidad clase I</v>
      </c>
      <c r="V772">
        <v>95</v>
      </c>
      <c r="X772" t="s">
        <v>3463</v>
      </c>
      <c r="Y772">
        <v>0.97</v>
      </c>
      <c r="AA772">
        <v>90</v>
      </c>
      <c r="AB772" s="9">
        <f t="shared" si="25"/>
        <v>113.90220071142205</v>
      </c>
      <c r="AD772" t="s">
        <v>73</v>
      </c>
      <c r="AF772" t="s">
        <v>73</v>
      </c>
      <c r="AH772" t="s">
        <v>3463</v>
      </c>
      <c r="AI772" t="s">
        <v>3463</v>
      </c>
      <c r="AJ772" t="s">
        <v>3463</v>
      </c>
      <c r="AK772" t="s">
        <v>3463</v>
      </c>
      <c r="AL772" t="s">
        <v>3463</v>
      </c>
      <c r="AO772" t="s">
        <v>3465</v>
      </c>
      <c r="AP772" t="s">
        <v>3465</v>
      </c>
      <c r="AQ772" t="s">
        <v>1915</v>
      </c>
      <c r="AR772" t="s">
        <v>3516</v>
      </c>
      <c r="AV772" t="s">
        <v>126</v>
      </c>
      <c r="AW772" t="s">
        <v>126</v>
      </c>
      <c r="BF772" t="s">
        <v>3921</v>
      </c>
      <c r="BH772" t="s">
        <v>4020</v>
      </c>
      <c r="BP772" t="s">
        <v>4260</v>
      </c>
      <c r="BQ772" t="s">
        <v>3465</v>
      </c>
      <c r="BR772" t="s">
        <v>3465</v>
      </c>
      <c r="BS772" t="s">
        <v>3465</v>
      </c>
      <c r="BT772" t="s">
        <v>3465</v>
      </c>
      <c r="BU772" t="s">
        <v>3463</v>
      </c>
      <c r="BV772" t="s">
        <v>3463</v>
      </c>
      <c r="BW772" t="s">
        <v>3463</v>
      </c>
      <c r="BX772" t="s">
        <v>79</v>
      </c>
      <c r="BY772" t="s">
        <v>79</v>
      </c>
      <c r="BZ772" t="s">
        <v>79</v>
      </c>
      <c r="CA772" s="10">
        <v>45911</v>
      </c>
    </row>
    <row r="773" spans="1:79">
      <c r="A773">
        <v>780</v>
      </c>
      <c r="B773">
        <v>99</v>
      </c>
      <c r="C773">
        <v>61</v>
      </c>
      <c r="D773" t="s">
        <v>3466</v>
      </c>
      <c r="E773" t="s">
        <v>1659</v>
      </c>
      <c r="F773" t="s">
        <v>150</v>
      </c>
      <c r="G773" s="12" t="s">
        <v>3463</v>
      </c>
      <c r="I773">
        <v>92</v>
      </c>
      <c r="J773">
        <v>67</v>
      </c>
      <c r="K773">
        <v>170</v>
      </c>
      <c r="L773">
        <v>92</v>
      </c>
      <c r="M773" t="s">
        <v>72</v>
      </c>
      <c r="N773">
        <v>171</v>
      </c>
      <c r="O773">
        <v>93</v>
      </c>
      <c r="P773" t="s">
        <v>72</v>
      </c>
      <c r="Q773" t="s">
        <v>72</v>
      </c>
      <c r="R773">
        <v>81</v>
      </c>
      <c r="S773">
        <v>155</v>
      </c>
      <c r="T773" s="8">
        <f t="shared" si="24"/>
        <v>33.714880332986475</v>
      </c>
      <c r="U773" s="13" t="str" cm="1">
        <f t="array" ref="U773">IF(T773="","",_xlfn.IFS(T773&lt;18.5,"Bajo peso",T773&lt;25,"Peso normal",T773&lt;30,"Sobrepeso",T773&lt;35,"Obesidad clase I",T773&lt;40,"Obesidad clase II",T773&gt;=40,"Obesidad clase III"))</f>
        <v>Obesidad clase I</v>
      </c>
      <c r="V773">
        <v>93</v>
      </c>
      <c r="X773" t="s">
        <v>3463</v>
      </c>
      <c r="Y773">
        <v>0.75</v>
      </c>
      <c r="AA773">
        <v>90</v>
      </c>
      <c r="AB773" s="9">
        <f t="shared" si="25"/>
        <v>90.521454963905782</v>
      </c>
      <c r="AD773" t="s">
        <v>73</v>
      </c>
      <c r="AF773" t="s">
        <v>73</v>
      </c>
      <c r="AH773" t="s">
        <v>3463</v>
      </c>
      <c r="AI773" t="s">
        <v>3465</v>
      </c>
      <c r="AJ773" t="s">
        <v>3463</v>
      </c>
      <c r="AK773" t="s">
        <v>3463</v>
      </c>
      <c r="AL773" t="s">
        <v>3465</v>
      </c>
      <c r="AM773" t="s">
        <v>1916</v>
      </c>
      <c r="AN773" t="s">
        <v>3779</v>
      </c>
      <c r="AP773" t="s">
        <v>3463</v>
      </c>
      <c r="AQ773" t="s">
        <v>698</v>
      </c>
      <c r="AR773" t="s">
        <v>3488</v>
      </c>
      <c r="AS773" t="s">
        <v>3465</v>
      </c>
      <c r="AT773" t="s">
        <v>3465</v>
      </c>
      <c r="AU773" t="s">
        <v>80</v>
      </c>
      <c r="AV773" t="s">
        <v>74</v>
      </c>
      <c r="AW773" t="s">
        <v>3915</v>
      </c>
      <c r="AX773" t="s">
        <v>3465</v>
      </c>
      <c r="AY773" t="s">
        <v>3465</v>
      </c>
      <c r="AZ773" t="s">
        <v>104</v>
      </c>
      <c r="BA773" t="s">
        <v>3920</v>
      </c>
      <c r="BE773" t="s">
        <v>1917</v>
      </c>
      <c r="BF773" t="s">
        <v>3972</v>
      </c>
      <c r="BG773" t="s">
        <v>1501</v>
      </c>
      <c r="BH773" t="s">
        <v>4021</v>
      </c>
      <c r="BK773" t="s">
        <v>911</v>
      </c>
      <c r="BL773" t="s">
        <v>1918</v>
      </c>
      <c r="BP773" t="s">
        <v>4260</v>
      </c>
      <c r="BQ773" t="s">
        <v>3463</v>
      </c>
      <c r="BR773" t="s">
        <v>3465</v>
      </c>
      <c r="BS773" t="s">
        <v>3463</v>
      </c>
      <c r="BT773" t="s">
        <v>3463</v>
      </c>
      <c r="BU773" t="s">
        <v>3463</v>
      </c>
      <c r="BV773" t="s">
        <v>3463</v>
      </c>
      <c r="BW773" t="s">
        <v>3463</v>
      </c>
      <c r="BX773" t="s">
        <v>79</v>
      </c>
      <c r="BY773" t="s">
        <v>79</v>
      </c>
      <c r="BZ773" t="s">
        <v>79</v>
      </c>
      <c r="CA773" s="10">
        <v>45911</v>
      </c>
    </row>
    <row r="774" spans="1:79">
      <c r="A774">
        <v>781</v>
      </c>
      <c r="B774">
        <v>100</v>
      </c>
      <c r="C774">
        <v>50</v>
      </c>
      <c r="D774" t="s">
        <v>3466</v>
      </c>
      <c r="F774" t="s">
        <v>150</v>
      </c>
      <c r="G774" s="12" t="s">
        <v>3463</v>
      </c>
      <c r="I774">
        <v>81</v>
      </c>
      <c r="J774">
        <v>89</v>
      </c>
      <c r="K774">
        <v>155</v>
      </c>
      <c r="L774">
        <v>97</v>
      </c>
      <c r="M774" t="s">
        <v>72</v>
      </c>
      <c r="N774">
        <v>151</v>
      </c>
      <c r="O774">
        <v>95</v>
      </c>
      <c r="P774" t="s">
        <v>72</v>
      </c>
      <c r="Q774" t="s">
        <v>72</v>
      </c>
      <c r="R774">
        <v>94</v>
      </c>
      <c r="S774">
        <v>151</v>
      </c>
      <c r="T774" s="8">
        <f t="shared" si="24"/>
        <v>41.226262006052366</v>
      </c>
      <c r="U774" s="13" t="str" cm="1">
        <f t="array" ref="U774">IF(T774="","",_xlfn.IFS(T774&lt;18.5,"Bajo peso",T774&lt;25,"Peso normal",T774&lt;30,"Sobrepeso",T774&lt;35,"Obesidad clase I",T774&lt;40,"Obesidad clase II",T774&gt;=40,"Obesidad clase III"))</f>
        <v>Obesidad clase III</v>
      </c>
      <c r="V774">
        <v>101</v>
      </c>
      <c r="X774" t="s">
        <v>3463</v>
      </c>
      <c r="Y774">
        <v>1.07</v>
      </c>
      <c r="AA774">
        <v>64</v>
      </c>
      <c r="AB774" s="9">
        <f t="shared" si="25"/>
        <v>63.281329110137307</v>
      </c>
      <c r="AD774" t="s">
        <v>73</v>
      </c>
      <c r="AF774" t="s">
        <v>73</v>
      </c>
      <c r="AH774" t="s">
        <v>3463</v>
      </c>
      <c r="AI774" t="s">
        <v>3465</v>
      </c>
      <c r="AJ774" t="s">
        <v>3465</v>
      </c>
      <c r="AK774" t="s">
        <v>3465</v>
      </c>
      <c r="AL774" t="s">
        <v>3465</v>
      </c>
      <c r="AM774" t="s">
        <v>1919</v>
      </c>
      <c r="AN774" t="s">
        <v>3650</v>
      </c>
      <c r="AP774" t="s">
        <v>3463</v>
      </c>
      <c r="AQ774" t="s">
        <v>1920</v>
      </c>
      <c r="AR774" t="s">
        <v>3528</v>
      </c>
      <c r="AS774" t="s">
        <v>3465</v>
      </c>
      <c r="AV774" t="s">
        <v>112</v>
      </c>
      <c r="AW774" t="s">
        <v>3917</v>
      </c>
      <c r="AX774" t="s">
        <v>3463</v>
      </c>
      <c r="AY774" t="s">
        <v>3463</v>
      </c>
      <c r="BA774" t="s">
        <v>3920</v>
      </c>
      <c r="BF774" t="s">
        <v>3921</v>
      </c>
      <c r="BG774" t="s">
        <v>1921</v>
      </c>
      <c r="BH774" t="s">
        <v>4181</v>
      </c>
      <c r="BI774" t="s">
        <v>411</v>
      </c>
      <c r="BP774" t="s">
        <v>4440</v>
      </c>
      <c r="BQ774" t="s">
        <v>3463</v>
      </c>
      <c r="BR774" t="s">
        <v>3463</v>
      </c>
      <c r="BS774" t="s">
        <v>3465</v>
      </c>
      <c r="BT774" t="s">
        <v>3465</v>
      </c>
      <c r="BU774" t="s">
        <v>3463</v>
      </c>
      <c r="BV774" t="s">
        <v>3463</v>
      </c>
      <c r="BW774" t="s">
        <v>3463</v>
      </c>
      <c r="BX774" t="s">
        <v>79</v>
      </c>
      <c r="BY774" t="s">
        <v>79</v>
      </c>
      <c r="BZ774" t="s">
        <v>79</v>
      </c>
      <c r="CA774" s="10">
        <v>45911</v>
      </c>
    </row>
    <row r="775" spans="1:79">
      <c r="A775">
        <v>782</v>
      </c>
      <c r="B775">
        <v>101</v>
      </c>
      <c r="C775">
        <v>84</v>
      </c>
      <c r="D775" t="s">
        <v>3462</v>
      </c>
      <c r="E775" t="s">
        <v>1922</v>
      </c>
      <c r="F775" t="s">
        <v>150</v>
      </c>
      <c r="G775" s="12" t="s">
        <v>3463</v>
      </c>
      <c r="I775">
        <v>89</v>
      </c>
      <c r="K775">
        <v>97</v>
      </c>
      <c r="L775">
        <v>68</v>
      </c>
      <c r="M775" t="s">
        <v>80</v>
      </c>
      <c r="P775" t="s">
        <v>83</v>
      </c>
      <c r="Q775" t="s">
        <v>80</v>
      </c>
      <c r="R775">
        <v>76.5</v>
      </c>
      <c r="S775">
        <v>163</v>
      </c>
      <c r="T775" s="8">
        <f t="shared" si="24"/>
        <v>28.792954194738229</v>
      </c>
      <c r="U775" s="13" t="str" cm="1">
        <f t="array" ref="U775">IF(T775="","",_xlfn.IFS(T775&lt;18.5,"Bajo peso",T775&lt;25,"Peso normal",T775&lt;30,"Sobrepeso",T775&lt;35,"Obesidad clase I",T775&lt;40,"Obesidad clase II",T775&gt;=40,"Obesidad clase III"))</f>
        <v>Sobrepeso</v>
      </c>
      <c r="V775">
        <v>101</v>
      </c>
      <c r="X775" t="s">
        <v>3463</v>
      </c>
      <c r="Y775">
        <v>2.06</v>
      </c>
      <c r="Z775">
        <v>3.17</v>
      </c>
      <c r="AA775">
        <v>31</v>
      </c>
      <c r="AB775" s="9">
        <f t="shared" si="25"/>
        <v>31.178416453269097</v>
      </c>
      <c r="AC775">
        <v>19</v>
      </c>
      <c r="AD775" t="s">
        <v>218</v>
      </c>
      <c r="AE775" t="s">
        <v>303</v>
      </c>
      <c r="AF775" t="s">
        <v>218</v>
      </c>
      <c r="AH775" t="s">
        <v>3463</v>
      </c>
      <c r="AI775" t="s">
        <v>3463</v>
      </c>
      <c r="AJ775" t="s">
        <v>3463</v>
      </c>
      <c r="AK775" t="s">
        <v>3463</v>
      </c>
      <c r="AL775" t="s">
        <v>3465</v>
      </c>
      <c r="AM775" t="s">
        <v>1923</v>
      </c>
      <c r="AN775" t="s">
        <v>3780</v>
      </c>
      <c r="AP775" t="s">
        <v>3463</v>
      </c>
      <c r="AQ775" t="s">
        <v>1924</v>
      </c>
      <c r="AR775" t="s">
        <v>3508</v>
      </c>
      <c r="AV775" t="s">
        <v>74</v>
      </c>
      <c r="AW775" t="s">
        <v>3915</v>
      </c>
      <c r="BA775" t="s">
        <v>3920</v>
      </c>
      <c r="BC775" t="s">
        <v>128</v>
      </c>
      <c r="BD775" t="s">
        <v>105</v>
      </c>
      <c r="BE775" t="s">
        <v>1925</v>
      </c>
      <c r="BF775" t="s">
        <v>3850</v>
      </c>
      <c r="BG775" t="s">
        <v>1926</v>
      </c>
      <c r="BH775" t="s">
        <v>4062</v>
      </c>
      <c r="BI775" t="s">
        <v>629</v>
      </c>
      <c r="BK775" t="s">
        <v>1927</v>
      </c>
      <c r="BP775" t="s">
        <v>4478</v>
      </c>
      <c r="BQ775" t="s">
        <v>3463</v>
      </c>
      <c r="BR775" t="s">
        <v>3463</v>
      </c>
      <c r="BS775" t="s">
        <v>3463</v>
      </c>
      <c r="BT775" t="s">
        <v>3463</v>
      </c>
      <c r="BU775" t="s">
        <v>3463</v>
      </c>
      <c r="BV775" t="s">
        <v>3463</v>
      </c>
      <c r="BW775" t="s">
        <v>3463</v>
      </c>
      <c r="BX775" t="s">
        <v>79</v>
      </c>
      <c r="BY775" t="s">
        <v>79</v>
      </c>
      <c r="BZ775" t="s">
        <v>79</v>
      </c>
      <c r="CA775" s="10">
        <v>45911</v>
      </c>
    </row>
    <row r="776" spans="1:79">
      <c r="A776">
        <v>783</v>
      </c>
      <c r="B776">
        <v>102</v>
      </c>
      <c r="C776">
        <v>30</v>
      </c>
      <c r="D776" t="s">
        <v>3466</v>
      </c>
      <c r="F776" t="s">
        <v>150</v>
      </c>
      <c r="G776" s="12" t="s">
        <v>3463</v>
      </c>
      <c r="I776">
        <v>83</v>
      </c>
      <c r="J776">
        <v>77</v>
      </c>
      <c r="K776">
        <v>133</v>
      </c>
      <c r="L776">
        <v>74</v>
      </c>
      <c r="M776" t="s">
        <v>82</v>
      </c>
      <c r="N776">
        <v>128</v>
      </c>
      <c r="O776">
        <v>72</v>
      </c>
      <c r="P776" t="s">
        <v>118</v>
      </c>
      <c r="Q776" t="s">
        <v>118</v>
      </c>
      <c r="R776">
        <v>87</v>
      </c>
      <c r="S776">
        <v>161</v>
      </c>
      <c r="T776" s="8">
        <f t="shared" si="24"/>
        <v>33.56351992592878</v>
      </c>
      <c r="U776" s="13" t="str" cm="1">
        <f t="array" ref="U776">IF(T776="","",_xlfn.IFS(T776&lt;18.5,"Bajo peso",T776&lt;25,"Peso normal",T776&lt;30,"Sobrepeso",T776&lt;35,"Obesidad clase I",T776&lt;40,"Obesidad clase II",T776&gt;=40,"Obesidad clase III"))</f>
        <v>Obesidad clase I</v>
      </c>
      <c r="V776">
        <v>112</v>
      </c>
      <c r="X776" t="s">
        <v>3463</v>
      </c>
      <c r="Y776">
        <v>0.8</v>
      </c>
      <c r="AA776">
        <v>90</v>
      </c>
      <c r="AB776" s="9">
        <f t="shared" si="25"/>
        <v>101.58937601542699</v>
      </c>
      <c r="AD776" t="s">
        <v>73</v>
      </c>
      <c r="AF776" t="s">
        <v>73</v>
      </c>
      <c r="AH776" t="s">
        <v>3463</v>
      </c>
      <c r="AI776" t="s">
        <v>3463</v>
      </c>
      <c r="AJ776" t="s">
        <v>3463</v>
      </c>
      <c r="AK776" t="s">
        <v>3463</v>
      </c>
      <c r="AL776" t="s">
        <v>3465</v>
      </c>
      <c r="AM776" t="s">
        <v>1928</v>
      </c>
      <c r="AN776" t="s">
        <v>3767</v>
      </c>
      <c r="AP776" t="s">
        <v>3463</v>
      </c>
      <c r="AS776" t="s">
        <v>3463</v>
      </c>
      <c r="AT776" t="s">
        <v>3463</v>
      </c>
      <c r="AV776" t="s">
        <v>74</v>
      </c>
      <c r="AW776" t="s">
        <v>3915</v>
      </c>
      <c r="AX776" t="s">
        <v>3463</v>
      </c>
      <c r="AY776" t="s">
        <v>3465</v>
      </c>
      <c r="AZ776" t="s">
        <v>1110</v>
      </c>
      <c r="BF776" t="s">
        <v>3921</v>
      </c>
      <c r="BH776" t="s">
        <v>4020</v>
      </c>
      <c r="BP776" t="s">
        <v>4260</v>
      </c>
      <c r="BQ776" t="s">
        <v>3463</v>
      </c>
      <c r="BR776" t="s">
        <v>3465</v>
      </c>
      <c r="BS776" t="s">
        <v>3465</v>
      </c>
      <c r="BT776" t="s">
        <v>3465</v>
      </c>
      <c r="BU776" t="s">
        <v>3463</v>
      </c>
      <c r="BV776" t="s">
        <v>3463</v>
      </c>
      <c r="BW776" t="s">
        <v>3463</v>
      </c>
      <c r="BX776" t="s">
        <v>79</v>
      </c>
      <c r="BY776" t="s">
        <v>79</v>
      </c>
      <c r="BZ776" t="s">
        <v>79</v>
      </c>
      <c r="CA776" s="10">
        <v>45911</v>
      </c>
    </row>
    <row r="777" spans="1:79">
      <c r="A777">
        <v>784</v>
      </c>
      <c r="B777">
        <v>103</v>
      </c>
      <c r="C777">
        <v>68</v>
      </c>
      <c r="D777" t="s">
        <v>3466</v>
      </c>
      <c r="F777" t="s">
        <v>150</v>
      </c>
      <c r="G777" s="12" t="s">
        <v>3463</v>
      </c>
      <c r="I777">
        <v>84</v>
      </c>
      <c r="J777">
        <v>76</v>
      </c>
      <c r="K777">
        <v>170</v>
      </c>
      <c r="L777">
        <v>99</v>
      </c>
      <c r="M777" t="s">
        <v>72</v>
      </c>
      <c r="N777">
        <v>163</v>
      </c>
      <c r="O777">
        <v>92</v>
      </c>
      <c r="P777" t="s">
        <v>72</v>
      </c>
      <c r="Q777" t="s">
        <v>72</v>
      </c>
      <c r="R777">
        <v>86</v>
      </c>
      <c r="S777">
        <v>156</v>
      </c>
      <c r="T777" s="8">
        <f t="shared" si="24"/>
        <v>35.338593030900725</v>
      </c>
      <c r="U777" s="13" t="str" cm="1">
        <f t="array" ref="U777">IF(T777="","",_xlfn.IFS(T777&lt;18.5,"Bajo peso",T777&lt;25,"Peso normal",T777&lt;30,"Sobrepeso",T777&lt;35,"Obesidad clase I",T777&lt;40,"Obesidad clase II",T777&gt;=40,"Obesidad clase III"))</f>
        <v>Obesidad clase II</v>
      </c>
      <c r="V777">
        <v>101</v>
      </c>
      <c r="X777" t="s">
        <v>3463</v>
      </c>
      <c r="Y777">
        <v>0.89</v>
      </c>
      <c r="AA777">
        <v>70</v>
      </c>
      <c r="AB777" s="9">
        <f t="shared" si="25"/>
        <v>70.574852763857166</v>
      </c>
      <c r="AD777" t="s">
        <v>73</v>
      </c>
      <c r="AF777" t="s">
        <v>73</v>
      </c>
      <c r="AH777" t="s">
        <v>3463</v>
      </c>
      <c r="AI777" t="s">
        <v>3465</v>
      </c>
      <c r="AJ777" t="s">
        <v>3463</v>
      </c>
      <c r="AK777" t="s">
        <v>3465</v>
      </c>
      <c r="AL777" t="s">
        <v>3465</v>
      </c>
      <c r="AM777" t="s">
        <v>110</v>
      </c>
      <c r="AN777" t="s">
        <v>110</v>
      </c>
      <c r="AP777" t="s">
        <v>3463</v>
      </c>
      <c r="AQ777" t="s">
        <v>1854</v>
      </c>
      <c r="AR777" t="s">
        <v>3493</v>
      </c>
      <c r="AS777" t="s">
        <v>3465</v>
      </c>
      <c r="AT777" t="s">
        <v>3465</v>
      </c>
      <c r="AU777" t="s">
        <v>125</v>
      </c>
      <c r="AV777" t="s">
        <v>178</v>
      </c>
      <c r="AW777" t="s">
        <v>3918</v>
      </c>
      <c r="AX777" t="s">
        <v>3463</v>
      </c>
      <c r="AY777" t="s">
        <v>3463</v>
      </c>
      <c r="BA777" t="s">
        <v>3920</v>
      </c>
      <c r="BC777" t="s">
        <v>128</v>
      </c>
      <c r="BF777" t="s">
        <v>3921</v>
      </c>
      <c r="BG777" t="s">
        <v>1929</v>
      </c>
      <c r="BH777" t="s">
        <v>4182</v>
      </c>
      <c r="BI777" t="s">
        <v>1689</v>
      </c>
      <c r="BK777" t="s">
        <v>1930</v>
      </c>
      <c r="BP777" t="s">
        <v>4479</v>
      </c>
      <c r="BQ777" t="s">
        <v>3463</v>
      </c>
      <c r="BR777" t="s">
        <v>3463</v>
      </c>
      <c r="BS777" t="s">
        <v>3463</v>
      </c>
      <c r="BT777" t="s">
        <v>3463</v>
      </c>
      <c r="BU777" t="s">
        <v>3463</v>
      </c>
      <c r="BV777" t="s">
        <v>3463</v>
      </c>
      <c r="BW777" t="s">
        <v>3463</v>
      </c>
      <c r="BX777" t="s">
        <v>79</v>
      </c>
      <c r="BY777" t="s">
        <v>79</v>
      </c>
      <c r="BZ777" t="s">
        <v>79</v>
      </c>
      <c r="CA777" s="10">
        <v>45911</v>
      </c>
    </row>
    <row r="778" spans="1:79">
      <c r="A778">
        <v>785</v>
      </c>
      <c r="B778">
        <v>104</v>
      </c>
      <c r="C778">
        <v>34</v>
      </c>
      <c r="D778" t="s">
        <v>3466</v>
      </c>
      <c r="F778" t="s">
        <v>1799</v>
      </c>
      <c r="G778" s="12" t="s">
        <v>3465</v>
      </c>
      <c r="H778" t="s">
        <v>88</v>
      </c>
      <c r="I778">
        <v>68</v>
      </c>
      <c r="K778">
        <v>122</v>
      </c>
      <c r="L778">
        <v>72</v>
      </c>
      <c r="M778" t="s">
        <v>118</v>
      </c>
      <c r="P778" t="s">
        <v>83</v>
      </c>
      <c r="Q778" t="s">
        <v>118</v>
      </c>
      <c r="R778">
        <v>65</v>
      </c>
      <c r="S778">
        <v>160</v>
      </c>
      <c r="T778" s="8">
        <f t="shared" si="24"/>
        <v>25.390625</v>
      </c>
      <c r="U778" s="13" t="str" cm="1">
        <f t="array" ref="U778">IF(T778="","",_xlfn.IFS(T778&lt;18.5,"Bajo peso",T778&lt;25,"Peso normal",T778&lt;30,"Sobrepeso",T778&lt;35,"Obesidad clase I",T778&lt;40,"Obesidad clase II",T778&gt;=40,"Obesidad clase III"))</f>
        <v>Sobrepeso</v>
      </c>
      <c r="V778">
        <v>87</v>
      </c>
      <c r="X778" t="s">
        <v>3463</v>
      </c>
      <c r="Y778">
        <v>0.84</v>
      </c>
      <c r="AA778">
        <v>90</v>
      </c>
      <c r="AB778" s="9">
        <f t="shared" si="25"/>
        <v>93.45813356340166</v>
      </c>
      <c r="AD778" t="s">
        <v>73</v>
      </c>
      <c r="AF778" t="s">
        <v>73</v>
      </c>
      <c r="AH778" t="s">
        <v>3463</v>
      </c>
      <c r="AI778" t="s">
        <v>3463</v>
      </c>
      <c r="AJ778" t="s">
        <v>3463</v>
      </c>
      <c r="AK778" t="s">
        <v>3463</v>
      </c>
      <c r="AL778" t="s">
        <v>3465</v>
      </c>
      <c r="AM778" t="s">
        <v>1931</v>
      </c>
      <c r="AN778" t="s">
        <v>3626</v>
      </c>
      <c r="AO778" t="s">
        <v>3465</v>
      </c>
      <c r="AP778" t="s">
        <v>3465</v>
      </c>
      <c r="AQ778" t="s">
        <v>1932</v>
      </c>
      <c r="AR778" t="s">
        <v>3491</v>
      </c>
      <c r="AT778" t="s">
        <v>3463</v>
      </c>
      <c r="AV778" t="s">
        <v>74</v>
      </c>
      <c r="AW778" t="s">
        <v>3915</v>
      </c>
      <c r="AX778" t="s">
        <v>3463</v>
      </c>
      <c r="AY778" t="s">
        <v>3465</v>
      </c>
      <c r="AZ778" t="s">
        <v>1933</v>
      </c>
      <c r="BF778" t="s">
        <v>3921</v>
      </c>
      <c r="BH778" t="s">
        <v>4020</v>
      </c>
      <c r="BP778" t="s">
        <v>4260</v>
      </c>
      <c r="BQ778" t="s">
        <v>3465</v>
      </c>
      <c r="BR778" t="s">
        <v>3465</v>
      </c>
      <c r="BS778" t="s">
        <v>3465</v>
      </c>
      <c r="BT778" t="s">
        <v>3465</v>
      </c>
      <c r="BU778" t="s">
        <v>3463</v>
      </c>
      <c r="BV778" t="s">
        <v>3463</v>
      </c>
      <c r="BW778" t="s">
        <v>3463</v>
      </c>
      <c r="BX778" t="s">
        <v>79</v>
      </c>
      <c r="BY778" t="s">
        <v>79</v>
      </c>
      <c r="BZ778" t="s">
        <v>79</v>
      </c>
      <c r="CA778" s="10">
        <v>45911</v>
      </c>
    </row>
    <row r="779" spans="1:79">
      <c r="A779">
        <v>786</v>
      </c>
      <c r="B779">
        <v>105</v>
      </c>
      <c r="C779">
        <v>68</v>
      </c>
      <c r="D779" t="s">
        <v>3466</v>
      </c>
      <c r="E779" t="s">
        <v>1657</v>
      </c>
      <c r="F779" t="s">
        <v>150</v>
      </c>
      <c r="G779" s="12" t="s">
        <v>3463</v>
      </c>
      <c r="I779">
        <v>83</v>
      </c>
      <c r="J779">
        <v>70</v>
      </c>
      <c r="K779">
        <v>140</v>
      </c>
      <c r="L779">
        <v>84</v>
      </c>
      <c r="M779" t="s">
        <v>72</v>
      </c>
      <c r="N779">
        <v>141</v>
      </c>
      <c r="O779">
        <v>82</v>
      </c>
      <c r="P779" t="s">
        <v>72</v>
      </c>
      <c r="Q779" t="s">
        <v>72</v>
      </c>
      <c r="R779">
        <v>78</v>
      </c>
      <c r="S779">
        <v>153</v>
      </c>
      <c r="T779" s="8">
        <f t="shared" si="24"/>
        <v>33.320517749583495</v>
      </c>
      <c r="U779" s="13" t="str" cm="1">
        <f t="array" ref="U779">IF(T779="","",_xlfn.IFS(T779&lt;18.5,"Bajo peso",T779&lt;25,"Peso normal",T779&lt;30,"Sobrepeso",T779&lt;35,"Obesidad clase I",T779&lt;40,"Obesidad clase II",T779&gt;=40,"Obesidad clase III"))</f>
        <v>Obesidad clase I</v>
      </c>
      <c r="V779">
        <v>82</v>
      </c>
      <c r="X779" t="s">
        <v>3463</v>
      </c>
      <c r="Y779">
        <v>1.05</v>
      </c>
      <c r="AA779">
        <v>58</v>
      </c>
      <c r="AB779" s="9">
        <f t="shared" si="25"/>
        <v>57.874976791203203</v>
      </c>
      <c r="AD779" t="s">
        <v>158</v>
      </c>
      <c r="AF779" t="s">
        <v>158</v>
      </c>
      <c r="AG779" t="s">
        <v>3465</v>
      </c>
      <c r="AH779" t="s">
        <v>3465</v>
      </c>
      <c r="AI779" t="s">
        <v>3465</v>
      </c>
      <c r="AJ779" t="s">
        <v>3463</v>
      </c>
      <c r="AK779" t="s">
        <v>3463</v>
      </c>
      <c r="AL779" t="s">
        <v>3463</v>
      </c>
      <c r="AP779" t="s">
        <v>3463</v>
      </c>
      <c r="AQ779" t="s">
        <v>1934</v>
      </c>
      <c r="AR779" t="s">
        <v>3516</v>
      </c>
      <c r="AS779" t="s">
        <v>3465</v>
      </c>
      <c r="AT779" t="s">
        <v>3465</v>
      </c>
      <c r="AU779" t="s">
        <v>80</v>
      </c>
      <c r="AV779" t="s">
        <v>74</v>
      </c>
      <c r="AW779" t="s">
        <v>3915</v>
      </c>
      <c r="AX779" t="s">
        <v>3463</v>
      </c>
      <c r="AY779" t="s">
        <v>3465</v>
      </c>
      <c r="AZ779" t="s">
        <v>247</v>
      </c>
      <c r="BA779" t="s">
        <v>3920</v>
      </c>
      <c r="BB779" t="s">
        <v>3485</v>
      </c>
      <c r="BC779" t="s">
        <v>128</v>
      </c>
      <c r="BE779" t="s">
        <v>472</v>
      </c>
      <c r="BF779" t="s">
        <v>457</v>
      </c>
      <c r="BG779" t="s">
        <v>1935</v>
      </c>
      <c r="BH779" t="s">
        <v>4183</v>
      </c>
      <c r="BK779" t="s">
        <v>1535</v>
      </c>
      <c r="BL779" t="s">
        <v>1936</v>
      </c>
      <c r="BP779" t="s">
        <v>4336</v>
      </c>
      <c r="BQ779" t="s">
        <v>3463</v>
      </c>
      <c r="BR779" t="s">
        <v>3463</v>
      </c>
      <c r="BS779" t="s">
        <v>3465</v>
      </c>
      <c r="BT779" t="s">
        <v>3465</v>
      </c>
      <c r="BU779" t="s">
        <v>3463</v>
      </c>
      <c r="BV779" t="s">
        <v>3463</v>
      </c>
      <c r="BW779" t="s">
        <v>3463</v>
      </c>
      <c r="BX779" t="s">
        <v>79</v>
      </c>
      <c r="BY779" t="s">
        <v>79</v>
      </c>
      <c r="BZ779" t="s">
        <v>79</v>
      </c>
      <c r="CA779" s="10">
        <v>45911</v>
      </c>
    </row>
    <row r="780" spans="1:79">
      <c r="A780">
        <v>787</v>
      </c>
      <c r="B780">
        <v>106</v>
      </c>
      <c r="C780">
        <v>35</v>
      </c>
      <c r="D780" t="s">
        <v>3466</v>
      </c>
      <c r="F780" t="s">
        <v>150</v>
      </c>
      <c r="G780" s="12" t="s">
        <v>3463</v>
      </c>
      <c r="I780">
        <v>87</v>
      </c>
      <c r="J780">
        <v>84</v>
      </c>
      <c r="K780">
        <v>150</v>
      </c>
      <c r="L780">
        <v>96</v>
      </c>
      <c r="M780" t="s">
        <v>72</v>
      </c>
      <c r="N780">
        <v>134</v>
      </c>
      <c r="O780">
        <v>93</v>
      </c>
      <c r="P780" t="s">
        <v>72</v>
      </c>
      <c r="Q780" t="s">
        <v>72</v>
      </c>
      <c r="R780">
        <v>103.6</v>
      </c>
      <c r="S780">
        <v>163</v>
      </c>
      <c r="T780" s="8">
        <f t="shared" si="24"/>
        <v>38.99281117091347</v>
      </c>
      <c r="U780" s="13" t="str" cm="1">
        <f t="array" ref="U780">IF(T780="","",_xlfn.IFS(T780&lt;18.5,"Bajo peso",T780&lt;25,"Peso normal",T780&lt;30,"Sobrepeso",T780&lt;35,"Obesidad clase I",T780&lt;40,"Obesidad clase II",T780&gt;=40,"Obesidad clase III"))</f>
        <v>Obesidad clase II</v>
      </c>
      <c r="V780">
        <v>92</v>
      </c>
      <c r="X780" t="s">
        <v>3463</v>
      </c>
      <c r="Y780">
        <v>1.1399999999999999</v>
      </c>
      <c r="AA780">
        <v>64</v>
      </c>
      <c r="AB780" s="9">
        <f t="shared" si="25"/>
        <v>64.382141410636606</v>
      </c>
      <c r="AD780" t="s">
        <v>73</v>
      </c>
      <c r="AF780" t="s">
        <v>73</v>
      </c>
      <c r="AG780" t="s">
        <v>3465</v>
      </c>
      <c r="AH780" t="s">
        <v>3465</v>
      </c>
      <c r="AI780" t="s">
        <v>3464</v>
      </c>
      <c r="AJ780" t="s">
        <v>3463</v>
      </c>
      <c r="AK780" t="s">
        <v>3465</v>
      </c>
      <c r="AL780" t="s">
        <v>3465</v>
      </c>
      <c r="AM780" t="s">
        <v>421</v>
      </c>
      <c r="AN780" t="s">
        <v>3781</v>
      </c>
      <c r="AP780" t="s">
        <v>3463</v>
      </c>
      <c r="AQ780" t="s">
        <v>881</v>
      </c>
      <c r="AR780" t="s">
        <v>3488</v>
      </c>
      <c r="AV780" t="s">
        <v>178</v>
      </c>
      <c r="AW780" t="s">
        <v>3918</v>
      </c>
      <c r="AX780" t="s">
        <v>3463</v>
      </c>
      <c r="AY780" t="s">
        <v>3465</v>
      </c>
      <c r="AZ780" t="s">
        <v>90</v>
      </c>
      <c r="BF780" t="s">
        <v>3921</v>
      </c>
      <c r="BH780" t="s">
        <v>4020</v>
      </c>
      <c r="BP780" t="s">
        <v>4260</v>
      </c>
      <c r="BQ780" t="s">
        <v>3463</v>
      </c>
      <c r="BR780" t="s">
        <v>3463</v>
      </c>
      <c r="BS780" t="s">
        <v>3463</v>
      </c>
      <c r="BT780" t="s">
        <v>3463</v>
      </c>
      <c r="BU780" t="s">
        <v>3463</v>
      </c>
      <c r="BV780" t="s">
        <v>3463</v>
      </c>
      <c r="BW780" t="s">
        <v>3463</v>
      </c>
      <c r="BX780" t="s">
        <v>79</v>
      </c>
      <c r="BY780" t="s">
        <v>79</v>
      </c>
      <c r="BZ780" t="s">
        <v>79</v>
      </c>
      <c r="CA780" s="10">
        <v>45911</v>
      </c>
    </row>
    <row r="781" spans="1:79">
      <c r="A781">
        <v>788</v>
      </c>
      <c r="B781">
        <v>107</v>
      </c>
      <c r="C781">
        <v>34</v>
      </c>
      <c r="D781" t="s">
        <v>3466</v>
      </c>
      <c r="E781" t="s">
        <v>1937</v>
      </c>
      <c r="F781" t="s">
        <v>1799</v>
      </c>
      <c r="G781" s="12" t="s">
        <v>3465</v>
      </c>
      <c r="H781" t="s">
        <v>88</v>
      </c>
      <c r="I781">
        <v>96</v>
      </c>
      <c r="J781">
        <v>97</v>
      </c>
      <c r="K781">
        <v>140</v>
      </c>
      <c r="L781">
        <v>86</v>
      </c>
      <c r="M781" t="s">
        <v>72</v>
      </c>
      <c r="N781">
        <v>126</v>
      </c>
      <c r="O781">
        <v>86</v>
      </c>
      <c r="P781" t="s">
        <v>82</v>
      </c>
      <c r="Q781" t="s">
        <v>82</v>
      </c>
      <c r="R781">
        <v>77</v>
      </c>
      <c r="S781">
        <v>156</v>
      </c>
      <c r="T781" s="8">
        <f t="shared" si="24"/>
        <v>31.640368178829718</v>
      </c>
      <c r="U781" s="13" t="str" cm="1">
        <f t="array" ref="U781">IF(T781="","",_xlfn.IFS(T781&lt;18.5,"Bajo peso",T781&lt;25,"Peso normal",T781&lt;30,"Sobrepeso",T781&lt;35,"Obesidad clase I",T781&lt;40,"Obesidad clase II",T781&gt;=40,"Obesidad clase III"))</f>
        <v>Obesidad clase I</v>
      </c>
      <c r="V781">
        <v>100</v>
      </c>
      <c r="X781" t="s">
        <v>3463</v>
      </c>
      <c r="Y781">
        <v>1</v>
      </c>
      <c r="AA781">
        <v>76</v>
      </c>
      <c r="AB781" s="9">
        <f t="shared" si="25"/>
        <v>75.814495059678379</v>
      </c>
      <c r="AD781" t="s">
        <v>73</v>
      </c>
      <c r="AF781" t="s">
        <v>73</v>
      </c>
      <c r="AH781" t="s">
        <v>3463</v>
      </c>
      <c r="AI781" t="s">
        <v>3463</v>
      </c>
      <c r="AJ781" t="s">
        <v>3463</v>
      </c>
      <c r="AK781" t="s">
        <v>3463</v>
      </c>
      <c r="AL781" t="s">
        <v>3465</v>
      </c>
      <c r="AM781" t="s">
        <v>1938</v>
      </c>
      <c r="AN781" t="s">
        <v>1938</v>
      </c>
      <c r="AP781" t="s">
        <v>3463</v>
      </c>
      <c r="AQ781" t="s">
        <v>120</v>
      </c>
      <c r="AR781" t="s">
        <v>3491</v>
      </c>
      <c r="AV781" t="s">
        <v>74</v>
      </c>
      <c r="AW781" t="s">
        <v>3915</v>
      </c>
      <c r="AX781" t="s">
        <v>3463</v>
      </c>
      <c r="AY781" t="s">
        <v>3465</v>
      </c>
      <c r="AZ781" t="s">
        <v>247</v>
      </c>
      <c r="BF781" t="s">
        <v>3921</v>
      </c>
      <c r="BH781" t="s">
        <v>4020</v>
      </c>
      <c r="BP781" t="s">
        <v>4260</v>
      </c>
      <c r="BQ781" t="s">
        <v>3465</v>
      </c>
      <c r="BR781" t="s">
        <v>3465</v>
      </c>
      <c r="BS781" t="s">
        <v>3463</v>
      </c>
      <c r="BT781" t="s">
        <v>3465</v>
      </c>
      <c r="BU781" t="s">
        <v>3463</v>
      </c>
      <c r="BV781" t="s">
        <v>3463</v>
      </c>
      <c r="BW781" t="s">
        <v>3463</v>
      </c>
      <c r="BX781" t="s">
        <v>79</v>
      </c>
      <c r="BY781" t="s">
        <v>79</v>
      </c>
      <c r="BZ781" t="s">
        <v>79</v>
      </c>
      <c r="CA781" s="10">
        <v>45911</v>
      </c>
    </row>
    <row r="782" spans="1:79">
      <c r="A782">
        <v>789</v>
      </c>
      <c r="B782">
        <v>108</v>
      </c>
      <c r="C782">
        <v>67</v>
      </c>
      <c r="D782" t="s">
        <v>3466</v>
      </c>
      <c r="F782" t="s">
        <v>150</v>
      </c>
      <c r="G782" s="12" t="s">
        <v>3463</v>
      </c>
      <c r="I782">
        <v>82</v>
      </c>
      <c r="J782">
        <v>76</v>
      </c>
      <c r="K782">
        <v>184</v>
      </c>
      <c r="L782">
        <v>79</v>
      </c>
      <c r="M782" t="s">
        <v>96</v>
      </c>
      <c r="N782">
        <v>164</v>
      </c>
      <c r="O782">
        <v>75</v>
      </c>
      <c r="P782" t="s">
        <v>72</v>
      </c>
      <c r="Q782" t="s">
        <v>72</v>
      </c>
      <c r="R782">
        <v>67.5</v>
      </c>
      <c r="S782">
        <v>148</v>
      </c>
      <c r="T782" s="8">
        <f t="shared" si="24"/>
        <v>30.816289262235209</v>
      </c>
      <c r="U782" s="13" t="str" cm="1">
        <f t="array" ref="U782">IF(T782="","",_xlfn.IFS(T782&lt;18.5,"Bajo peso",T782&lt;25,"Peso normal",T782&lt;30,"Sobrepeso",T782&lt;35,"Obesidad clase I",T782&lt;40,"Obesidad clase II",T782&gt;=40,"Obesidad clase III"))</f>
        <v>Obesidad clase I</v>
      </c>
      <c r="V782">
        <v>120</v>
      </c>
      <c r="X782" t="s">
        <v>3463</v>
      </c>
      <c r="Y782">
        <v>1.08</v>
      </c>
      <c r="AA782">
        <v>56</v>
      </c>
      <c r="AB782" s="9">
        <f t="shared" si="25"/>
        <v>56.300271574887716</v>
      </c>
      <c r="AD782" t="s">
        <v>158</v>
      </c>
      <c r="AF782" t="s">
        <v>158</v>
      </c>
      <c r="AG782" t="s">
        <v>3465</v>
      </c>
      <c r="AH782" t="s">
        <v>3465</v>
      </c>
      <c r="AI782" t="s">
        <v>3463</v>
      </c>
      <c r="AJ782" t="s">
        <v>3465</v>
      </c>
      <c r="AK782" t="s">
        <v>3465</v>
      </c>
      <c r="AL782" t="s">
        <v>3465</v>
      </c>
      <c r="AM782" t="s">
        <v>1939</v>
      </c>
      <c r="AN782" t="s">
        <v>3782</v>
      </c>
      <c r="AP782" t="s">
        <v>3463</v>
      </c>
      <c r="AQ782" t="s">
        <v>1940</v>
      </c>
      <c r="AR782" t="s">
        <v>3490</v>
      </c>
      <c r="AT782" t="s">
        <v>3465</v>
      </c>
      <c r="AU782" t="s">
        <v>1899</v>
      </c>
      <c r="AV782" t="s">
        <v>74</v>
      </c>
      <c r="AW782" t="s">
        <v>3915</v>
      </c>
      <c r="AX782" t="s">
        <v>3465</v>
      </c>
      <c r="AY782" t="s">
        <v>3465</v>
      </c>
      <c r="AZ782" t="s">
        <v>1094</v>
      </c>
      <c r="BA782" t="s">
        <v>3920</v>
      </c>
      <c r="BB782" t="s">
        <v>3485</v>
      </c>
      <c r="BC782" t="s">
        <v>128</v>
      </c>
      <c r="BF782" t="s">
        <v>3921</v>
      </c>
      <c r="BG782" t="s">
        <v>1941</v>
      </c>
      <c r="BH782" t="s">
        <v>4029</v>
      </c>
      <c r="BP782" t="s">
        <v>4480</v>
      </c>
      <c r="BQ782" t="s">
        <v>3463</v>
      </c>
      <c r="BR782" t="s">
        <v>3463</v>
      </c>
      <c r="BS782" t="s">
        <v>3463</v>
      </c>
      <c r="BT782" t="s">
        <v>3463</v>
      </c>
      <c r="BU782" t="s">
        <v>3463</v>
      </c>
      <c r="BV782" t="s">
        <v>3463</v>
      </c>
      <c r="BW782" t="s">
        <v>3463</v>
      </c>
      <c r="BX782" t="s">
        <v>79</v>
      </c>
      <c r="BY782" t="s">
        <v>87</v>
      </c>
      <c r="BZ782" t="s">
        <v>79</v>
      </c>
      <c r="CA782" s="10">
        <v>45911</v>
      </c>
    </row>
    <row r="783" spans="1:79">
      <c r="A783">
        <v>790</v>
      </c>
      <c r="B783">
        <v>109</v>
      </c>
      <c r="C783">
        <v>42</v>
      </c>
      <c r="D783" t="s">
        <v>3462</v>
      </c>
      <c r="F783" t="s">
        <v>150</v>
      </c>
      <c r="G783" s="12" t="s">
        <v>3465</v>
      </c>
      <c r="H783" t="s">
        <v>88</v>
      </c>
      <c r="I783">
        <v>62</v>
      </c>
      <c r="K783">
        <v>131</v>
      </c>
      <c r="L783">
        <v>82</v>
      </c>
      <c r="M783" t="s">
        <v>82</v>
      </c>
      <c r="P783" t="s">
        <v>83</v>
      </c>
      <c r="Q783" t="s">
        <v>82</v>
      </c>
      <c r="R783">
        <v>78</v>
      </c>
      <c r="S783">
        <v>169.5</v>
      </c>
      <c r="T783" s="8">
        <f t="shared" si="24"/>
        <v>27.149085023624927</v>
      </c>
      <c r="U783" s="13" t="str" cm="1">
        <f t="array" ref="U783">IF(T783="","",_xlfn.IFS(T783&lt;18.5,"Bajo peso",T783&lt;25,"Peso normal",T783&lt;30,"Sobrepeso",T783&lt;35,"Obesidad clase I",T783&lt;40,"Obesidad clase II",T783&gt;=40,"Obesidad clase III"))</f>
        <v>Sobrepeso</v>
      </c>
      <c r="V783">
        <v>105</v>
      </c>
      <c r="X783" t="s">
        <v>3463</v>
      </c>
      <c r="Y783">
        <v>0.92</v>
      </c>
      <c r="AA783">
        <v>90</v>
      </c>
      <c r="AB783" s="9">
        <f t="shared" si="25"/>
        <v>106.51030886870609</v>
      </c>
      <c r="AD783" t="s">
        <v>73</v>
      </c>
      <c r="AF783" t="s">
        <v>73</v>
      </c>
      <c r="AH783" t="s">
        <v>3463</v>
      </c>
      <c r="AI783" t="s">
        <v>3463</v>
      </c>
      <c r="AJ783" t="s">
        <v>3463</v>
      </c>
      <c r="AK783" t="s">
        <v>3463</v>
      </c>
      <c r="AL783" t="s">
        <v>3463</v>
      </c>
      <c r="AP783" t="s">
        <v>3463</v>
      </c>
      <c r="AQ783" t="s">
        <v>1942</v>
      </c>
      <c r="AR783" t="s">
        <v>3491</v>
      </c>
      <c r="AV783" t="s">
        <v>74</v>
      </c>
      <c r="AW783" t="s">
        <v>3915</v>
      </c>
      <c r="BF783" t="s">
        <v>3921</v>
      </c>
      <c r="BH783" t="s">
        <v>4020</v>
      </c>
      <c r="BP783" t="s">
        <v>4260</v>
      </c>
      <c r="BQ783" t="s">
        <v>3463</v>
      </c>
      <c r="BR783" t="s">
        <v>3463</v>
      </c>
      <c r="BS783" t="s">
        <v>3463</v>
      </c>
      <c r="BT783" t="s">
        <v>3463</v>
      </c>
      <c r="BU783" t="s">
        <v>3463</v>
      </c>
      <c r="BV783" t="s">
        <v>3463</v>
      </c>
      <c r="BW783" t="s">
        <v>3463</v>
      </c>
      <c r="BX783" t="s">
        <v>79</v>
      </c>
      <c r="BY783" t="s">
        <v>79</v>
      </c>
      <c r="BZ783" t="s">
        <v>79</v>
      </c>
      <c r="CA783" s="10">
        <v>45911</v>
      </c>
    </row>
    <row r="784" spans="1:79">
      <c r="A784">
        <v>791</v>
      </c>
      <c r="B784">
        <v>110</v>
      </c>
      <c r="C784">
        <v>71</v>
      </c>
      <c r="D784" t="s">
        <v>3466</v>
      </c>
      <c r="E784" t="s">
        <v>1659</v>
      </c>
      <c r="F784" t="s">
        <v>150</v>
      </c>
      <c r="G784" s="12" t="s">
        <v>3463</v>
      </c>
      <c r="I784">
        <v>72</v>
      </c>
      <c r="J784">
        <v>71</v>
      </c>
      <c r="K784">
        <v>158</v>
      </c>
      <c r="L784">
        <v>82</v>
      </c>
      <c r="M784" t="s">
        <v>72</v>
      </c>
      <c r="N784">
        <v>148</v>
      </c>
      <c r="O784">
        <v>86</v>
      </c>
      <c r="P784" t="s">
        <v>72</v>
      </c>
      <c r="Q784" t="s">
        <v>72</v>
      </c>
      <c r="R784">
        <v>66</v>
      </c>
      <c r="S784">
        <v>151</v>
      </c>
      <c r="T784" s="8">
        <f t="shared" si="24"/>
        <v>28.946098855313366</v>
      </c>
      <c r="U784" s="13" t="str" cm="1">
        <f t="array" ref="U784">IF(T784="","",_xlfn.IFS(T784&lt;18.5,"Bajo peso",T784&lt;25,"Peso normal",T784&lt;30,"Sobrepeso",T784&lt;35,"Obesidad clase I",T784&lt;40,"Obesidad clase II",T784&gt;=40,"Obesidad clase III"))</f>
        <v>Sobrepeso</v>
      </c>
      <c r="V784">
        <v>84</v>
      </c>
      <c r="X784" t="s">
        <v>3463</v>
      </c>
      <c r="Y784">
        <v>0.77</v>
      </c>
      <c r="AA784">
        <v>82</v>
      </c>
      <c r="AB784" s="9">
        <f t="shared" si="25"/>
        <v>82.418763709484537</v>
      </c>
      <c r="AD784" t="s">
        <v>73</v>
      </c>
      <c r="AF784" t="s">
        <v>73</v>
      </c>
      <c r="AH784" t="s">
        <v>3463</v>
      </c>
      <c r="AI784" t="s">
        <v>3463</v>
      </c>
      <c r="AJ784" t="s">
        <v>3463</v>
      </c>
      <c r="AK784" t="s">
        <v>3464</v>
      </c>
      <c r="AL784" t="s">
        <v>3465</v>
      </c>
      <c r="AM784" t="s">
        <v>1943</v>
      </c>
      <c r="AN784" t="s">
        <v>3783</v>
      </c>
      <c r="AP784" t="s">
        <v>3463</v>
      </c>
      <c r="AQ784" t="s">
        <v>1944</v>
      </c>
      <c r="AR784" t="s">
        <v>3538</v>
      </c>
      <c r="AT784" t="s">
        <v>3465</v>
      </c>
      <c r="AV784" t="s">
        <v>126</v>
      </c>
      <c r="AW784" t="s">
        <v>126</v>
      </c>
      <c r="AX784" t="s">
        <v>3463</v>
      </c>
      <c r="BA784" t="s">
        <v>3920</v>
      </c>
      <c r="BF784" t="s">
        <v>3921</v>
      </c>
      <c r="BG784" t="s">
        <v>1945</v>
      </c>
      <c r="BH784" t="s">
        <v>4184</v>
      </c>
      <c r="BI784" t="s">
        <v>76</v>
      </c>
      <c r="BK784" t="s">
        <v>1946</v>
      </c>
      <c r="BL784" t="s">
        <v>1947</v>
      </c>
      <c r="BP784" t="s">
        <v>4294</v>
      </c>
      <c r="BQ784" t="s">
        <v>3463</v>
      </c>
      <c r="BR784" t="s">
        <v>3465</v>
      </c>
      <c r="BS784" t="s">
        <v>3463</v>
      </c>
      <c r="BT784" t="s">
        <v>3463</v>
      </c>
      <c r="BU784" t="s">
        <v>3463</v>
      </c>
      <c r="BV784" t="s">
        <v>3463</v>
      </c>
      <c r="BW784" t="s">
        <v>3463</v>
      </c>
      <c r="BX784" t="s">
        <v>79</v>
      </c>
      <c r="BY784" t="s">
        <v>79</v>
      </c>
      <c r="BZ784" t="s">
        <v>79</v>
      </c>
      <c r="CA784" s="10">
        <v>45911</v>
      </c>
    </row>
    <row r="785" spans="1:79">
      <c r="A785">
        <v>792</v>
      </c>
      <c r="B785">
        <v>111</v>
      </c>
      <c r="C785">
        <v>66</v>
      </c>
      <c r="D785" t="s">
        <v>3462</v>
      </c>
      <c r="F785" t="s">
        <v>150</v>
      </c>
      <c r="G785" s="12" t="s">
        <v>3465</v>
      </c>
      <c r="H785" t="s">
        <v>88</v>
      </c>
      <c r="I785">
        <v>76</v>
      </c>
      <c r="K785">
        <v>127</v>
      </c>
      <c r="L785">
        <v>70</v>
      </c>
      <c r="M785" t="s">
        <v>118</v>
      </c>
      <c r="P785" t="s">
        <v>83</v>
      </c>
      <c r="Q785" t="s">
        <v>118</v>
      </c>
      <c r="R785">
        <v>94.4</v>
      </c>
      <c r="S785">
        <v>168</v>
      </c>
      <c r="T785" s="8">
        <f t="shared" si="24"/>
        <v>33.446712018140587</v>
      </c>
      <c r="U785" s="13" t="str" cm="1">
        <f t="array" ref="U785">IF(T785="","",_xlfn.IFS(T785&lt;18.5,"Bajo peso",T785&lt;25,"Peso normal",T785&lt;30,"Sobrepeso",T785&lt;35,"Obesidad clase I",T785&lt;40,"Obesidad clase II",T785&gt;=40,"Obesidad clase III"))</f>
        <v>Obesidad clase I</v>
      </c>
      <c r="V785">
        <v>112</v>
      </c>
      <c r="X785" t="s">
        <v>3463</v>
      </c>
      <c r="Y785">
        <v>1.26</v>
      </c>
      <c r="AA785">
        <v>63</v>
      </c>
      <c r="AB785" s="9">
        <f t="shared" si="25"/>
        <v>62.902542609712093</v>
      </c>
      <c r="AD785" t="s">
        <v>73</v>
      </c>
      <c r="AF785" t="s">
        <v>73</v>
      </c>
      <c r="AH785" t="s">
        <v>3463</v>
      </c>
      <c r="AI785" t="s">
        <v>3463</v>
      </c>
      <c r="AJ785" t="s">
        <v>3463</v>
      </c>
      <c r="AK785" t="s">
        <v>3463</v>
      </c>
      <c r="AL785" t="s">
        <v>3465</v>
      </c>
      <c r="AM785" t="s">
        <v>1948</v>
      </c>
      <c r="AN785" t="s">
        <v>3784</v>
      </c>
      <c r="AP785" t="s">
        <v>3463</v>
      </c>
      <c r="AV785" t="s">
        <v>74</v>
      </c>
      <c r="AW785" t="s">
        <v>3915</v>
      </c>
      <c r="BF785" t="s">
        <v>3921</v>
      </c>
      <c r="BH785" t="s">
        <v>4020</v>
      </c>
      <c r="BP785" t="s">
        <v>4260</v>
      </c>
      <c r="BQ785" t="s">
        <v>3463</v>
      </c>
      <c r="BR785" t="s">
        <v>3465</v>
      </c>
      <c r="BS785" t="s">
        <v>3465</v>
      </c>
      <c r="BT785" t="s">
        <v>3465</v>
      </c>
      <c r="BU785" t="s">
        <v>3463</v>
      </c>
      <c r="BV785" t="s">
        <v>3463</v>
      </c>
      <c r="BW785" t="s">
        <v>3463</v>
      </c>
      <c r="BX785" t="s">
        <v>79</v>
      </c>
      <c r="BY785" t="s">
        <v>79</v>
      </c>
      <c r="BZ785" t="s">
        <v>79</v>
      </c>
      <c r="CA785" s="10">
        <v>45911</v>
      </c>
    </row>
    <row r="786" spans="1:79">
      <c r="A786">
        <v>793</v>
      </c>
      <c r="B786">
        <v>112</v>
      </c>
      <c r="C786">
        <v>51</v>
      </c>
      <c r="D786" t="s">
        <v>3466</v>
      </c>
      <c r="E786" t="s">
        <v>1922</v>
      </c>
      <c r="F786" t="s">
        <v>150</v>
      </c>
      <c r="G786" s="12" t="s">
        <v>3465</v>
      </c>
      <c r="H786" s="12" t="s">
        <v>88</v>
      </c>
      <c r="I786">
        <v>68</v>
      </c>
      <c r="K786">
        <v>112</v>
      </c>
      <c r="L786">
        <v>55</v>
      </c>
      <c r="M786" t="s">
        <v>80</v>
      </c>
      <c r="P786" t="s">
        <v>83</v>
      </c>
      <c r="Q786" t="s">
        <v>80</v>
      </c>
      <c r="R786">
        <v>73</v>
      </c>
      <c r="S786">
        <v>158</v>
      </c>
      <c r="T786" s="8">
        <f t="shared" si="24"/>
        <v>29.24210863643647</v>
      </c>
      <c r="U786" s="13" t="str" cm="1">
        <f t="array" ref="U786">IF(T786="","",_xlfn.IFS(T786&lt;18.5,"Bajo peso",T786&lt;25,"Peso normal",T786&lt;30,"Sobrepeso",T786&lt;35,"Obesidad clase I",T786&lt;40,"Obesidad clase II",T786&gt;=40,"Obesidad clase III"))</f>
        <v>Sobrepeso</v>
      </c>
      <c r="V786">
        <v>99</v>
      </c>
      <c r="X786" t="s">
        <v>3463</v>
      </c>
      <c r="Y786">
        <v>0.8</v>
      </c>
      <c r="AA786">
        <v>88</v>
      </c>
      <c r="AB786" s="9">
        <f t="shared" si="25"/>
        <v>89.151187708625969</v>
      </c>
      <c r="AD786" t="s">
        <v>73</v>
      </c>
      <c r="AF786" t="s">
        <v>73</v>
      </c>
      <c r="AH786" t="s">
        <v>3463</v>
      </c>
      <c r="AI786" t="s">
        <v>3463</v>
      </c>
      <c r="AJ786" t="s">
        <v>3463</v>
      </c>
      <c r="AK786" t="s">
        <v>3463</v>
      </c>
      <c r="AL786" t="s">
        <v>3463</v>
      </c>
      <c r="AP786" t="s">
        <v>3463</v>
      </c>
      <c r="AQ786" t="s">
        <v>1093</v>
      </c>
      <c r="AR786" t="s">
        <v>3491</v>
      </c>
      <c r="AT786" t="s">
        <v>3465</v>
      </c>
      <c r="AU786" t="s">
        <v>80</v>
      </c>
      <c r="AV786" t="s">
        <v>74</v>
      </c>
      <c r="AW786" t="s">
        <v>3915</v>
      </c>
      <c r="AX786" t="s">
        <v>3463</v>
      </c>
      <c r="AY786" t="s">
        <v>3465</v>
      </c>
      <c r="AZ786" t="s">
        <v>90</v>
      </c>
      <c r="BF786" t="s">
        <v>3921</v>
      </c>
      <c r="BH786" t="s">
        <v>4020</v>
      </c>
      <c r="BP786" t="s">
        <v>4260</v>
      </c>
      <c r="BQ786" t="s">
        <v>3463</v>
      </c>
      <c r="BR786" t="s">
        <v>3463</v>
      </c>
      <c r="BS786" t="s">
        <v>3465</v>
      </c>
      <c r="BT786" t="s">
        <v>3465</v>
      </c>
      <c r="BU786" t="s">
        <v>3463</v>
      </c>
      <c r="BV786" t="s">
        <v>3463</v>
      </c>
      <c r="BW786" t="s">
        <v>3463</v>
      </c>
      <c r="BX786" t="s">
        <v>79</v>
      </c>
      <c r="BY786" t="s">
        <v>79</v>
      </c>
      <c r="BZ786" t="s">
        <v>79</v>
      </c>
      <c r="CA786" s="10">
        <v>45911</v>
      </c>
    </row>
    <row r="787" spans="1:79">
      <c r="A787">
        <v>794</v>
      </c>
      <c r="B787">
        <v>114</v>
      </c>
      <c r="C787">
        <v>41</v>
      </c>
      <c r="D787" t="s">
        <v>3466</v>
      </c>
      <c r="E787" t="s">
        <v>1949</v>
      </c>
      <c r="F787" t="s">
        <v>150</v>
      </c>
      <c r="G787" s="12" t="s">
        <v>3465</v>
      </c>
      <c r="H787" t="s">
        <v>88</v>
      </c>
      <c r="I787">
        <v>68</v>
      </c>
      <c r="J787">
        <v>72</v>
      </c>
      <c r="K787">
        <v>139</v>
      </c>
      <c r="L787">
        <v>84</v>
      </c>
      <c r="M787" t="s">
        <v>82</v>
      </c>
      <c r="N787">
        <v>144</v>
      </c>
      <c r="O787">
        <v>76</v>
      </c>
      <c r="P787" t="s">
        <v>72</v>
      </c>
      <c r="Q787" t="s">
        <v>82</v>
      </c>
      <c r="R787">
        <v>84</v>
      </c>
      <c r="S787">
        <v>157</v>
      </c>
      <c r="T787" s="8">
        <f t="shared" si="24"/>
        <v>34.078461600876302</v>
      </c>
      <c r="U787" s="13" t="str" cm="1">
        <f t="array" ref="U787">IF(T787="","",_xlfn.IFS(T787&lt;18.5,"Bajo peso",T787&lt;25,"Peso normal",T787&lt;30,"Sobrepeso",T787&lt;35,"Obesidad clase I",T787&lt;40,"Obesidad clase II",T787&gt;=40,"Obesidad clase III"))</f>
        <v>Obesidad clase I</v>
      </c>
      <c r="V787">
        <v>76</v>
      </c>
      <c r="X787" t="s">
        <v>3463</v>
      </c>
      <c r="Y787">
        <v>1.1299999999999999</v>
      </c>
      <c r="AA787">
        <v>63</v>
      </c>
      <c r="AB787" s="9">
        <f t="shared" si="25"/>
        <v>62.683185893037717</v>
      </c>
      <c r="AD787" t="s">
        <v>73</v>
      </c>
      <c r="AF787" t="s">
        <v>73</v>
      </c>
      <c r="AH787" t="s">
        <v>3463</v>
      </c>
      <c r="AI787" t="s">
        <v>3463</v>
      </c>
      <c r="AJ787" t="s">
        <v>3463</v>
      </c>
      <c r="AK787" t="s">
        <v>3463</v>
      </c>
      <c r="AL787" t="s">
        <v>3463</v>
      </c>
      <c r="AO787" t="s">
        <v>3465</v>
      </c>
      <c r="AP787" t="s">
        <v>3465</v>
      </c>
      <c r="AQ787" t="s">
        <v>1950</v>
      </c>
      <c r="AR787" t="s">
        <v>3509</v>
      </c>
      <c r="AT787" t="s">
        <v>3465</v>
      </c>
      <c r="AU787" t="s">
        <v>80</v>
      </c>
      <c r="AV787" t="s">
        <v>74</v>
      </c>
      <c r="AW787" t="s">
        <v>3915</v>
      </c>
      <c r="AY787" t="s">
        <v>3465</v>
      </c>
      <c r="AZ787" t="s">
        <v>665</v>
      </c>
      <c r="BE787" t="s">
        <v>1951</v>
      </c>
      <c r="BF787" t="s">
        <v>3973</v>
      </c>
      <c r="BG787" t="s">
        <v>1952</v>
      </c>
      <c r="BH787" t="s">
        <v>4185</v>
      </c>
      <c r="BI787" t="s">
        <v>411</v>
      </c>
      <c r="BK787" t="s">
        <v>1953</v>
      </c>
      <c r="BL787" t="s">
        <v>1954</v>
      </c>
      <c r="BP787" t="s">
        <v>4481</v>
      </c>
      <c r="BQ787" t="s">
        <v>3463</v>
      </c>
      <c r="BR787" t="s">
        <v>3463</v>
      </c>
      <c r="BS787" t="s">
        <v>3465</v>
      </c>
      <c r="BT787" t="s">
        <v>3465</v>
      </c>
      <c r="BU787" t="s">
        <v>3463</v>
      </c>
      <c r="BV787" t="s">
        <v>3463</v>
      </c>
      <c r="BW787" t="s">
        <v>3463</v>
      </c>
      <c r="BX787" t="s">
        <v>79</v>
      </c>
      <c r="BY787" t="s">
        <v>79</v>
      </c>
      <c r="BZ787" t="s">
        <v>95</v>
      </c>
      <c r="CA787" s="10">
        <v>45911</v>
      </c>
    </row>
    <row r="788" spans="1:79">
      <c r="A788">
        <v>795</v>
      </c>
      <c r="B788">
        <v>115</v>
      </c>
      <c r="C788">
        <v>84</v>
      </c>
      <c r="D788" t="s">
        <v>3462</v>
      </c>
      <c r="F788" t="s">
        <v>150</v>
      </c>
      <c r="G788" s="12" t="s">
        <v>3465</v>
      </c>
      <c r="H788" t="s">
        <v>88</v>
      </c>
      <c r="I788">
        <v>52</v>
      </c>
      <c r="J788">
        <v>50</v>
      </c>
      <c r="K788">
        <v>181</v>
      </c>
      <c r="L788">
        <v>74</v>
      </c>
      <c r="M788" t="s">
        <v>96</v>
      </c>
      <c r="N788">
        <v>186</v>
      </c>
      <c r="O788">
        <v>76</v>
      </c>
      <c r="P788" t="s">
        <v>96</v>
      </c>
      <c r="Q788" t="s">
        <v>96</v>
      </c>
      <c r="R788">
        <v>75</v>
      </c>
      <c r="S788">
        <v>156</v>
      </c>
      <c r="T788" s="8">
        <f t="shared" si="24"/>
        <v>30.818540433925051</v>
      </c>
      <c r="U788" s="13" t="str" cm="1">
        <f t="array" ref="U788">IF(T788="","",_xlfn.IFS(T788&lt;18.5,"Bajo peso",T788&lt;25,"Peso normal",T788&lt;30,"Sobrepeso",T788&lt;35,"Obesidad clase I",T788&lt;40,"Obesidad clase II",T788&gt;=40,"Obesidad clase III"))</f>
        <v>Obesidad clase I</v>
      </c>
      <c r="V788">
        <v>87</v>
      </c>
      <c r="X788" t="s">
        <v>3463</v>
      </c>
      <c r="Y788">
        <v>1.41</v>
      </c>
      <c r="AA788">
        <v>49</v>
      </c>
      <c r="AB788" s="9">
        <f t="shared" si="25"/>
        <v>49.139618777374842</v>
      </c>
      <c r="AD788" t="s">
        <v>158</v>
      </c>
      <c r="AF788" t="s">
        <v>158</v>
      </c>
      <c r="AH788" t="s">
        <v>3463</v>
      </c>
      <c r="AI788" t="s">
        <v>3465</v>
      </c>
      <c r="AJ788" t="s">
        <v>3465</v>
      </c>
      <c r="AK788" t="s">
        <v>3463</v>
      </c>
      <c r="AL788" t="s">
        <v>3465</v>
      </c>
      <c r="AM788" t="s">
        <v>1955</v>
      </c>
      <c r="AN788" t="s">
        <v>3785</v>
      </c>
      <c r="AP788" t="s">
        <v>3463</v>
      </c>
      <c r="AS788" t="s">
        <v>3465</v>
      </c>
      <c r="AV788" t="s">
        <v>126</v>
      </c>
      <c r="AW788" t="s">
        <v>126</v>
      </c>
      <c r="BA788" t="s">
        <v>3920</v>
      </c>
      <c r="BE788" t="s">
        <v>1956</v>
      </c>
      <c r="BF788" t="s">
        <v>3974</v>
      </c>
      <c r="BG788" t="s">
        <v>1957</v>
      </c>
      <c r="BH788" t="s">
        <v>4186</v>
      </c>
      <c r="BI788" t="s">
        <v>411</v>
      </c>
      <c r="BK788" t="s">
        <v>1958</v>
      </c>
      <c r="BL788" t="s">
        <v>1959</v>
      </c>
      <c r="BP788" t="s">
        <v>4482</v>
      </c>
      <c r="BQ788" t="s">
        <v>3463</v>
      </c>
      <c r="BR788" t="s">
        <v>3465</v>
      </c>
      <c r="BS788" t="s">
        <v>3463</v>
      </c>
      <c r="BT788" t="s">
        <v>3463</v>
      </c>
      <c r="BU788" t="s">
        <v>3463</v>
      </c>
      <c r="BV788" t="s">
        <v>3463</v>
      </c>
      <c r="BW788" t="s">
        <v>3463</v>
      </c>
      <c r="BX788" t="s">
        <v>79</v>
      </c>
      <c r="BY788" t="s">
        <v>79</v>
      </c>
      <c r="BZ788" t="s">
        <v>79</v>
      </c>
      <c r="CA788" s="10">
        <v>45911</v>
      </c>
    </row>
    <row r="789" spans="1:79">
      <c r="A789">
        <v>796</v>
      </c>
      <c r="B789">
        <v>116</v>
      </c>
      <c r="C789">
        <v>60</v>
      </c>
      <c r="D789" t="s">
        <v>3462</v>
      </c>
      <c r="E789" t="s">
        <v>1659</v>
      </c>
      <c r="F789" t="s">
        <v>150</v>
      </c>
      <c r="G789" s="12" t="s">
        <v>3463</v>
      </c>
      <c r="H789" s="12"/>
      <c r="I789">
        <v>52</v>
      </c>
      <c r="J789">
        <v>52</v>
      </c>
      <c r="K789">
        <v>147</v>
      </c>
      <c r="L789">
        <v>78</v>
      </c>
      <c r="M789" t="s">
        <v>72</v>
      </c>
      <c r="N789">
        <v>146</v>
      </c>
      <c r="O789">
        <v>78</v>
      </c>
      <c r="P789" t="s">
        <v>72</v>
      </c>
      <c r="Q789" t="s">
        <v>72</v>
      </c>
      <c r="R789">
        <v>79.599999999999994</v>
      </c>
      <c r="S789">
        <v>175</v>
      </c>
      <c r="T789" s="8">
        <f t="shared" si="24"/>
        <v>25.991836734693877</v>
      </c>
      <c r="U789" s="13" t="str" cm="1">
        <f t="array" ref="U789">IF(T789="","",_xlfn.IFS(T789&lt;18.5,"Bajo peso",T789&lt;25,"Peso normal",T789&lt;30,"Sobrepeso",T789&lt;35,"Obesidad clase I",T789&lt;40,"Obesidad clase II",T789&gt;=40,"Obesidad clase III"))</f>
        <v>Sobrepeso</v>
      </c>
      <c r="V789">
        <v>91</v>
      </c>
      <c r="X789" t="s">
        <v>3463</v>
      </c>
      <c r="Y789">
        <v>1.24</v>
      </c>
      <c r="AA789">
        <v>67</v>
      </c>
      <c r="AB789" s="9">
        <f t="shared" si="25"/>
        <v>66.55993330182622</v>
      </c>
      <c r="AD789" t="s">
        <v>73</v>
      </c>
      <c r="AF789" t="s">
        <v>73</v>
      </c>
      <c r="AH789" t="s">
        <v>3463</v>
      </c>
      <c r="AI789" t="s">
        <v>3463</v>
      </c>
      <c r="AJ789" t="s">
        <v>3463</v>
      </c>
      <c r="AK789" t="s">
        <v>3463</v>
      </c>
      <c r="AL789" t="s">
        <v>3465</v>
      </c>
      <c r="AM789" t="s">
        <v>472</v>
      </c>
      <c r="AN789" t="s">
        <v>3617</v>
      </c>
      <c r="AP789" t="s">
        <v>3463</v>
      </c>
      <c r="AQ789" t="s">
        <v>547</v>
      </c>
      <c r="AR789" t="s">
        <v>3488</v>
      </c>
      <c r="AV789" t="s">
        <v>74</v>
      </c>
      <c r="AW789" t="s">
        <v>3915</v>
      </c>
      <c r="BA789" t="s">
        <v>3920</v>
      </c>
      <c r="BF789" t="s">
        <v>3921</v>
      </c>
      <c r="BG789" t="s">
        <v>1960</v>
      </c>
      <c r="BH789" t="s">
        <v>4021</v>
      </c>
      <c r="BI789" t="s">
        <v>734</v>
      </c>
      <c r="BK789" t="s">
        <v>1961</v>
      </c>
      <c r="BP789" t="s">
        <v>4483</v>
      </c>
      <c r="BQ789" t="s">
        <v>3463</v>
      </c>
      <c r="BR789" t="s">
        <v>3463</v>
      </c>
      <c r="BS789" t="s">
        <v>3465</v>
      </c>
      <c r="BT789" t="s">
        <v>3465</v>
      </c>
      <c r="BU789" t="s">
        <v>3463</v>
      </c>
      <c r="BV789" t="s">
        <v>3463</v>
      </c>
      <c r="BW789" t="s">
        <v>3463</v>
      </c>
      <c r="BX789" t="s">
        <v>79</v>
      </c>
      <c r="BY789" t="s">
        <v>79</v>
      </c>
      <c r="BZ789" t="s">
        <v>79</v>
      </c>
      <c r="CA789" s="10">
        <v>45911</v>
      </c>
    </row>
    <row r="790" spans="1:79">
      <c r="A790">
        <v>797</v>
      </c>
      <c r="B790">
        <v>117</v>
      </c>
      <c r="C790">
        <v>68</v>
      </c>
      <c r="D790" t="s">
        <v>3462</v>
      </c>
      <c r="F790" t="s">
        <v>150</v>
      </c>
      <c r="G790" s="12" t="s">
        <v>3465</v>
      </c>
      <c r="H790" t="s">
        <v>88</v>
      </c>
      <c r="I790">
        <v>73</v>
      </c>
      <c r="K790">
        <v>131</v>
      </c>
      <c r="L790">
        <v>72</v>
      </c>
      <c r="M790" t="s">
        <v>82</v>
      </c>
      <c r="P790" t="s">
        <v>83</v>
      </c>
      <c r="Q790" t="s">
        <v>82</v>
      </c>
      <c r="R790">
        <v>82</v>
      </c>
      <c r="S790">
        <v>167</v>
      </c>
      <c r="T790" s="8">
        <f t="shared" si="24"/>
        <v>29.402273297715947</v>
      </c>
      <c r="U790" s="13" t="str" cm="1">
        <f t="array" ref="U790">IF(T790="","",_xlfn.IFS(T790&lt;18.5,"Bajo peso",T790&lt;25,"Peso normal",T790&lt;30,"Sobrepeso",T790&lt;35,"Obesidad clase I",T790&lt;40,"Obesidad clase II",T790&gt;=40,"Obesidad clase III"))</f>
        <v>Sobrepeso</v>
      </c>
      <c r="V790">
        <v>91</v>
      </c>
      <c r="X790" t="s">
        <v>3463</v>
      </c>
      <c r="Y790">
        <v>1.19</v>
      </c>
      <c r="AA790">
        <v>67</v>
      </c>
      <c r="AB790" s="9">
        <f t="shared" si="25"/>
        <v>66.53566255361855</v>
      </c>
      <c r="AD790" t="s">
        <v>73</v>
      </c>
      <c r="AF790" t="s">
        <v>73</v>
      </c>
      <c r="AH790" t="s">
        <v>3463</v>
      </c>
      <c r="AI790" t="s">
        <v>3465</v>
      </c>
      <c r="AJ790" t="s">
        <v>3463</v>
      </c>
      <c r="AK790" t="s">
        <v>3463</v>
      </c>
      <c r="AL790" t="s">
        <v>3465</v>
      </c>
      <c r="AM790" t="s">
        <v>110</v>
      </c>
      <c r="AN790" t="s">
        <v>110</v>
      </c>
      <c r="AP790" t="s">
        <v>3463</v>
      </c>
      <c r="AS790" t="s">
        <v>3465</v>
      </c>
      <c r="AV790" t="s">
        <v>74</v>
      </c>
      <c r="AW790" t="s">
        <v>3915</v>
      </c>
      <c r="BF790" t="s">
        <v>3921</v>
      </c>
      <c r="BH790" t="s">
        <v>4020</v>
      </c>
      <c r="BP790" t="s">
        <v>4260</v>
      </c>
      <c r="BQ790" t="s">
        <v>3463</v>
      </c>
      <c r="BR790" t="s">
        <v>3465</v>
      </c>
      <c r="BS790" t="s">
        <v>3463</v>
      </c>
      <c r="BT790" t="s">
        <v>3463</v>
      </c>
      <c r="BU790" t="s">
        <v>3463</v>
      </c>
      <c r="BV790" t="s">
        <v>3463</v>
      </c>
      <c r="BW790" t="s">
        <v>3463</v>
      </c>
      <c r="BX790" t="s">
        <v>79</v>
      </c>
      <c r="BY790" t="s">
        <v>87</v>
      </c>
      <c r="BZ790" t="s">
        <v>79</v>
      </c>
      <c r="CA790" s="10">
        <v>45911</v>
      </c>
    </row>
    <row r="791" spans="1:79">
      <c r="A791">
        <v>798</v>
      </c>
      <c r="B791">
        <v>118</v>
      </c>
      <c r="C791">
        <v>39</v>
      </c>
      <c r="D791" t="s">
        <v>3466</v>
      </c>
      <c r="F791" t="s">
        <v>150</v>
      </c>
      <c r="G791" s="12" t="s">
        <v>3465</v>
      </c>
      <c r="H791" s="12" t="s">
        <v>88</v>
      </c>
      <c r="I791">
        <v>77</v>
      </c>
      <c r="K791">
        <v>118</v>
      </c>
      <c r="L791">
        <v>63</v>
      </c>
      <c r="M791" t="s">
        <v>80</v>
      </c>
      <c r="P791" t="s">
        <v>83</v>
      </c>
      <c r="Q791" t="s">
        <v>80</v>
      </c>
      <c r="R791">
        <v>73</v>
      </c>
      <c r="S791">
        <v>160</v>
      </c>
      <c r="T791" s="8">
        <f t="shared" si="24"/>
        <v>28.515625</v>
      </c>
      <c r="U791" s="13" t="str" cm="1">
        <f t="array" ref="U791">IF(T791="","",_xlfn.IFS(T791&lt;18.5,"Bajo peso",T791&lt;25,"Peso normal",T791&lt;30,"Sobrepeso",T791&lt;35,"Obesidad clase I",T791&lt;40,"Obesidad clase II",T791&gt;=40,"Obesidad clase III"))</f>
        <v>Sobrepeso</v>
      </c>
      <c r="V791">
        <v>81</v>
      </c>
      <c r="X791" t="s">
        <v>3463</v>
      </c>
      <c r="Y791">
        <v>0.96</v>
      </c>
      <c r="AA791">
        <v>78</v>
      </c>
      <c r="AB791" s="9">
        <f t="shared" si="25"/>
        <v>77.183013190107872</v>
      </c>
      <c r="AD791" t="s">
        <v>73</v>
      </c>
      <c r="AF791" t="s">
        <v>73</v>
      </c>
      <c r="AH791" t="s">
        <v>3463</v>
      </c>
      <c r="AI791" t="s">
        <v>3463</v>
      </c>
      <c r="AJ791" t="s">
        <v>3463</v>
      </c>
      <c r="AK791" t="s">
        <v>3463</v>
      </c>
      <c r="AL791" t="s">
        <v>3465</v>
      </c>
      <c r="AM791" t="s">
        <v>1962</v>
      </c>
      <c r="AN791" t="s">
        <v>3786</v>
      </c>
      <c r="AP791" t="s">
        <v>3463</v>
      </c>
      <c r="AQ791" t="s">
        <v>1963</v>
      </c>
      <c r="AR791" t="s">
        <v>3491</v>
      </c>
      <c r="AT791" t="s">
        <v>3463</v>
      </c>
      <c r="AV791" t="s">
        <v>74</v>
      </c>
      <c r="AW791" t="s">
        <v>3915</v>
      </c>
      <c r="AX791" t="s">
        <v>3465</v>
      </c>
      <c r="AY791" t="s">
        <v>3465</v>
      </c>
      <c r="AZ791" t="s">
        <v>90</v>
      </c>
      <c r="BF791" t="s">
        <v>3921</v>
      </c>
      <c r="BH791" t="s">
        <v>4020</v>
      </c>
      <c r="BP791" t="s">
        <v>4260</v>
      </c>
      <c r="BQ791" t="s">
        <v>3463</v>
      </c>
      <c r="BR791" t="s">
        <v>3465</v>
      </c>
      <c r="BS791" t="s">
        <v>3463</v>
      </c>
      <c r="BT791" t="s">
        <v>3463</v>
      </c>
      <c r="BU791" t="s">
        <v>3463</v>
      </c>
      <c r="BV791" t="s">
        <v>3463</v>
      </c>
      <c r="BW791" t="s">
        <v>3463</v>
      </c>
      <c r="BX791" t="s">
        <v>79</v>
      </c>
      <c r="BY791" t="s">
        <v>79</v>
      </c>
      <c r="BZ791" t="s">
        <v>79</v>
      </c>
      <c r="CA791" s="10">
        <v>45911</v>
      </c>
    </row>
    <row r="792" spans="1:79">
      <c r="A792">
        <v>799</v>
      </c>
      <c r="B792">
        <v>119</v>
      </c>
      <c r="C792">
        <v>48</v>
      </c>
      <c r="D792" t="s">
        <v>3466</v>
      </c>
      <c r="E792" t="s">
        <v>150</v>
      </c>
      <c r="F792" t="s">
        <v>150</v>
      </c>
      <c r="G792" s="12" t="s">
        <v>3463</v>
      </c>
      <c r="I792">
        <v>74</v>
      </c>
      <c r="K792">
        <v>133</v>
      </c>
      <c r="L792">
        <v>59</v>
      </c>
      <c r="M792" t="s">
        <v>82</v>
      </c>
      <c r="P792" t="s">
        <v>83</v>
      </c>
      <c r="Q792" t="s">
        <v>82</v>
      </c>
      <c r="R792">
        <v>74</v>
      </c>
      <c r="S792">
        <v>157</v>
      </c>
      <c r="T792" s="8">
        <f t="shared" si="24"/>
        <v>30.021501886486266</v>
      </c>
      <c r="U792" s="13" t="str" cm="1">
        <f t="array" ref="U792">IF(T792="","",_xlfn.IFS(T792&lt;18.5,"Bajo peso",T792&lt;25,"Peso normal",T792&lt;30,"Sobrepeso",T792&lt;35,"Obesidad clase I",T792&lt;40,"Obesidad clase II",T792&gt;=40,"Obesidad clase III"))</f>
        <v>Obesidad clase I</v>
      </c>
      <c r="V792">
        <v>80</v>
      </c>
      <c r="X792" t="s">
        <v>3463</v>
      </c>
      <c r="Y792">
        <v>1.1499999999999999</v>
      </c>
      <c r="AA792">
        <v>59</v>
      </c>
      <c r="AB792" s="9">
        <f t="shared" si="25"/>
        <v>58.762563314959415</v>
      </c>
      <c r="AD792" t="s">
        <v>158</v>
      </c>
      <c r="AF792" t="s">
        <v>158</v>
      </c>
      <c r="AH792" t="s">
        <v>3463</v>
      </c>
      <c r="AI792" t="s">
        <v>3463</v>
      </c>
      <c r="AJ792" t="s">
        <v>3463</v>
      </c>
      <c r="AK792" t="s">
        <v>3463</v>
      </c>
      <c r="AL792" t="s">
        <v>3463</v>
      </c>
      <c r="AP792" t="s">
        <v>3463</v>
      </c>
      <c r="AQ792" t="s">
        <v>1808</v>
      </c>
      <c r="AR792" t="s">
        <v>3488</v>
      </c>
      <c r="AV792" t="s">
        <v>74</v>
      </c>
      <c r="AW792" t="s">
        <v>3915</v>
      </c>
      <c r="AX792" t="s">
        <v>3463</v>
      </c>
      <c r="AY792" t="s">
        <v>3465</v>
      </c>
      <c r="AZ792" t="s">
        <v>90</v>
      </c>
      <c r="BC792" t="s">
        <v>128</v>
      </c>
      <c r="BF792" t="s">
        <v>3921</v>
      </c>
      <c r="BG792" t="s">
        <v>1501</v>
      </c>
      <c r="BH792" t="s">
        <v>4029</v>
      </c>
      <c r="BI792" t="s">
        <v>411</v>
      </c>
      <c r="BK792" t="s">
        <v>1964</v>
      </c>
      <c r="BL792" t="s">
        <v>1965</v>
      </c>
      <c r="BP792" t="s">
        <v>4336</v>
      </c>
      <c r="BQ792" t="s">
        <v>3463</v>
      </c>
      <c r="BR792" t="s">
        <v>3463</v>
      </c>
      <c r="BS792" t="s">
        <v>3463</v>
      </c>
      <c r="BT792" t="s">
        <v>3463</v>
      </c>
      <c r="BU792" t="s">
        <v>3463</v>
      </c>
      <c r="BV792" t="s">
        <v>3463</v>
      </c>
      <c r="BW792" t="s">
        <v>3463</v>
      </c>
      <c r="BX792" t="s">
        <v>79</v>
      </c>
      <c r="BY792" t="s">
        <v>79</v>
      </c>
      <c r="BZ792" t="s">
        <v>79</v>
      </c>
      <c r="CA792" s="10">
        <v>45911</v>
      </c>
    </row>
    <row r="793" spans="1:79">
      <c r="A793">
        <v>800</v>
      </c>
      <c r="B793">
        <v>120</v>
      </c>
      <c r="C793">
        <v>56</v>
      </c>
      <c r="D793" t="s">
        <v>3466</v>
      </c>
      <c r="E793" t="s">
        <v>1966</v>
      </c>
      <c r="F793" t="s">
        <v>150</v>
      </c>
      <c r="G793" s="12" t="s">
        <v>3465</v>
      </c>
      <c r="H793" s="12" t="s">
        <v>88</v>
      </c>
      <c r="I793">
        <v>68</v>
      </c>
      <c r="K793">
        <v>118</v>
      </c>
      <c r="L793">
        <v>82</v>
      </c>
      <c r="M793" t="s">
        <v>82</v>
      </c>
      <c r="P793" t="s">
        <v>83</v>
      </c>
      <c r="Q793" t="s">
        <v>82</v>
      </c>
      <c r="R793">
        <v>64</v>
      </c>
      <c r="S793">
        <v>148</v>
      </c>
      <c r="T793" s="8">
        <f t="shared" si="24"/>
        <v>29.218407596785976</v>
      </c>
      <c r="U793" s="13" t="str" cm="1">
        <f t="array" ref="U793">IF(T793="","",_xlfn.IFS(T793&lt;18.5,"Bajo peso",T793&lt;25,"Peso normal",T793&lt;30,"Sobrepeso",T793&lt;35,"Obesidad clase I",T793&lt;40,"Obesidad clase II",T793&gt;=40,"Obesidad clase III"))</f>
        <v>Sobrepeso</v>
      </c>
      <c r="V793">
        <v>105</v>
      </c>
      <c r="X793" t="s">
        <v>3463</v>
      </c>
      <c r="Y793">
        <v>0.89</v>
      </c>
      <c r="AA793">
        <v>76</v>
      </c>
      <c r="AB793" s="9">
        <f t="shared" si="25"/>
        <v>76.043495490681224</v>
      </c>
      <c r="AD793" t="s">
        <v>73</v>
      </c>
      <c r="AF793" t="s">
        <v>73</v>
      </c>
      <c r="AH793" t="s">
        <v>3463</v>
      </c>
      <c r="AI793" t="s">
        <v>3463</v>
      </c>
      <c r="AJ793" t="s">
        <v>3463</v>
      </c>
      <c r="AK793" t="s">
        <v>3463</v>
      </c>
      <c r="AL793" t="s">
        <v>3465</v>
      </c>
      <c r="AM793" t="s">
        <v>110</v>
      </c>
      <c r="AN793" t="s">
        <v>110</v>
      </c>
      <c r="AO793" t="s">
        <v>3463</v>
      </c>
      <c r="AP793" t="s">
        <v>3465</v>
      </c>
      <c r="AQ793" t="s">
        <v>159</v>
      </c>
      <c r="AR793" t="s">
        <v>3491</v>
      </c>
      <c r="AT793" t="s">
        <v>3465</v>
      </c>
      <c r="AU793" t="s">
        <v>80</v>
      </c>
      <c r="AV793" t="s">
        <v>74</v>
      </c>
      <c r="AW793" t="s">
        <v>3915</v>
      </c>
      <c r="AY793" t="s">
        <v>3465</v>
      </c>
      <c r="AZ793" t="s">
        <v>665</v>
      </c>
      <c r="BF793" t="s">
        <v>3921</v>
      </c>
      <c r="BH793" t="s">
        <v>4020</v>
      </c>
      <c r="BP793" t="s">
        <v>4260</v>
      </c>
      <c r="BQ793" t="s">
        <v>3463</v>
      </c>
      <c r="BR793" t="s">
        <v>3463</v>
      </c>
      <c r="BS793" t="s">
        <v>3463</v>
      </c>
      <c r="BT793" t="s">
        <v>3463</v>
      </c>
      <c r="BU793" t="s">
        <v>3463</v>
      </c>
      <c r="BV793" t="s">
        <v>3463</v>
      </c>
      <c r="BW793" t="s">
        <v>3463</v>
      </c>
      <c r="BX793" t="s">
        <v>79</v>
      </c>
      <c r="BY793" t="s">
        <v>79</v>
      </c>
      <c r="BZ793" t="s">
        <v>79</v>
      </c>
      <c r="CA793" s="10">
        <v>45911</v>
      </c>
    </row>
    <row r="794" spans="1:79">
      <c r="A794">
        <v>801</v>
      </c>
      <c r="B794">
        <v>121</v>
      </c>
      <c r="C794">
        <v>72</v>
      </c>
      <c r="D794" t="s">
        <v>3462</v>
      </c>
      <c r="E794" t="s">
        <v>1659</v>
      </c>
      <c r="F794" t="s">
        <v>150</v>
      </c>
      <c r="G794" s="12" t="s">
        <v>3463</v>
      </c>
      <c r="H794" s="12"/>
      <c r="I794">
        <v>72</v>
      </c>
      <c r="K794">
        <v>134</v>
      </c>
      <c r="L794">
        <v>76</v>
      </c>
      <c r="M794" t="s">
        <v>82</v>
      </c>
      <c r="P794" t="s">
        <v>83</v>
      </c>
      <c r="Q794" t="s">
        <v>82</v>
      </c>
      <c r="R794">
        <v>84.5</v>
      </c>
      <c r="S794">
        <v>172</v>
      </c>
      <c r="T794" s="8">
        <f t="shared" si="24"/>
        <v>28.562736614386157</v>
      </c>
      <c r="U794" s="13" t="str" cm="1">
        <f t="array" ref="U794">IF(T794="","",_xlfn.IFS(T794&lt;18.5,"Bajo peso",T794&lt;25,"Peso normal",T794&lt;30,"Sobrepeso",T794&lt;35,"Obesidad clase I",T794&lt;40,"Obesidad clase II",T794&gt;=40,"Obesidad clase III"))</f>
        <v>Sobrepeso</v>
      </c>
      <c r="V794">
        <v>81</v>
      </c>
      <c r="X794" t="s">
        <v>3463</v>
      </c>
      <c r="Y794">
        <v>1.37</v>
      </c>
      <c r="AA794">
        <v>55</v>
      </c>
      <c r="AB794" s="9">
        <f t="shared" si="25"/>
        <v>54.807769571276694</v>
      </c>
      <c r="AD794" t="s">
        <v>158</v>
      </c>
      <c r="AF794" t="s">
        <v>158</v>
      </c>
      <c r="AH794" t="s">
        <v>3463</v>
      </c>
      <c r="AI794" t="s">
        <v>3465</v>
      </c>
      <c r="AJ794" t="s">
        <v>3465</v>
      </c>
      <c r="AK794" t="s">
        <v>3464</v>
      </c>
      <c r="AL794" t="s">
        <v>3465</v>
      </c>
      <c r="AM794" t="s">
        <v>110</v>
      </c>
      <c r="AN794" t="s">
        <v>110</v>
      </c>
      <c r="AP794" t="s">
        <v>3464</v>
      </c>
      <c r="AS794" t="s">
        <v>3465</v>
      </c>
      <c r="AV794" t="s">
        <v>178</v>
      </c>
      <c r="AW794" t="s">
        <v>3918</v>
      </c>
      <c r="BA794" t="s">
        <v>3920</v>
      </c>
      <c r="BE794" t="s">
        <v>110</v>
      </c>
      <c r="BF794" t="s">
        <v>110</v>
      </c>
      <c r="BH794" t="s">
        <v>4053</v>
      </c>
      <c r="BI794" t="s">
        <v>411</v>
      </c>
      <c r="BK794" t="s">
        <v>1967</v>
      </c>
      <c r="BL794" t="s">
        <v>1968</v>
      </c>
      <c r="BP794" t="s">
        <v>4383</v>
      </c>
      <c r="BQ794" t="s">
        <v>3465</v>
      </c>
      <c r="BR794" t="s">
        <v>3465</v>
      </c>
      <c r="BS794" t="s">
        <v>3463</v>
      </c>
      <c r="BT794" t="s">
        <v>3463</v>
      </c>
      <c r="BU794" t="s">
        <v>3463</v>
      </c>
      <c r="BV794" t="s">
        <v>3463</v>
      </c>
      <c r="BW794" t="s">
        <v>3463</v>
      </c>
      <c r="BX794" t="s">
        <v>79</v>
      </c>
      <c r="BY794" t="s">
        <v>87</v>
      </c>
      <c r="BZ794" t="s">
        <v>79</v>
      </c>
      <c r="CA794" s="10">
        <v>45911</v>
      </c>
    </row>
    <row r="795" spans="1:79">
      <c r="A795">
        <v>802</v>
      </c>
      <c r="B795">
        <v>122</v>
      </c>
      <c r="C795">
        <v>53</v>
      </c>
      <c r="D795" t="s">
        <v>3466</v>
      </c>
      <c r="F795" t="s">
        <v>150</v>
      </c>
      <c r="G795" s="12" t="s">
        <v>3463</v>
      </c>
      <c r="H795" s="12"/>
      <c r="I795">
        <v>64</v>
      </c>
      <c r="K795">
        <v>133</v>
      </c>
      <c r="L795">
        <v>81</v>
      </c>
      <c r="M795" t="s">
        <v>82</v>
      </c>
      <c r="P795" t="s">
        <v>83</v>
      </c>
      <c r="Q795" t="s">
        <v>82</v>
      </c>
      <c r="R795">
        <v>59</v>
      </c>
      <c r="S795">
        <v>150</v>
      </c>
      <c r="T795" s="8">
        <f t="shared" si="24"/>
        <v>26.222222222222225</v>
      </c>
      <c r="U795" s="13" t="str" cm="1">
        <f t="array" ref="U795">IF(T795="","",_xlfn.IFS(T795&lt;18.5,"Bajo peso",T795&lt;25,"Peso normal",T795&lt;30,"Sobrepeso",T795&lt;35,"Obesidad clase I",T795&lt;40,"Obesidad clase II",T795&gt;=40,"Obesidad clase III"))</f>
        <v>Sobrepeso</v>
      </c>
      <c r="V795">
        <v>92</v>
      </c>
      <c r="X795" t="s">
        <v>3463</v>
      </c>
      <c r="Y795">
        <v>0.76</v>
      </c>
      <c r="AA795">
        <v>90</v>
      </c>
      <c r="AB795" s="9">
        <f t="shared" si="25"/>
        <v>93.639005344522062</v>
      </c>
      <c r="AD795" t="s">
        <v>73</v>
      </c>
      <c r="AF795" t="s">
        <v>73</v>
      </c>
      <c r="AH795" t="s">
        <v>3463</v>
      </c>
      <c r="AI795" t="s">
        <v>3463</v>
      </c>
      <c r="AJ795" t="s">
        <v>3463</v>
      </c>
      <c r="AK795" t="s">
        <v>3463</v>
      </c>
      <c r="AL795" t="s">
        <v>3465</v>
      </c>
      <c r="AM795" t="s">
        <v>1969</v>
      </c>
      <c r="AN795" t="s">
        <v>3648</v>
      </c>
      <c r="AP795" t="s">
        <v>3463</v>
      </c>
      <c r="AT795" t="s">
        <v>3465</v>
      </c>
      <c r="AU795" t="s">
        <v>80</v>
      </c>
      <c r="AV795" t="s">
        <v>74</v>
      </c>
      <c r="AW795" t="s">
        <v>3915</v>
      </c>
      <c r="AX795" t="s">
        <v>3465</v>
      </c>
      <c r="AY795" t="s">
        <v>3465</v>
      </c>
      <c r="AZ795" t="s">
        <v>90</v>
      </c>
      <c r="BF795" t="s">
        <v>3921</v>
      </c>
      <c r="BH795" t="s">
        <v>4020</v>
      </c>
      <c r="BP795" t="s">
        <v>4260</v>
      </c>
      <c r="BQ795" t="s">
        <v>3463</v>
      </c>
      <c r="BR795" t="s">
        <v>3463</v>
      </c>
      <c r="BS795" t="s">
        <v>3463</v>
      </c>
      <c r="BT795" t="s">
        <v>3463</v>
      </c>
      <c r="BU795" t="s">
        <v>3463</v>
      </c>
      <c r="BV795" t="s">
        <v>3463</v>
      </c>
      <c r="BW795" t="s">
        <v>3463</v>
      </c>
      <c r="BX795" t="s">
        <v>79</v>
      </c>
      <c r="BY795" t="s">
        <v>79</v>
      </c>
      <c r="BZ795" t="s">
        <v>79</v>
      </c>
      <c r="CA795" s="10">
        <v>45911</v>
      </c>
    </row>
    <row r="796" spans="1:79">
      <c r="A796">
        <v>803</v>
      </c>
      <c r="B796">
        <v>123</v>
      </c>
      <c r="C796">
        <v>51</v>
      </c>
      <c r="D796" t="s">
        <v>3462</v>
      </c>
      <c r="F796" t="s">
        <v>150</v>
      </c>
      <c r="G796" s="12" t="s">
        <v>3465</v>
      </c>
      <c r="H796" s="12" t="s">
        <v>88</v>
      </c>
      <c r="I796">
        <v>79</v>
      </c>
      <c r="J796">
        <v>77</v>
      </c>
      <c r="K796">
        <v>158</v>
      </c>
      <c r="L796">
        <v>98</v>
      </c>
      <c r="M796" t="s">
        <v>72</v>
      </c>
      <c r="N796">
        <v>148</v>
      </c>
      <c r="O796">
        <v>97</v>
      </c>
      <c r="P796" t="s">
        <v>72</v>
      </c>
      <c r="Q796" t="s">
        <v>72</v>
      </c>
      <c r="R796">
        <v>108</v>
      </c>
      <c r="S796">
        <v>178</v>
      </c>
      <c r="T796" s="8">
        <f t="shared" si="24"/>
        <v>34.086605226612804</v>
      </c>
      <c r="U796" s="13" t="str" cm="1">
        <f t="array" ref="U796">IF(T796="","",_xlfn.IFS(T796&lt;18.5,"Bajo peso",T796&lt;25,"Peso normal",T796&lt;30,"Sobrepeso",T796&lt;35,"Obesidad clase I",T796&lt;40,"Obesidad clase II",T796&gt;=40,"Obesidad clase III"))</f>
        <v>Obesidad clase I</v>
      </c>
      <c r="V796">
        <v>101</v>
      </c>
      <c r="W796">
        <v>105</v>
      </c>
      <c r="X796" t="s">
        <v>3463</v>
      </c>
      <c r="Y796">
        <v>1.98</v>
      </c>
      <c r="Z796">
        <v>2.06</v>
      </c>
      <c r="AA796">
        <v>40</v>
      </c>
      <c r="AB796" s="9">
        <f t="shared" si="25"/>
        <v>40.144840826102318</v>
      </c>
      <c r="AC796">
        <v>38</v>
      </c>
      <c r="AD796" t="s">
        <v>218</v>
      </c>
      <c r="AE796" t="s">
        <v>218</v>
      </c>
      <c r="AF796" t="s">
        <v>218</v>
      </c>
      <c r="AH796" t="s">
        <v>3463</v>
      </c>
      <c r="AI796" t="s">
        <v>3463</v>
      </c>
      <c r="AJ796" t="s">
        <v>3463</v>
      </c>
      <c r="AK796" t="s">
        <v>3463</v>
      </c>
      <c r="AL796" t="s">
        <v>3465</v>
      </c>
      <c r="AM796" t="s">
        <v>1970</v>
      </c>
      <c r="AN796" t="s">
        <v>3647</v>
      </c>
      <c r="AP796" t="s">
        <v>3463</v>
      </c>
      <c r="AQ796" t="s">
        <v>1971</v>
      </c>
      <c r="AR796" t="s">
        <v>3491</v>
      </c>
      <c r="AV796" t="s">
        <v>74</v>
      </c>
      <c r="AW796" t="s">
        <v>3915</v>
      </c>
      <c r="BA796" t="s">
        <v>3920</v>
      </c>
      <c r="BE796" t="s">
        <v>1972</v>
      </c>
      <c r="BF796" t="s">
        <v>3975</v>
      </c>
      <c r="BG796" t="s">
        <v>1973</v>
      </c>
      <c r="BH796" t="s">
        <v>4187</v>
      </c>
      <c r="BI796" t="s">
        <v>734</v>
      </c>
      <c r="BK796" t="s">
        <v>1974</v>
      </c>
      <c r="BL796" t="s">
        <v>1975</v>
      </c>
      <c r="BP796" t="s">
        <v>4484</v>
      </c>
      <c r="BQ796" t="s">
        <v>3463</v>
      </c>
      <c r="BR796" t="s">
        <v>3465</v>
      </c>
      <c r="BS796" t="s">
        <v>3463</v>
      </c>
      <c r="BT796" t="s">
        <v>3463</v>
      </c>
      <c r="BU796" t="s">
        <v>3463</v>
      </c>
      <c r="BV796" t="s">
        <v>3463</v>
      </c>
      <c r="BW796" t="s">
        <v>3463</v>
      </c>
      <c r="BX796" t="s">
        <v>518</v>
      </c>
      <c r="BY796" t="s">
        <v>87</v>
      </c>
      <c r="BZ796" t="s">
        <v>79</v>
      </c>
      <c r="CA796" s="10">
        <v>45911</v>
      </c>
    </row>
    <row r="797" spans="1:79">
      <c r="A797">
        <v>804</v>
      </c>
      <c r="B797">
        <v>124</v>
      </c>
      <c r="C797">
        <v>48</v>
      </c>
      <c r="D797" t="s">
        <v>3466</v>
      </c>
      <c r="E797" t="s">
        <v>1976</v>
      </c>
      <c r="F797" t="s">
        <v>380</v>
      </c>
      <c r="G797" s="12" t="s">
        <v>3463</v>
      </c>
      <c r="I797">
        <v>80</v>
      </c>
      <c r="J797">
        <v>75</v>
      </c>
      <c r="K797">
        <v>141</v>
      </c>
      <c r="L797">
        <v>94</v>
      </c>
      <c r="M797" t="s">
        <v>72</v>
      </c>
      <c r="N797">
        <v>147</v>
      </c>
      <c r="O797">
        <v>90</v>
      </c>
      <c r="P797" t="s">
        <v>72</v>
      </c>
      <c r="Q797" t="s">
        <v>72</v>
      </c>
      <c r="R797">
        <v>68.599999999999994</v>
      </c>
      <c r="S797">
        <v>172</v>
      </c>
      <c r="T797" s="8">
        <f t="shared" si="24"/>
        <v>23.188209843158464</v>
      </c>
      <c r="U797" s="13" t="str" cm="1">
        <f t="array" ref="U797">IF(T797="","",_xlfn.IFS(T797&lt;18.5,"Bajo peso",T797&lt;25,"Peso normal",T797&lt;30,"Sobrepeso",T797&lt;35,"Obesidad clase I",T797&lt;40,"Obesidad clase II",T797&gt;=40,"Obesidad clase III"))</f>
        <v>Peso normal</v>
      </c>
      <c r="V797">
        <v>111</v>
      </c>
      <c r="X797" t="s">
        <v>3463</v>
      </c>
      <c r="Y797">
        <v>0.75</v>
      </c>
      <c r="AA797">
        <v>90</v>
      </c>
      <c r="AB797" s="9">
        <f t="shared" si="25"/>
        <v>98.144196649596822</v>
      </c>
      <c r="AD797" t="s">
        <v>73</v>
      </c>
      <c r="AF797" t="s">
        <v>73</v>
      </c>
      <c r="AH797" t="s">
        <v>3463</v>
      </c>
      <c r="AI797" t="s">
        <v>3463</v>
      </c>
      <c r="AJ797" t="s">
        <v>3465</v>
      </c>
      <c r="AK797" t="s">
        <v>3463</v>
      </c>
      <c r="AL797" t="s">
        <v>3465</v>
      </c>
      <c r="AM797" t="s">
        <v>1977</v>
      </c>
      <c r="AN797" t="s">
        <v>1977</v>
      </c>
      <c r="AP797" t="s">
        <v>3463</v>
      </c>
      <c r="AQ797" t="s">
        <v>159</v>
      </c>
      <c r="AR797" t="s">
        <v>3491</v>
      </c>
      <c r="AT797" t="s">
        <v>3465</v>
      </c>
      <c r="AU797" t="s">
        <v>80</v>
      </c>
      <c r="AV797" t="s">
        <v>126</v>
      </c>
      <c r="AW797" t="s">
        <v>126</v>
      </c>
      <c r="AY797" t="s">
        <v>3463</v>
      </c>
      <c r="BE797" t="s">
        <v>1977</v>
      </c>
      <c r="BF797" t="s">
        <v>1977</v>
      </c>
      <c r="BG797" t="s">
        <v>1978</v>
      </c>
      <c r="BH797" t="s">
        <v>4188</v>
      </c>
      <c r="BI797" t="s">
        <v>76</v>
      </c>
      <c r="BK797" t="s">
        <v>1979</v>
      </c>
      <c r="BL797" t="s">
        <v>1980</v>
      </c>
      <c r="BP797" t="s">
        <v>4485</v>
      </c>
      <c r="BQ797" t="s">
        <v>3463</v>
      </c>
      <c r="BR797" t="s">
        <v>3463</v>
      </c>
      <c r="BS797" t="s">
        <v>3463</v>
      </c>
      <c r="BT797" t="s">
        <v>3463</v>
      </c>
      <c r="BU797" t="s">
        <v>3463</v>
      </c>
      <c r="BV797" t="s">
        <v>3463</v>
      </c>
      <c r="BW797" t="s">
        <v>3463</v>
      </c>
      <c r="BX797" t="s">
        <v>79</v>
      </c>
      <c r="BY797" t="s">
        <v>87</v>
      </c>
      <c r="BZ797" t="s">
        <v>79</v>
      </c>
      <c r="CA797" s="10">
        <v>45911</v>
      </c>
    </row>
    <row r="798" spans="1:79">
      <c r="A798">
        <v>805</v>
      </c>
      <c r="B798">
        <v>125</v>
      </c>
      <c r="C798">
        <v>55</v>
      </c>
      <c r="D798" t="s">
        <v>3466</v>
      </c>
      <c r="F798" t="s">
        <v>150</v>
      </c>
      <c r="G798" s="12" t="s">
        <v>3465</v>
      </c>
      <c r="H798" s="12" t="s">
        <v>88</v>
      </c>
      <c r="I798">
        <v>62</v>
      </c>
      <c r="K798">
        <v>123</v>
      </c>
      <c r="L798">
        <v>77</v>
      </c>
      <c r="M798" t="s">
        <v>118</v>
      </c>
      <c r="P798" t="s">
        <v>83</v>
      </c>
      <c r="Q798" t="s">
        <v>118</v>
      </c>
      <c r="R798">
        <v>75</v>
      </c>
      <c r="S798">
        <v>158</v>
      </c>
      <c r="T798" s="8">
        <f t="shared" si="24"/>
        <v>30.043262297708701</v>
      </c>
      <c r="U798" s="13" t="str" cm="1">
        <f t="array" ref="U798">IF(T798="","",_xlfn.IFS(T798&lt;18.5,"Bajo peso",T798&lt;25,"Peso normal",T798&lt;30,"Sobrepeso",T798&lt;35,"Obesidad clase I",T798&lt;40,"Obesidad clase II",T798&gt;=40,"Obesidad clase III"))</f>
        <v>Obesidad clase I</v>
      </c>
      <c r="V798">
        <v>82</v>
      </c>
      <c r="X798" t="s">
        <v>3463</v>
      </c>
      <c r="Y798">
        <v>0.93</v>
      </c>
      <c r="AA798">
        <v>73</v>
      </c>
      <c r="AB798" s="9">
        <f t="shared" si="25"/>
        <v>72.58578018138256</v>
      </c>
      <c r="AD798" t="s">
        <v>73</v>
      </c>
      <c r="AF798" t="s">
        <v>73</v>
      </c>
      <c r="AH798" t="s">
        <v>3463</v>
      </c>
      <c r="AI798" t="s">
        <v>3465</v>
      </c>
      <c r="AJ798" t="s">
        <v>3464</v>
      </c>
      <c r="AK798" t="s">
        <v>3463</v>
      </c>
      <c r="AL798" t="s">
        <v>3463</v>
      </c>
      <c r="AO798" t="s">
        <v>3463</v>
      </c>
      <c r="AP798" t="s">
        <v>3465</v>
      </c>
      <c r="AS798" t="s">
        <v>3465</v>
      </c>
      <c r="AT798" t="s">
        <v>3465</v>
      </c>
      <c r="AU798" t="s">
        <v>80</v>
      </c>
      <c r="AV798" t="s">
        <v>178</v>
      </c>
      <c r="AW798" t="s">
        <v>3918</v>
      </c>
      <c r="AX798" t="s">
        <v>3463</v>
      </c>
      <c r="AY798" t="s">
        <v>3465</v>
      </c>
      <c r="AZ798" t="s">
        <v>90</v>
      </c>
      <c r="BF798" t="s">
        <v>3921</v>
      </c>
      <c r="BH798" t="s">
        <v>4020</v>
      </c>
      <c r="BP798" t="s">
        <v>4260</v>
      </c>
      <c r="BQ798" t="s">
        <v>3463</v>
      </c>
      <c r="BR798" t="s">
        <v>3463</v>
      </c>
      <c r="BS798" t="s">
        <v>3463</v>
      </c>
      <c r="BT798" t="s">
        <v>3463</v>
      </c>
      <c r="BU798" t="s">
        <v>3463</v>
      </c>
      <c r="BV798" t="s">
        <v>3463</v>
      </c>
      <c r="BW798" t="s">
        <v>3463</v>
      </c>
      <c r="BX798" t="s">
        <v>79</v>
      </c>
      <c r="BY798" t="s">
        <v>79</v>
      </c>
      <c r="BZ798" t="s">
        <v>79</v>
      </c>
      <c r="CA798" s="10">
        <v>45911</v>
      </c>
    </row>
    <row r="799" spans="1:79">
      <c r="A799">
        <v>806</v>
      </c>
      <c r="B799">
        <v>126</v>
      </c>
      <c r="C799">
        <v>21</v>
      </c>
      <c r="D799" t="s">
        <v>3466</v>
      </c>
      <c r="F799" t="s">
        <v>150</v>
      </c>
      <c r="G799" s="12" t="s">
        <v>3463</v>
      </c>
      <c r="H799" s="12"/>
      <c r="I799">
        <v>74</v>
      </c>
      <c r="K799">
        <v>133</v>
      </c>
      <c r="L799">
        <v>85</v>
      </c>
      <c r="M799" t="s">
        <v>82</v>
      </c>
      <c r="P799" t="s">
        <v>83</v>
      </c>
      <c r="Q799" t="s">
        <v>82</v>
      </c>
      <c r="R799">
        <v>54</v>
      </c>
      <c r="S799">
        <v>155</v>
      </c>
      <c r="T799" s="8">
        <f t="shared" si="24"/>
        <v>22.47658688865765</v>
      </c>
      <c r="U799" s="13" t="str" cm="1">
        <f t="array" ref="U799">IF(T799="","",_xlfn.IFS(T799&lt;18.5,"Bajo peso",T799&lt;25,"Peso normal",T799&lt;30,"Sobrepeso",T799&lt;35,"Obesidad clase I",T799&lt;40,"Obesidad clase II",T799&gt;=40,"Obesidad clase III"))</f>
        <v>Peso normal</v>
      </c>
      <c r="V799">
        <v>95</v>
      </c>
      <c r="X799" t="s">
        <v>3463</v>
      </c>
      <c r="Y799">
        <v>0.7</v>
      </c>
      <c r="AA799">
        <v>90</v>
      </c>
      <c r="AB799" s="9">
        <f t="shared" si="25"/>
        <v>126.10946912928075</v>
      </c>
      <c r="AD799" t="s">
        <v>73</v>
      </c>
      <c r="AF799" t="s">
        <v>73</v>
      </c>
      <c r="AH799" t="s">
        <v>3463</v>
      </c>
      <c r="AI799" t="s">
        <v>3463</v>
      </c>
      <c r="AJ799" t="s">
        <v>3463</v>
      </c>
      <c r="AK799" t="s">
        <v>3463</v>
      </c>
      <c r="AL799" t="s">
        <v>3465</v>
      </c>
      <c r="AM799" t="s">
        <v>1981</v>
      </c>
      <c r="AN799" t="s">
        <v>3669</v>
      </c>
      <c r="AP799" t="s">
        <v>3463</v>
      </c>
      <c r="AQ799" t="s">
        <v>1982</v>
      </c>
      <c r="AR799" t="s">
        <v>3548</v>
      </c>
      <c r="AT799" t="s">
        <v>3463</v>
      </c>
      <c r="AV799" t="s">
        <v>74</v>
      </c>
      <c r="AW799" t="s">
        <v>3915</v>
      </c>
      <c r="AX799" t="s">
        <v>3463</v>
      </c>
      <c r="AY799" t="s">
        <v>3465</v>
      </c>
      <c r="AZ799" t="s">
        <v>1159</v>
      </c>
      <c r="BF799" t="s">
        <v>3921</v>
      </c>
      <c r="BH799" t="s">
        <v>4020</v>
      </c>
      <c r="BP799" t="s">
        <v>4260</v>
      </c>
      <c r="BQ799" t="s">
        <v>3463</v>
      </c>
      <c r="BR799" t="s">
        <v>3465</v>
      </c>
      <c r="BS799" t="s">
        <v>3463</v>
      </c>
      <c r="BT799" t="s">
        <v>3463</v>
      </c>
      <c r="BU799" t="s">
        <v>3463</v>
      </c>
      <c r="BV799" t="s">
        <v>3463</v>
      </c>
      <c r="BW799" t="s">
        <v>3463</v>
      </c>
      <c r="BX799" t="s">
        <v>79</v>
      </c>
      <c r="BY799" t="s">
        <v>79</v>
      </c>
      <c r="BZ799" t="s">
        <v>79</v>
      </c>
      <c r="CA799" s="10">
        <v>45911</v>
      </c>
    </row>
    <row r="800" spans="1:79">
      <c r="A800">
        <v>807</v>
      </c>
      <c r="B800">
        <v>127</v>
      </c>
      <c r="C800">
        <v>24</v>
      </c>
      <c r="D800" t="s">
        <v>3466</v>
      </c>
      <c r="F800" t="s">
        <v>613</v>
      </c>
      <c r="G800" s="12" t="s">
        <v>3463</v>
      </c>
      <c r="I800">
        <v>73</v>
      </c>
      <c r="K800">
        <v>107</v>
      </c>
      <c r="L800">
        <v>72</v>
      </c>
      <c r="M800" t="s">
        <v>80</v>
      </c>
      <c r="P800" t="s">
        <v>83</v>
      </c>
      <c r="Q800" t="s">
        <v>80</v>
      </c>
      <c r="R800">
        <v>76.3</v>
      </c>
      <c r="S800">
        <v>171.5</v>
      </c>
      <c r="T800" s="8">
        <f t="shared" si="24"/>
        <v>25.941571964062589</v>
      </c>
      <c r="U800" s="13" t="str" cm="1">
        <f t="array" ref="U800">IF(T800="","",_xlfn.IFS(T800&lt;18.5,"Bajo peso",T800&lt;25,"Peso normal",T800&lt;30,"Sobrepeso",T800&lt;35,"Obesidad clase I",T800&lt;40,"Obesidad clase II",T800&gt;=40,"Obesidad clase III"))</f>
        <v>Sobrepeso</v>
      </c>
      <c r="V800">
        <v>81</v>
      </c>
      <c r="X800" t="s">
        <v>3463</v>
      </c>
      <c r="Y800">
        <v>1.07</v>
      </c>
      <c r="AA800">
        <v>75</v>
      </c>
      <c r="AB800" s="9">
        <f t="shared" si="25"/>
        <v>74.387812805042145</v>
      </c>
      <c r="AD800" t="s">
        <v>73</v>
      </c>
      <c r="AF800" t="s">
        <v>73</v>
      </c>
      <c r="AH800" t="s">
        <v>3463</v>
      </c>
      <c r="AI800" t="s">
        <v>3463</v>
      </c>
      <c r="AJ800" t="s">
        <v>3463</v>
      </c>
      <c r="AK800" t="s">
        <v>3463</v>
      </c>
      <c r="AL800" t="s">
        <v>3463</v>
      </c>
      <c r="AP800" t="s">
        <v>3463</v>
      </c>
      <c r="AQ800" t="s">
        <v>1983</v>
      </c>
      <c r="AR800" t="s">
        <v>3508</v>
      </c>
      <c r="AV800" t="s">
        <v>74</v>
      </c>
      <c r="AW800" t="s">
        <v>3915</v>
      </c>
      <c r="AX800" t="s">
        <v>3463</v>
      </c>
      <c r="AY800" t="s">
        <v>3465</v>
      </c>
      <c r="AZ800" t="s">
        <v>137</v>
      </c>
      <c r="BF800" t="s">
        <v>3921</v>
      </c>
      <c r="BH800" t="s">
        <v>4020</v>
      </c>
      <c r="BP800" t="s">
        <v>4260</v>
      </c>
      <c r="BQ800" t="s">
        <v>3463</v>
      </c>
      <c r="BR800" t="s">
        <v>3465</v>
      </c>
      <c r="BS800" t="s">
        <v>3463</v>
      </c>
      <c r="BT800" t="s">
        <v>3465</v>
      </c>
      <c r="BU800" t="s">
        <v>3463</v>
      </c>
      <c r="BV800" t="s">
        <v>3463</v>
      </c>
      <c r="BW800" t="s">
        <v>3463</v>
      </c>
      <c r="BX800" t="s">
        <v>79</v>
      </c>
      <c r="BY800" t="s">
        <v>79</v>
      </c>
      <c r="BZ800" t="s">
        <v>79</v>
      </c>
      <c r="CA800" s="10">
        <v>45911</v>
      </c>
    </row>
    <row r="801" spans="1:79">
      <c r="A801">
        <v>808</v>
      </c>
      <c r="B801">
        <v>129</v>
      </c>
      <c r="C801">
        <v>23</v>
      </c>
      <c r="D801" t="s">
        <v>3466</v>
      </c>
      <c r="E801" t="s">
        <v>1984</v>
      </c>
      <c r="F801" t="s">
        <v>1985</v>
      </c>
      <c r="G801" s="12" t="s">
        <v>3463</v>
      </c>
      <c r="H801" s="12"/>
      <c r="I801">
        <v>87</v>
      </c>
      <c r="K801">
        <v>138</v>
      </c>
      <c r="L801">
        <v>90</v>
      </c>
      <c r="M801" t="s">
        <v>72</v>
      </c>
      <c r="P801" t="s">
        <v>83</v>
      </c>
      <c r="Q801" t="s">
        <v>72</v>
      </c>
      <c r="R801">
        <v>75</v>
      </c>
      <c r="S801">
        <v>159</v>
      </c>
      <c r="T801" s="8">
        <f t="shared" si="24"/>
        <v>29.666548000474666</v>
      </c>
      <c r="U801" s="13" t="str" cm="1">
        <f t="array" ref="U801">IF(T801="","",_xlfn.IFS(T801&lt;18.5,"Bajo peso",T801&lt;25,"Peso normal",T801&lt;30,"Sobrepeso",T801&lt;35,"Obesidad clase I",T801&lt;40,"Obesidad clase II",T801&gt;=40,"Obesidad clase III"))</f>
        <v>Sobrepeso</v>
      </c>
      <c r="V801">
        <v>85</v>
      </c>
      <c r="X801" t="s">
        <v>3463</v>
      </c>
      <c r="Y801">
        <v>0.88</v>
      </c>
      <c r="AA801">
        <v>90</v>
      </c>
      <c r="AB801" s="9">
        <f t="shared" si="25"/>
        <v>94.642046722074411</v>
      </c>
      <c r="AD801" t="s">
        <v>73</v>
      </c>
      <c r="AF801" t="s">
        <v>73</v>
      </c>
      <c r="AH801" t="s">
        <v>3463</v>
      </c>
      <c r="AI801" t="s">
        <v>3463</v>
      </c>
      <c r="AJ801" t="s">
        <v>3463</v>
      </c>
      <c r="AK801" t="s">
        <v>3463</v>
      </c>
      <c r="AL801" t="s">
        <v>3463</v>
      </c>
      <c r="AP801" t="s">
        <v>3463</v>
      </c>
      <c r="AQ801" t="s">
        <v>698</v>
      </c>
      <c r="AR801" t="s">
        <v>3488</v>
      </c>
      <c r="AV801" t="s">
        <v>74</v>
      </c>
      <c r="AW801" t="s">
        <v>3915</v>
      </c>
      <c r="AX801" t="s">
        <v>3463</v>
      </c>
      <c r="AY801" t="s">
        <v>3463</v>
      </c>
      <c r="BF801" t="s">
        <v>3921</v>
      </c>
      <c r="BH801" t="s">
        <v>4020</v>
      </c>
      <c r="BP801" t="s">
        <v>4260</v>
      </c>
      <c r="BQ801" t="s">
        <v>3465</v>
      </c>
      <c r="BR801" t="s">
        <v>3465</v>
      </c>
      <c r="BS801" t="s">
        <v>3463</v>
      </c>
      <c r="BT801" t="s">
        <v>3463</v>
      </c>
      <c r="BU801" t="s">
        <v>3463</v>
      </c>
      <c r="BV801" t="s">
        <v>3463</v>
      </c>
      <c r="BW801" t="s">
        <v>3463</v>
      </c>
      <c r="BX801" t="s">
        <v>79</v>
      </c>
      <c r="BY801" t="s">
        <v>79</v>
      </c>
      <c r="BZ801" t="s">
        <v>79</v>
      </c>
      <c r="CA801" s="10">
        <v>45911</v>
      </c>
    </row>
    <row r="802" spans="1:79">
      <c r="A802">
        <v>809</v>
      </c>
      <c r="B802">
        <v>130</v>
      </c>
      <c r="C802">
        <v>64</v>
      </c>
      <c r="D802" t="s">
        <v>3462</v>
      </c>
      <c r="F802" t="s">
        <v>380</v>
      </c>
      <c r="G802" s="12" t="s">
        <v>3465</v>
      </c>
      <c r="H802" t="s">
        <v>88</v>
      </c>
      <c r="I802">
        <v>70</v>
      </c>
      <c r="J802">
        <v>67</v>
      </c>
      <c r="K802">
        <v>162</v>
      </c>
      <c r="L802">
        <v>85</v>
      </c>
      <c r="M802" t="s">
        <v>72</v>
      </c>
      <c r="N802">
        <v>152</v>
      </c>
      <c r="O802">
        <v>82</v>
      </c>
      <c r="P802" t="s">
        <v>72</v>
      </c>
      <c r="Q802" t="s">
        <v>72</v>
      </c>
      <c r="R802">
        <v>53</v>
      </c>
      <c r="S802">
        <v>150</v>
      </c>
      <c r="T802" s="8">
        <f t="shared" si="24"/>
        <v>23.555555555555557</v>
      </c>
      <c r="U802" s="13" t="str" cm="1">
        <f t="array" ref="U802">IF(T802="","",_xlfn.IFS(T802&lt;18.5,"Bajo peso",T802&lt;25,"Peso normal",T802&lt;30,"Sobrepeso",T802&lt;35,"Obesidad clase I",T802&lt;40,"Obesidad clase II",T802&gt;=40,"Obesidad clase III"))</f>
        <v>Peso normal</v>
      </c>
      <c r="V802">
        <v>106</v>
      </c>
      <c r="X802" t="s">
        <v>3463</v>
      </c>
      <c r="Y802">
        <v>0.82</v>
      </c>
      <c r="AA802">
        <v>90</v>
      </c>
      <c r="AB802" s="9">
        <f t="shared" si="25"/>
        <v>98.091937561507706</v>
      </c>
      <c r="AD802" t="s">
        <v>73</v>
      </c>
      <c r="AF802" t="s">
        <v>73</v>
      </c>
      <c r="AH802" t="s">
        <v>3463</v>
      </c>
      <c r="AI802" t="s">
        <v>3463</v>
      </c>
      <c r="AJ802" t="s">
        <v>3465</v>
      </c>
      <c r="AK802" t="s">
        <v>3463</v>
      </c>
      <c r="AL802" t="s">
        <v>3465</v>
      </c>
      <c r="AM802" t="s">
        <v>1986</v>
      </c>
      <c r="AN802" t="s">
        <v>3724</v>
      </c>
      <c r="AO802" t="s">
        <v>3463</v>
      </c>
      <c r="AP802" t="s">
        <v>3465</v>
      </c>
      <c r="AQ802" t="s">
        <v>1987</v>
      </c>
      <c r="AR802" t="s">
        <v>3553</v>
      </c>
      <c r="AS802" t="s">
        <v>3465</v>
      </c>
      <c r="AV802" t="s">
        <v>74</v>
      </c>
      <c r="AW802" t="s">
        <v>3915</v>
      </c>
      <c r="BA802" t="s">
        <v>3920</v>
      </c>
      <c r="BE802" t="s">
        <v>1988</v>
      </c>
      <c r="BF802" t="s">
        <v>3976</v>
      </c>
      <c r="BG802" t="s">
        <v>1989</v>
      </c>
      <c r="BH802" t="s">
        <v>4021</v>
      </c>
      <c r="BI802" t="s">
        <v>76</v>
      </c>
      <c r="BK802" t="s">
        <v>1677</v>
      </c>
      <c r="BL802" t="s">
        <v>1990</v>
      </c>
      <c r="BP802" t="s">
        <v>4261</v>
      </c>
      <c r="BQ802" t="s">
        <v>3463</v>
      </c>
      <c r="BR802" t="s">
        <v>3465</v>
      </c>
      <c r="BS802" t="s">
        <v>3463</v>
      </c>
      <c r="BT802" t="s">
        <v>3465</v>
      </c>
      <c r="BU802" t="s">
        <v>3463</v>
      </c>
      <c r="BV802" t="s">
        <v>3463</v>
      </c>
      <c r="BW802" t="s">
        <v>3463</v>
      </c>
      <c r="BX802" t="s">
        <v>79</v>
      </c>
      <c r="BY802" t="s">
        <v>87</v>
      </c>
      <c r="BZ802" t="s">
        <v>79</v>
      </c>
      <c r="CA802" s="10">
        <v>45911</v>
      </c>
    </row>
    <row r="803" spans="1:79">
      <c r="A803">
        <v>810</v>
      </c>
      <c r="B803">
        <v>131</v>
      </c>
      <c r="C803">
        <v>49</v>
      </c>
      <c r="D803" t="s">
        <v>3462</v>
      </c>
      <c r="F803" t="s">
        <v>150</v>
      </c>
      <c r="G803" s="12" t="s">
        <v>3463</v>
      </c>
      <c r="I803">
        <v>86</v>
      </c>
      <c r="K803">
        <v>128</v>
      </c>
      <c r="L803">
        <v>79</v>
      </c>
      <c r="M803" t="s">
        <v>118</v>
      </c>
      <c r="P803" t="s">
        <v>83</v>
      </c>
      <c r="Q803" t="s">
        <v>118</v>
      </c>
      <c r="R803">
        <v>83</v>
      </c>
      <c r="S803">
        <v>171</v>
      </c>
      <c r="T803" s="8">
        <f t="shared" si="24"/>
        <v>28.384802161348791</v>
      </c>
      <c r="U803" s="13" t="str" cm="1">
        <f t="array" ref="U803">IF(T803="","",_xlfn.IFS(T803&lt;18.5,"Bajo peso",T803&lt;25,"Peso normal",T803&lt;30,"Sobrepeso",T803&lt;35,"Obesidad clase I",T803&lt;40,"Obesidad clase II",T803&gt;=40,"Obesidad clase III"))</f>
        <v>Sobrepeso</v>
      </c>
      <c r="V803">
        <v>76</v>
      </c>
      <c r="X803" t="s">
        <v>3463</v>
      </c>
      <c r="Y803">
        <v>1.17</v>
      </c>
      <c r="AA803">
        <v>77</v>
      </c>
      <c r="AB803" s="9">
        <f t="shared" si="25"/>
        <v>76.419985276892987</v>
      </c>
      <c r="AD803" t="s">
        <v>73</v>
      </c>
      <c r="AF803" t="s">
        <v>73</v>
      </c>
      <c r="AG803" t="s">
        <v>3465</v>
      </c>
      <c r="AH803" t="s">
        <v>3465</v>
      </c>
      <c r="AI803" t="s">
        <v>3465</v>
      </c>
      <c r="AJ803" t="s">
        <v>3463</v>
      </c>
      <c r="AK803" t="s">
        <v>3463</v>
      </c>
      <c r="AL803" t="s">
        <v>3463</v>
      </c>
      <c r="AP803" t="s">
        <v>3463</v>
      </c>
      <c r="AQ803" t="s">
        <v>1101</v>
      </c>
      <c r="AR803" t="s">
        <v>3493</v>
      </c>
      <c r="AS803" t="s">
        <v>3465</v>
      </c>
      <c r="AV803" t="s">
        <v>74</v>
      </c>
      <c r="AW803" t="s">
        <v>3915</v>
      </c>
      <c r="BA803" t="s">
        <v>3920</v>
      </c>
      <c r="BB803" t="s">
        <v>3485</v>
      </c>
      <c r="BF803" t="s">
        <v>3921</v>
      </c>
      <c r="BG803" t="s">
        <v>1991</v>
      </c>
      <c r="BH803" t="s">
        <v>4076</v>
      </c>
      <c r="BI803" t="s">
        <v>411</v>
      </c>
      <c r="BK803" t="s">
        <v>1992</v>
      </c>
      <c r="BL803" t="s">
        <v>1993</v>
      </c>
      <c r="BP803" t="s">
        <v>4336</v>
      </c>
      <c r="BQ803" t="s">
        <v>3463</v>
      </c>
      <c r="BR803" t="s">
        <v>3463</v>
      </c>
      <c r="BS803" t="s">
        <v>3463</v>
      </c>
      <c r="BT803" t="s">
        <v>3465</v>
      </c>
      <c r="BU803" t="s">
        <v>3463</v>
      </c>
      <c r="BV803" t="s">
        <v>3463</v>
      </c>
      <c r="BW803" t="s">
        <v>3463</v>
      </c>
      <c r="BX803" t="s">
        <v>79</v>
      </c>
      <c r="BY803" t="s">
        <v>87</v>
      </c>
      <c r="BZ803" t="s">
        <v>95</v>
      </c>
      <c r="CA803" s="10">
        <v>45911</v>
      </c>
    </row>
    <row r="804" spans="1:79">
      <c r="A804">
        <v>811</v>
      </c>
      <c r="B804">
        <v>132</v>
      </c>
      <c r="C804">
        <v>42</v>
      </c>
      <c r="D804" t="s">
        <v>3462</v>
      </c>
      <c r="E804" t="s">
        <v>1994</v>
      </c>
      <c r="F804" t="s">
        <v>150</v>
      </c>
      <c r="G804" s="12" t="s">
        <v>3465</v>
      </c>
      <c r="H804" s="12" t="s">
        <v>88</v>
      </c>
      <c r="I804">
        <v>66</v>
      </c>
      <c r="K804">
        <v>130</v>
      </c>
      <c r="L804">
        <v>78</v>
      </c>
      <c r="M804" t="s">
        <v>82</v>
      </c>
      <c r="P804" t="s">
        <v>83</v>
      </c>
      <c r="Q804" t="s">
        <v>82</v>
      </c>
      <c r="R804">
        <v>91</v>
      </c>
      <c r="S804">
        <v>171</v>
      </c>
      <c r="T804" s="8">
        <f t="shared" si="24"/>
        <v>31.120686707020962</v>
      </c>
      <c r="U804" s="13" t="str" cm="1">
        <f t="array" ref="U804">IF(T804="","",_xlfn.IFS(T804&lt;18.5,"Bajo peso",T804&lt;25,"Peso normal",T804&lt;30,"Sobrepeso",T804&lt;35,"Obesidad clase I",T804&lt;40,"Obesidad clase II",T804&gt;=40,"Obesidad clase III"))</f>
        <v>Obesidad clase I</v>
      </c>
      <c r="V804">
        <v>109</v>
      </c>
      <c r="X804" t="s">
        <v>3463</v>
      </c>
      <c r="Y804">
        <v>1.67</v>
      </c>
      <c r="AA804">
        <v>52</v>
      </c>
      <c r="AB804" s="9">
        <f t="shared" si="25"/>
        <v>52.08075500989154</v>
      </c>
      <c r="AD804" t="s">
        <v>158</v>
      </c>
      <c r="AF804" t="s">
        <v>158</v>
      </c>
      <c r="AH804" t="s">
        <v>3463</v>
      </c>
      <c r="AI804" t="s">
        <v>3463</v>
      </c>
      <c r="AJ804" t="s">
        <v>3463</v>
      </c>
      <c r="AK804" t="s">
        <v>3463</v>
      </c>
      <c r="AL804" t="s">
        <v>3463</v>
      </c>
      <c r="AP804" t="s">
        <v>3463</v>
      </c>
      <c r="AQ804" t="s">
        <v>1995</v>
      </c>
      <c r="AR804" t="s">
        <v>3493</v>
      </c>
      <c r="AV804" t="s">
        <v>74</v>
      </c>
      <c r="AW804" t="s">
        <v>3915</v>
      </c>
      <c r="BF804" t="s">
        <v>3921</v>
      </c>
      <c r="BG804" t="s">
        <v>1996</v>
      </c>
      <c r="BH804" t="s">
        <v>4029</v>
      </c>
      <c r="BI804" t="s">
        <v>411</v>
      </c>
      <c r="BK804" t="s">
        <v>1997</v>
      </c>
      <c r="BL804" t="s">
        <v>1998</v>
      </c>
      <c r="BP804" t="s">
        <v>4336</v>
      </c>
      <c r="BQ804" t="s">
        <v>3463</v>
      </c>
      <c r="BR804" t="s">
        <v>3463</v>
      </c>
      <c r="BX804" t="s">
        <v>79</v>
      </c>
      <c r="BY804" t="s">
        <v>79</v>
      </c>
      <c r="BZ804" t="s">
        <v>79</v>
      </c>
      <c r="CA804" s="10">
        <v>45911</v>
      </c>
    </row>
    <row r="805" spans="1:79">
      <c r="A805">
        <v>812</v>
      </c>
      <c r="B805">
        <v>133</v>
      </c>
      <c r="C805">
        <v>59</v>
      </c>
      <c r="D805" t="s">
        <v>3466</v>
      </c>
      <c r="F805" t="s">
        <v>150</v>
      </c>
      <c r="G805" s="12" t="s">
        <v>3463</v>
      </c>
      <c r="I805">
        <v>90</v>
      </c>
      <c r="J805">
        <v>92</v>
      </c>
      <c r="K805">
        <v>161</v>
      </c>
      <c r="L805">
        <v>102</v>
      </c>
      <c r="M805" t="s">
        <v>72</v>
      </c>
      <c r="N805">
        <v>156</v>
      </c>
      <c r="O805">
        <v>90</v>
      </c>
      <c r="P805" t="s">
        <v>72</v>
      </c>
      <c r="Q805" t="s">
        <v>72</v>
      </c>
      <c r="R805">
        <v>75</v>
      </c>
      <c r="S805">
        <v>150</v>
      </c>
      <c r="T805" s="8">
        <f t="shared" si="24"/>
        <v>33.333333333333336</v>
      </c>
      <c r="U805" s="13" t="str" cm="1">
        <f t="array" ref="U805">IF(T805="","",_xlfn.IFS(T805&lt;18.5,"Bajo peso",T805&lt;25,"Peso normal",T805&lt;30,"Sobrepeso",T805&lt;35,"Obesidad clase I",T805&lt;40,"Obesidad clase II",T805&gt;=40,"Obesidad clase III"))</f>
        <v>Obesidad clase I</v>
      </c>
      <c r="V805">
        <v>86</v>
      </c>
      <c r="X805" t="s">
        <v>3463</v>
      </c>
      <c r="Y805">
        <v>1.08</v>
      </c>
      <c r="AA805">
        <v>59</v>
      </c>
      <c r="AB805" s="9">
        <f t="shared" si="25"/>
        <v>59.172313631698621</v>
      </c>
      <c r="AD805" t="s">
        <v>158</v>
      </c>
      <c r="AF805" t="s">
        <v>158</v>
      </c>
      <c r="AH805" t="s">
        <v>3463</v>
      </c>
      <c r="AI805" t="s">
        <v>3463</v>
      </c>
      <c r="AJ805" t="s">
        <v>3463</v>
      </c>
      <c r="AK805" t="s">
        <v>3463</v>
      </c>
      <c r="AL805" t="s">
        <v>3463</v>
      </c>
      <c r="AP805" t="s">
        <v>3463</v>
      </c>
      <c r="AT805" t="s">
        <v>3463</v>
      </c>
      <c r="AV805" t="s">
        <v>74</v>
      </c>
      <c r="AW805" t="s">
        <v>3915</v>
      </c>
      <c r="AX805" t="s">
        <v>3463</v>
      </c>
      <c r="AY805" t="s">
        <v>3463</v>
      </c>
      <c r="BC805" t="s">
        <v>128</v>
      </c>
      <c r="BE805" t="s">
        <v>153</v>
      </c>
      <c r="BF805" t="s">
        <v>153</v>
      </c>
      <c r="BG805" t="s">
        <v>1999</v>
      </c>
      <c r="BH805" t="s">
        <v>4056</v>
      </c>
      <c r="BI805" t="s">
        <v>734</v>
      </c>
      <c r="BK805" t="s">
        <v>2000</v>
      </c>
      <c r="BP805" t="s">
        <v>4486</v>
      </c>
      <c r="BQ805" t="s">
        <v>3465</v>
      </c>
      <c r="BR805" t="s">
        <v>3463</v>
      </c>
      <c r="BS805" t="s">
        <v>3465</v>
      </c>
      <c r="BT805" t="s">
        <v>3465</v>
      </c>
      <c r="BU805" t="s">
        <v>3463</v>
      </c>
      <c r="BV805" t="s">
        <v>3463</v>
      </c>
      <c r="BW805" t="s">
        <v>3463</v>
      </c>
      <c r="BX805" t="s">
        <v>518</v>
      </c>
      <c r="BY805" t="s">
        <v>87</v>
      </c>
      <c r="BZ805" t="s">
        <v>79</v>
      </c>
      <c r="CA805" s="10">
        <v>45911</v>
      </c>
    </row>
    <row r="806" spans="1:79">
      <c r="A806">
        <v>813</v>
      </c>
      <c r="B806">
        <v>134</v>
      </c>
      <c r="C806">
        <v>36</v>
      </c>
      <c r="D806" t="s">
        <v>3466</v>
      </c>
      <c r="F806" t="s">
        <v>150</v>
      </c>
      <c r="G806" s="12" t="s">
        <v>3463</v>
      </c>
      <c r="H806" s="12"/>
      <c r="I806">
        <v>69</v>
      </c>
      <c r="J806">
        <v>66</v>
      </c>
      <c r="K806">
        <v>141</v>
      </c>
      <c r="L806">
        <v>78</v>
      </c>
      <c r="M806" t="s">
        <v>72</v>
      </c>
      <c r="N806">
        <v>133</v>
      </c>
      <c r="O806">
        <v>76</v>
      </c>
      <c r="P806" t="s">
        <v>82</v>
      </c>
      <c r="Q806" t="s">
        <v>82</v>
      </c>
      <c r="R806">
        <v>61</v>
      </c>
      <c r="S806">
        <v>154</v>
      </c>
      <c r="T806" s="8">
        <f t="shared" si="24"/>
        <v>25.72103221453871</v>
      </c>
      <c r="U806" s="13" t="str" cm="1">
        <f t="array" ref="U806">IF(T806="","",_xlfn.IFS(T806&lt;18.5,"Bajo peso",T806&lt;25,"Peso normal",T806&lt;30,"Sobrepeso",T806&lt;35,"Obesidad clase I",T806&lt;40,"Obesidad clase II",T806&gt;=40,"Obesidad clase III"))</f>
        <v>Sobrepeso</v>
      </c>
      <c r="V806">
        <v>92</v>
      </c>
      <c r="X806" t="s">
        <v>3463</v>
      </c>
      <c r="Y806">
        <v>1.03</v>
      </c>
      <c r="AA806">
        <v>72</v>
      </c>
      <c r="AB806" s="9">
        <f t="shared" si="25"/>
        <v>72.267921143912531</v>
      </c>
      <c r="AD806" t="s">
        <v>73</v>
      </c>
      <c r="AF806" t="s">
        <v>73</v>
      </c>
      <c r="AH806" t="s">
        <v>3463</v>
      </c>
      <c r="AI806" t="s">
        <v>3463</v>
      </c>
      <c r="AJ806" t="s">
        <v>3463</v>
      </c>
      <c r="AK806" t="s">
        <v>3465</v>
      </c>
      <c r="AL806" t="s">
        <v>3463</v>
      </c>
      <c r="AO806" t="s">
        <v>3463</v>
      </c>
      <c r="AP806" t="s">
        <v>3465</v>
      </c>
      <c r="AQ806" t="s">
        <v>2001</v>
      </c>
      <c r="AR806" t="s">
        <v>3490</v>
      </c>
      <c r="AV806" t="s">
        <v>74</v>
      </c>
      <c r="AW806" t="s">
        <v>3915</v>
      </c>
      <c r="AY806" t="s">
        <v>3465</v>
      </c>
      <c r="AZ806" t="s">
        <v>104</v>
      </c>
      <c r="BF806" t="s">
        <v>3921</v>
      </c>
      <c r="BH806" t="s">
        <v>4020</v>
      </c>
      <c r="BP806" t="s">
        <v>4260</v>
      </c>
      <c r="BQ806" t="s">
        <v>3463</v>
      </c>
      <c r="BR806" t="s">
        <v>3463</v>
      </c>
      <c r="BS806" t="s">
        <v>3465</v>
      </c>
      <c r="BT806" t="s">
        <v>3465</v>
      </c>
      <c r="BU806" t="s">
        <v>3463</v>
      </c>
      <c r="BV806" t="s">
        <v>3463</v>
      </c>
      <c r="BW806" t="s">
        <v>3463</v>
      </c>
      <c r="BX806" t="s">
        <v>79</v>
      </c>
      <c r="BY806" t="s">
        <v>79</v>
      </c>
      <c r="BZ806" t="s">
        <v>79</v>
      </c>
      <c r="CA806" s="10">
        <v>45911</v>
      </c>
    </row>
    <row r="807" spans="1:79">
      <c r="A807">
        <v>814</v>
      </c>
      <c r="B807">
        <v>135</v>
      </c>
      <c r="C807">
        <v>62</v>
      </c>
      <c r="D807" t="s">
        <v>3466</v>
      </c>
      <c r="E807" t="s">
        <v>1966</v>
      </c>
      <c r="F807" t="s">
        <v>150</v>
      </c>
      <c r="G807" s="12" t="s">
        <v>3463</v>
      </c>
      <c r="I807">
        <v>95</v>
      </c>
      <c r="J807">
        <v>95</v>
      </c>
      <c r="K807">
        <v>152</v>
      </c>
      <c r="L807">
        <v>93</v>
      </c>
      <c r="M807" t="s">
        <v>72</v>
      </c>
      <c r="N807">
        <v>164</v>
      </c>
      <c r="O807">
        <v>88</v>
      </c>
      <c r="P807" t="s">
        <v>72</v>
      </c>
      <c r="Q807" t="s">
        <v>72</v>
      </c>
      <c r="R807">
        <v>71</v>
      </c>
      <c r="S807">
        <v>154</v>
      </c>
      <c r="T807" s="8">
        <f t="shared" si="24"/>
        <v>29.937594872659808</v>
      </c>
      <c r="U807" s="13" t="str" cm="1">
        <f t="array" ref="U807">IF(T807="","",_xlfn.IFS(T807&lt;18.5,"Bajo peso",T807&lt;25,"Peso normal",T807&lt;30,"Sobrepeso",T807&lt;35,"Obesidad clase I",T807&lt;40,"Obesidad clase II",T807&gt;=40,"Obesidad clase III"))</f>
        <v>Sobrepeso</v>
      </c>
      <c r="V807">
        <v>98</v>
      </c>
      <c r="X807" t="s">
        <v>3463</v>
      </c>
      <c r="Y807">
        <v>1.19</v>
      </c>
      <c r="AA807">
        <v>52</v>
      </c>
      <c r="AB807" s="9">
        <f t="shared" si="25"/>
        <v>51.697278439635951</v>
      </c>
      <c r="AD807" t="s">
        <v>158</v>
      </c>
      <c r="AF807" t="s">
        <v>158</v>
      </c>
      <c r="AH807" t="s">
        <v>3463</v>
      </c>
      <c r="AI807" t="s">
        <v>3463</v>
      </c>
      <c r="AJ807" t="s">
        <v>3463</v>
      </c>
      <c r="AK807" t="s">
        <v>3463</v>
      </c>
      <c r="AL807" t="s">
        <v>3465</v>
      </c>
      <c r="AM807" t="s">
        <v>2002</v>
      </c>
      <c r="AN807" t="s">
        <v>3787</v>
      </c>
      <c r="AP807" t="s">
        <v>3463</v>
      </c>
      <c r="AT807" t="s">
        <v>3465</v>
      </c>
      <c r="AU807" t="s">
        <v>80</v>
      </c>
      <c r="AV807" t="s">
        <v>74</v>
      </c>
      <c r="AW807" t="s">
        <v>3915</v>
      </c>
      <c r="AY807" t="s">
        <v>3465</v>
      </c>
      <c r="AZ807" t="s">
        <v>665</v>
      </c>
      <c r="BE807" t="s">
        <v>2003</v>
      </c>
      <c r="BF807" t="s">
        <v>3977</v>
      </c>
      <c r="BG807" t="s">
        <v>2004</v>
      </c>
      <c r="BH807" t="s">
        <v>4022</v>
      </c>
      <c r="BK807" t="s">
        <v>2005</v>
      </c>
      <c r="BL807" t="s">
        <v>2006</v>
      </c>
      <c r="BP807" t="s">
        <v>4320</v>
      </c>
      <c r="BQ807" t="s">
        <v>3463</v>
      </c>
      <c r="BR807" t="s">
        <v>3465</v>
      </c>
      <c r="BS807" t="s">
        <v>3463</v>
      </c>
      <c r="BT807" t="s">
        <v>3463</v>
      </c>
      <c r="BU807" t="s">
        <v>3463</v>
      </c>
      <c r="BV807" t="s">
        <v>3463</v>
      </c>
      <c r="BW807" t="s">
        <v>3463</v>
      </c>
      <c r="BX807" t="s">
        <v>79</v>
      </c>
      <c r="BY807" t="s">
        <v>79</v>
      </c>
      <c r="BZ807" t="s">
        <v>79</v>
      </c>
      <c r="CA807" s="10">
        <v>45911</v>
      </c>
    </row>
    <row r="808" spans="1:79">
      <c r="A808">
        <v>815</v>
      </c>
      <c r="B808">
        <v>136</v>
      </c>
      <c r="C808">
        <v>59</v>
      </c>
      <c r="D808" t="s">
        <v>3466</v>
      </c>
      <c r="F808" t="s">
        <v>150</v>
      </c>
      <c r="G808" s="12" t="s">
        <v>3465</v>
      </c>
      <c r="H808" t="s">
        <v>88</v>
      </c>
      <c r="I808">
        <v>73</v>
      </c>
      <c r="J808">
        <v>72</v>
      </c>
      <c r="K808">
        <v>138</v>
      </c>
      <c r="L808">
        <v>85</v>
      </c>
      <c r="M808" t="s">
        <v>82</v>
      </c>
      <c r="N808">
        <v>126</v>
      </c>
      <c r="O808">
        <v>81</v>
      </c>
      <c r="P808" t="s">
        <v>82</v>
      </c>
      <c r="Q808" t="s">
        <v>82</v>
      </c>
      <c r="R808">
        <v>103</v>
      </c>
      <c r="S808">
        <v>162</v>
      </c>
      <c r="T808" s="8">
        <f t="shared" si="24"/>
        <v>39.247065996037193</v>
      </c>
      <c r="U808" s="13" t="str" cm="1">
        <f t="array" ref="U808">IF(T808="","",_xlfn.IFS(T808&lt;18.5,"Bajo peso",T808&lt;25,"Peso normal",T808&lt;30,"Sobrepeso",T808&lt;35,"Obesidad clase I",T808&lt;40,"Obesidad clase II",T808&gt;=40,"Obesidad clase III"))</f>
        <v>Obesidad clase II</v>
      </c>
      <c r="V808">
        <v>102</v>
      </c>
      <c r="X808" t="s">
        <v>3463</v>
      </c>
      <c r="Y808">
        <v>1.05</v>
      </c>
      <c r="AA808">
        <v>61</v>
      </c>
      <c r="AB808" s="9">
        <f t="shared" si="25"/>
        <v>61.206831537340236</v>
      </c>
      <c r="AD808" t="s">
        <v>73</v>
      </c>
      <c r="AF808" t="s">
        <v>73</v>
      </c>
      <c r="AH808" t="s">
        <v>3463</v>
      </c>
      <c r="AI808" t="s">
        <v>3463</v>
      </c>
      <c r="AJ808" t="s">
        <v>3463</v>
      </c>
      <c r="AK808" t="s">
        <v>3463</v>
      </c>
      <c r="AL808" t="s">
        <v>3465</v>
      </c>
      <c r="AM808" t="s">
        <v>2007</v>
      </c>
      <c r="AN808" t="s">
        <v>3722</v>
      </c>
      <c r="AP808" t="s">
        <v>3463</v>
      </c>
      <c r="AT808" t="s">
        <v>3465</v>
      </c>
      <c r="AU808" t="s">
        <v>80</v>
      </c>
      <c r="AV808" t="s">
        <v>74</v>
      </c>
      <c r="AW808" t="s">
        <v>3915</v>
      </c>
      <c r="AX808" t="s">
        <v>3463</v>
      </c>
      <c r="AY808" t="s">
        <v>3465</v>
      </c>
      <c r="AZ808" t="s">
        <v>90</v>
      </c>
      <c r="BF808" t="s">
        <v>3921</v>
      </c>
      <c r="BH808" t="s">
        <v>4020</v>
      </c>
      <c r="BP808" t="s">
        <v>4260</v>
      </c>
      <c r="BQ808" t="s">
        <v>3463</v>
      </c>
      <c r="BR808" t="s">
        <v>3463</v>
      </c>
      <c r="BS808" t="s">
        <v>3463</v>
      </c>
      <c r="BT808" t="s">
        <v>3463</v>
      </c>
      <c r="BU808" t="s">
        <v>3465</v>
      </c>
      <c r="BV808" t="s">
        <v>3465</v>
      </c>
      <c r="BW808" t="s">
        <v>3465</v>
      </c>
      <c r="BX808" t="s">
        <v>79</v>
      </c>
      <c r="BY808" t="s">
        <v>79</v>
      </c>
      <c r="BZ808" t="s">
        <v>79</v>
      </c>
      <c r="CA808" s="10">
        <v>45911</v>
      </c>
    </row>
    <row r="809" spans="1:79">
      <c r="A809">
        <v>816</v>
      </c>
      <c r="B809">
        <v>137</v>
      </c>
      <c r="C809">
        <v>77</v>
      </c>
      <c r="D809" t="s">
        <v>3462</v>
      </c>
      <c r="E809" t="s">
        <v>2008</v>
      </c>
      <c r="F809" t="s">
        <v>150</v>
      </c>
      <c r="G809" s="12" t="s">
        <v>3465</v>
      </c>
      <c r="H809" t="s">
        <v>88</v>
      </c>
      <c r="I809">
        <v>85</v>
      </c>
      <c r="J809">
        <v>86</v>
      </c>
      <c r="K809">
        <v>163</v>
      </c>
      <c r="L809">
        <v>90</v>
      </c>
      <c r="M809" t="s">
        <v>72</v>
      </c>
      <c r="N809">
        <v>123</v>
      </c>
      <c r="O809">
        <v>67</v>
      </c>
      <c r="P809" t="s">
        <v>118</v>
      </c>
      <c r="Q809" t="s">
        <v>118</v>
      </c>
      <c r="R809">
        <v>79</v>
      </c>
      <c r="S809">
        <v>171</v>
      </c>
      <c r="T809" s="8">
        <f t="shared" si="24"/>
        <v>27.016859888512705</v>
      </c>
      <c r="U809" s="13" t="str" cm="1">
        <f t="array" ref="U809">IF(T809="","",_xlfn.IFS(T809&lt;18.5,"Bajo peso",T809&lt;25,"Peso normal",T809&lt;30,"Sobrepeso",T809&lt;35,"Obesidad clase I",T809&lt;40,"Obesidad clase II",T809&gt;=40,"Obesidad clase III"))</f>
        <v>Sobrepeso</v>
      </c>
      <c r="V809">
        <v>142</v>
      </c>
      <c r="X809" t="s">
        <v>3463</v>
      </c>
      <c r="Y809">
        <v>0.97</v>
      </c>
      <c r="AA809">
        <v>80</v>
      </c>
      <c r="AB809" s="9">
        <f t="shared" si="25"/>
        <v>80.403636247560556</v>
      </c>
      <c r="AD809" t="s">
        <v>73</v>
      </c>
      <c r="AF809" t="s">
        <v>73</v>
      </c>
      <c r="AG809" t="s">
        <v>3465</v>
      </c>
      <c r="AH809" t="s">
        <v>3465</v>
      </c>
      <c r="AI809" t="s">
        <v>3465</v>
      </c>
      <c r="AJ809" t="s">
        <v>3465</v>
      </c>
      <c r="AK809" t="s">
        <v>3463</v>
      </c>
      <c r="AL809" t="s">
        <v>3465</v>
      </c>
      <c r="AP809" t="s">
        <v>3463</v>
      </c>
      <c r="AQ809" t="s">
        <v>2009</v>
      </c>
      <c r="AR809" t="s">
        <v>3494</v>
      </c>
      <c r="AS809" t="s">
        <v>3465</v>
      </c>
      <c r="AV809" t="s">
        <v>74</v>
      </c>
      <c r="AW809" t="s">
        <v>3915</v>
      </c>
      <c r="BF809" t="s">
        <v>3921</v>
      </c>
      <c r="BH809" t="s">
        <v>4020</v>
      </c>
      <c r="BP809" t="s">
        <v>4260</v>
      </c>
      <c r="BQ809" t="s">
        <v>3463</v>
      </c>
      <c r="BR809" t="s">
        <v>3465</v>
      </c>
      <c r="BS809" t="s">
        <v>3463</v>
      </c>
      <c r="BT809" t="s">
        <v>3463</v>
      </c>
      <c r="BU809" t="s">
        <v>3463</v>
      </c>
      <c r="BV809" t="s">
        <v>3463</v>
      </c>
      <c r="BW809" t="s">
        <v>3463</v>
      </c>
      <c r="BX809" t="s">
        <v>79</v>
      </c>
      <c r="BY809" t="s">
        <v>87</v>
      </c>
      <c r="BZ809" t="s">
        <v>79</v>
      </c>
      <c r="CA809" s="10">
        <v>45911</v>
      </c>
    </row>
    <row r="810" spans="1:79">
      <c r="A810">
        <v>817</v>
      </c>
      <c r="B810">
        <v>138</v>
      </c>
      <c r="C810">
        <v>58</v>
      </c>
      <c r="D810" t="s">
        <v>3462</v>
      </c>
      <c r="F810" t="s">
        <v>1804</v>
      </c>
      <c r="G810" s="12" t="s">
        <v>3463</v>
      </c>
      <c r="H810" s="12"/>
      <c r="I810">
        <v>76</v>
      </c>
      <c r="J810">
        <v>70</v>
      </c>
      <c r="K810">
        <v>182</v>
      </c>
      <c r="L810">
        <v>107</v>
      </c>
      <c r="M810" t="s">
        <v>96</v>
      </c>
      <c r="N810">
        <v>157</v>
      </c>
      <c r="O810">
        <v>99</v>
      </c>
      <c r="P810" t="s">
        <v>72</v>
      </c>
      <c r="Q810" t="s">
        <v>72</v>
      </c>
      <c r="R810">
        <v>82</v>
      </c>
      <c r="S810">
        <v>164</v>
      </c>
      <c r="T810" s="8">
        <f t="shared" si="24"/>
        <v>30.487804878048781</v>
      </c>
      <c r="U810" s="13" t="str" cm="1">
        <f t="array" ref="U810">IF(T810="","",_xlfn.IFS(T810&lt;18.5,"Bajo peso",T810&lt;25,"Peso normal",T810&lt;30,"Sobrepeso",T810&lt;35,"Obesidad clase I",T810&lt;40,"Obesidad clase II",T810&gt;=40,"Obesidad clase III"))</f>
        <v>Obesidad clase I</v>
      </c>
      <c r="V810">
        <v>102</v>
      </c>
      <c r="X810" t="s">
        <v>3463</v>
      </c>
      <c r="Y810">
        <v>1.07</v>
      </c>
      <c r="AA810">
        <v>81</v>
      </c>
      <c r="AB810" s="9">
        <f t="shared" si="25"/>
        <v>80.437836718496101</v>
      </c>
      <c r="AD810" t="s">
        <v>73</v>
      </c>
      <c r="AF810" t="s">
        <v>73</v>
      </c>
      <c r="AH810" t="s">
        <v>3463</v>
      </c>
      <c r="AI810" t="s">
        <v>3465</v>
      </c>
      <c r="AJ810" t="s">
        <v>3465</v>
      </c>
      <c r="AK810" t="s">
        <v>3463</v>
      </c>
      <c r="AL810" t="s">
        <v>3465</v>
      </c>
      <c r="AM810" t="s">
        <v>2010</v>
      </c>
      <c r="AN810" t="s">
        <v>3616</v>
      </c>
      <c r="AP810" t="s">
        <v>3463</v>
      </c>
      <c r="AQ810" t="s">
        <v>2011</v>
      </c>
      <c r="AR810" t="s">
        <v>3494</v>
      </c>
      <c r="AS810" t="s">
        <v>3465</v>
      </c>
      <c r="AV810" t="s">
        <v>74</v>
      </c>
      <c r="AW810" t="s">
        <v>3915</v>
      </c>
      <c r="BA810" t="s">
        <v>3920</v>
      </c>
      <c r="BF810" t="s">
        <v>3921</v>
      </c>
      <c r="BG810" t="s">
        <v>2012</v>
      </c>
      <c r="BH810" t="s">
        <v>4057</v>
      </c>
      <c r="BL810" t="s">
        <v>2013</v>
      </c>
      <c r="BP810" t="s">
        <v>4487</v>
      </c>
      <c r="BQ810" t="s">
        <v>3463</v>
      </c>
      <c r="BR810" t="s">
        <v>3463</v>
      </c>
      <c r="BS810" t="s">
        <v>3465</v>
      </c>
      <c r="BT810" t="s">
        <v>3465</v>
      </c>
      <c r="BU810" t="s">
        <v>3463</v>
      </c>
      <c r="BV810" t="s">
        <v>3463</v>
      </c>
      <c r="BW810" t="s">
        <v>3463</v>
      </c>
      <c r="BX810" t="s">
        <v>79</v>
      </c>
      <c r="BY810" t="s">
        <v>79</v>
      </c>
      <c r="BZ810" t="s">
        <v>79</v>
      </c>
      <c r="CA810" s="10">
        <v>45911</v>
      </c>
    </row>
    <row r="811" spans="1:79">
      <c r="A811">
        <v>818</v>
      </c>
      <c r="B811">
        <v>139</v>
      </c>
      <c r="C811">
        <v>74</v>
      </c>
      <c r="D811" t="s">
        <v>3462</v>
      </c>
      <c r="F811" t="s">
        <v>150</v>
      </c>
      <c r="G811" s="12" t="s">
        <v>3463</v>
      </c>
      <c r="I811">
        <v>90</v>
      </c>
      <c r="J811">
        <v>87</v>
      </c>
      <c r="K811">
        <v>96</v>
      </c>
      <c r="L811">
        <v>62</v>
      </c>
      <c r="M811" t="s">
        <v>80</v>
      </c>
      <c r="N811">
        <v>113</v>
      </c>
      <c r="O811">
        <v>71</v>
      </c>
      <c r="P811" t="s">
        <v>80</v>
      </c>
      <c r="Q811" t="s">
        <v>80</v>
      </c>
      <c r="R811">
        <v>79</v>
      </c>
      <c r="S811">
        <v>170</v>
      </c>
      <c r="T811" s="8">
        <f t="shared" si="24"/>
        <v>27.335640138408305</v>
      </c>
      <c r="U811" s="13" t="str" cm="1">
        <f t="array" ref="U811">IF(T811="","",_xlfn.IFS(T811&lt;18.5,"Bajo peso",T811&lt;25,"Peso normal",T811&lt;30,"Sobrepeso",T811&lt;35,"Obesidad clase I",T811&lt;40,"Obesidad clase II",T811&gt;=40,"Obesidad clase III"))</f>
        <v>Sobrepeso</v>
      </c>
      <c r="V811">
        <v>143</v>
      </c>
      <c r="X811" t="s">
        <v>3463</v>
      </c>
      <c r="Y811">
        <v>1.07</v>
      </c>
      <c r="AA811">
        <v>73</v>
      </c>
      <c r="AB811" s="9">
        <f t="shared" si="25"/>
        <v>72.818924577870618</v>
      </c>
      <c r="AD811" t="s">
        <v>73</v>
      </c>
      <c r="AF811" t="s">
        <v>73</v>
      </c>
      <c r="AG811" t="s">
        <v>3465</v>
      </c>
      <c r="AH811" t="s">
        <v>3465</v>
      </c>
      <c r="AI811" t="s">
        <v>3463</v>
      </c>
      <c r="AJ811" t="s">
        <v>3463</v>
      </c>
      <c r="AK811" t="s">
        <v>3463</v>
      </c>
      <c r="AL811" t="s">
        <v>3465</v>
      </c>
      <c r="AM811" t="s">
        <v>2014</v>
      </c>
      <c r="AN811" t="s">
        <v>3788</v>
      </c>
      <c r="AP811" t="s">
        <v>3463</v>
      </c>
      <c r="AQ811" t="s">
        <v>1854</v>
      </c>
      <c r="AR811" t="s">
        <v>3493</v>
      </c>
      <c r="AV811" t="s">
        <v>74</v>
      </c>
      <c r="AW811" t="s">
        <v>3915</v>
      </c>
      <c r="BB811" t="s">
        <v>3485</v>
      </c>
      <c r="BE811" t="s">
        <v>2015</v>
      </c>
      <c r="BF811" t="s">
        <v>3788</v>
      </c>
      <c r="BG811" t="s">
        <v>1662</v>
      </c>
      <c r="BH811" t="s">
        <v>4076</v>
      </c>
      <c r="BI811" t="s">
        <v>411</v>
      </c>
      <c r="BK811" t="s">
        <v>2016</v>
      </c>
      <c r="BL811" t="s">
        <v>2017</v>
      </c>
      <c r="BP811" t="s">
        <v>4336</v>
      </c>
      <c r="BQ811" t="s">
        <v>3465</v>
      </c>
      <c r="BR811" t="s">
        <v>3463</v>
      </c>
      <c r="BS811" t="s">
        <v>3463</v>
      </c>
      <c r="BT811" t="s">
        <v>3463</v>
      </c>
      <c r="BU811" t="s">
        <v>3465</v>
      </c>
      <c r="BV811" t="s">
        <v>3465</v>
      </c>
      <c r="BW811" t="s">
        <v>3465</v>
      </c>
      <c r="BX811" t="s">
        <v>79</v>
      </c>
      <c r="BY811" t="s">
        <v>121</v>
      </c>
      <c r="BZ811" t="s">
        <v>95</v>
      </c>
      <c r="CA811" s="10">
        <v>45911</v>
      </c>
    </row>
    <row r="812" spans="1:79">
      <c r="A812">
        <v>819</v>
      </c>
      <c r="B812">
        <v>140</v>
      </c>
      <c r="C812">
        <v>71</v>
      </c>
      <c r="D812" t="s">
        <v>3462</v>
      </c>
      <c r="F812" t="s">
        <v>150</v>
      </c>
      <c r="G812" s="12" t="s">
        <v>3463</v>
      </c>
      <c r="H812" s="12"/>
      <c r="I812">
        <v>61</v>
      </c>
      <c r="J812">
        <v>59</v>
      </c>
      <c r="K812">
        <v>140</v>
      </c>
      <c r="L812">
        <v>83</v>
      </c>
      <c r="M812" t="s">
        <v>72</v>
      </c>
      <c r="N812">
        <v>136</v>
      </c>
      <c r="O812">
        <v>81</v>
      </c>
      <c r="P812" t="s">
        <v>82</v>
      </c>
      <c r="Q812" t="s">
        <v>82</v>
      </c>
      <c r="R812">
        <v>122</v>
      </c>
      <c r="S812">
        <v>163</v>
      </c>
      <c r="T812" s="8">
        <f t="shared" si="24"/>
        <v>45.918175317098878</v>
      </c>
      <c r="U812" s="13" t="str" cm="1">
        <f t="array" ref="U812">IF(T812="","",_xlfn.IFS(T812&lt;18.5,"Bajo peso",T812&lt;25,"Peso normal",T812&lt;30,"Sobrepeso",T812&lt;35,"Obesidad clase I",T812&lt;40,"Obesidad clase II",T812&gt;=40,"Obesidad clase III"))</f>
        <v>Obesidad clase III</v>
      </c>
      <c r="V812">
        <v>73</v>
      </c>
      <c r="X812" t="s">
        <v>3463</v>
      </c>
      <c r="Y812">
        <v>1.19</v>
      </c>
      <c r="AA812">
        <v>66</v>
      </c>
      <c r="AB812" s="9">
        <f t="shared" si="25"/>
        <v>65.305756265415553</v>
      </c>
      <c r="AD812" t="s">
        <v>73</v>
      </c>
      <c r="AF812" t="s">
        <v>73</v>
      </c>
      <c r="AH812" t="s">
        <v>3463</v>
      </c>
      <c r="AI812" t="s">
        <v>3463</v>
      </c>
      <c r="AJ812" t="s">
        <v>3463</v>
      </c>
      <c r="AK812" t="s">
        <v>3463</v>
      </c>
      <c r="AL812" t="s">
        <v>3463</v>
      </c>
      <c r="AP812" t="s">
        <v>3463</v>
      </c>
      <c r="AV812" t="s">
        <v>74</v>
      </c>
      <c r="AW812" t="s">
        <v>3915</v>
      </c>
      <c r="BF812" t="s">
        <v>3921</v>
      </c>
      <c r="BH812" t="s">
        <v>4020</v>
      </c>
      <c r="BP812" t="s">
        <v>4260</v>
      </c>
      <c r="BQ812" t="s">
        <v>3463</v>
      </c>
      <c r="BR812" t="s">
        <v>3465</v>
      </c>
      <c r="BS812" t="s">
        <v>3463</v>
      </c>
      <c r="BT812" t="s">
        <v>3463</v>
      </c>
      <c r="BU812" t="s">
        <v>3463</v>
      </c>
      <c r="BV812" t="s">
        <v>3463</v>
      </c>
      <c r="BW812" t="s">
        <v>3463</v>
      </c>
      <c r="BX812" t="s">
        <v>79</v>
      </c>
      <c r="BY812" t="s">
        <v>79</v>
      </c>
      <c r="BZ812" t="s">
        <v>79</v>
      </c>
      <c r="CA812" s="10">
        <v>45911</v>
      </c>
    </row>
    <row r="813" spans="1:79">
      <c r="A813">
        <v>820</v>
      </c>
      <c r="B813">
        <v>141</v>
      </c>
      <c r="C813">
        <v>67</v>
      </c>
      <c r="D813" t="s">
        <v>3466</v>
      </c>
      <c r="E813" t="s">
        <v>1966</v>
      </c>
      <c r="F813" t="s">
        <v>150</v>
      </c>
      <c r="G813" s="12" t="s">
        <v>3463</v>
      </c>
      <c r="I813">
        <v>66</v>
      </c>
      <c r="K813">
        <v>136</v>
      </c>
      <c r="L813">
        <v>82</v>
      </c>
      <c r="M813" t="s">
        <v>82</v>
      </c>
      <c r="P813" t="s">
        <v>83</v>
      </c>
      <c r="Q813" t="s">
        <v>82</v>
      </c>
      <c r="R813">
        <v>94</v>
      </c>
      <c r="S813">
        <v>155</v>
      </c>
      <c r="T813" s="8">
        <f t="shared" si="24"/>
        <v>39.125910509885536</v>
      </c>
      <c r="U813" s="13" t="str" cm="1">
        <f t="array" ref="U813">IF(T813="","",_xlfn.IFS(T813&lt;18.5,"Bajo peso",T813&lt;25,"Peso normal",T813&lt;30,"Sobrepeso",T813&lt;35,"Obesidad clase I",T813&lt;40,"Obesidad clase II",T813&gt;=40,"Obesidad clase III"))</f>
        <v>Obesidad clase II</v>
      </c>
      <c r="V813">
        <v>85</v>
      </c>
      <c r="X813" t="s">
        <v>3463</v>
      </c>
      <c r="Y813">
        <v>0.65</v>
      </c>
      <c r="AA813">
        <v>90</v>
      </c>
      <c r="AB813" s="9">
        <f t="shared" si="25"/>
        <v>96.440145519407707</v>
      </c>
      <c r="AD813" t="s">
        <v>73</v>
      </c>
      <c r="AF813" t="s">
        <v>73</v>
      </c>
      <c r="AG813" t="s">
        <v>3465</v>
      </c>
      <c r="AH813" t="s">
        <v>3465</v>
      </c>
      <c r="AI813" t="s">
        <v>3463</v>
      </c>
      <c r="AJ813" t="s">
        <v>3463</v>
      </c>
      <c r="AK813" t="s">
        <v>3463</v>
      </c>
      <c r="AL813" t="s">
        <v>3465</v>
      </c>
      <c r="AM813" t="s">
        <v>2018</v>
      </c>
      <c r="AN813" t="s">
        <v>3664</v>
      </c>
      <c r="AO813" t="s">
        <v>3463</v>
      </c>
      <c r="AP813" t="s">
        <v>3465</v>
      </c>
      <c r="AQ813" t="s">
        <v>159</v>
      </c>
      <c r="AR813" t="s">
        <v>3491</v>
      </c>
      <c r="AT813" t="s">
        <v>3465</v>
      </c>
      <c r="AU813" t="s">
        <v>80</v>
      </c>
      <c r="AV813" t="s">
        <v>74</v>
      </c>
      <c r="AW813" t="s">
        <v>3915</v>
      </c>
      <c r="AX813" t="s">
        <v>3463</v>
      </c>
      <c r="AY813" t="s">
        <v>3465</v>
      </c>
      <c r="AZ813" t="s">
        <v>665</v>
      </c>
      <c r="BF813" t="s">
        <v>3921</v>
      </c>
      <c r="BH813" t="s">
        <v>4020</v>
      </c>
      <c r="BP813" t="s">
        <v>4260</v>
      </c>
      <c r="BQ813" t="s">
        <v>3463</v>
      </c>
      <c r="BR813" t="s">
        <v>3463</v>
      </c>
      <c r="BS813" t="s">
        <v>3465</v>
      </c>
      <c r="BT813" t="s">
        <v>3465</v>
      </c>
      <c r="BU813" t="s">
        <v>3463</v>
      </c>
      <c r="BV813" t="s">
        <v>3463</v>
      </c>
      <c r="BW813" t="s">
        <v>3463</v>
      </c>
      <c r="BX813" t="s">
        <v>79</v>
      </c>
      <c r="BY813" t="s">
        <v>79</v>
      </c>
      <c r="BZ813" t="s">
        <v>79</v>
      </c>
      <c r="CA813" s="10">
        <v>45911</v>
      </c>
    </row>
    <row r="814" spans="1:79">
      <c r="A814">
        <v>821</v>
      </c>
      <c r="B814">
        <v>142</v>
      </c>
      <c r="C814">
        <v>69</v>
      </c>
      <c r="D814" t="s">
        <v>3466</v>
      </c>
      <c r="E814" t="s">
        <v>1659</v>
      </c>
      <c r="F814" t="s">
        <v>150</v>
      </c>
      <c r="G814" s="12" t="s">
        <v>3465</v>
      </c>
      <c r="H814" t="s">
        <v>88</v>
      </c>
      <c r="I814">
        <v>67</v>
      </c>
      <c r="K814">
        <v>152</v>
      </c>
      <c r="L814">
        <v>71</v>
      </c>
      <c r="M814" t="s">
        <v>72</v>
      </c>
      <c r="P814" t="s">
        <v>83</v>
      </c>
      <c r="Q814" t="s">
        <v>72</v>
      </c>
      <c r="R814">
        <v>69</v>
      </c>
      <c r="S814">
        <v>150</v>
      </c>
      <c r="T814" s="8">
        <f t="shared" si="24"/>
        <v>30.666666666666668</v>
      </c>
      <c r="U814" s="13" t="str" cm="1">
        <f t="array" ref="U814">IF(T814="","",_xlfn.IFS(T814&lt;18.5,"Bajo peso",T814&lt;25,"Peso normal",T814&lt;30,"Sobrepeso",T814&lt;35,"Obesidad clase I",T814&lt;40,"Obesidad clase II",T814&gt;=40,"Obesidad clase III"))</f>
        <v>Obesidad clase I</v>
      </c>
      <c r="V814">
        <v>103</v>
      </c>
      <c r="X814" t="s">
        <v>3463</v>
      </c>
      <c r="Y814">
        <v>1.03</v>
      </c>
      <c r="AA814">
        <v>59</v>
      </c>
      <c r="AB814" s="9">
        <f t="shared" si="25"/>
        <v>58.858923053412717</v>
      </c>
      <c r="AD814" t="s">
        <v>158</v>
      </c>
      <c r="AF814" t="s">
        <v>158</v>
      </c>
      <c r="AH814" t="s">
        <v>3463</v>
      </c>
      <c r="AI814" t="s">
        <v>3465</v>
      </c>
      <c r="AJ814" t="s">
        <v>3463</v>
      </c>
      <c r="AK814" t="s">
        <v>3465</v>
      </c>
      <c r="AL814" t="s">
        <v>3465</v>
      </c>
      <c r="AM814" t="s">
        <v>2019</v>
      </c>
      <c r="AN814" t="s">
        <v>3789</v>
      </c>
      <c r="AP814" t="s">
        <v>3463</v>
      </c>
      <c r="AS814" t="s">
        <v>3465</v>
      </c>
      <c r="AT814" t="s">
        <v>3465</v>
      </c>
      <c r="AU814" t="s">
        <v>80</v>
      </c>
      <c r="AV814" t="s">
        <v>74</v>
      </c>
      <c r="AW814" t="s">
        <v>3915</v>
      </c>
      <c r="AX814" t="s">
        <v>3463</v>
      </c>
      <c r="AY814" t="s">
        <v>3465</v>
      </c>
      <c r="AZ814" t="s">
        <v>247</v>
      </c>
      <c r="BA814" t="s">
        <v>3920</v>
      </c>
      <c r="BF814" t="s">
        <v>3921</v>
      </c>
      <c r="BG814" t="s">
        <v>2020</v>
      </c>
      <c r="BH814" t="s">
        <v>4189</v>
      </c>
      <c r="BP814" t="s">
        <v>4255</v>
      </c>
      <c r="BQ814" t="s">
        <v>3463</v>
      </c>
      <c r="BR814" t="s">
        <v>3465</v>
      </c>
      <c r="BS814" t="s">
        <v>3463</v>
      </c>
      <c r="BT814" t="s">
        <v>3463</v>
      </c>
      <c r="BU814" t="s">
        <v>3463</v>
      </c>
      <c r="BV814" t="s">
        <v>3463</v>
      </c>
      <c r="BW814" t="s">
        <v>3463</v>
      </c>
      <c r="BX814" t="s">
        <v>79</v>
      </c>
      <c r="BY814" t="s">
        <v>87</v>
      </c>
      <c r="BZ814" t="s">
        <v>79</v>
      </c>
      <c r="CA814" s="10">
        <v>45911</v>
      </c>
    </row>
    <row r="815" spans="1:79">
      <c r="A815">
        <v>822</v>
      </c>
      <c r="B815">
        <v>143</v>
      </c>
      <c r="C815">
        <v>32</v>
      </c>
      <c r="D815" t="s">
        <v>3466</v>
      </c>
      <c r="F815" t="s">
        <v>150</v>
      </c>
      <c r="G815" s="12" t="s">
        <v>3463</v>
      </c>
      <c r="I815">
        <v>93</v>
      </c>
      <c r="K815">
        <v>122</v>
      </c>
      <c r="L815">
        <v>82</v>
      </c>
      <c r="M815" t="s">
        <v>82</v>
      </c>
      <c r="P815" t="s">
        <v>83</v>
      </c>
      <c r="Q815" t="s">
        <v>82</v>
      </c>
      <c r="R815">
        <v>85.1</v>
      </c>
      <c r="S815">
        <v>158</v>
      </c>
      <c r="T815" s="8">
        <f t="shared" si="24"/>
        <v>34.089088287133471</v>
      </c>
      <c r="U815" s="13" t="str" cm="1">
        <f t="array" ref="U815">IF(T815="","",_xlfn.IFS(T815&lt;18.5,"Bajo peso",T815&lt;25,"Peso normal",T815&lt;30,"Sobrepeso",T815&lt;35,"Obesidad clase I",T815&lt;40,"Obesidad clase II",T815&gt;=40,"Obesidad clase III"))</f>
        <v>Obesidad clase I</v>
      </c>
      <c r="V815">
        <v>84</v>
      </c>
      <c r="X815" t="s">
        <v>3463</v>
      </c>
      <c r="Y815">
        <v>1.06</v>
      </c>
      <c r="AA815">
        <v>71</v>
      </c>
      <c r="AB815" s="9">
        <f t="shared" si="25"/>
        <v>71.579263202797392</v>
      </c>
      <c r="AD815" t="s">
        <v>73</v>
      </c>
      <c r="AF815" t="s">
        <v>73</v>
      </c>
      <c r="AH815" t="s">
        <v>3463</v>
      </c>
      <c r="AI815" t="s">
        <v>3463</v>
      </c>
      <c r="AJ815" t="s">
        <v>3463</v>
      </c>
      <c r="AK815" t="s">
        <v>3463</v>
      </c>
      <c r="AL815" t="s">
        <v>3465</v>
      </c>
      <c r="AM815" t="s">
        <v>2021</v>
      </c>
      <c r="AN815" t="s">
        <v>3767</v>
      </c>
      <c r="AP815" t="s">
        <v>3463</v>
      </c>
      <c r="AQ815" t="s">
        <v>2022</v>
      </c>
      <c r="AR815" t="s">
        <v>3574</v>
      </c>
      <c r="AT815" t="s">
        <v>3463</v>
      </c>
      <c r="AV815" t="s">
        <v>126</v>
      </c>
      <c r="AW815" t="s">
        <v>126</v>
      </c>
      <c r="AX815" t="s">
        <v>3463</v>
      </c>
      <c r="AY815" t="s">
        <v>3465</v>
      </c>
      <c r="AZ815" t="s">
        <v>1094</v>
      </c>
      <c r="BF815" t="s">
        <v>3921</v>
      </c>
      <c r="BH815" t="s">
        <v>4020</v>
      </c>
      <c r="BP815" t="s">
        <v>4260</v>
      </c>
      <c r="BQ815" t="s">
        <v>3463</v>
      </c>
      <c r="BR815" t="s">
        <v>3463</v>
      </c>
      <c r="BS815" t="s">
        <v>3465</v>
      </c>
      <c r="BT815" t="s">
        <v>3465</v>
      </c>
      <c r="BU815" t="s">
        <v>3463</v>
      </c>
      <c r="BV815" t="s">
        <v>3463</v>
      </c>
      <c r="BW815" t="s">
        <v>3463</v>
      </c>
      <c r="BX815" t="s">
        <v>79</v>
      </c>
      <c r="BY815" t="s">
        <v>79</v>
      </c>
      <c r="BZ815" t="s">
        <v>79</v>
      </c>
      <c r="CA815" s="10">
        <v>45911</v>
      </c>
    </row>
    <row r="816" spans="1:79">
      <c r="A816">
        <v>823</v>
      </c>
      <c r="B816">
        <v>144</v>
      </c>
      <c r="C816">
        <v>40</v>
      </c>
      <c r="D816" t="s">
        <v>3466</v>
      </c>
      <c r="F816" t="s">
        <v>150</v>
      </c>
      <c r="G816" s="12" t="s">
        <v>3465</v>
      </c>
      <c r="H816" s="12" t="s">
        <v>88</v>
      </c>
      <c r="I816">
        <v>84</v>
      </c>
      <c r="J816">
        <v>76</v>
      </c>
      <c r="K816">
        <v>132</v>
      </c>
      <c r="L816">
        <v>100</v>
      </c>
      <c r="M816" t="s">
        <v>72</v>
      </c>
      <c r="N816">
        <v>126</v>
      </c>
      <c r="O816">
        <v>92</v>
      </c>
      <c r="P816" t="s">
        <v>72</v>
      </c>
      <c r="Q816" t="s">
        <v>72</v>
      </c>
      <c r="R816">
        <v>81</v>
      </c>
      <c r="S816">
        <v>170</v>
      </c>
      <c r="T816" s="8">
        <f t="shared" si="24"/>
        <v>28.027681660899653</v>
      </c>
      <c r="U816" s="13" t="str" cm="1">
        <f t="array" ref="U816">IF(T816="","",_xlfn.IFS(T816&lt;18.5,"Bajo peso",T816&lt;25,"Peso normal",T816&lt;30,"Sobrepeso",T816&lt;35,"Obesidad clase I",T816&lt;40,"Obesidad clase II",T816&gt;=40,"Obesidad clase III"))</f>
        <v>Sobrepeso</v>
      </c>
      <c r="V816">
        <v>106</v>
      </c>
      <c r="X816" t="s">
        <v>3463</v>
      </c>
      <c r="Y816">
        <v>1.07</v>
      </c>
      <c r="AA816">
        <v>68</v>
      </c>
      <c r="AB816" s="9">
        <f t="shared" si="25"/>
        <v>67.3419469138652</v>
      </c>
      <c r="AD816" t="s">
        <v>73</v>
      </c>
      <c r="AF816" t="s">
        <v>73</v>
      </c>
      <c r="AH816" t="s">
        <v>3463</v>
      </c>
      <c r="AI816" t="s">
        <v>3463</v>
      </c>
      <c r="AJ816" t="s">
        <v>3463</v>
      </c>
      <c r="AK816" t="s">
        <v>3463</v>
      </c>
      <c r="AL816" t="s">
        <v>3463</v>
      </c>
      <c r="AP816" t="s">
        <v>3463</v>
      </c>
      <c r="AQ816" t="s">
        <v>1747</v>
      </c>
      <c r="AR816" t="s">
        <v>3491</v>
      </c>
      <c r="AV816" t="s">
        <v>74</v>
      </c>
      <c r="AW816" t="s">
        <v>3915</v>
      </c>
      <c r="AX816" t="s">
        <v>3463</v>
      </c>
      <c r="AY816" t="s">
        <v>3465</v>
      </c>
      <c r="AZ816" t="s">
        <v>247</v>
      </c>
      <c r="BF816" t="s">
        <v>3921</v>
      </c>
      <c r="BH816" t="s">
        <v>4020</v>
      </c>
      <c r="BP816" t="s">
        <v>4260</v>
      </c>
      <c r="BQ816" t="s">
        <v>3463</v>
      </c>
      <c r="BR816" t="s">
        <v>3465</v>
      </c>
      <c r="BS816" t="s">
        <v>3465</v>
      </c>
      <c r="BT816" t="s">
        <v>3465</v>
      </c>
      <c r="BU816" t="s">
        <v>3463</v>
      </c>
      <c r="BV816" t="s">
        <v>3463</v>
      </c>
      <c r="BW816" t="s">
        <v>3463</v>
      </c>
      <c r="BX816" t="s">
        <v>79</v>
      </c>
      <c r="BY816" t="s">
        <v>79</v>
      </c>
      <c r="BZ816" t="s">
        <v>79</v>
      </c>
      <c r="CA816" s="10">
        <v>45911</v>
      </c>
    </row>
    <row r="817" spans="1:79">
      <c r="A817">
        <v>824</v>
      </c>
      <c r="B817">
        <v>145</v>
      </c>
      <c r="C817">
        <v>64</v>
      </c>
      <c r="D817" t="s">
        <v>3466</v>
      </c>
      <c r="F817" t="s">
        <v>150</v>
      </c>
      <c r="G817" s="12" t="s">
        <v>3463</v>
      </c>
      <c r="H817" s="12"/>
      <c r="I817">
        <v>100</v>
      </c>
      <c r="J817">
        <v>102</v>
      </c>
      <c r="K817">
        <v>178</v>
      </c>
      <c r="L817">
        <v>96</v>
      </c>
      <c r="M817" t="s">
        <v>72</v>
      </c>
      <c r="N817">
        <v>199</v>
      </c>
      <c r="O817">
        <v>102</v>
      </c>
      <c r="P817" t="s">
        <v>96</v>
      </c>
      <c r="Q817" t="s">
        <v>72</v>
      </c>
      <c r="R817">
        <v>75.2</v>
      </c>
      <c r="S817">
        <v>148.5</v>
      </c>
      <c r="T817" s="8">
        <f t="shared" si="24"/>
        <v>34.100828713623329</v>
      </c>
      <c r="U817" s="13" t="str" cm="1">
        <f t="array" ref="U817">IF(T817="","",_xlfn.IFS(T817&lt;18.5,"Bajo peso",T817&lt;25,"Peso normal",T817&lt;30,"Sobrepeso",T817&lt;35,"Obesidad clase I",T817&lt;40,"Obesidad clase II",T817&gt;=40,"Obesidad clase III"))</f>
        <v>Obesidad clase I</v>
      </c>
      <c r="V817">
        <v>88</v>
      </c>
      <c r="X817" t="s">
        <v>3463</v>
      </c>
      <c r="Y817">
        <v>0.88</v>
      </c>
      <c r="AA817">
        <v>73</v>
      </c>
      <c r="AB817" s="9">
        <f t="shared" si="25"/>
        <v>73.340322023303344</v>
      </c>
      <c r="AD817" t="s">
        <v>73</v>
      </c>
      <c r="AF817" t="s">
        <v>73</v>
      </c>
      <c r="AH817" t="s">
        <v>3463</v>
      </c>
      <c r="AI817" t="s">
        <v>3463</v>
      </c>
      <c r="AJ817" t="s">
        <v>3463</v>
      </c>
      <c r="AK817" t="s">
        <v>3463</v>
      </c>
      <c r="AL817" t="s">
        <v>3465</v>
      </c>
      <c r="AM817" t="s">
        <v>116</v>
      </c>
      <c r="AN817" t="s">
        <v>116</v>
      </c>
      <c r="AP817" t="s">
        <v>3463</v>
      </c>
      <c r="AQ817" t="s">
        <v>2023</v>
      </c>
      <c r="AR817" t="s">
        <v>3493</v>
      </c>
      <c r="AT817" t="s">
        <v>3463</v>
      </c>
      <c r="AV817" t="s">
        <v>74</v>
      </c>
      <c r="AW817" t="s">
        <v>3915</v>
      </c>
      <c r="AX817" t="s">
        <v>3463</v>
      </c>
      <c r="AY817" t="s">
        <v>3463</v>
      </c>
      <c r="BA817" t="s">
        <v>3920</v>
      </c>
      <c r="BF817" t="s">
        <v>3921</v>
      </c>
      <c r="BG817" t="s">
        <v>2024</v>
      </c>
      <c r="BH817" t="s">
        <v>4190</v>
      </c>
      <c r="BI817" t="s">
        <v>76</v>
      </c>
      <c r="BK817" t="s">
        <v>2025</v>
      </c>
      <c r="BL817" t="s">
        <v>2026</v>
      </c>
      <c r="BP817" t="s">
        <v>4294</v>
      </c>
      <c r="BQ817" t="s">
        <v>3463</v>
      </c>
      <c r="BR817" t="s">
        <v>3463</v>
      </c>
      <c r="BS817" t="s">
        <v>3463</v>
      </c>
      <c r="BT817" t="s">
        <v>3463</v>
      </c>
      <c r="BU817" t="s">
        <v>3463</v>
      </c>
      <c r="BV817" t="s">
        <v>3463</v>
      </c>
      <c r="BW817" t="s">
        <v>3463</v>
      </c>
      <c r="BX817" t="s">
        <v>79</v>
      </c>
      <c r="BY817" t="s">
        <v>79</v>
      </c>
      <c r="BZ817" t="s">
        <v>79</v>
      </c>
      <c r="CA817" s="10">
        <v>45911</v>
      </c>
    </row>
    <row r="818" spans="1:79">
      <c r="A818">
        <v>825</v>
      </c>
      <c r="B818">
        <v>146</v>
      </c>
      <c r="C818">
        <v>44</v>
      </c>
      <c r="D818" t="s">
        <v>3462</v>
      </c>
      <c r="F818" t="s">
        <v>150</v>
      </c>
      <c r="G818" s="12" t="s">
        <v>3465</v>
      </c>
      <c r="H818" t="s">
        <v>88</v>
      </c>
      <c r="I818">
        <v>75</v>
      </c>
      <c r="J818">
        <v>72</v>
      </c>
      <c r="K818">
        <v>150</v>
      </c>
      <c r="L818">
        <v>97</v>
      </c>
      <c r="M818" t="s">
        <v>72</v>
      </c>
      <c r="N818">
        <v>144</v>
      </c>
      <c r="O818">
        <v>92</v>
      </c>
      <c r="P818" t="s">
        <v>72</v>
      </c>
      <c r="Q818" t="s">
        <v>72</v>
      </c>
      <c r="R818">
        <v>101.4</v>
      </c>
      <c r="S818">
        <v>183</v>
      </c>
      <c r="T818" s="8">
        <f t="shared" si="24"/>
        <v>30.278598942936487</v>
      </c>
      <c r="U818" s="13" t="str" cm="1">
        <f t="array" ref="U818">IF(T818="","",_xlfn.IFS(T818&lt;18.5,"Bajo peso",T818&lt;25,"Peso normal",T818&lt;30,"Sobrepeso",T818&lt;35,"Obesidad clase I",T818&lt;40,"Obesidad clase II",T818&gt;=40,"Obesidad clase III"))</f>
        <v>Obesidad clase I</v>
      </c>
      <c r="V818">
        <v>95</v>
      </c>
      <c r="X818" t="s">
        <v>3463</v>
      </c>
      <c r="Y818">
        <v>1.01</v>
      </c>
      <c r="AA818">
        <v>90</v>
      </c>
      <c r="AB818" s="9">
        <f t="shared" si="25"/>
        <v>94.04795859436318</v>
      </c>
      <c r="AD818" t="s">
        <v>73</v>
      </c>
      <c r="AF818" t="s">
        <v>73</v>
      </c>
      <c r="AH818" t="s">
        <v>3463</v>
      </c>
      <c r="AI818" t="s">
        <v>3465</v>
      </c>
      <c r="AJ818" t="s">
        <v>3463</v>
      </c>
      <c r="AK818" t="s">
        <v>3463</v>
      </c>
      <c r="AL818" t="s">
        <v>3465</v>
      </c>
      <c r="AM818" t="s">
        <v>2027</v>
      </c>
      <c r="AN818" t="s">
        <v>3765</v>
      </c>
      <c r="AO818" t="s">
        <v>3463</v>
      </c>
      <c r="AP818" t="s">
        <v>3465</v>
      </c>
      <c r="AQ818" t="s">
        <v>2028</v>
      </c>
      <c r="AR818" t="s">
        <v>3565</v>
      </c>
      <c r="AS818" t="s">
        <v>3465</v>
      </c>
      <c r="AV818" t="s">
        <v>126</v>
      </c>
      <c r="AW818" t="s">
        <v>126</v>
      </c>
      <c r="BA818" t="s">
        <v>3920</v>
      </c>
      <c r="BE818" t="s">
        <v>2029</v>
      </c>
      <c r="BF818" t="s">
        <v>3212</v>
      </c>
      <c r="BG818" t="s">
        <v>2030</v>
      </c>
      <c r="BH818" t="s">
        <v>4021</v>
      </c>
      <c r="BI818" t="s">
        <v>411</v>
      </c>
      <c r="BK818" t="s">
        <v>911</v>
      </c>
      <c r="BL818" t="s">
        <v>2031</v>
      </c>
      <c r="BP818" t="s">
        <v>4320</v>
      </c>
      <c r="BQ818" t="s">
        <v>3463</v>
      </c>
      <c r="BR818" t="s">
        <v>3465</v>
      </c>
      <c r="BS818" t="s">
        <v>3463</v>
      </c>
      <c r="BT818" t="s">
        <v>3463</v>
      </c>
      <c r="BU818" t="s">
        <v>3463</v>
      </c>
      <c r="BV818" t="s">
        <v>3463</v>
      </c>
      <c r="BW818" t="s">
        <v>3463</v>
      </c>
      <c r="BX818" t="s">
        <v>79</v>
      </c>
      <c r="BY818" t="s">
        <v>79</v>
      </c>
      <c r="BZ818" t="s">
        <v>79</v>
      </c>
      <c r="CA818" s="10">
        <v>45911</v>
      </c>
    </row>
    <row r="819" spans="1:79">
      <c r="A819">
        <v>826</v>
      </c>
      <c r="B819">
        <v>147</v>
      </c>
      <c r="C819">
        <v>38</v>
      </c>
      <c r="D819" t="s">
        <v>3462</v>
      </c>
      <c r="E819" t="s">
        <v>2032</v>
      </c>
      <c r="F819" t="s">
        <v>150</v>
      </c>
      <c r="G819" s="12" t="s">
        <v>3463</v>
      </c>
      <c r="I819">
        <v>72</v>
      </c>
      <c r="J819">
        <v>69</v>
      </c>
      <c r="K819">
        <v>119</v>
      </c>
      <c r="L819">
        <v>80</v>
      </c>
      <c r="M819" t="s">
        <v>82</v>
      </c>
      <c r="N819">
        <v>115</v>
      </c>
      <c r="O819">
        <v>75</v>
      </c>
      <c r="P819" t="s">
        <v>80</v>
      </c>
      <c r="Q819" t="s">
        <v>80</v>
      </c>
      <c r="R819">
        <v>71</v>
      </c>
      <c r="S819">
        <v>171</v>
      </c>
      <c r="T819" s="8">
        <f t="shared" si="24"/>
        <v>24.280975342840534</v>
      </c>
      <c r="U819" s="13" t="str" cm="1">
        <f t="array" ref="U819">IF(T819="","",_xlfn.IFS(T819&lt;18.5,"Bajo peso",T819&lt;25,"Peso normal",T819&lt;30,"Sobrepeso",T819&lt;35,"Obesidad clase I",T819&lt;40,"Obesidad clase II",T819&gt;=40,"Obesidad clase III"))</f>
        <v>Peso normal</v>
      </c>
      <c r="V819">
        <v>97</v>
      </c>
      <c r="X819" t="s">
        <v>3463</v>
      </c>
      <c r="Y819">
        <v>0.86</v>
      </c>
      <c r="AA819">
        <v>92</v>
      </c>
      <c r="AB819" s="9">
        <f t="shared" si="25"/>
        <v>113.66133730581112</v>
      </c>
      <c r="AD819" t="s">
        <v>73</v>
      </c>
      <c r="AF819" t="s">
        <v>73</v>
      </c>
      <c r="AH819" t="s">
        <v>3463</v>
      </c>
      <c r="AI819" t="s">
        <v>3463</v>
      </c>
      <c r="AJ819" t="s">
        <v>3463</v>
      </c>
      <c r="AK819" t="s">
        <v>3463</v>
      </c>
      <c r="AL819" t="s">
        <v>3463</v>
      </c>
      <c r="AP819" t="s">
        <v>3463</v>
      </c>
      <c r="AV819" t="s">
        <v>74</v>
      </c>
      <c r="AW819" t="s">
        <v>3915</v>
      </c>
      <c r="BF819" t="s">
        <v>3921</v>
      </c>
      <c r="BH819" t="s">
        <v>4020</v>
      </c>
      <c r="BP819" t="s">
        <v>4260</v>
      </c>
      <c r="BQ819" t="s">
        <v>3463</v>
      </c>
      <c r="BR819" t="s">
        <v>3463</v>
      </c>
      <c r="BS819" t="s">
        <v>3463</v>
      </c>
      <c r="BT819" t="s">
        <v>3463</v>
      </c>
      <c r="BU819" t="s">
        <v>3463</v>
      </c>
      <c r="BV819" t="s">
        <v>3463</v>
      </c>
      <c r="BW819" t="s">
        <v>3463</v>
      </c>
      <c r="BX819" t="s">
        <v>79</v>
      </c>
      <c r="BY819" t="s">
        <v>79</v>
      </c>
      <c r="BZ819" t="s">
        <v>79</v>
      </c>
      <c r="CA819" s="10">
        <v>45911</v>
      </c>
    </row>
    <row r="820" spans="1:79">
      <c r="A820">
        <v>827</v>
      </c>
      <c r="B820">
        <v>148</v>
      </c>
      <c r="C820">
        <v>54</v>
      </c>
      <c r="D820" t="s">
        <v>3466</v>
      </c>
      <c r="E820" t="s">
        <v>2033</v>
      </c>
      <c r="F820" t="s">
        <v>150</v>
      </c>
      <c r="G820" s="12" t="s">
        <v>3465</v>
      </c>
      <c r="H820" t="s">
        <v>88</v>
      </c>
      <c r="I820">
        <v>72</v>
      </c>
      <c r="J820">
        <v>73</v>
      </c>
      <c r="K820">
        <v>142</v>
      </c>
      <c r="L820">
        <v>84</v>
      </c>
      <c r="M820" t="s">
        <v>72</v>
      </c>
      <c r="N820">
        <v>123</v>
      </c>
      <c r="O820">
        <v>76</v>
      </c>
      <c r="P820" t="s">
        <v>118</v>
      </c>
      <c r="Q820" t="s">
        <v>118</v>
      </c>
      <c r="R820">
        <v>60.7</v>
      </c>
      <c r="S820">
        <v>149</v>
      </c>
      <c r="T820" s="8">
        <f t="shared" si="24"/>
        <v>27.341110760776541</v>
      </c>
      <c r="U820" s="13" t="str" cm="1">
        <f t="array" ref="U820">IF(T820="","",_xlfn.IFS(T820&lt;18.5,"Bajo peso",T820&lt;25,"Peso normal",T820&lt;30,"Sobrepeso",T820&lt;35,"Obesidad clase I",T820&lt;40,"Obesidad clase II",T820&gt;=40,"Obesidad clase III"))</f>
        <v>Sobrepeso</v>
      </c>
      <c r="V820">
        <v>82</v>
      </c>
      <c r="X820" t="s">
        <v>3463</v>
      </c>
      <c r="Y820">
        <v>0.91</v>
      </c>
      <c r="AA820">
        <v>75</v>
      </c>
      <c r="AB820" s="9">
        <f t="shared" si="25"/>
        <v>74.969121929442778</v>
      </c>
      <c r="AD820" t="s">
        <v>73</v>
      </c>
      <c r="AF820" t="s">
        <v>73</v>
      </c>
      <c r="AH820" t="s">
        <v>3463</v>
      </c>
      <c r="AI820" t="s">
        <v>3463</v>
      </c>
      <c r="AJ820" t="s">
        <v>3463</v>
      </c>
      <c r="AK820" t="s">
        <v>3463</v>
      </c>
      <c r="AL820" t="s">
        <v>3465</v>
      </c>
      <c r="AM820" t="s">
        <v>116</v>
      </c>
      <c r="AN820" t="s">
        <v>116</v>
      </c>
      <c r="AP820" t="s">
        <v>3463</v>
      </c>
      <c r="AQ820" t="s">
        <v>2034</v>
      </c>
      <c r="AR820" t="s">
        <v>3575</v>
      </c>
      <c r="AT820" t="s">
        <v>3465</v>
      </c>
      <c r="AU820" t="s">
        <v>80</v>
      </c>
      <c r="AV820" t="s">
        <v>178</v>
      </c>
      <c r="AW820" t="s">
        <v>3918</v>
      </c>
      <c r="AX820" t="s">
        <v>3463</v>
      </c>
      <c r="AY820" t="s">
        <v>3465</v>
      </c>
      <c r="AZ820" t="s">
        <v>90</v>
      </c>
      <c r="BF820" t="s">
        <v>3921</v>
      </c>
      <c r="BH820" t="s">
        <v>4020</v>
      </c>
      <c r="BP820" t="s">
        <v>4260</v>
      </c>
      <c r="BQ820" t="s">
        <v>3465</v>
      </c>
      <c r="BR820" t="s">
        <v>3465</v>
      </c>
      <c r="BS820" t="s">
        <v>3465</v>
      </c>
      <c r="BT820" t="s">
        <v>3465</v>
      </c>
      <c r="BU820" t="s">
        <v>3463</v>
      </c>
      <c r="BV820" t="s">
        <v>3463</v>
      </c>
      <c r="BW820" t="s">
        <v>3463</v>
      </c>
      <c r="BX820" t="s">
        <v>79</v>
      </c>
      <c r="BY820" t="s">
        <v>79</v>
      </c>
      <c r="BZ820" t="s">
        <v>79</v>
      </c>
      <c r="CA820" s="10">
        <v>45911</v>
      </c>
    </row>
    <row r="821" spans="1:79">
      <c r="A821">
        <v>828</v>
      </c>
      <c r="B821">
        <v>149</v>
      </c>
      <c r="C821">
        <v>64</v>
      </c>
      <c r="D821" t="s">
        <v>3466</v>
      </c>
      <c r="F821" t="s">
        <v>150</v>
      </c>
      <c r="G821" s="12" t="s">
        <v>3465</v>
      </c>
      <c r="H821" t="s">
        <v>88</v>
      </c>
      <c r="M821" t="s">
        <v>83</v>
      </c>
      <c r="P821" t="s">
        <v>83</v>
      </c>
      <c r="Q821" t="s">
        <v>83</v>
      </c>
      <c r="T821" s="8" t="str">
        <f t="shared" si="24"/>
        <v/>
      </c>
      <c r="U821" s="13" t="str" cm="1">
        <f t="array" ref="U821">IF(T821="","",_xlfn.IFS(T821&lt;18.5,"Bajo peso",T821&lt;25,"Peso normal",T821&lt;30,"Sobrepeso",T821&lt;35,"Obesidad clase I",T821&lt;40,"Obesidad clase II",T821&gt;=40,"Obesidad clase III"))</f>
        <v/>
      </c>
      <c r="AB821" s="9" t="str">
        <f t="shared" si="25"/>
        <v/>
      </c>
      <c r="AH821" t="s">
        <v>3463</v>
      </c>
      <c r="AI821" t="s">
        <v>3465</v>
      </c>
      <c r="AJ821" t="s">
        <v>3463</v>
      </c>
      <c r="AK821" t="s">
        <v>3463</v>
      </c>
      <c r="AL821" t="s">
        <v>3465</v>
      </c>
      <c r="AM821" t="s">
        <v>2035</v>
      </c>
      <c r="AN821" t="s">
        <v>3790</v>
      </c>
      <c r="AP821" t="s">
        <v>3463</v>
      </c>
      <c r="AQ821" t="s">
        <v>2036</v>
      </c>
      <c r="AR821" t="s">
        <v>3536</v>
      </c>
      <c r="AS821" t="s">
        <v>3465</v>
      </c>
      <c r="AT821" t="s">
        <v>3465</v>
      </c>
      <c r="AU821" t="s">
        <v>1899</v>
      </c>
      <c r="AV821" t="s">
        <v>178</v>
      </c>
      <c r="AW821" t="s">
        <v>3918</v>
      </c>
      <c r="AX821" t="s">
        <v>3463</v>
      </c>
      <c r="AY821" t="s">
        <v>3465</v>
      </c>
      <c r="AZ821" t="s">
        <v>104</v>
      </c>
      <c r="BF821" t="s">
        <v>3921</v>
      </c>
      <c r="BH821" t="s">
        <v>4020</v>
      </c>
      <c r="BP821" t="s">
        <v>4260</v>
      </c>
      <c r="BQ821" t="s">
        <v>3463</v>
      </c>
      <c r="BR821" t="s">
        <v>3463</v>
      </c>
      <c r="BS821" t="s">
        <v>3463</v>
      </c>
      <c r="BT821" t="s">
        <v>3463</v>
      </c>
      <c r="BU821" t="s">
        <v>3465</v>
      </c>
      <c r="BV821" t="s">
        <v>3465</v>
      </c>
      <c r="BW821" t="s">
        <v>3465</v>
      </c>
      <c r="BX821" t="s">
        <v>79</v>
      </c>
      <c r="BY821" t="s">
        <v>87</v>
      </c>
      <c r="BZ821" t="s">
        <v>79</v>
      </c>
      <c r="CA821" s="10">
        <v>45911</v>
      </c>
    </row>
    <row r="822" spans="1:79">
      <c r="A822">
        <v>829</v>
      </c>
      <c r="B822">
        <v>150</v>
      </c>
      <c r="C822">
        <v>68</v>
      </c>
      <c r="D822" t="s">
        <v>3462</v>
      </c>
      <c r="F822" t="s">
        <v>150</v>
      </c>
      <c r="G822" s="12" t="s">
        <v>3463</v>
      </c>
      <c r="H822" s="12"/>
      <c r="I822">
        <v>54</v>
      </c>
      <c r="K822">
        <v>126</v>
      </c>
      <c r="L822">
        <v>70</v>
      </c>
      <c r="M822" t="s">
        <v>118</v>
      </c>
      <c r="P822" t="s">
        <v>83</v>
      </c>
      <c r="Q822" t="s">
        <v>118</v>
      </c>
      <c r="R822">
        <v>72</v>
      </c>
      <c r="S822">
        <v>169</v>
      </c>
      <c r="T822" s="8">
        <f t="shared" si="24"/>
        <v>25.20920135849585</v>
      </c>
      <c r="U822" s="13" t="str" cm="1">
        <f t="array" ref="U822">IF(T822="","",_xlfn.IFS(T822&lt;18.5,"Bajo peso",T822&lt;25,"Peso normal",T822&lt;30,"Sobrepeso",T822&lt;35,"Obesidad clase I",T822&lt;40,"Obesidad clase II",T822&gt;=40,"Obesidad clase III"))</f>
        <v>Sobrepeso</v>
      </c>
      <c r="V822">
        <v>72</v>
      </c>
      <c r="X822" t="s">
        <v>3463</v>
      </c>
      <c r="Y822">
        <v>0.99</v>
      </c>
      <c r="AA822">
        <v>83</v>
      </c>
      <c r="AB822" s="9">
        <f t="shared" si="25"/>
        <v>82.975256964321744</v>
      </c>
      <c r="AD822" t="s">
        <v>73</v>
      </c>
      <c r="AF822" t="s">
        <v>73</v>
      </c>
      <c r="AH822" t="s">
        <v>3463</v>
      </c>
      <c r="AI822" t="s">
        <v>3463</v>
      </c>
      <c r="AJ822" t="s">
        <v>3463</v>
      </c>
      <c r="AK822" t="s">
        <v>3463</v>
      </c>
      <c r="AL822" t="s">
        <v>3465</v>
      </c>
      <c r="AM822" t="s">
        <v>2037</v>
      </c>
      <c r="AN822" t="s">
        <v>3791</v>
      </c>
      <c r="AP822" t="s">
        <v>3463</v>
      </c>
      <c r="AV822" t="s">
        <v>178</v>
      </c>
      <c r="AW822" t="s">
        <v>3918</v>
      </c>
      <c r="BF822" t="s">
        <v>3921</v>
      </c>
      <c r="BH822" t="s">
        <v>4020</v>
      </c>
      <c r="BP822" t="s">
        <v>4260</v>
      </c>
      <c r="BQ822" t="s">
        <v>3463</v>
      </c>
      <c r="BR822" t="s">
        <v>3463</v>
      </c>
      <c r="BS822" t="s">
        <v>3463</v>
      </c>
      <c r="BT822" t="s">
        <v>3463</v>
      </c>
      <c r="BU822" t="s">
        <v>3463</v>
      </c>
      <c r="BV822" t="s">
        <v>3463</v>
      </c>
      <c r="BW822" t="s">
        <v>3463</v>
      </c>
      <c r="BX822" t="s">
        <v>79</v>
      </c>
      <c r="BY822" t="s">
        <v>79</v>
      </c>
      <c r="BZ822" t="s">
        <v>79</v>
      </c>
      <c r="CA822" s="10">
        <v>45911</v>
      </c>
    </row>
    <row r="823" spans="1:79">
      <c r="A823">
        <v>830</v>
      </c>
      <c r="B823">
        <v>151</v>
      </c>
      <c r="C823">
        <v>62</v>
      </c>
      <c r="D823" t="s">
        <v>3466</v>
      </c>
      <c r="E823" t="s">
        <v>1966</v>
      </c>
      <c r="F823" t="s">
        <v>150</v>
      </c>
      <c r="G823" s="12" t="s">
        <v>3463</v>
      </c>
      <c r="I823">
        <v>74</v>
      </c>
      <c r="K823">
        <v>130</v>
      </c>
      <c r="L823">
        <v>85</v>
      </c>
      <c r="M823" t="s">
        <v>82</v>
      </c>
      <c r="P823" t="s">
        <v>83</v>
      </c>
      <c r="Q823" t="s">
        <v>82</v>
      </c>
      <c r="R823">
        <v>56.3</v>
      </c>
      <c r="S823">
        <v>143.5</v>
      </c>
      <c r="T823" s="8">
        <f t="shared" si="24"/>
        <v>27.340382911046632</v>
      </c>
      <c r="U823" s="13" t="str" cm="1">
        <f t="array" ref="U823">IF(T823="","",_xlfn.IFS(T823&lt;18.5,"Bajo peso",T823&lt;25,"Peso normal",T823&lt;30,"Sobrepeso",T823&lt;35,"Obesidad clase I",T823&lt;40,"Obesidad clase II",T823&gt;=40,"Obesidad clase III"))</f>
        <v>Sobrepeso</v>
      </c>
      <c r="V823">
        <v>75</v>
      </c>
      <c r="X823" t="s">
        <v>3463</v>
      </c>
      <c r="Y823">
        <v>0.92</v>
      </c>
      <c r="AA823">
        <v>71</v>
      </c>
      <c r="AB823" s="9">
        <f t="shared" si="25"/>
        <v>70.400969755420348</v>
      </c>
      <c r="AD823" t="s">
        <v>73</v>
      </c>
      <c r="AF823" t="s">
        <v>73</v>
      </c>
      <c r="AH823" t="s">
        <v>3463</v>
      </c>
      <c r="AI823" t="s">
        <v>3465</v>
      </c>
      <c r="AJ823" t="s">
        <v>3465</v>
      </c>
      <c r="AK823" t="s">
        <v>3463</v>
      </c>
      <c r="AL823" t="s">
        <v>3465</v>
      </c>
      <c r="AM823" t="s">
        <v>2038</v>
      </c>
      <c r="AN823" t="s">
        <v>3792</v>
      </c>
      <c r="AP823" t="s">
        <v>3463</v>
      </c>
      <c r="AQ823" t="s">
        <v>177</v>
      </c>
      <c r="AR823" t="s">
        <v>3488</v>
      </c>
      <c r="AS823" t="s">
        <v>3465</v>
      </c>
      <c r="AT823" t="s">
        <v>3465</v>
      </c>
      <c r="AU823" t="s">
        <v>80</v>
      </c>
      <c r="AV823" t="s">
        <v>74</v>
      </c>
      <c r="AW823" t="s">
        <v>3915</v>
      </c>
      <c r="AY823" t="s">
        <v>3465</v>
      </c>
      <c r="AZ823" t="s">
        <v>665</v>
      </c>
      <c r="BF823" t="s">
        <v>3921</v>
      </c>
      <c r="BH823" t="s">
        <v>4020</v>
      </c>
      <c r="BP823" t="s">
        <v>4260</v>
      </c>
      <c r="BQ823" t="s">
        <v>3465</v>
      </c>
      <c r="BR823" t="s">
        <v>3463</v>
      </c>
      <c r="BS823" t="s">
        <v>3463</v>
      </c>
      <c r="BT823" t="s">
        <v>3463</v>
      </c>
      <c r="BU823" t="s">
        <v>3463</v>
      </c>
      <c r="BV823" t="s">
        <v>3463</v>
      </c>
      <c r="BW823" t="s">
        <v>3463</v>
      </c>
      <c r="BX823" t="s">
        <v>79</v>
      </c>
      <c r="BY823" t="s">
        <v>87</v>
      </c>
      <c r="BZ823" t="s">
        <v>79</v>
      </c>
      <c r="CA823" s="10">
        <v>45911</v>
      </c>
    </row>
    <row r="824" spans="1:79">
      <c r="A824">
        <v>831</v>
      </c>
      <c r="B824">
        <v>152</v>
      </c>
      <c r="C824">
        <v>50</v>
      </c>
      <c r="D824" t="s">
        <v>3462</v>
      </c>
      <c r="F824" t="s">
        <v>150</v>
      </c>
      <c r="G824" s="12" t="s">
        <v>3463</v>
      </c>
      <c r="H824" s="12"/>
      <c r="I824">
        <v>73</v>
      </c>
      <c r="K824">
        <v>116</v>
      </c>
      <c r="L824">
        <v>69</v>
      </c>
      <c r="M824" t="s">
        <v>80</v>
      </c>
      <c r="P824" t="s">
        <v>83</v>
      </c>
      <c r="Q824" t="s">
        <v>80</v>
      </c>
      <c r="R824">
        <v>71.599999999999994</v>
      </c>
      <c r="S824">
        <v>159</v>
      </c>
      <c r="T824" s="8">
        <f t="shared" si="24"/>
        <v>28.321664491119812</v>
      </c>
      <c r="U824" s="13" t="str" cm="1">
        <f t="array" ref="U824">IF(T824="","",_xlfn.IFS(T824&lt;18.5,"Bajo peso",T824&lt;25,"Peso normal",T824&lt;30,"Sobrepeso",T824&lt;35,"Obesidad clase I",T824&lt;40,"Obesidad clase II",T824&gt;=40,"Obesidad clase III"))</f>
        <v>Sobrepeso</v>
      </c>
      <c r="V824">
        <v>93</v>
      </c>
      <c r="X824" t="s">
        <v>3463</v>
      </c>
      <c r="Y824">
        <v>0.88</v>
      </c>
      <c r="AA824">
        <v>90</v>
      </c>
      <c r="AB824" s="9">
        <f t="shared" si="25"/>
        <v>104.75757480612505</v>
      </c>
      <c r="AD824" t="s">
        <v>73</v>
      </c>
      <c r="AF824" t="s">
        <v>73</v>
      </c>
      <c r="AH824" t="s">
        <v>3463</v>
      </c>
      <c r="AI824" t="s">
        <v>3463</v>
      </c>
      <c r="AJ824" t="s">
        <v>3463</v>
      </c>
      <c r="AK824" t="s">
        <v>3463</v>
      </c>
      <c r="AL824" t="s">
        <v>3463</v>
      </c>
      <c r="AO824" t="s">
        <v>3463</v>
      </c>
      <c r="AP824" t="s">
        <v>3465</v>
      </c>
      <c r="AQ824" t="s">
        <v>2039</v>
      </c>
      <c r="AR824" t="s">
        <v>3504</v>
      </c>
      <c r="AV824" t="s">
        <v>178</v>
      </c>
      <c r="AW824" t="s">
        <v>3918</v>
      </c>
      <c r="BF824" t="s">
        <v>3921</v>
      </c>
      <c r="BH824" t="s">
        <v>4020</v>
      </c>
      <c r="BP824" t="s">
        <v>4260</v>
      </c>
      <c r="BQ824" t="s">
        <v>3463</v>
      </c>
      <c r="BR824" t="s">
        <v>3465</v>
      </c>
      <c r="BS824" t="s">
        <v>3463</v>
      </c>
      <c r="BT824" t="s">
        <v>3465</v>
      </c>
      <c r="BU824" t="s">
        <v>3463</v>
      </c>
      <c r="BV824" t="s">
        <v>3463</v>
      </c>
      <c r="BW824" t="s">
        <v>3463</v>
      </c>
      <c r="BX824" t="s">
        <v>79</v>
      </c>
      <c r="BY824" t="s">
        <v>79</v>
      </c>
      <c r="BZ824" t="s">
        <v>79</v>
      </c>
      <c r="CA824" s="10">
        <v>45911</v>
      </c>
    </row>
    <row r="825" spans="1:79">
      <c r="A825">
        <v>832</v>
      </c>
      <c r="B825">
        <v>153</v>
      </c>
      <c r="C825">
        <v>48</v>
      </c>
      <c r="D825" t="s">
        <v>3462</v>
      </c>
      <c r="F825" t="s">
        <v>150</v>
      </c>
      <c r="G825" s="12" t="s">
        <v>3463</v>
      </c>
      <c r="I825">
        <v>62</v>
      </c>
      <c r="J825">
        <v>55</v>
      </c>
      <c r="K825">
        <v>137</v>
      </c>
      <c r="L825">
        <v>82</v>
      </c>
      <c r="M825" t="s">
        <v>82</v>
      </c>
      <c r="N825">
        <v>142</v>
      </c>
      <c r="O825">
        <v>90</v>
      </c>
      <c r="P825" t="s">
        <v>72</v>
      </c>
      <c r="Q825" t="s">
        <v>82</v>
      </c>
      <c r="R825">
        <v>103</v>
      </c>
      <c r="S825">
        <v>175</v>
      </c>
      <c r="T825" s="8">
        <f t="shared" si="24"/>
        <v>33.632653061224488</v>
      </c>
      <c r="U825" s="13" t="str" cm="1">
        <f t="array" ref="U825">IF(T825="","",_xlfn.IFS(T825&lt;18.5,"Bajo peso",T825&lt;25,"Peso normal",T825&lt;30,"Sobrepeso",T825&lt;35,"Obesidad clase I",T825&lt;40,"Obesidad clase II",T825&gt;=40,"Obesidad clase III"))</f>
        <v>Obesidad clase I</v>
      </c>
      <c r="V825">
        <v>104</v>
      </c>
      <c r="X825" t="s">
        <v>3463</v>
      </c>
      <c r="Y825">
        <v>0.89</v>
      </c>
      <c r="AA825">
        <v>90</v>
      </c>
      <c r="AB825" s="9">
        <f t="shared" si="25"/>
        <v>105.70741093305301</v>
      </c>
      <c r="AD825" t="s">
        <v>73</v>
      </c>
      <c r="AF825" t="s">
        <v>73</v>
      </c>
      <c r="AH825" t="s">
        <v>3463</v>
      </c>
      <c r="AI825" t="s">
        <v>3463</v>
      </c>
      <c r="AJ825" t="s">
        <v>3465</v>
      </c>
      <c r="AK825" t="s">
        <v>3463</v>
      </c>
      <c r="AL825" t="s">
        <v>3463</v>
      </c>
      <c r="AP825" t="s">
        <v>3463</v>
      </c>
      <c r="AV825" t="s">
        <v>74</v>
      </c>
      <c r="AW825" t="s">
        <v>3915</v>
      </c>
      <c r="BF825" t="s">
        <v>3921</v>
      </c>
      <c r="BH825" t="s">
        <v>4020</v>
      </c>
      <c r="BP825" t="s">
        <v>4260</v>
      </c>
      <c r="BQ825" t="s">
        <v>3463</v>
      </c>
      <c r="BR825" t="s">
        <v>3463</v>
      </c>
      <c r="BS825" t="s">
        <v>3463</v>
      </c>
      <c r="BT825" t="s">
        <v>3463</v>
      </c>
      <c r="BU825" t="s">
        <v>3463</v>
      </c>
      <c r="BV825" t="s">
        <v>3463</v>
      </c>
      <c r="BW825" t="s">
        <v>3463</v>
      </c>
      <c r="BX825" t="s">
        <v>79</v>
      </c>
      <c r="BY825" t="s">
        <v>79</v>
      </c>
      <c r="BZ825" t="s">
        <v>79</v>
      </c>
      <c r="CA825" s="10">
        <v>45911</v>
      </c>
    </row>
    <row r="826" spans="1:79">
      <c r="A826">
        <v>833</v>
      </c>
      <c r="B826">
        <v>154</v>
      </c>
      <c r="C826">
        <v>37</v>
      </c>
      <c r="D826" t="s">
        <v>3466</v>
      </c>
      <c r="F826" t="s">
        <v>150</v>
      </c>
      <c r="G826" s="12" t="s">
        <v>3463</v>
      </c>
      <c r="H826" s="12"/>
      <c r="I826">
        <v>66</v>
      </c>
      <c r="K826">
        <v>122</v>
      </c>
      <c r="L826">
        <v>57</v>
      </c>
      <c r="M826" t="s">
        <v>118</v>
      </c>
      <c r="P826" t="s">
        <v>83</v>
      </c>
      <c r="Q826" t="s">
        <v>118</v>
      </c>
      <c r="R826">
        <v>76.650000000000006</v>
      </c>
      <c r="S826">
        <v>159</v>
      </c>
      <c r="T826" s="8">
        <f t="shared" si="24"/>
        <v>30.31921205648511</v>
      </c>
      <c r="U826" s="13" t="str" cm="1">
        <f t="array" ref="U826">IF(T826="","",_xlfn.IFS(T826&lt;18.5,"Bajo peso",T826&lt;25,"Peso normal",T826&lt;30,"Sobrepeso",T826&lt;35,"Obesidad clase I",T826&lt;40,"Obesidad clase II",T826&gt;=40,"Obesidad clase III"))</f>
        <v>Obesidad clase I</v>
      </c>
      <c r="V826">
        <v>78</v>
      </c>
      <c r="X826" t="s">
        <v>3463</v>
      </c>
      <c r="Y826">
        <v>1.08</v>
      </c>
      <c r="AA826">
        <v>68</v>
      </c>
      <c r="AB826" s="9">
        <f t="shared" si="25"/>
        <v>67.848572924661937</v>
      </c>
      <c r="AD826" t="s">
        <v>73</v>
      </c>
      <c r="AF826" t="s">
        <v>73</v>
      </c>
      <c r="AH826" t="s">
        <v>3463</v>
      </c>
      <c r="AI826" t="s">
        <v>3463</v>
      </c>
      <c r="AJ826" t="s">
        <v>3463</v>
      </c>
      <c r="AK826" t="s">
        <v>3463</v>
      </c>
      <c r="AL826" t="s">
        <v>3463</v>
      </c>
      <c r="AP826" t="s">
        <v>3463</v>
      </c>
      <c r="AQ826" t="s">
        <v>2040</v>
      </c>
      <c r="AR826" t="s">
        <v>3491</v>
      </c>
      <c r="AT826" t="s">
        <v>3463</v>
      </c>
      <c r="AV826" t="s">
        <v>178</v>
      </c>
      <c r="AW826" t="s">
        <v>3918</v>
      </c>
      <c r="AX826" t="s">
        <v>3465</v>
      </c>
      <c r="AY826" t="s">
        <v>3465</v>
      </c>
      <c r="AZ826" t="s">
        <v>247</v>
      </c>
      <c r="BF826" t="s">
        <v>3921</v>
      </c>
      <c r="BH826" t="s">
        <v>4020</v>
      </c>
      <c r="BP826" t="s">
        <v>4260</v>
      </c>
      <c r="BQ826" t="s">
        <v>3463</v>
      </c>
      <c r="BR826" t="s">
        <v>3465</v>
      </c>
      <c r="BS826" t="s">
        <v>3465</v>
      </c>
      <c r="BT826" t="s">
        <v>3465</v>
      </c>
      <c r="BU826" t="s">
        <v>3463</v>
      </c>
      <c r="BV826" t="s">
        <v>3463</v>
      </c>
      <c r="BW826" t="s">
        <v>3463</v>
      </c>
      <c r="BX826" t="s">
        <v>79</v>
      </c>
      <c r="BY826" t="s">
        <v>87</v>
      </c>
      <c r="BZ826" t="s">
        <v>79</v>
      </c>
      <c r="CA826" s="10">
        <v>45911</v>
      </c>
    </row>
    <row r="827" spans="1:79">
      <c r="A827">
        <v>834</v>
      </c>
      <c r="B827">
        <v>156</v>
      </c>
      <c r="C827">
        <v>46</v>
      </c>
      <c r="D827" t="s">
        <v>3466</v>
      </c>
      <c r="E827" t="s">
        <v>1659</v>
      </c>
      <c r="F827" t="s">
        <v>150</v>
      </c>
      <c r="G827" s="12" t="s">
        <v>3465</v>
      </c>
      <c r="H827" t="s">
        <v>88</v>
      </c>
      <c r="I827">
        <v>78</v>
      </c>
      <c r="K827">
        <v>121</v>
      </c>
      <c r="L827">
        <v>73</v>
      </c>
      <c r="M827" t="s">
        <v>118</v>
      </c>
      <c r="P827" t="s">
        <v>83</v>
      </c>
      <c r="Q827" t="s">
        <v>118</v>
      </c>
      <c r="R827">
        <v>71.3</v>
      </c>
      <c r="S827">
        <v>154.19999999999999</v>
      </c>
      <c r="T827" s="8">
        <f t="shared" si="24"/>
        <v>29.986155059963902</v>
      </c>
      <c r="U827" s="13" t="str" cm="1">
        <f t="array" ref="U827">IF(T827="","",_xlfn.IFS(T827&lt;18.5,"Bajo peso",T827&lt;25,"Peso normal",T827&lt;30,"Sobrepeso",T827&lt;35,"Obesidad clase I",T827&lt;40,"Obesidad clase II",T827&gt;=40,"Obesidad clase III"))</f>
        <v>Sobrepeso</v>
      </c>
      <c r="V827">
        <v>91</v>
      </c>
      <c r="X827" t="s">
        <v>3463</v>
      </c>
      <c r="Y827">
        <v>0.91</v>
      </c>
      <c r="AA827">
        <v>79</v>
      </c>
      <c r="AB827" s="9">
        <f t="shared" si="25"/>
        <v>78.79351682347351</v>
      </c>
      <c r="AD827" t="s">
        <v>73</v>
      </c>
      <c r="AF827" t="s">
        <v>73</v>
      </c>
      <c r="AH827" t="s">
        <v>3463</v>
      </c>
      <c r="AI827" t="s">
        <v>3463</v>
      </c>
      <c r="AJ827" t="s">
        <v>3463</v>
      </c>
      <c r="AK827" t="s">
        <v>3463</v>
      </c>
      <c r="AL827" t="s">
        <v>3465</v>
      </c>
      <c r="AM827" t="s">
        <v>2041</v>
      </c>
      <c r="AN827" t="s">
        <v>3661</v>
      </c>
      <c r="AP827" t="s">
        <v>3463</v>
      </c>
      <c r="AQ827" t="s">
        <v>143</v>
      </c>
      <c r="AR827" t="s">
        <v>3493</v>
      </c>
      <c r="AV827" t="s">
        <v>178</v>
      </c>
      <c r="AW827" t="s">
        <v>3918</v>
      </c>
      <c r="AX827" t="s">
        <v>3463</v>
      </c>
      <c r="AY827" t="s">
        <v>3465</v>
      </c>
      <c r="AZ827" t="s">
        <v>90</v>
      </c>
      <c r="BF827" t="s">
        <v>3921</v>
      </c>
      <c r="BH827" t="s">
        <v>4020</v>
      </c>
      <c r="BP827" t="s">
        <v>4260</v>
      </c>
      <c r="BQ827" t="s">
        <v>3465</v>
      </c>
      <c r="BR827" t="s">
        <v>3465</v>
      </c>
      <c r="BS827" t="s">
        <v>3465</v>
      </c>
      <c r="BT827" t="s">
        <v>3465</v>
      </c>
      <c r="BU827" t="s">
        <v>3463</v>
      </c>
      <c r="BV827" t="s">
        <v>3463</v>
      </c>
      <c r="BW827" t="s">
        <v>3463</v>
      </c>
      <c r="BX827" t="s">
        <v>79</v>
      </c>
      <c r="BY827" t="s">
        <v>79</v>
      </c>
      <c r="BZ827" t="s">
        <v>79</v>
      </c>
      <c r="CA827" s="10">
        <v>45911</v>
      </c>
    </row>
    <row r="828" spans="1:79">
      <c r="A828">
        <v>835</v>
      </c>
      <c r="B828">
        <v>157</v>
      </c>
      <c r="C828">
        <v>33</v>
      </c>
      <c r="D828" t="s">
        <v>3466</v>
      </c>
      <c r="F828" t="s">
        <v>150</v>
      </c>
      <c r="G828" s="12" t="s">
        <v>3463</v>
      </c>
      <c r="H828" s="12"/>
      <c r="I828">
        <v>78</v>
      </c>
      <c r="J828">
        <v>75</v>
      </c>
      <c r="K828">
        <v>124</v>
      </c>
      <c r="L828">
        <v>90</v>
      </c>
      <c r="M828" t="s">
        <v>72</v>
      </c>
      <c r="N828">
        <v>116</v>
      </c>
      <c r="O828">
        <v>85</v>
      </c>
      <c r="P828" t="s">
        <v>82</v>
      </c>
      <c r="Q828" t="s">
        <v>82</v>
      </c>
      <c r="R828">
        <v>90.8</v>
      </c>
      <c r="S828">
        <v>167.5</v>
      </c>
      <c r="T828" s="8">
        <f t="shared" si="24"/>
        <v>32.363555357540655</v>
      </c>
      <c r="U828" s="13" t="str" cm="1">
        <f t="array" ref="U828">IF(T828="","",_xlfn.IFS(T828&lt;18.5,"Bajo peso",T828&lt;25,"Peso normal",T828&lt;30,"Sobrepeso",T828&lt;35,"Obesidad clase I",T828&lt;40,"Obesidad clase II",T828&gt;=40,"Obesidad clase III"))</f>
        <v>Obesidad clase I</v>
      </c>
      <c r="V828">
        <v>87</v>
      </c>
      <c r="X828" t="s">
        <v>3463</v>
      </c>
      <c r="Y828">
        <v>0.9</v>
      </c>
      <c r="AA828">
        <v>87</v>
      </c>
      <c r="AB828" s="9">
        <f t="shared" si="25"/>
        <v>86.568968562902526</v>
      </c>
      <c r="AD828" t="s">
        <v>73</v>
      </c>
      <c r="AF828" t="s">
        <v>73</v>
      </c>
      <c r="AH828" t="s">
        <v>3463</v>
      </c>
      <c r="AI828" t="s">
        <v>3463</v>
      </c>
      <c r="AJ828" t="s">
        <v>3463</v>
      </c>
      <c r="AK828" t="s">
        <v>3463</v>
      </c>
      <c r="AL828" t="s">
        <v>3463</v>
      </c>
      <c r="AP828" t="s">
        <v>3463</v>
      </c>
      <c r="AQ828" t="s">
        <v>2042</v>
      </c>
      <c r="AR828" t="s">
        <v>3550</v>
      </c>
      <c r="AV828" t="s">
        <v>74</v>
      </c>
      <c r="AW828" t="s">
        <v>3915</v>
      </c>
      <c r="AX828" t="s">
        <v>3463</v>
      </c>
      <c r="AY828" t="s">
        <v>3465</v>
      </c>
      <c r="AZ828" t="s">
        <v>90</v>
      </c>
      <c r="BF828" t="s">
        <v>3921</v>
      </c>
      <c r="BH828" t="s">
        <v>4020</v>
      </c>
      <c r="BP828" t="s">
        <v>4260</v>
      </c>
      <c r="BQ828" t="s">
        <v>3463</v>
      </c>
      <c r="BR828" t="s">
        <v>3463</v>
      </c>
      <c r="BS828" t="s">
        <v>3465</v>
      </c>
      <c r="BT828" t="s">
        <v>3465</v>
      </c>
      <c r="BU828" t="s">
        <v>3463</v>
      </c>
      <c r="BV828" t="s">
        <v>3463</v>
      </c>
      <c r="BW828" t="s">
        <v>3463</v>
      </c>
      <c r="BX828" t="s">
        <v>79</v>
      </c>
      <c r="BY828" t="s">
        <v>79</v>
      </c>
      <c r="BZ828" t="s">
        <v>79</v>
      </c>
      <c r="CA828" s="10">
        <v>45911</v>
      </c>
    </row>
    <row r="829" spans="1:79">
      <c r="A829">
        <v>836</v>
      </c>
      <c r="B829">
        <v>158</v>
      </c>
      <c r="C829">
        <v>49</v>
      </c>
      <c r="D829" t="s">
        <v>3462</v>
      </c>
      <c r="E829" t="s">
        <v>1994</v>
      </c>
      <c r="F829" t="s">
        <v>150</v>
      </c>
      <c r="G829" s="12" t="s">
        <v>3465</v>
      </c>
      <c r="H829" s="12" t="s">
        <v>88</v>
      </c>
      <c r="I829">
        <v>62</v>
      </c>
      <c r="J829">
        <v>65</v>
      </c>
      <c r="K829">
        <v>178</v>
      </c>
      <c r="L829">
        <v>91</v>
      </c>
      <c r="M829" t="s">
        <v>72</v>
      </c>
      <c r="N829">
        <v>150</v>
      </c>
      <c r="O829">
        <v>102</v>
      </c>
      <c r="P829" t="s">
        <v>72</v>
      </c>
      <c r="Q829" t="s">
        <v>72</v>
      </c>
      <c r="R829">
        <v>98.8</v>
      </c>
      <c r="S829">
        <v>162.5</v>
      </c>
      <c r="T829" s="8">
        <f t="shared" si="24"/>
        <v>37.415384615384617</v>
      </c>
      <c r="U829" s="13" t="str" cm="1">
        <f t="array" ref="U829">IF(T829="","",_xlfn.IFS(T829&lt;18.5,"Bajo peso",T829&lt;25,"Peso normal",T829&lt;30,"Sobrepeso",T829&lt;35,"Obesidad clase I",T829&lt;40,"Obesidad clase II",T829&gt;=40,"Obesidad clase III"))</f>
        <v>Obesidad clase II</v>
      </c>
      <c r="V829">
        <v>96</v>
      </c>
      <c r="X829" t="s">
        <v>3463</v>
      </c>
      <c r="Y829">
        <v>1.04</v>
      </c>
      <c r="AA829">
        <v>89</v>
      </c>
      <c r="AB829" s="9">
        <f t="shared" si="25"/>
        <v>88.021745521071978</v>
      </c>
      <c r="AD829" t="s">
        <v>73</v>
      </c>
      <c r="AF829" t="s">
        <v>73</v>
      </c>
      <c r="AH829" t="s">
        <v>3463</v>
      </c>
      <c r="AI829" t="s">
        <v>3465</v>
      </c>
      <c r="AJ829" t="s">
        <v>3465</v>
      </c>
      <c r="AK829" t="s">
        <v>3463</v>
      </c>
      <c r="AL829" t="s">
        <v>3465</v>
      </c>
      <c r="AM829" t="s">
        <v>2043</v>
      </c>
      <c r="AN829" t="s">
        <v>3793</v>
      </c>
      <c r="AO829" t="s">
        <v>3463</v>
      </c>
      <c r="AP829" t="s">
        <v>3465</v>
      </c>
      <c r="AQ829" t="s">
        <v>2044</v>
      </c>
      <c r="AR829" t="s">
        <v>3488</v>
      </c>
      <c r="AS829" t="s">
        <v>3465</v>
      </c>
      <c r="AV829" t="s">
        <v>112</v>
      </c>
      <c r="AW829" t="s">
        <v>3917</v>
      </c>
      <c r="BA829" t="s">
        <v>3920</v>
      </c>
      <c r="BC829" t="s">
        <v>128</v>
      </c>
      <c r="BE829" t="s">
        <v>2045</v>
      </c>
      <c r="BF829" t="s">
        <v>2203</v>
      </c>
      <c r="BG829" t="s">
        <v>2046</v>
      </c>
      <c r="BH829" t="s">
        <v>4021</v>
      </c>
      <c r="BK829" t="s">
        <v>911</v>
      </c>
      <c r="BL829" t="s">
        <v>2047</v>
      </c>
      <c r="BP829" t="s">
        <v>4423</v>
      </c>
      <c r="BQ829" t="s">
        <v>3463</v>
      </c>
      <c r="BR829" t="s">
        <v>3463</v>
      </c>
      <c r="BS829" t="s">
        <v>3463</v>
      </c>
      <c r="BT829" t="s">
        <v>3463</v>
      </c>
      <c r="BU829" t="s">
        <v>3463</v>
      </c>
      <c r="BV829" t="s">
        <v>3463</v>
      </c>
      <c r="BW829" t="s">
        <v>3463</v>
      </c>
      <c r="BX829" t="s">
        <v>79</v>
      </c>
      <c r="BY829" t="s">
        <v>79</v>
      </c>
      <c r="BZ829" t="s">
        <v>79</v>
      </c>
      <c r="CA829" s="10">
        <v>45911</v>
      </c>
    </row>
    <row r="830" spans="1:79">
      <c r="A830">
        <v>837</v>
      </c>
      <c r="B830">
        <v>159</v>
      </c>
      <c r="C830">
        <v>47</v>
      </c>
      <c r="D830" t="s">
        <v>3462</v>
      </c>
      <c r="F830" t="s">
        <v>150</v>
      </c>
      <c r="G830" s="12" t="s">
        <v>3463</v>
      </c>
      <c r="I830">
        <v>59</v>
      </c>
      <c r="K830">
        <v>127</v>
      </c>
      <c r="L830">
        <v>83</v>
      </c>
      <c r="M830" t="s">
        <v>82</v>
      </c>
      <c r="P830" t="s">
        <v>83</v>
      </c>
      <c r="Q830" t="s">
        <v>82</v>
      </c>
      <c r="R830">
        <v>101</v>
      </c>
      <c r="S830">
        <v>179</v>
      </c>
      <c r="T830" s="8">
        <f t="shared" si="24"/>
        <v>31.522112293623795</v>
      </c>
      <c r="U830" s="13" t="str" cm="1">
        <f t="array" ref="U830">IF(T830="","",_xlfn.IFS(T830&lt;18.5,"Bajo peso",T830&lt;25,"Peso normal",T830&lt;30,"Sobrepeso",T830&lt;35,"Obesidad clase I",T830&lt;40,"Obesidad clase II",T830&gt;=40,"Obesidad clase III"))</f>
        <v>Obesidad clase I</v>
      </c>
      <c r="V830">
        <v>78</v>
      </c>
      <c r="X830" t="s">
        <v>3463</v>
      </c>
      <c r="Y830">
        <v>0.89</v>
      </c>
      <c r="AA830">
        <v>90</v>
      </c>
      <c r="AB830" s="9">
        <f t="shared" si="25"/>
        <v>106.36688562392135</v>
      </c>
      <c r="AD830" t="s">
        <v>73</v>
      </c>
      <c r="AF830" t="s">
        <v>73</v>
      </c>
      <c r="AH830" t="s">
        <v>3463</v>
      </c>
      <c r="AI830" t="s">
        <v>3465</v>
      </c>
      <c r="AJ830" t="s">
        <v>3463</v>
      </c>
      <c r="AK830" t="s">
        <v>3463</v>
      </c>
      <c r="AL830" t="s">
        <v>3465</v>
      </c>
      <c r="AM830" t="s">
        <v>2048</v>
      </c>
      <c r="AN830" t="s">
        <v>3794</v>
      </c>
      <c r="AP830" t="s">
        <v>3463</v>
      </c>
      <c r="AQ830" t="s">
        <v>2049</v>
      </c>
      <c r="AR830" t="s">
        <v>3491</v>
      </c>
      <c r="AS830" t="s">
        <v>3465</v>
      </c>
      <c r="AV830" t="s">
        <v>126</v>
      </c>
      <c r="AW830" t="s">
        <v>126</v>
      </c>
      <c r="BF830" t="s">
        <v>3921</v>
      </c>
      <c r="BH830" t="s">
        <v>4020</v>
      </c>
      <c r="BP830" t="s">
        <v>4260</v>
      </c>
      <c r="BQ830" t="s">
        <v>3463</v>
      </c>
      <c r="BR830" t="s">
        <v>3463</v>
      </c>
      <c r="BT830" t="s">
        <v>3465</v>
      </c>
      <c r="BU830" t="s">
        <v>3463</v>
      </c>
      <c r="BV830" t="s">
        <v>3463</v>
      </c>
      <c r="BW830" t="s">
        <v>3463</v>
      </c>
      <c r="BX830" t="s">
        <v>79</v>
      </c>
      <c r="BY830" t="s">
        <v>79</v>
      </c>
      <c r="BZ830" t="s">
        <v>79</v>
      </c>
      <c r="CA830" s="10">
        <v>45911</v>
      </c>
    </row>
    <row r="831" spans="1:79">
      <c r="A831">
        <v>838</v>
      </c>
      <c r="B831">
        <v>160</v>
      </c>
      <c r="C831">
        <v>73</v>
      </c>
      <c r="D831" t="s">
        <v>3466</v>
      </c>
      <c r="F831" t="s">
        <v>150</v>
      </c>
      <c r="G831" s="12" t="s">
        <v>3463</v>
      </c>
      <c r="I831">
        <v>62</v>
      </c>
      <c r="J831">
        <v>60</v>
      </c>
      <c r="K831">
        <v>140</v>
      </c>
      <c r="L831">
        <v>61</v>
      </c>
      <c r="M831" t="s">
        <v>72</v>
      </c>
      <c r="N831">
        <v>148</v>
      </c>
      <c r="O831">
        <v>72</v>
      </c>
      <c r="P831" t="s">
        <v>72</v>
      </c>
      <c r="Q831" t="s">
        <v>72</v>
      </c>
      <c r="R831">
        <v>57.2</v>
      </c>
      <c r="S831">
        <v>153</v>
      </c>
      <c r="T831" s="8">
        <f t="shared" si="24"/>
        <v>24.435046349694563</v>
      </c>
      <c r="U831" s="13" t="str" cm="1">
        <f t="array" ref="U831">IF(T831="","",_xlfn.IFS(T831&lt;18.5,"Bajo peso",T831&lt;25,"Peso normal",T831&lt;30,"Sobrepeso",T831&lt;35,"Obesidad clase I",T831&lt;40,"Obesidad clase II",T831&gt;=40,"Obesidad clase III"))</f>
        <v>Peso normal</v>
      </c>
      <c r="V831">
        <v>87</v>
      </c>
      <c r="X831" t="s">
        <v>3463</v>
      </c>
      <c r="Y831">
        <v>0.63</v>
      </c>
      <c r="AA831">
        <v>90</v>
      </c>
      <c r="AB831" s="9">
        <f t="shared" si="25"/>
        <v>93.610132078232127</v>
      </c>
      <c r="AD831" t="s">
        <v>73</v>
      </c>
      <c r="AF831" t="s">
        <v>73</v>
      </c>
      <c r="AH831" t="s">
        <v>3463</v>
      </c>
      <c r="AI831" t="s">
        <v>3465</v>
      </c>
      <c r="AJ831" t="s">
        <v>3463</v>
      </c>
      <c r="AK831" t="s">
        <v>3463</v>
      </c>
      <c r="AL831" t="s">
        <v>3465</v>
      </c>
      <c r="AM831" t="s">
        <v>2051</v>
      </c>
      <c r="AN831" t="s">
        <v>3679</v>
      </c>
      <c r="AP831" t="s">
        <v>3463</v>
      </c>
      <c r="AQ831" t="s">
        <v>881</v>
      </c>
      <c r="AR831" t="s">
        <v>3488</v>
      </c>
      <c r="AS831" t="s">
        <v>3465</v>
      </c>
      <c r="AT831" t="s">
        <v>3465</v>
      </c>
      <c r="AU831" t="s">
        <v>80</v>
      </c>
      <c r="AV831" t="s">
        <v>74</v>
      </c>
      <c r="AW831" t="s">
        <v>3915</v>
      </c>
      <c r="AX831" t="s">
        <v>3463</v>
      </c>
      <c r="AY831" t="s">
        <v>3463</v>
      </c>
      <c r="BF831" t="s">
        <v>3921</v>
      </c>
      <c r="BH831" t="s">
        <v>4020</v>
      </c>
      <c r="BP831" t="s">
        <v>4260</v>
      </c>
      <c r="BQ831" t="s">
        <v>3463</v>
      </c>
      <c r="BR831" t="s">
        <v>3463</v>
      </c>
      <c r="BS831" t="s">
        <v>3465</v>
      </c>
      <c r="BT831" t="s">
        <v>3465</v>
      </c>
      <c r="BU831" t="s">
        <v>3463</v>
      </c>
      <c r="BV831" t="s">
        <v>3463</v>
      </c>
      <c r="BW831" t="s">
        <v>3463</v>
      </c>
      <c r="BX831" t="s">
        <v>79</v>
      </c>
      <c r="BY831" t="s">
        <v>87</v>
      </c>
      <c r="BZ831" t="s">
        <v>79</v>
      </c>
      <c r="CA831" s="10">
        <v>45911</v>
      </c>
    </row>
    <row r="832" spans="1:79">
      <c r="A832">
        <v>839</v>
      </c>
      <c r="B832">
        <v>160</v>
      </c>
      <c r="C832">
        <v>48</v>
      </c>
      <c r="D832" t="s">
        <v>3462</v>
      </c>
      <c r="F832" t="s">
        <v>150</v>
      </c>
      <c r="G832" s="12" t="s">
        <v>3463</v>
      </c>
      <c r="I832">
        <v>78</v>
      </c>
      <c r="J832">
        <v>73</v>
      </c>
      <c r="K832">
        <v>151</v>
      </c>
      <c r="L832">
        <v>98</v>
      </c>
      <c r="M832" t="s">
        <v>72</v>
      </c>
      <c r="N832">
        <v>155</v>
      </c>
      <c r="O832">
        <v>101</v>
      </c>
      <c r="P832" t="s">
        <v>72</v>
      </c>
      <c r="Q832" t="s">
        <v>72</v>
      </c>
      <c r="R832">
        <v>71</v>
      </c>
      <c r="S832">
        <v>166</v>
      </c>
      <c r="T832" s="8">
        <f t="shared" si="24"/>
        <v>25.765713456234575</v>
      </c>
      <c r="U832" s="13" t="str" cm="1">
        <f t="array" ref="U832">IF(T832="","",_xlfn.IFS(T832&lt;18.5,"Bajo peso",T832&lt;25,"Peso normal",T832&lt;30,"Sobrepeso",T832&lt;35,"Obesidad clase I",T832&lt;40,"Obesidad clase II",T832&gt;=40,"Obesidad clase III"))</f>
        <v>Sobrepeso</v>
      </c>
      <c r="V832">
        <v>87</v>
      </c>
      <c r="X832" t="s">
        <v>3463</v>
      </c>
      <c r="Y832">
        <v>1.19</v>
      </c>
      <c r="AA832">
        <v>75</v>
      </c>
      <c r="AB832" s="9">
        <f t="shared" si="25"/>
        <v>75.348504628023889</v>
      </c>
      <c r="AD832" t="s">
        <v>73</v>
      </c>
      <c r="AF832" t="s">
        <v>73</v>
      </c>
      <c r="AH832" t="s">
        <v>3463</v>
      </c>
      <c r="AI832" t="s">
        <v>3463</v>
      </c>
      <c r="AJ832" t="s">
        <v>3463</v>
      </c>
      <c r="AK832" t="s">
        <v>3463</v>
      </c>
      <c r="AL832" t="s">
        <v>3463</v>
      </c>
      <c r="AP832" t="s">
        <v>3463</v>
      </c>
      <c r="AV832" t="s">
        <v>126</v>
      </c>
      <c r="AW832" t="s">
        <v>126</v>
      </c>
      <c r="BF832" t="s">
        <v>3921</v>
      </c>
      <c r="BG832" t="s">
        <v>1662</v>
      </c>
      <c r="BH832" t="s">
        <v>4021</v>
      </c>
      <c r="BI832" t="s">
        <v>76</v>
      </c>
      <c r="BK832" t="s">
        <v>911</v>
      </c>
      <c r="BL832" t="s">
        <v>2050</v>
      </c>
      <c r="BP832" t="s">
        <v>4261</v>
      </c>
      <c r="BQ832" t="s">
        <v>3463</v>
      </c>
      <c r="BR832" t="s">
        <v>3463</v>
      </c>
      <c r="BS832" t="s">
        <v>3463</v>
      </c>
      <c r="BT832" t="s">
        <v>3463</v>
      </c>
      <c r="BU832" t="s">
        <v>3463</v>
      </c>
      <c r="BV832" t="s">
        <v>3463</v>
      </c>
      <c r="BW832" t="s">
        <v>3463</v>
      </c>
      <c r="BX832" t="s">
        <v>79</v>
      </c>
      <c r="BY832" t="s">
        <v>79</v>
      </c>
      <c r="BZ832" t="s">
        <v>79</v>
      </c>
      <c r="CA832" s="10">
        <v>45911</v>
      </c>
    </row>
    <row r="833" spans="1:79">
      <c r="A833">
        <v>840</v>
      </c>
      <c r="B833">
        <v>162</v>
      </c>
      <c r="C833">
        <v>66</v>
      </c>
      <c r="D833" t="s">
        <v>3466</v>
      </c>
      <c r="E833" t="s">
        <v>2052</v>
      </c>
      <c r="F833" t="s">
        <v>150</v>
      </c>
      <c r="G833" s="12" t="s">
        <v>3463</v>
      </c>
      <c r="I833">
        <v>69</v>
      </c>
      <c r="J833">
        <v>74</v>
      </c>
      <c r="K833">
        <v>151</v>
      </c>
      <c r="L833">
        <v>72</v>
      </c>
      <c r="M833" t="s">
        <v>72</v>
      </c>
      <c r="N833">
        <v>166</v>
      </c>
      <c r="O833">
        <v>85</v>
      </c>
      <c r="P833" t="s">
        <v>72</v>
      </c>
      <c r="Q833" t="s">
        <v>72</v>
      </c>
      <c r="R833">
        <v>71.45</v>
      </c>
      <c r="S833">
        <v>148</v>
      </c>
      <c r="T833" s="8">
        <f t="shared" si="24"/>
        <v>32.619612856099344</v>
      </c>
      <c r="U833" s="13" t="str" cm="1">
        <f t="array" ref="U833">IF(T833="","",_xlfn.IFS(T833&lt;18.5,"Bajo peso",T833&lt;25,"Peso normal",T833&lt;30,"Sobrepeso",T833&lt;35,"Obesidad clase I",T833&lt;40,"Obesidad clase II",T833&gt;=40,"Obesidad clase III"))</f>
        <v>Obesidad clase I</v>
      </c>
      <c r="V833">
        <v>90</v>
      </c>
      <c r="X833" t="s">
        <v>3463</v>
      </c>
      <c r="Y833">
        <v>0.72</v>
      </c>
      <c r="AA833">
        <v>90</v>
      </c>
      <c r="AB833" s="9">
        <f t="shared" si="25"/>
        <v>92.155446619636635</v>
      </c>
      <c r="AD833" t="s">
        <v>73</v>
      </c>
      <c r="AF833" t="s">
        <v>73</v>
      </c>
      <c r="AH833" t="s">
        <v>3463</v>
      </c>
      <c r="AI833" t="s">
        <v>3465</v>
      </c>
      <c r="AJ833" t="s">
        <v>3464</v>
      </c>
      <c r="AK833" t="s">
        <v>3463</v>
      </c>
      <c r="AL833" t="s">
        <v>3463</v>
      </c>
      <c r="AO833" t="s">
        <v>3463</v>
      </c>
      <c r="AP833" t="s">
        <v>3465</v>
      </c>
      <c r="AQ833" t="s">
        <v>169</v>
      </c>
      <c r="AR833" t="s">
        <v>3493</v>
      </c>
      <c r="AS833" t="s">
        <v>3465</v>
      </c>
      <c r="AT833" t="s">
        <v>3465</v>
      </c>
      <c r="AU833" t="s">
        <v>80</v>
      </c>
      <c r="AV833" t="s">
        <v>74</v>
      </c>
      <c r="AW833" t="s">
        <v>3915</v>
      </c>
      <c r="AY833" t="s">
        <v>3465</v>
      </c>
      <c r="AZ833" t="s">
        <v>665</v>
      </c>
      <c r="BA833" t="s">
        <v>3920</v>
      </c>
      <c r="BF833" t="s">
        <v>3921</v>
      </c>
      <c r="BG833" t="s">
        <v>2053</v>
      </c>
      <c r="BH833" t="s">
        <v>4021</v>
      </c>
      <c r="BK833" t="s">
        <v>2054</v>
      </c>
      <c r="BL833" t="s">
        <v>2055</v>
      </c>
      <c r="BP833" t="s">
        <v>4260</v>
      </c>
      <c r="BQ833" t="s">
        <v>3463</v>
      </c>
      <c r="BR833" t="s">
        <v>3465</v>
      </c>
      <c r="BS833" t="s">
        <v>3463</v>
      </c>
      <c r="BT833" t="s">
        <v>3463</v>
      </c>
      <c r="BU833" t="s">
        <v>3463</v>
      </c>
      <c r="BV833" t="s">
        <v>3463</v>
      </c>
      <c r="BW833" t="s">
        <v>3463</v>
      </c>
      <c r="BX833" t="s">
        <v>79</v>
      </c>
      <c r="BY833" t="s">
        <v>87</v>
      </c>
      <c r="BZ833" t="s">
        <v>79</v>
      </c>
      <c r="CA833" s="10">
        <v>45911</v>
      </c>
    </row>
    <row r="834" spans="1:79">
      <c r="A834">
        <v>841</v>
      </c>
      <c r="B834">
        <v>163</v>
      </c>
      <c r="C834">
        <v>46</v>
      </c>
      <c r="D834" t="s">
        <v>3466</v>
      </c>
      <c r="E834" t="s">
        <v>1659</v>
      </c>
      <c r="F834" t="s">
        <v>150</v>
      </c>
      <c r="G834" s="12" t="s">
        <v>3465</v>
      </c>
      <c r="H834" t="s">
        <v>88</v>
      </c>
      <c r="I834">
        <v>78</v>
      </c>
      <c r="K834">
        <v>135</v>
      </c>
      <c r="L834">
        <v>79</v>
      </c>
      <c r="M834" t="s">
        <v>82</v>
      </c>
      <c r="P834" t="s">
        <v>83</v>
      </c>
      <c r="Q834" t="s">
        <v>82</v>
      </c>
      <c r="R834">
        <v>94.6</v>
      </c>
      <c r="S834">
        <v>155</v>
      </c>
      <c r="T834" s="8">
        <f t="shared" ref="T834:T897" si="26">IFERROR(R834/(S834^2)*10000,"")</f>
        <v>39.375650364203949</v>
      </c>
      <c r="U834" s="13" t="str" cm="1">
        <f t="array" ref="U834">IF(T834="","",_xlfn.IFS(T834&lt;18.5,"Bajo peso",T834&lt;25,"Peso normal",T834&lt;30,"Sobrepeso",T834&lt;35,"Obesidad clase I",T834&lt;40,"Obesidad clase II",T834&gt;=40,"Obesidad clase III"))</f>
        <v>Obesidad clase II</v>
      </c>
      <c r="V834">
        <v>169</v>
      </c>
      <c r="X834" t="s">
        <v>3463</v>
      </c>
      <c r="Y834">
        <v>0.64</v>
      </c>
      <c r="AA834">
        <v>90</v>
      </c>
      <c r="AB834" s="9">
        <f t="shared" ref="AB834:AB897" si="27">IF(OR(C834="",D834="",Y834=""),"",142*POWER(MIN(Y834/IF(D834="Mujer",0.7,0.9),1),IF(D834="Mujer",-0.241,-0.302))*POWER(MAX(Y834/IF(D834="Mujer",0.7,0.9),1),-1.2)*POWER(0.9938,C834)*IF(D834="Mujer",1.012,1))</f>
        <v>110.30666684499958</v>
      </c>
      <c r="AD834" t="s">
        <v>73</v>
      </c>
      <c r="AF834" t="s">
        <v>73</v>
      </c>
      <c r="AG834" t="s">
        <v>3465</v>
      </c>
      <c r="AH834" t="s">
        <v>3465</v>
      </c>
      <c r="AI834" t="s">
        <v>3465</v>
      </c>
      <c r="AJ834" t="s">
        <v>3463</v>
      </c>
      <c r="AK834" t="s">
        <v>3463</v>
      </c>
      <c r="AL834" t="s">
        <v>3463</v>
      </c>
      <c r="AP834" t="s">
        <v>3464</v>
      </c>
      <c r="AQ834" t="s">
        <v>143</v>
      </c>
      <c r="AR834" t="s">
        <v>3493</v>
      </c>
      <c r="AS834" t="s">
        <v>3463</v>
      </c>
      <c r="AV834" t="s">
        <v>74</v>
      </c>
      <c r="AW834" t="s">
        <v>3915</v>
      </c>
      <c r="AX834" t="s">
        <v>3463</v>
      </c>
      <c r="AY834" t="s">
        <v>3465</v>
      </c>
      <c r="AZ834" t="s">
        <v>90</v>
      </c>
      <c r="BF834" t="s">
        <v>3921</v>
      </c>
      <c r="BH834" t="s">
        <v>4020</v>
      </c>
      <c r="BP834" t="s">
        <v>4260</v>
      </c>
      <c r="BQ834" t="s">
        <v>3465</v>
      </c>
      <c r="BR834" t="s">
        <v>3465</v>
      </c>
      <c r="BS834" t="s">
        <v>3465</v>
      </c>
      <c r="BT834" t="s">
        <v>3465</v>
      </c>
      <c r="BU834" t="s">
        <v>3465</v>
      </c>
      <c r="BV834" t="s">
        <v>3465</v>
      </c>
      <c r="BW834" t="s">
        <v>3465</v>
      </c>
      <c r="BX834" t="s">
        <v>79</v>
      </c>
      <c r="BY834" t="s">
        <v>87</v>
      </c>
      <c r="BZ834" t="s">
        <v>79</v>
      </c>
      <c r="CA834" s="10">
        <v>45911</v>
      </c>
    </row>
    <row r="835" spans="1:79">
      <c r="A835">
        <v>842</v>
      </c>
      <c r="B835">
        <v>164</v>
      </c>
      <c r="C835">
        <v>65</v>
      </c>
      <c r="D835" t="s">
        <v>3466</v>
      </c>
      <c r="F835" t="s">
        <v>150</v>
      </c>
      <c r="G835" s="12" t="s">
        <v>3463</v>
      </c>
      <c r="H835" s="12"/>
      <c r="M835" t="s">
        <v>83</v>
      </c>
      <c r="P835" t="s">
        <v>83</v>
      </c>
      <c r="Q835" t="s">
        <v>83</v>
      </c>
      <c r="T835" s="8" t="str">
        <f t="shared" si="26"/>
        <v/>
      </c>
      <c r="U835" s="13" t="str" cm="1">
        <f t="array" ref="U835">IF(T835="","",_xlfn.IFS(T835&lt;18.5,"Bajo peso",T835&lt;25,"Peso normal",T835&lt;30,"Sobrepeso",T835&lt;35,"Obesidad clase I",T835&lt;40,"Obesidad clase II",T835&gt;=40,"Obesidad clase III"))</f>
        <v/>
      </c>
      <c r="AB835" s="9" t="str">
        <f t="shared" si="27"/>
        <v/>
      </c>
      <c r="AH835" t="s">
        <v>3463</v>
      </c>
      <c r="AI835" t="s">
        <v>3465</v>
      </c>
      <c r="AJ835" t="s">
        <v>3463</v>
      </c>
      <c r="AK835" t="s">
        <v>3463</v>
      </c>
      <c r="AL835" t="s">
        <v>3465</v>
      </c>
      <c r="AM835" t="s">
        <v>2056</v>
      </c>
      <c r="AN835" t="s">
        <v>3795</v>
      </c>
      <c r="AP835" t="s">
        <v>3463</v>
      </c>
      <c r="AQ835" t="s">
        <v>2057</v>
      </c>
      <c r="AR835" t="s">
        <v>3489</v>
      </c>
      <c r="AS835" t="s">
        <v>3465</v>
      </c>
      <c r="AT835" t="s">
        <v>3465</v>
      </c>
      <c r="AU835" t="s">
        <v>80</v>
      </c>
      <c r="AV835" t="s">
        <v>74</v>
      </c>
      <c r="AW835" t="s">
        <v>3915</v>
      </c>
      <c r="AY835" t="s">
        <v>3465</v>
      </c>
      <c r="AZ835" t="s">
        <v>90</v>
      </c>
      <c r="BF835" t="s">
        <v>3921</v>
      </c>
      <c r="BH835" t="s">
        <v>4020</v>
      </c>
      <c r="BP835" t="s">
        <v>4260</v>
      </c>
      <c r="BQ835" t="s">
        <v>3463</v>
      </c>
      <c r="BR835" t="s">
        <v>3463</v>
      </c>
      <c r="BS835" t="s">
        <v>3465</v>
      </c>
      <c r="BT835" t="s">
        <v>3465</v>
      </c>
      <c r="BU835" t="s">
        <v>3463</v>
      </c>
      <c r="BV835" t="s">
        <v>3463</v>
      </c>
      <c r="BW835" t="s">
        <v>3463</v>
      </c>
      <c r="BX835" t="s">
        <v>79</v>
      </c>
      <c r="BY835" t="s">
        <v>87</v>
      </c>
      <c r="BZ835" t="s">
        <v>79</v>
      </c>
      <c r="CA835" s="10">
        <v>45911</v>
      </c>
    </row>
    <row r="836" spans="1:79">
      <c r="A836">
        <v>843</v>
      </c>
      <c r="B836">
        <v>165</v>
      </c>
      <c r="C836">
        <v>56</v>
      </c>
      <c r="D836" t="s">
        <v>3466</v>
      </c>
      <c r="F836" t="s">
        <v>150</v>
      </c>
      <c r="G836" s="12" t="s">
        <v>3465</v>
      </c>
      <c r="H836" t="s">
        <v>88</v>
      </c>
      <c r="I836">
        <v>65</v>
      </c>
      <c r="K836">
        <v>110</v>
      </c>
      <c r="L836">
        <v>74</v>
      </c>
      <c r="M836" t="s">
        <v>80</v>
      </c>
      <c r="P836" t="s">
        <v>83</v>
      </c>
      <c r="Q836" t="s">
        <v>80</v>
      </c>
      <c r="R836">
        <v>66</v>
      </c>
      <c r="S836">
        <v>153</v>
      </c>
      <c r="T836" s="8">
        <f t="shared" si="26"/>
        <v>28.19428424964757</v>
      </c>
      <c r="U836" s="13" t="str" cm="1">
        <f t="array" ref="U836">IF(T836="","",_xlfn.IFS(T836&lt;18.5,"Bajo peso",T836&lt;25,"Peso normal",T836&lt;30,"Sobrepeso",T836&lt;35,"Obesidad clase I",T836&lt;40,"Obesidad clase II",T836&gt;=40,"Obesidad clase III"))</f>
        <v>Sobrepeso</v>
      </c>
      <c r="V836">
        <v>80</v>
      </c>
      <c r="X836" t="s">
        <v>3463</v>
      </c>
      <c r="Y836">
        <v>0.74</v>
      </c>
      <c r="AA836">
        <v>90</v>
      </c>
      <c r="AB836" s="9">
        <f t="shared" si="27"/>
        <v>94.896897948637687</v>
      </c>
      <c r="AD836" t="s">
        <v>73</v>
      </c>
      <c r="AF836" t="s">
        <v>73</v>
      </c>
      <c r="AH836" t="s">
        <v>3463</v>
      </c>
      <c r="AI836" t="s">
        <v>3463</v>
      </c>
      <c r="AJ836" t="s">
        <v>3463</v>
      </c>
      <c r="AK836" t="s">
        <v>3463</v>
      </c>
      <c r="AL836" t="s">
        <v>3463</v>
      </c>
      <c r="AP836" t="s">
        <v>3463</v>
      </c>
      <c r="AQ836" t="s">
        <v>1123</v>
      </c>
      <c r="AR836" t="s">
        <v>3491</v>
      </c>
      <c r="AT836" t="s">
        <v>3465</v>
      </c>
      <c r="AU836" t="s">
        <v>80</v>
      </c>
      <c r="AV836" t="s">
        <v>74</v>
      </c>
      <c r="AW836" t="s">
        <v>3915</v>
      </c>
      <c r="AX836" t="s">
        <v>3465</v>
      </c>
      <c r="AY836" t="s">
        <v>3463</v>
      </c>
      <c r="BF836" t="s">
        <v>3921</v>
      </c>
      <c r="BH836" t="s">
        <v>4020</v>
      </c>
      <c r="BP836" t="s">
        <v>4260</v>
      </c>
      <c r="BQ836" t="s">
        <v>3463</v>
      </c>
      <c r="BR836" t="s">
        <v>3463</v>
      </c>
      <c r="BS836" t="s">
        <v>3463</v>
      </c>
      <c r="BT836" t="s">
        <v>3463</v>
      </c>
      <c r="BU836" t="s">
        <v>3463</v>
      </c>
      <c r="BV836" t="s">
        <v>3463</v>
      </c>
      <c r="BW836" t="s">
        <v>3463</v>
      </c>
      <c r="BX836" t="s">
        <v>654</v>
      </c>
      <c r="BY836" t="s">
        <v>87</v>
      </c>
      <c r="BZ836" t="s">
        <v>95</v>
      </c>
      <c r="CA836" s="10">
        <v>45911</v>
      </c>
    </row>
    <row r="837" spans="1:79">
      <c r="A837">
        <v>844</v>
      </c>
      <c r="B837">
        <v>166</v>
      </c>
      <c r="C837">
        <v>18</v>
      </c>
      <c r="D837" t="s">
        <v>3466</v>
      </c>
      <c r="E837" t="s">
        <v>1659</v>
      </c>
      <c r="F837" t="s">
        <v>150</v>
      </c>
      <c r="G837" s="12" t="s">
        <v>3465</v>
      </c>
      <c r="H837" s="12" t="s">
        <v>88</v>
      </c>
      <c r="I837">
        <v>68</v>
      </c>
      <c r="K837">
        <v>123</v>
      </c>
      <c r="L837">
        <v>62</v>
      </c>
      <c r="M837" t="s">
        <v>118</v>
      </c>
      <c r="P837" t="s">
        <v>83</v>
      </c>
      <c r="Q837" t="s">
        <v>118</v>
      </c>
      <c r="R837">
        <v>104.15</v>
      </c>
      <c r="S837">
        <v>160</v>
      </c>
      <c r="T837" s="8">
        <f t="shared" si="26"/>
        <v>40.683593750000007</v>
      </c>
      <c r="U837" s="13" t="str" cm="1">
        <f t="array" ref="U837">IF(T837="","",_xlfn.IFS(T837&lt;18.5,"Bajo peso",T837&lt;25,"Peso normal",T837&lt;30,"Sobrepeso",T837&lt;35,"Obesidad clase I",T837&lt;40,"Obesidad clase II",T837&gt;=40,"Obesidad clase III"))</f>
        <v>Obesidad clase III</v>
      </c>
      <c r="V837">
        <v>78</v>
      </c>
      <c r="X837" t="s">
        <v>3463</v>
      </c>
      <c r="Y837">
        <v>0.75</v>
      </c>
      <c r="AA837">
        <v>90</v>
      </c>
      <c r="AB837" s="9">
        <f t="shared" si="27"/>
        <v>118.27551621407633</v>
      </c>
      <c r="AD837" t="s">
        <v>73</v>
      </c>
      <c r="AF837" t="s">
        <v>73</v>
      </c>
      <c r="AG837" t="s">
        <v>3463</v>
      </c>
      <c r="AH837" t="s">
        <v>3465</v>
      </c>
      <c r="AI837" t="s">
        <v>3463</v>
      </c>
      <c r="AJ837" t="s">
        <v>3463</v>
      </c>
      <c r="AK837" t="s">
        <v>3465</v>
      </c>
      <c r="AL837" t="s">
        <v>3463</v>
      </c>
      <c r="AP837" t="s">
        <v>3463</v>
      </c>
      <c r="AQ837" t="s">
        <v>1531</v>
      </c>
      <c r="AR837" t="s">
        <v>3504</v>
      </c>
      <c r="AV837" t="s">
        <v>74</v>
      </c>
      <c r="AW837" t="s">
        <v>3915</v>
      </c>
      <c r="AX837" t="s">
        <v>3463</v>
      </c>
      <c r="BF837" t="s">
        <v>3921</v>
      </c>
      <c r="BH837" t="s">
        <v>4020</v>
      </c>
      <c r="BP837" t="s">
        <v>4260</v>
      </c>
      <c r="BQ837" t="s">
        <v>3463</v>
      </c>
      <c r="BR837" t="s">
        <v>3463</v>
      </c>
      <c r="BS837" t="s">
        <v>3465</v>
      </c>
      <c r="BT837" t="s">
        <v>3465</v>
      </c>
      <c r="BU837" t="s">
        <v>3465</v>
      </c>
      <c r="BV837" t="s">
        <v>3465</v>
      </c>
      <c r="BW837" t="s">
        <v>3465</v>
      </c>
      <c r="BX837" t="s">
        <v>121</v>
      </c>
      <c r="BY837" t="s">
        <v>87</v>
      </c>
      <c r="BZ837" t="s">
        <v>79</v>
      </c>
      <c r="CA837" s="10">
        <v>45911</v>
      </c>
    </row>
    <row r="838" spans="1:79">
      <c r="A838">
        <v>845</v>
      </c>
      <c r="B838">
        <v>167</v>
      </c>
      <c r="C838">
        <v>75</v>
      </c>
      <c r="D838" t="s">
        <v>3462</v>
      </c>
      <c r="F838" t="s">
        <v>150</v>
      </c>
      <c r="G838" s="12" t="s">
        <v>3463</v>
      </c>
      <c r="I838">
        <v>72</v>
      </c>
      <c r="K838">
        <v>144</v>
      </c>
      <c r="L838">
        <v>67</v>
      </c>
      <c r="M838" t="s">
        <v>72</v>
      </c>
      <c r="P838" t="s">
        <v>83</v>
      </c>
      <c r="Q838" t="s">
        <v>72</v>
      </c>
      <c r="R838">
        <v>63</v>
      </c>
      <c r="S838">
        <v>172</v>
      </c>
      <c r="T838" s="8">
        <f t="shared" si="26"/>
        <v>21.295294753921038</v>
      </c>
      <c r="U838" s="13" t="str" cm="1">
        <f t="array" ref="U838">IF(T838="","",_xlfn.IFS(T838&lt;18.5,"Bajo peso",T838&lt;25,"Peso normal",T838&lt;30,"Sobrepeso",T838&lt;35,"Obesidad clase I",T838&lt;40,"Obesidad clase II",T838&gt;=40,"Obesidad clase III"))</f>
        <v>Peso normal</v>
      </c>
      <c r="V838">
        <v>103</v>
      </c>
      <c r="X838" t="s">
        <v>3463</v>
      </c>
      <c r="Y838">
        <v>0.71</v>
      </c>
      <c r="AA838">
        <v>90</v>
      </c>
      <c r="AB838" s="9">
        <f t="shared" si="27"/>
        <v>95.678419276930541</v>
      </c>
      <c r="AD838" t="s">
        <v>73</v>
      </c>
      <c r="AF838" t="s">
        <v>73</v>
      </c>
      <c r="AG838" t="s">
        <v>3465</v>
      </c>
      <c r="AH838" t="s">
        <v>3465</v>
      </c>
      <c r="AI838" t="s">
        <v>3465</v>
      </c>
      <c r="AJ838" t="s">
        <v>3465</v>
      </c>
      <c r="AK838" t="s">
        <v>3463</v>
      </c>
      <c r="AL838" t="s">
        <v>3465</v>
      </c>
      <c r="AM838" t="s">
        <v>2058</v>
      </c>
      <c r="AN838" t="s">
        <v>3796</v>
      </c>
      <c r="AP838" t="s">
        <v>3463</v>
      </c>
      <c r="AS838" t="s">
        <v>3465</v>
      </c>
      <c r="AV838" t="s">
        <v>126</v>
      </c>
      <c r="AW838" t="s">
        <v>126</v>
      </c>
      <c r="BA838" t="s">
        <v>3920</v>
      </c>
      <c r="BF838" t="s">
        <v>3921</v>
      </c>
      <c r="BG838" t="s">
        <v>2059</v>
      </c>
      <c r="BH838" t="s">
        <v>4021</v>
      </c>
      <c r="BK838" t="s">
        <v>120</v>
      </c>
      <c r="BL838" t="s">
        <v>2060</v>
      </c>
      <c r="BP838" t="s">
        <v>4260</v>
      </c>
      <c r="BQ838" t="s">
        <v>3463</v>
      </c>
      <c r="BR838" t="s">
        <v>3465</v>
      </c>
      <c r="BS838" t="s">
        <v>3463</v>
      </c>
      <c r="BT838" t="s">
        <v>3463</v>
      </c>
      <c r="BU838" t="s">
        <v>3463</v>
      </c>
      <c r="BV838" t="s">
        <v>3463</v>
      </c>
      <c r="BW838" t="s">
        <v>3463</v>
      </c>
      <c r="BX838" t="s">
        <v>79</v>
      </c>
      <c r="BY838" t="s">
        <v>87</v>
      </c>
      <c r="BZ838" t="s">
        <v>79</v>
      </c>
      <c r="CA838" s="10">
        <v>45911</v>
      </c>
    </row>
    <row r="839" spans="1:79">
      <c r="A839">
        <v>846</v>
      </c>
      <c r="B839">
        <v>168</v>
      </c>
      <c r="C839">
        <v>44</v>
      </c>
      <c r="D839" t="s">
        <v>3466</v>
      </c>
      <c r="E839" t="s">
        <v>1659</v>
      </c>
      <c r="F839" t="s">
        <v>150</v>
      </c>
      <c r="G839" s="12" t="s">
        <v>3465</v>
      </c>
      <c r="H839" t="s">
        <v>88</v>
      </c>
      <c r="I839">
        <v>90</v>
      </c>
      <c r="K839">
        <v>155</v>
      </c>
      <c r="L839">
        <v>90</v>
      </c>
      <c r="M839" t="s">
        <v>72</v>
      </c>
      <c r="P839" t="s">
        <v>83</v>
      </c>
      <c r="Q839" t="s">
        <v>72</v>
      </c>
      <c r="R839">
        <v>90.8</v>
      </c>
      <c r="S839">
        <v>151</v>
      </c>
      <c r="T839" s="8">
        <f t="shared" si="26"/>
        <v>39.822814788825049</v>
      </c>
      <c r="U839" s="13" t="str" cm="1">
        <f t="array" ref="U839">IF(T839="","",_xlfn.IFS(T839&lt;18.5,"Bajo peso",T839&lt;25,"Peso normal",T839&lt;30,"Sobrepeso",T839&lt;35,"Obesidad clase I",T839&lt;40,"Obesidad clase II",T839&gt;=40,"Obesidad clase III"))</f>
        <v>Obesidad clase II</v>
      </c>
      <c r="V839">
        <v>113</v>
      </c>
      <c r="X839" t="s">
        <v>3463</v>
      </c>
      <c r="Y839">
        <v>0.74</v>
      </c>
      <c r="AA839">
        <v>90</v>
      </c>
      <c r="AB839" s="9">
        <f t="shared" si="27"/>
        <v>102.25018613049767</v>
      </c>
      <c r="AD839" t="s">
        <v>73</v>
      </c>
      <c r="AF839" t="s">
        <v>73</v>
      </c>
      <c r="AH839" t="s">
        <v>3463</v>
      </c>
      <c r="AI839" t="s">
        <v>3463</v>
      </c>
      <c r="AJ839" t="s">
        <v>3463</v>
      </c>
      <c r="AK839" t="s">
        <v>3463</v>
      </c>
      <c r="AL839" t="s">
        <v>3463</v>
      </c>
      <c r="AP839" t="s">
        <v>3463</v>
      </c>
      <c r="AQ839" t="s">
        <v>120</v>
      </c>
      <c r="AR839" t="s">
        <v>3491</v>
      </c>
      <c r="AV839" t="s">
        <v>178</v>
      </c>
      <c r="AW839" t="s">
        <v>3918</v>
      </c>
      <c r="AX839" t="s">
        <v>3463</v>
      </c>
      <c r="AY839" t="s">
        <v>3465</v>
      </c>
      <c r="AZ839" t="s">
        <v>247</v>
      </c>
      <c r="BA839" t="s">
        <v>3920</v>
      </c>
      <c r="BC839" t="s">
        <v>128</v>
      </c>
      <c r="BF839" t="s">
        <v>3921</v>
      </c>
      <c r="BG839" t="s">
        <v>2061</v>
      </c>
      <c r="BH839" t="s">
        <v>4041</v>
      </c>
      <c r="BI839" t="s">
        <v>76</v>
      </c>
      <c r="BK839" t="s">
        <v>2062</v>
      </c>
      <c r="BL839" t="s">
        <v>2063</v>
      </c>
      <c r="BP839" t="s">
        <v>4488</v>
      </c>
      <c r="BQ839" t="s">
        <v>3465</v>
      </c>
      <c r="BR839" t="s">
        <v>3465</v>
      </c>
      <c r="BS839" t="s">
        <v>3463</v>
      </c>
      <c r="BT839" t="s">
        <v>3463</v>
      </c>
      <c r="BU839" t="s">
        <v>3463</v>
      </c>
      <c r="BV839" t="s">
        <v>3463</v>
      </c>
      <c r="BW839" t="s">
        <v>3463</v>
      </c>
      <c r="BX839" t="s">
        <v>79</v>
      </c>
      <c r="BY839" t="s">
        <v>87</v>
      </c>
      <c r="BZ839" t="s">
        <v>79</v>
      </c>
      <c r="CA839" s="10">
        <v>45911</v>
      </c>
    </row>
    <row r="840" spans="1:79">
      <c r="A840">
        <v>847</v>
      </c>
      <c r="B840">
        <v>170</v>
      </c>
      <c r="C840">
        <v>44</v>
      </c>
      <c r="D840" t="s">
        <v>3462</v>
      </c>
      <c r="E840" t="s">
        <v>2064</v>
      </c>
      <c r="F840" t="s">
        <v>150</v>
      </c>
      <c r="G840" s="12" t="s">
        <v>3463</v>
      </c>
      <c r="I840">
        <v>58</v>
      </c>
      <c r="K840">
        <v>146</v>
      </c>
      <c r="L840">
        <v>83</v>
      </c>
      <c r="M840" t="s">
        <v>72</v>
      </c>
      <c r="P840" t="s">
        <v>83</v>
      </c>
      <c r="Q840" t="s">
        <v>72</v>
      </c>
      <c r="R840">
        <v>88.65</v>
      </c>
      <c r="S840">
        <v>177.5</v>
      </c>
      <c r="T840" s="8">
        <f t="shared" si="26"/>
        <v>28.137274350327317</v>
      </c>
      <c r="U840" s="13" t="str" cm="1">
        <f t="array" ref="U840">IF(T840="","",_xlfn.IFS(T840&lt;18.5,"Bajo peso",T840&lt;25,"Peso normal",T840&lt;30,"Sobrepeso",T840&lt;35,"Obesidad clase I",T840&lt;40,"Obesidad clase II",T840&gt;=40,"Obesidad clase III"))</f>
        <v>Sobrepeso</v>
      </c>
      <c r="V840">
        <v>96</v>
      </c>
      <c r="X840" t="s">
        <v>3463</v>
      </c>
      <c r="Y840">
        <v>0.71</v>
      </c>
      <c r="AA840">
        <v>90</v>
      </c>
      <c r="AB840" s="9">
        <f t="shared" si="27"/>
        <v>116.02330352211195</v>
      </c>
      <c r="AD840" t="s">
        <v>73</v>
      </c>
      <c r="AF840" t="s">
        <v>73</v>
      </c>
      <c r="AH840" t="s">
        <v>3463</v>
      </c>
      <c r="AI840" t="s">
        <v>3463</v>
      </c>
      <c r="AJ840" t="s">
        <v>3463</v>
      </c>
      <c r="AK840" t="s">
        <v>3463</v>
      </c>
      <c r="AL840" t="s">
        <v>3463</v>
      </c>
      <c r="AP840" t="s">
        <v>3463</v>
      </c>
      <c r="AQ840" t="s">
        <v>2065</v>
      </c>
      <c r="AR840" t="s">
        <v>3488</v>
      </c>
      <c r="AV840" t="s">
        <v>126</v>
      </c>
      <c r="AW840" t="s">
        <v>126</v>
      </c>
      <c r="BA840" t="s">
        <v>3920</v>
      </c>
      <c r="BD840" t="s">
        <v>105</v>
      </c>
      <c r="BF840" t="s">
        <v>3921</v>
      </c>
      <c r="BG840" t="s">
        <v>2066</v>
      </c>
      <c r="BH840" t="s">
        <v>4076</v>
      </c>
      <c r="BI840" t="s">
        <v>2067</v>
      </c>
      <c r="BK840" t="s">
        <v>2068</v>
      </c>
      <c r="BL840" t="s">
        <v>2069</v>
      </c>
      <c r="BP840" t="s">
        <v>4489</v>
      </c>
      <c r="BQ840" t="s">
        <v>3465</v>
      </c>
      <c r="BR840" t="s">
        <v>3465</v>
      </c>
      <c r="BS840" t="s">
        <v>3463</v>
      </c>
      <c r="BT840" t="s">
        <v>3463</v>
      </c>
      <c r="BU840" t="s">
        <v>3463</v>
      </c>
      <c r="BV840" t="s">
        <v>3463</v>
      </c>
      <c r="BW840" t="s">
        <v>3463</v>
      </c>
      <c r="BX840" t="s">
        <v>79</v>
      </c>
      <c r="BY840" t="s">
        <v>87</v>
      </c>
      <c r="BZ840" t="s">
        <v>95</v>
      </c>
      <c r="CA840" s="10">
        <v>45911</v>
      </c>
    </row>
    <row r="841" spans="1:79">
      <c r="A841">
        <v>848</v>
      </c>
      <c r="B841">
        <v>171</v>
      </c>
      <c r="C841">
        <v>47</v>
      </c>
      <c r="D841" t="s">
        <v>3466</v>
      </c>
      <c r="F841" t="s">
        <v>150</v>
      </c>
      <c r="G841" s="12" t="s">
        <v>3463</v>
      </c>
      <c r="I841">
        <v>67</v>
      </c>
      <c r="K841">
        <v>110</v>
      </c>
      <c r="L841">
        <v>70</v>
      </c>
      <c r="M841" t="s">
        <v>80</v>
      </c>
      <c r="P841" t="s">
        <v>83</v>
      </c>
      <c r="Q841" t="s">
        <v>80</v>
      </c>
      <c r="R841">
        <v>69</v>
      </c>
      <c r="S841">
        <v>159</v>
      </c>
      <c r="T841" s="8">
        <f t="shared" si="26"/>
        <v>27.293224160436694</v>
      </c>
      <c r="U841" s="13" t="str" cm="1">
        <f t="array" ref="U841">IF(T841="","",_xlfn.IFS(T841&lt;18.5,"Bajo peso",T841&lt;25,"Peso normal",T841&lt;30,"Sobrepeso",T841&lt;35,"Obesidad clase I",T841&lt;40,"Obesidad clase II",T841&gt;=40,"Obesidad clase III"))</f>
        <v>Sobrepeso</v>
      </c>
      <c r="V841">
        <v>89</v>
      </c>
      <c r="X841" t="s">
        <v>3463</v>
      </c>
      <c r="Y841">
        <v>0.79</v>
      </c>
      <c r="AA841">
        <v>90</v>
      </c>
      <c r="AB841" s="9">
        <f t="shared" si="27"/>
        <v>92.786894310005138</v>
      </c>
      <c r="AD841" t="s">
        <v>73</v>
      </c>
      <c r="AF841" t="s">
        <v>73</v>
      </c>
      <c r="AH841" t="s">
        <v>3463</v>
      </c>
      <c r="AI841" t="s">
        <v>3463</v>
      </c>
      <c r="AJ841" t="s">
        <v>3463</v>
      </c>
      <c r="AK841" t="s">
        <v>3463</v>
      </c>
      <c r="AL841" t="s">
        <v>3465</v>
      </c>
      <c r="AM841" t="s">
        <v>2070</v>
      </c>
      <c r="AN841" t="s">
        <v>3769</v>
      </c>
      <c r="AP841" t="s">
        <v>3463</v>
      </c>
      <c r="AT841" t="s">
        <v>3465</v>
      </c>
      <c r="AU841" t="s">
        <v>1899</v>
      </c>
      <c r="AV841" t="s">
        <v>178</v>
      </c>
      <c r="AW841" t="s">
        <v>3918</v>
      </c>
      <c r="AX841" t="s">
        <v>3463</v>
      </c>
      <c r="AY841" t="s">
        <v>3465</v>
      </c>
      <c r="AZ841" t="s">
        <v>90</v>
      </c>
      <c r="BF841" t="s">
        <v>3921</v>
      </c>
      <c r="BH841" t="s">
        <v>4020</v>
      </c>
      <c r="BP841" t="s">
        <v>4260</v>
      </c>
      <c r="BQ841" t="s">
        <v>3463</v>
      </c>
      <c r="BR841" t="s">
        <v>3463</v>
      </c>
      <c r="BS841" t="s">
        <v>3465</v>
      </c>
      <c r="BT841" t="s">
        <v>3465</v>
      </c>
      <c r="BU841" t="s">
        <v>3463</v>
      </c>
      <c r="BV841" t="s">
        <v>3463</v>
      </c>
      <c r="BW841" t="s">
        <v>3463</v>
      </c>
      <c r="BX841" t="s">
        <v>79</v>
      </c>
      <c r="BY841" t="s">
        <v>87</v>
      </c>
      <c r="BZ841" t="s">
        <v>79</v>
      </c>
      <c r="CA841" s="10">
        <v>45911</v>
      </c>
    </row>
    <row r="842" spans="1:79">
      <c r="A842">
        <v>849</v>
      </c>
      <c r="B842">
        <v>172</v>
      </c>
      <c r="C842">
        <v>64</v>
      </c>
      <c r="D842" t="s">
        <v>3466</v>
      </c>
      <c r="E842" t="s">
        <v>1966</v>
      </c>
      <c r="F842" t="s">
        <v>150</v>
      </c>
      <c r="G842" s="12" t="s">
        <v>3463</v>
      </c>
      <c r="H842" s="12"/>
      <c r="I842">
        <v>76</v>
      </c>
      <c r="J842">
        <v>77</v>
      </c>
      <c r="K842">
        <v>158</v>
      </c>
      <c r="L842">
        <v>95</v>
      </c>
      <c r="M842" t="s">
        <v>72</v>
      </c>
      <c r="N842">
        <v>155</v>
      </c>
      <c r="O842">
        <v>95</v>
      </c>
      <c r="P842" t="s">
        <v>72</v>
      </c>
      <c r="Q842" t="s">
        <v>72</v>
      </c>
      <c r="R842">
        <v>94</v>
      </c>
      <c r="S842">
        <v>156</v>
      </c>
      <c r="T842" s="8">
        <f t="shared" si="26"/>
        <v>38.625904010519392</v>
      </c>
      <c r="U842" s="13" t="str" cm="1">
        <f t="array" ref="U842">IF(T842="","",_xlfn.IFS(T842&lt;18.5,"Bajo peso",T842&lt;25,"Peso normal",T842&lt;30,"Sobrepeso",T842&lt;35,"Obesidad clase I",T842&lt;40,"Obesidad clase II",T842&gt;=40,"Obesidad clase III"))</f>
        <v>Obesidad clase II</v>
      </c>
      <c r="V842">
        <v>92</v>
      </c>
      <c r="X842" t="s">
        <v>3463</v>
      </c>
      <c r="Y842">
        <v>0.79</v>
      </c>
      <c r="AA842">
        <v>84</v>
      </c>
      <c r="AB842" s="9">
        <f t="shared" si="27"/>
        <v>83.477514475571908</v>
      </c>
      <c r="AD842" t="s">
        <v>73</v>
      </c>
      <c r="AF842" t="s">
        <v>73</v>
      </c>
      <c r="AH842" t="s">
        <v>3463</v>
      </c>
      <c r="AI842" t="s">
        <v>3465</v>
      </c>
      <c r="AJ842" t="s">
        <v>3463</v>
      </c>
      <c r="AK842" t="s">
        <v>3463</v>
      </c>
      <c r="AL842" t="s">
        <v>3465</v>
      </c>
      <c r="AM842" t="s">
        <v>2071</v>
      </c>
      <c r="AN842" t="s">
        <v>116</v>
      </c>
      <c r="AP842" t="s">
        <v>3463</v>
      </c>
      <c r="AQ842" t="s">
        <v>2072</v>
      </c>
      <c r="AR842" t="s">
        <v>3504</v>
      </c>
      <c r="AS842" t="s">
        <v>3465</v>
      </c>
      <c r="AT842" t="s">
        <v>3465</v>
      </c>
      <c r="AU842" t="s">
        <v>80</v>
      </c>
      <c r="AV842" t="s">
        <v>74</v>
      </c>
      <c r="AW842" t="s">
        <v>3915</v>
      </c>
      <c r="AY842" t="s">
        <v>3465</v>
      </c>
      <c r="AZ842" t="s">
        <v>665</v>
      </c>
      <c r="BA842" t="s">
        <v>3920</v>
      </c>
      <c r="BC842" t="s">
        <v>128</v>
      </c>
      <c r="BF842" t="s">
        <v>3921</v>
      </c>
      <c r="BG842" t="s">
        <v>2073</v>
      </c>
      <c r="BH842" t="s">
        <v>4182</v>
      </c>
      <c r="BK842" t="s">
        <v>2074</v>
      </c>
      <c r="BL842" t="s">
        <v>2075</v>
      </c>
      <c r="BP842" t="s">
        <v>4490</v>
      </c>
      <c r="BQ842" t="s">
        <v>3463</v>
      </c>
      <c r="BR842" t="s">
        <v>3465</v>
      </c>
      <c r="BS842" t="s">
        <v>3463</v>
      </c>
      <c r="BT842" t="s">
        <v>3463</v>
      </c>
      <c r="BU842" t="s">
        <v>3463</v>
      </c>
      <c r="BV842" t="s">
        <v>3463</v>
      </c>
      <c r="BW842" t="s">
        <v>3463</v>
      </c>
      <c r="BX842" t="s">
        <v>79</v>
      </c>
      <c r="BY842" t="s">
        <v>87</v>
      </c>
      <c r="BZ842" t="s">
        <v>79</v>
      </c>
      <c r="CA842" s="10">
        <v>45911</v>
      </c>
    </row>
    <row r="843" spans="1:79">
      <c r="A843">
        <v>850</v>
      </c>
      <c r="B843">
        <v>173</v>
      </c>
      <c r="C843">
        <v>60</v>
      </c>
      <c r="D843" t="s">
        <v>3462</v>
      </c>
      <c r="F843" t="s">
        <v>150</v>
      </c>
      <c r="G843" s="12" t="s">
        <v>3463</v>
      </c>
      <c r="I843">
        <v>68</v>
      </c>
      <c r="K843">
        <v>139</v>
      </c>
      <c r="L843">
        <v>86</v>
      </c>
      <c r="M843" t="s">
        <v>82</v>
      </c>
      <c r="P843" t="s">
        <v>83</v>
      </c>
      <c r="Q843" t="s">
        <v>82</v>
      </c>
      <c r="R843">
        <v>79</v>
      </c>
      <c r="S843">
        <v>162</v>
      </c>
      <c r="T843" s="8">
        <f t="shared" si="26"/>
        <v>30.102118579484834</v>
      </c>
      <c r="U843" s="13" t="str" cm="1">
        <f t="array" ref="U843">IF(T843="","",_xlfn.IFS(T843&lt;18.5,"Bajo peso",T843&lt;25,"Peso normal",T843&lt;30,"Sobrepeso",T843&lt;35,"Obesidad clase I",T843&lt;40,"Obesidad clase II",T843&gt;=40,"Obesidad clase III"))</f>
        <v>Obesidad clase I</v>
      </c>
      <c r="V843">
        <v>105</v>
      </c>
      <c r="X843" t="s">
        <v>3463</v>
      </c>
      <c r="Y843">
        <v>0.93</v>
      </c>
      <c r="AA843">
        <v>90</v>
      </c>
      <c r="AB843" s="9">
        <f t="shared" si="27"/>
        <v>94.002490949217474</v>
      </c>
      <c r="AD843" t="s">
        <v>73</v>
      </c>
      <c r="AF843" t="s">
        <v>73</v>
      </c>
      <c r="AG843" t="s">
        <v>3465</v>
      </c>
      <c r="AH843" t="s">
        <v>3465</v>
      </c>
      <c r="AI843" t="s">
        <v>3465</v>
      </c>
      <c r="AJ843" t="s">
        <v>3463</v>
      </c>
      <c r="AK843" t="s">
        <v>3463</v>
      </c>
      <c r="AL843" t="s">
        <v>3465</v>
      </c>
      <c r="AM843" t="s">
        <v>2076</v>
      </c>
      <c r="AN843" t="s">
        <v>3797</v>
      </c>
      <c r="AP843" t="s">
        <v>3463</v>
      </c>
      <c r="AQ843" t="s">
        <v>2077</v>
      </c>
      <c r="AR843" t="s">
        <v>3553</v>
      </c>
      <c r="AS843" t="s">
        <v>3465</v>
      </c>
      <c r="AV843" t="s">
        <v>126</v>
      </c>
      <c r="AW843" t="s">
        <v>126</v>
      </c>
      <c r="BF843" t="s">
        <v>3921</v>
      </c>
      <c r="BH843" t="s">
        <v>4020</v>
      </c>
      <c r="BP843" t="s">
        <v>4260</v>
      </c>
      <c r="BQ843" t="s">
        <v>3463</v>
      </c>
      <c r="BR843" t="s">
        <v>3465</v>
      </c>
      <c r="BS843" t="s">
        <v>3463</v>
      </c>
      <c r="BT843" t="s">
        <v>3463</v>
      </c>
      <c r="BU843" t="s">
        <v>3463</v>
      </c>
      <c r="BV843" t="s">
        <v>3463</v>
      </c>
      <c r="BW843" t="s">
        <v>3463</v>
      </c>
      <c r="BX843" t="s">
        <v>79</v>
      </c>
      <c r="BY843" t="s">
        <v>87</v>
      </c>
      <c r="BZ843" t="s">
        <v>79</v>
      </c>
      <c r="CA843" s="10">
        <v>45911</v>
      </c>
    </row>
    <row r="844" spans="1:79">
      <c r="A844">
        <v>851</v>
      </c>
      <c r="B844">
        <v>174</v>
      </c>
      <c r="C844">
        <v>79</v>
      </c>
      <c r="D844" t="s">
        <v>3466</v>
      </c>
      <c r="E844" t="s">
        <v>1966</v>
      </c>
      <c r="F844" t="s">
        <v>150</v>
      </c>
      <c r="G844" s="12" t="s">
        <v>3463</v>
      </c>
      <c r="H844" s="12"/>
      <c r="I844">
        <v>66</v>
      </c>
      <c r="K844">
        <v>133</v>
      </c>
      <c r="L844">
        <v>66</v>
      </c>
      <c r="M844" t="s">
        <v>82</v>
      </c>
      <c r="P844" t="s">
        <v>83</v>
      </c>
      <c r="Q844" t="s">
        <v>82</v>
      </c>
      <c r="R844">
        <v>56.8</v>
      </c>
      <c r="S844">
        <v>141</v>
      </c>
      <c r="T844" s="8">
        <f t="shared" si="26"/>
        <v>28.569991449122274</v>
      </c>
      <c r="U844" s="13" t="str" cm="1">
        <f t="array" ref="U844">IF(T844="","",_xlfn.IFS(T844&lt;18.5,"Bajo peso",T844&lt;25,"Peso normal",T844&lt;30,"Sobrepeso",T844&lt;35,"Obesidad clase I",T844&lt;40,"Obesidad clase II",T844&gt;=40,"Obesidad clase III"))</f>
        <v>Sobrepeso</v>
      </c>
      <c r="V844">
        <v>95</v>
      </c>
      <c r="W844">
        <v>108</v>
      </c>
      <c r="X844" t="s">
        <v>3463</v>
      </c>
      <c r="Y844">
        <v>1.37</v>
      </c>
      <c r="Z844">
        <v>0.95</v>
      </c>
      <c r="AA844">
        <v>39</v>
      </c>
      <c r="AB844" s="9">
        <f t="shared" si="27"/>
        <v>39.27735415478157</v>
      </c>
      <c r="AC844">
        <v>61</v>
      </c>
      <c r="AD844" t="s">
        <v>218</v>
      </c>
      <c r="AE844" t="s">
        <v>73</v>
      </c>
      <c r="AF844" t="s">
        <v>73</v>
      </c>
      <c r="AH844" t="s">
        <v>3463</v>
      </c>
      <c r="AI844" t="s">
        <v>3463</v>
      </c>
      <c r="AJ844" t="s">
        <v>3463</v>
      </c>
      <c r="AK844" t="s">
        <v>3463</v>
      </c>
      <c r="AL844" t="s">
        <v>3465</v>
      </c>
      <c r="AM844" t="s">
        <v>1815</v>
      </c>
      <c r="AN844" t="s">
        <v>1815</v>
      </c>
      <c r="AO844" t="s">
        <v>3463</v>
      </c>
      <c r="AP844" t="s">
        <v>3463</v>
      </c>
      <c r="AQ844" t="s">
        <v>159</v>
      </c>
      <c r="AR844" t="s">
        <v>3491</v>
      </c>
      <c r="AT844" t="s">
        <v>3463</v>
      </c>
      <c r="AV844" t="s">
        <v>74</v>
      </c>
      <c r="AW844" t="s">
        <v>3915</v>
      </c>
      <c r="AY844" t="s">
        <v>3463</v>
      </c>
      <c r="BF844" t="s">
        <v>3921</v>
      </c>
      <c r="BH844" t="s">
        <v>4020</v>
      </c>
      <c r="BP844" t="s">
        <v>4260</v>
      </c>
      <c r="BQ844" t="s">
        <v>3465</v>
      </c>
      <c r="BR844" t="s">
        <v>3465</v>
      </c>
      <c r="BS844" t="s">
        <v>3463</v>
      </c>
      <c r="BT844" t="s">
        <v>3463</v>
      </c>
      <c r="BU844" t="s">
        <v>3463</v>
      </c>
      <c r="BV844" t="s">
        <v>3463</v>
      </c>
      <c r="BW844" t="s">
        <v>3463</v>
      </c>
      <c r="BX844" t="s">
        <v>518</v>
      </c>
      <c r="BY844" t="s">
        <v>79</v>
      </c>
      <c r="BZ844" t="s">
        <v>79</v>
      </c>
      <c r="CA844" s="10">
        <v>45911</v>
      </c>
    </row>
    <row r="845" spans="1:79">
      <c r="A845">
        <v>852</v>
      </c>
      <c r="B845">
        <v>175</v>
      </c>
      <c r="C845">
        <v>57</v>
      </c>
      <c r="D845" t="s">
        <v>3466</v>
      </c>
      <c r="F845" t="s">
        <v>150</v>
      </c>
      <c r="G845" s="12" t="s">
        <v>3463</v>
      </c>
      <c r="H845" s="12"/>
      <c r="I845">
        <v>74</v>
      </c>
      <c r="K845">
        <v>112</v>
      </c>
      <c r="L845">
        <v>68</v>
      </c>
      <c r="M845" t="s">
        <v>80</v>
      </c>
      <c r="P845" t="s">
        <v>83</v>
      </c>
      <c r="Q845" t="s">
        <v>80</v>
      </c>
      <c r="R845">
        <v>70.8</v>
      </c>
      <c r="S845">
        <v>155</v>
      </c>
      <c r="T845" s="8">
        <f t="shared" si="26"/>
        <v>29.46930280957336</v>
      </c>
      <c r="U845" s="13" t="str" cm="1">
        <f t="array" ref="U845">IF(T845="","",_xlfn.IFS(T845&lt;18.5,"Bajo peso",T845&lt;25,"Peso normal",T845&lt;30,"Sobrepeso",T845&lt;35,"Obesidad clase I",T845&lt;40,"Obesidad clase II",T845&gt;=40,"Obesidad clase III"))</f>
        <v>Sobrepeso</v>
      </c>
      <c r="V845">
        <v>105</v>
      </c>
      <c r="X845" t="s">
        <v>3463</v>
      </c>
      <c r="Y845">
        <v>0.94</v>
      </c>
      <c r="AA845">
        <v>71</v>
      </c>
      <c r="AB845" s="9">
        <f t="shared" si="27"/>
        <v>70.774310641447954</v>
      </c>
      <c r="AD845" t="s">
        <v>73</v>
      </c>
      <c r="AF845" t="s">
        <v>73</v>
      </c>
      <c r="AH845" t="s">
        <v>3463</v>
      </c>
      <c r="AI845" t="s">
        <v>3465</v>
      </c>
      <c r="AJ845" t="s">
        <v>3465</v>
      </c>
      <c r="AK845" t="s">
        <v>3465</v>
      </c>
      <c r="AL845" t="s">
        <v>3465</v>
      </c>
      <c r="AM845" t="s">
        <v>2078</v>
      </c>
      <c r="AN845" t="s">
        <v>3798</v>
      </c>
      <c r="AP845" t="s">
        <v>3463</v>
      </c>
      <c r="AQ845" t="s">
        <v>2079</v>
      </c>
      <c r="AR845" t="s">
        <v>3576</v>
      </c>
      <c r="AS845" t="s">
        <v>3465</v>
      </c>
      <c r="AT845" t="s">
        <v>3465</v>
      </c>
      <c r="AV845" t="s">
        <v>112</v>
      </c>
      <c r="AW845" t="s">
        <v>3917</v>
      </c>
      <c r="AX845" t="s">
        <v>3463</v>
      </c>
      <c r="AY845" t="s">
        <v>3465</v>
      </c>
      <c r="AZ845" t="s">
        <v>2080</v>
      </c>
      <c r="BF845" t="s">
        <v>3921</v>
      </c>
      <c r="BH845" t="s">
        <v>4020</v>
      </c>
      <c r="BP845" t="s">
        <v>4260</v>
      </c>
      <c r="BQ845" t="s">
        <v>3463</v>
      </c>
      <c r="BR845" t="s">
        <v>3465</v>
      </c>
      <c r="BS845" t="s">
        <v>3465</v>
      </c>
      <c r="BT845" t="s">
        <v>3465</v>
      </c>
      <c r="BU845" t="s">
        <v>3463</v>
      </c>
      <c r="BV845" t="s">
        <v>3463</v>
      </c>
      <c r="BW845" t="s">
        <v>3463</v>
      </c>
      <c r="BX845" t="s">
        <v>79</v>
      </c>
      <c r="BY845" t="s">
        <v>87</v>
      </c>
      <c r="BZ845" t="s">
        <v>79</v>
      </c>
      <c r="CA845" s="10">
        <v>45911</v>
      </c>
    </row>
    <row r="846" spans="1:79">
      <c r="A846">
        <v>853</v>
      </c>
      <c r="B846">
        <v>176</v>
      </c>
      <c r="C846">
        <v>76</v>
      </c>
      <c r="D846" t="s">
        <v>3466</v>
      </c>
      <c r="E846" t="s">
        <v>1659</v>
      </c>
      <c r="F846" t="s">
        <v>150</v>
      </c>
      <c r="G846" s="12" t="s">
        <v>3465</v>
      </c>
      <c r="H846" t="s">
        <v>88</v>
      </c>
      <c r="I846">
        <v>90</v>
      </c>
      <c r="K846">
        <v>153</v>
      </c>
      <c r="L846">
        <v>83</v>
      </c>
      <c r="M846" t="s">
        <v>72</v>
      </c>
      <c r="P846" t="s">
        <v>83</v>
      </c>
      <c r="Q846" t="s">
        <v>72</v>
      </c>
      <c r="R846">
        <v>62</v>
      </c>
      <c r="S846">
        <v>149</v>
      </c>
      <c r="T846" s="8">
        <f t="shared" si="26"/>
        <v>27.92666996982118</v>
      </c>
      <c r="U846" s="13" t="str" cm="1">
        <f t="array" ref="U846">IF(T846="","",_xlfn.IFS(T846&lt;18.5,"Bajo peso",T846&lt;25,"Peso normal",T846&lt;30,"Sobrepeso",T846&lt;35,"Obesidad clase I",T846&lt;40,"Obesidad clase II",T846&gt;=40,"Obesidad clase III"))</f>
        <v>Sobrepeso</v>
      </c>
      <c r="V846">
        <v>134</v>
      </c>
      <c r="X846" t="s">
        <v>3463</v>
      </c>
      <c r="Y846">
        <v>0.64</v>
      </c>
      <c r="AA846">
        <v>90</v>
      </c>
      <c r="AB846" s="9">
        <f t="shared" si="27"/>
        <v>91.531701142630638</v>
      </c>
      <c r="AD846" t="s">
        <v>73</v>
      </c>
      <c r="AF846" t="s">
        <v>73</v>
      </c>
      <c r="AH846" t="s">
        <v>3463</v>
      </c>
      <c r="AI846" t="s">
        <v>3465</v>
      </c>
      <c r="AJ846" t="s">
        <v>3463</v>
      </c>
      <c r="AK846" t="s">
        <v>3463</v>
      </c>
      <c r="AL846" t="s">
        <v>3465</v>
      </c>
      <c r="AM846" t="s">
        <v>2081</v>
      </c>
      <c r="AN846" t="s">
        <v>3799</v>
      </c>
      <c r="AP846" t="s">
        <v>3463</v>
      </c>
      <c r="AQ846" t="s">
        <v>698</v>
      </c>
      <c r="AR846" t="s">
        <v>3488</v>
      </c>
      <c r="AS846" t="s">
        <v>3465</v>
      </c>
      <c r="AV846" t="s">
        <v>178</v>
      </c>
      <c r="AW846" t="s">
        <v>3918</v>
      </c>
      <c r="AX846" t="s">
        <v>3465</v>
      </c>
      <c r="BA846" t="s">
        <v>3920</v>
      </c>
      <c r="BF846" t="s">
        <v>3921</v>
      </c>
      <c r="BG846" t="s">
        <v>2082</v>
      </c>
      <c r="BH846" t="s">
        <v>4154</v>
      </c>
      <c r="BL846" t="s">
        <v>2083</v>
      </c>
      <c r="BP846" t="s">
        <v>4491</v>
      </c>
      <c r="BQ846" t="s">
        <v>3465</v>
      </c>
      <c r="BR846" t="s">
        <v>3465</v>
      </c>
      <c r="BS846" t="s">
        <v>3463</v>
      </c>
      <c r="BT846" t="s">
        <v>3463</v>
      </c>
      <c r="BU846" t="s">
        <v>3465</v>
      </c>
      <c r="BV846" t="s">
        <v>3465</v>
      </c>
      <c r="BW846" t="s">
        <v>3465</v>
      </c>
      <c r="BX846" t="s">
        <v>79</v>
      </c>
      <c r="BY846" t="s">
        <v>79</v>
      </c>
      <c r="BZ846" t="s">
        <v>79</v>
      </c>
      <c r="CA846" s="10">
        <v>45911</v>
      </c>
    </row>
    <row r="847" spans="1:79">
      <c r="A847">
        <v>854</v>
      </c>
      <c r="B847">
        <v>177</v>
      </c>
      <c r="C847">
        <v>64</v>
      </c>
      <c r="D847" t="s">
        <v>3466</v>
      </c>
      <c r="E847" t="s">
        <v>2084</v>
      </c>
      <c r="F847" t="s">
        <v>150</v>
      </c>
      <c r="G847" s="12" t="s">
        <v>3465</v>
      </c>
      <c r="H847" s="12" t="s">
        <v>88</v>
      </c>
      <c r="I847">
        <v>73</v>
      </c>
      <c r="K847">
        <v>135</v>
      </c>
      <c r="L847">
        <v>69</v>
      </c>
      <c r="M847" t="s">
        <v>82</v>
      </c>
      <c r="P847" t="s">
        <v>83</v>
      </c>
      <c r="Q847" t="s">
        <v>82</v>
      </c>
      <c r="R847">
        <v>65</v>
      </c>
      <c r="S847">
        <v>155</v>
      </c>
      <c r="T847" s="8">
        <f t="shared" si="26"/>
        <v>27.055150884495319</v>
      </c>
      <c r="U847" s="13" t="str" cm="1">
        <f t="array" ref="U847">IF(T847="","",_xlfn.IFS(T847&lt;18.5,"Bajo peso",T847&lt;25,"Peso normal",T847&lt;30,"Sobrepeso",T847&lt;35,"Obesidad clase I",T847&lt;40,"Obesidad clase II",T847&gt;=40,"Obesidad clase III"))</f>
        <v>Sobrepeso</v>
      </c>
      <c r="V847">
        <v>121</v>
      </c>
      <c r="X847" t="s">
        <v>3463</v>
      </c>
      <c r="Y847">
        <v>0.59</v>
      </c>
      <c r="AA847">
        <v>90</v>
      </c>
      <c r="AB847" s="9">
        <f t="shared" si="27"/>
        <v>100.57676529709242</v>
      </c>
      <c r="AD847" t="s">
        <v>73</v>
      </c>
      <c r="AF847" t="s">
        <v>73</v>
      </c>
      <c r="AH847" t="s">
        <v>3463</v>
      </c>
      <c r="AI847" t="s">
        <v>3465</v>
      </c>
      <c r="AJ847" t="s">
        <v>3464</v>
      </c>
      <c r="AK847" t="s">
        <v>3464</v>
      </c>
      <c r="AL847" t="s">
        <v>3465</v>
      </c>
      <c r="AM847" t="s">
        <v>110</v>
      </c>
      <c r="AN847" t="s">
        <v>110</v>
      </c>
      <c r="AP847" t="s">
        <v>3463</v>
      </c>
      <c r="AQ847" t="s">
        <v>159</v>
      </c>
      <c r="AR847" t="s">
        <v>3491</v>
      </c>
      <c r="AS847" t="s">
        <v>3465</v>
      </c>
      <c r="AT847" t="s">
        <v>3465</v>
      </c>
      <c r="AU847" t="s">
        <v>125</v>
      </c>
      <c r="AV847" t="s">
        <v>112</v>
      </c>
      <c r="AW847" t="s">
        <v>3917</v>
      </c>
      <c r="AY847" t="s">
        <v>3465</v>
      </c>
      <c r="AZ847" t="s">
        <v>665</v>
      </c>
      <c r="BF847" t="s">
        <v>3921</v>
      </c>
      <c r="BH847" t="s">
        <v>4020</v>
      </c>
      <c r="BP847" t="s">
        <v>4260</v>
      </c>
      <c r="BQ847" t="s">
        <v>3463</v>
      </c>
      <c r="BR847" t="s">
        <v>3463</v>
      </c>
      <c r="BS847" t="s">
        <v>3463</v>
      </c>
      <c r="BT847" t="s">
        <v>3463</v>
      </c>
      <c r="BU847" t="s">
        <v>3463</v>
      </c>
      <c r="BV847" t="s">
        <v>3463</v>
      </c>
      <c r="BW847" t="s">
        <v>3463</v>
      </c>
      <c r="BX847" t="s">
        <v>79</v>
      </c>
      <c r="BY847" t="s">
        <v>87</v>
      </c>
      <c r="BZ847" t="s">
        <v>79</v>
      </c>
      <c r="CA847" s="10">
        <v>45911</v>
      </c>
    </row>
    <row r="848" spans="1:79">
      <c r="A848">
        <v>855</v>
      </c>
      <c r="B848">
        <v>178</v>
      </c>
      <c r="C848">
        <v>26</v>
      </c>
      <c r="D848" t="s">
        <v>3462</v>
      </c>
      <c r="F848" t="s">
        <v>150</v>
      </c>
      <c r="G848" s="12" t="s">
        <v>3463</v>
      </c>
      <c r="I848">
        <v>67</v>
      </c>
      <c r="J848">
        <v>69</v>
      </c>
      <c r="K848">
        <v>155</v>
      </c>
      <c r="L848">
        <v>79</v>
      </c>
      <c r="M848" t="s">
        <v>72</v>
      </c>
      <c r="N848">
        <v>150</v>
      </c>
      <c r="O848">
        <v>83</v>
      </c>
      <c r="P848" t="s">
        <v>72</v>
      </c>
      <c r="Q848" t="s">
        <v>72</v>
      </c>
      <c r="R848">
        <v>77</v>
      </c>
      <c r="S848">
        <v>170</v>
      </c>
      <c r="T848" s="8">
        <f t="shared" si="26"/>
        <v>26.643598615916954</v>
      </c>
      <c r="U848" s="13" t="str" cm="1">
        <f t="array" ref="U848">IF(T848="","",_xlfn.IFS(T848&lt;18.5,"Bajo peso",T848&lt;25,"Peso normal",T848&lt;30,"Sobrepeso",T848&lt;35,"Obesidad clase I",T848&lt;40,"Obesidad clase II",T848&gt;=40,"Obesidad clase III"))</f>
        <v>Sobrepeso</v>
      </c>
      <c r="V848">
        <v>92</v>
      </c>
      <c r="X848" t="s">
        <v>3463</v>
      </c>
      <c r="Y848">
        <v>0.81</v>
      </c>
      <c r="AA848">
        <v>90</v>
      </c>
      <c r="AB848" s="9">
        <f t="shared" si="27"/>
        <v>124.70415076869705</v>
      </c>
      <c r="AD848" t="s">
        <v>73</v>
      </c>
      <c r="AF848" t="s">
        <v>73</v>
      </c>
      <c r="AH848" t="s">
        <v>3463</v>
      </c>
      <c r="AI848" t="s">
        <v>3463</v>
      </c>
      <c r="AJ848" t="s">
        <v>3463</v>
      </c>
      <c r="AK848" t="s">
        <v>3463</v>
      </c>
      <c r="AL848" t="s">
        <v>3463</v>
      </c>
      <c r="AP848" t="s">
        <v>3463</v>
      </c>
      <c r="AQ848" t="s">
        <v>2085</v>
      </c>
      <c r="AR848" t="s">
        <v>3548</v>
      </c>
      <c r="AV848" t="s">
        <v>178</v>
      </c>
      <c r="AW848" t="s">
        <v>3918</v>
      </c>
      <c r="BF848" t="s">
        <v>3921</v>
      </c>
      <c r="BH848" t="s">
        <v>4020</v>
      </c>
      <c r="BP848" t="s">
        <v>4260</v>
      </c>
      <c r="BQ848" t="s">
        <v>3463</v>
      </c>
      <c r="BR848" t="s">
        <v>3465</v>
      </c>
      <c r="BS848" t="s">
        <v>3465</v>
      </c>
      <c r="BT848" t="s">
        <v>3465</v>
      </c>
      <c r="BU848" t="s">
        <v>3463</v>
      </c>
      <c r="BV848" t="s">
        <v>3463</v>
      </c>
      <c r="BW848" t="s">
        <v>3463</v>
      </c>
      <c r="BX848" t="s">
        <v>79</v>
      </c>
      <c r="BY848" t="s">
        <v>79</v>
      </c>
      <c r="BZ848" t="s">
        <v>95</v>
      </c>
      <c r="CA848" s="10">
        <v>45911</v>
      </c>
    </row>
    <row r="849" spans="1:79">
      <c r="A849">
        <v>856</v>
      </c>
      <c r="B849">
        <v>179</v>
      </c>
      <c r="C849">
        <v>23</v>
      </c>
      <c r="D849" t="s">
        <v>3466</v>
      </c>
      <c r="F849" t="s">
        <v>150</v>
      </c>
      <c r="G849" s="12" t="s">
        <v>3465</v>
      </c>
      <c r="H849" t="s">
        <v>88</v>
      </c>
      <c r="I849">
        <v>75</v>
      </c>
      <c r="J849">
        <v>76</v>
      </c>
      <c r="K849">
        <v>137</v>
      </c>
      <c r="L849">
        <v>83</v>
      </c>
      <c r="M849" t="s">
        <v>82</v>
      </c>
      <c r="N849">
        <v>135</v>
      </c>
      <c r="O849">
        <v>82</v>
      </c>
      <c r="P849" t="s">
        <v>82</v>
      </c>
      <c r="Q849" t="s">
        <v>82</v>
      </c>
      <c r="R849">
        <v>65.7</v>
      </c>
      <c r="S849">
        <v>167</v>
      </c>
      <c r="T849" s="8">
        <f t="shared" si="26"/>
        <v>23.557675069023627</v>
      </c>
      <c r="U849" s="13" t="str" cm="1">
        <f t="array" ref="U849">IF(T849="","",_xlfn.IFS(T849&lt;18.5,"Bajo peso",T849&lt;25,"Peso normal",T849&lt;30,"Sobrepeso",T849&lt;35,"Obesidad clase I",T849&lt;40,"Obesidad clase II",T849&gt;=40,"Obesidad clase III"))</f>
        <v>Peso normal</v>
      </c>
      <c r="V849">
        <v>91</v>
      </c>
      <c r="X849" t="s">
        <v>3463</v>
      </c>
      <c r="Y849">
        <v>0.74</v>
      </c>
      <c r="AA849">
        <v>90</v>
      </c>
      <c r="AB849" s="9">
        <f t="shared" si="27"/>
        <v>116.5159194559274</v>
      </c>
      <c r="AD849" t="s">
        <v>73</v>
      </c>
      <c r="AF849" t="s">
        <v>73</v>
      </c>
      <c r="AH849" t="s">
        <v>3463</v>
      </c>
      <c r="AI849" t="s">
        <v>3463</v>
      </c>
      <c r="AJ849" t="s">
        <v>3465</v>
      </c>
      <c r="AK849" t="s">
        <v>3463</v>
      </c>
      <c r="AL849" t="s">
        <v>3463</v>
      </c>
      <c r="AP849" t="s">
        <v>3463</v>
      </c>
      <c r="AQ849" t="s">
        <v>2086</v>
      </c>
      <c r="AR849" t="s">
        <v>3491</v>
      </c>
      <c r="AT849" t="s">
        <v>3463</v>
      </c>
      <c r="AV849" t="s">
        <v>74</v>
      </c>
      <c r="AW849" t="s">
        <v>3915</v>
      </c>
      <c r="AX849" t="s">
        <v>3463</v>
      </c>
      <c r="AY849" t="s">
        <v>3463</v>
      </c>
      <c r="AZ849" t="s">
        <v>1933</v>
      </c>
      <c r="BF849" t="s">
        <v>3921</v>
      </c>
      <c r="BH849" t="s">
        <v>4020</v>
      </c>
      <c r="BP849" t="s">
        <v>4260</v>
      </c>
      <c r="BQ849" t="s">
        <v>3463</v>
      </c>
      <c r="BR849" t="s">
        <v>3465</v>
      </c>
      <c r="BS849" t="s">
        <v>3463</v>
      </c>
      <c r="BT849" t="s">
        <v>3463</v>
      </c>
      <c r="BU849" t="s">
        <v>3463</v>
      </c>
      <c r="BV849" t="s">
        <v>3463</v>
      </c>
      <c r="BW849" t="s">
        <v>3463</v>
      </c>
      <c r="BX849" t="s">
        <v>79</v>
      </c>
      <c r="BY849" t="s">
        <v>87</v>
      </c>
      <c r="BZ849" t="s">
        <v>79</v>
      </c>
      <c r="CA849" s="10">
        <v>45911</v>
      </c>
    </row>
    <row r="850" spans="1:79">
      <c r="A850">
        <v>857</v>
      </c>
      <c r="B850">
        <v>180</v>
      </c>
      <c r="C850">
        <v>22</v>
      </c>
      <c r="D850" t="s">
        <v>3466</v>
      </c>
      <c r="E850" t="s">
        <v>1966</v>
      </c>
      <c r="F850" t="s">
        <v>150</v>
      </c>
      <c r="G850" s="12" t="s">
        <v>3465</v>
      </c>
      <c r="H850" t="s">
        <v>88</v>
      </c>
      <c r="I850">
        <v>78</v>
      </c>
      <c r="K850">
        <v>138</v>
      </c>
      <c r="L850">
        <v>78</v>
      </c>
      <c r="M850" t="s">
        <v>82</v>
      </c>
      <c r="P850" t="s">
        <v>83</v>
      </c>
      <c r="Q850" t="s">
        <v>82</v>
      </c>
      <c r="R850">
        <v>67.400000000000006</v>
      </c>
      <c r="S850">
        <v>159</v>
      </c>
      <c r="T850" s="8">
        <f t="shared" si="26"/>
        <v>26.660337803093235</v>
      </c>
      <c r="U850" s="13" t="str" cm="1">
        <f t="array" ref="U850">IF(T850="","",_xlfn.IFS(T850&lt;18.5,"Bajo peso",T850&lt;25,"Peso normal",T850&lt;30,"Sobrepeso",T850&lt;35,"Obesidad clase I",T850&lt;40,"Obesidad clase II",T850&gt;=40,"Obesidad clase III"))</f>
        <v>Sobrepeso</v>
      </c>
      <c r="V850">
        <v>92</v>
      </c>
      <c r="X850" t="s">
        <v>3463</v>
      </c>
      <c r="Y850">
        <v>0.99</v>
      </c>
      <c r="AA850">
        <v>82</v>
      </c>
      <c r="AB850" s="9">
        <f t="shared" si="27"/>
        <v>82.680311542507781</v>
      </c>
      <c r="AD850" t="s">
        <v>73</v>
      </c>
      <c r="AF850" t="s">
        <v>73</v>
      </c>
      <c r="AH850" t="s">
        <v>3463</v>
      </c>
      <c r="AI850" t="s">
        <v>3463</v>
      </c>
      <c r="AJ850" t="s">
        <v>3463</v>
      </c>
      <c r="AK850" t="s">
        <v>3463</v>
      </c>
      <c r="AL850" t="s">
        <v>3465</v>
      </c>
      <c r="AM850" t="s">
        <v>2087</v>
      </c>
      <c r="AN850" t="s">
        <v>3661</v>
      </c>
      <c r="AP850" t="s">
        <v>3463</v>
      </c>
      <c r="AQ850" t="s">
        <v>2088</v>
      </c>
      <c r="AR850" t="s">
        <v>3493</v>
      </c>
      <c r="AT850" t="s">
        <v>3463</v>
      </c>
      <c r="AV850" t="s">
        <v>112</v>
      </c>
      <c r="AW850" t="s">
        <v>3917</v>
      </c>
      <c r="AY850" t="s">
        <v>3465</v>
      </c>
      <c r="AZ850" t="s">
        <v>665</v>
      </c>
      <c r="BF850" t="s">
        <v>3921</v>
      </c>
      <c r="BH850" t="s">
        <v>4020</v>
      </c>
      <c r="BP850" t="s">
        <v>4260</v>
      </c>
      <c r="BQ850" t="s">
        <v>3463</v>
      </c>
      <c r="BR850" t="s">
        <v>3465</v>
      </c>
      <c r="BS850" t="s">
        <v>3465</v>
      </c>
      <c r="BT850" t="s">
        <v>3465</v>
      </c>
      <c r="BU850" t="s">
        <v>3463</v>
      </c>
      <c r="BV850" t="s">
        <v>3463</v>
      </c>
      <c r="BW850" t="s">
        <v>3463</v>
      </c>
      <c r="BX850" t="s">
        <v>79</v>
      </c>
      <c r="BY850" t="s">
        <v>79</v>
      </c>
      <c r="BZ850" t="s">
        <v>79</v>
      </c>
      <c r="CA850" s="10">
        <v>45911</v>
      </c>
    </row>
    <row r="851" spans="1:79">
      <c r="A851">
        <v>858</v>
      </c>
      <c r="B851">
        <v>181</v>
      </c>
      <c r="C851">
        <v>26</v>
      </c>
      <c r="D851" t="s">
        <v>3462</v>
      </c>
      <c r="E851" t="s">
        <v>1659</v>
      </c>
      <c r="F851" t="s">
        <v>150</v>
      </c>
      <c r="G851" s="12" t="s">
        <v>3463</v>
      </c>
      <c r="I851">
        <v>64</v>
      </c>
      <c r="K851">
        <v>106</v>
      </c>
      <c r="L851">
        <v>72</v>
      </c>
      <c r="M851" t="s">
        <v>80</v>
      </c>
      <c r="P851" t="s">
        <v>83</v>
      </c>
      <c r="Q851" t="s">
        <v>80</v>
      </c>
      <c r="R851">
        <v>87</v>
      </c>
      <c r="S851">
        <v>179</v>
      </c>
      <c r="T851" s="8">
        <f t="shared" si="26"/>
        <v>27.152710589557131</v>
      </c>
      <c r="U851" s="13" t="str" cm="1">
        <f t="array" ref="U851">IF(T851="","",_xlfn.IFS(T851&lt;18.5,"Bajo peso",T851&lt;25,"Peso normal",T851&lt;30,"Sobrepeso",T851&lt;35,"Obesidad clase I",T851&lt;40,"Obesidad clase II",T851&gt;=40,"Obesidad clase III"))</f>
        <v>Sobrepeso</v>
      </c>
      <c r="V851">
        <v>91</v>
      </c>
      <c r="X851" t="s">
        <v>3463</v>
      </c>
      <c r="Y851">
        <v>0.77</v>
      </c>
      <c r="AA851">
        <v>90</v>
      </c>
      <c r="AB851" s="9">
        <f t="shared" si="27"/>
        <v>126.6260868157064</v>
      </c>
      <c r="AD851" t="s">
        <v>73</v>
      </c>
      <c r="AF851" t="s">
        <v>73</v>
      </c>
      <c r="AH851" t="s">
        <v>3463</v>
      </c>
      <c r="AI851" t="s">
        <v>3463</v>
      </c>
      <c r="AJ851" t="s">
        <v>3463</v>
      </c>
      <c r="AK851" t="s">
        <v>3463</v>
      </c>
      <c r="AL851" t="s">
        <v>3463</v>
      </c>
      <c r="AP851" t="s">
        <v>3463</v>
      </c>
      <c r="AQ851" t="s">
        <v>2089</v>
      </c>
      <c r="AR851" t="s">
        <v>3541</v>
      </c>
      <c r="AV851" t="s">
        <v>126</v>
      </c>
      <c r="AW851" t="s">
        <v>126</v>
      </c>
      <c r="BF851" t="s">
        <v>3921</v>
      </c>
      <c r="BH851" t="s">
        <v>4020</v>
      </c>
      <c r="BP851" t="s">
        <v>4260</v>
      </c>
      <c r="BQ851" t="s">
        <v>3463</v>
      </c>
      <c r="BR851" t="s">
        <v>3465</v>
      </c>
      <c r="BS851" t="s">
        <v>3465</v>
      </c>
      <c r="BT851" t="s">
        <v>3465</v>
      </c>
      <c r="BU851" t="s">
        <v>3463</v>
      </c>
      <c r="BV851" t="s">
        <v>3463</v>
      </c>
      <c r="BW851" t="s">
        <v>3463</v>
      </c>
      <c r="BX851" t="s">
        <v>79</v>
      </c>
      <c r="BY851" t="s">
        <v>79</v>
      </c>
      <c r="BZ851" t="s">
        <v>95</v>
      </c>
      <c r="CA851" s="10">
        <v>45911</v>
      </c>
    </row>
    <row r="852" spans="1:79">
      <c r="A852">
        <v>859</v>
      </c>
      <c r="B852">
        <v>183</v>
      </c>
      <c r="C852">
        <v>55</v>
      </c>
      <c r="D852" t="s">
        <v>3466</v>
      </c>
      <c r="F852" t="s">
        <v>150</v>
      </c>
      <c r="G852" s="12" t="s">
        <v>3463</v>
      </c>
      <c r="I852">
        <v>83</v>
      </c>
      <c r="J852">
        <v>79</v>
      </c>
      <c r="K852">
        <v>141</v>
      </c>
      <c r="L852">
        <v>79</v>
      </c>
      <c r="M852" t="s">
        <v>72</v>
      </c>
      <c r="N852">
        <v>154</v>
      </c>
      <c r="O852">
        <v>86</v>
      </c>
      <c r="P852" t="s">
        <v>72</v>
      </c>
      <c r="Q852" t="s">
        <v>72</v>
      </c>
      <c r="R852">
        <v>68</v>
      </c>
      <c r="S852">
        <v>153</v>
      </c>
      <c r="T852" s="8">
        <f t="shared" si="26"/>
        <v>29.048656499636891</v>
      </c>
      <c r="U852" s="13" t="str" cm="1">
        <f t="array" ref="U852">IF(T852="","",_xlfn.IFS(T852&lt;18.5,"Bajo peso",T852&lt;25,"Peso normal",T852&lt;30,"Sobrepeso",T852&lt;35,"Obesidad clase I",T852&lt;40,"Obesidad clase II",T852&gt;=40,"Obesidad clase III"))</f>
        <v>Sobrepeso</v>
      </c>
      <c r="V852">
        <v>103</v>
      </c>
      <c r="X852" t="s">
        <v>3463</v>
      </c>
      <c r="Y852">
        <v>0.99</v>
      </c>
      <c r="AA852">
        <v>68</v>
      </c>
      <c r="AB852" s="9">
        <f t="shared" si="27"/>
        <v>67.339339752442598</v>
      </c>
      <c r="AD852" t="s">
        <v>73</v>
      </c>
      <c r="AF852" t="s">
        <v>73</v>
      </c>
      <c r="AH852" t="s">
        <v>3463</v>
      </c>
      <c r="AI852" t="s">
        <v>3463</v>
      </c>
      <c r="AJ852" t="s">
        <v>3463</v>
      </c>
      <c r="AK852" t="s">
        <v>3463</v>
      </c>
      <c r="AL852" t="s">
        <v>3465</v>
      </c>
      <c r="AM852" t="s">
        <v>2090</v>
      </c>
      <c r="AN852" t="s">
        <v>3683</v>
      </c>
      <c r="AP852" t="s">
        <v>3463</v>
      </c>
      <c r="AQ852" t="s">
        <v>2091</v>
      </c>
      <c r="AR852" t="s">
        <v>3493</v>
      </c>
      <c r="AT852" t="s">
        <v>3465</v>
      </c>
      <c r="AU852" t="s">
        <v>80</v>
      </c>
      <c r="AV852" t="s">
        <v>126</v>
      </c>
      <c r="AW852" t="s">
        <v>126</v>
      </c>
      <c r="AX852" t="s">
        <v>3463</v>
      </c>
      <c r="AY852" t="s">
        <v>3465</v>
      </c>
      <c r="AZ852" t="s">
        <v>104</v>
      </c>
      <c r="BA852" t="s">
        <v>3920</v>
      </c>
      <c r="BF852" t="s">
        <v>3921</v>
      </c>
      <c r="BG852" t="s">
        <v>2092</v>
      </c>
      <c r="BH852" t="s">
        <v>4022</v>
      </c>
      <c r="BI852" t="s">
        <v>76</v>
      </c>
      <c r="BK852" t="s">
        <v>2093</v>
      </c>
      <c r="BL852" t="s">
        <v>2094</v>
      </c>
      <c r="BP852" t="s">
        <v>4430</v>
      </c>
      <c r="BQ852" t="s">
        <v>3463</v>
      </c>
      <c r="BR852" t="s">
        <v>3463</v>
      </c>
      <c r="BS852" t="s">
        <v>3465</v>
      </c>
      <c r="BT852" t="s">
        <v>3465</v>
      </c>
      <c r="BU852" t="s">
        <v>3463</v>
      </c>
      <c r="BV852" t="s">
        <v>3463</v>
      </c>
      <c r="BW852" t="s">
        <v>3463</v>
      </c>
      <c r="BX852" t="s">
        <v>79</v>
      </c>
      <c r="BY852" t="s">
        <v>79</v>
      </c>
      <c r="BZ852" t="s">
        <v>79</v>
      </c>
      <c r="CA852" s="10">
        <v>45911</v>
      </c>
    </row>
    <row r="853" spans="1:79">
      <c r="A853">
        <v>860</v>
      </c>
      <c r="B853">
        <v>184</v>
      </c>
      <c r="C853">
        <v>54</v>
      </c>
      <c r="D853" t="s">
        <v>3466</v>
      </c>
      <c r="E853" t="s">
        <v>1659</v>
      </c>
      <c r="F853" t="s">
        <v>150</v>
      </c>
      <c r="G853" s="12" t="s">
        <v>3465</v>
      </c>
      <c r="H853" t="s">
        <v>88</v>
      </c>
      <c r="I853">
        <v>78</v>
      </c>
      <c r="J853">
        <v>83</v>
      </c>
      <c r="K853">
        <v>141</v>
      </c>
      <c r="L853">
        <v>71</v>
      </c>
      <c r="M853" t="s">
        <v>72</v>
      </c>
      <c r="N853">
        <v>138</v>
      </c>
      <c r="O853">
        <v>71</v>
      </c>
      <c r="P853" t="s">
        <v>82</v>
      </c>
      <c r="Q853" t="s">
        <v>82</v>
      </c>
      <c r="R853">
        <v>64</v>
      </c>
      <c r="S853">
        <v>151</v>
      </c>
      <c r="T853" s="8">
        <f t="shared" si="26"/>
        <v>28.068944344546292</v>
      </c>
      <c r="U853" s="13" t="str" cm="1">
        <f t="array" ref="U853">IF(T853="","",_xlfn.IFS(T853&lt;18.5,"Bajo peso",T853&lt;25,"Peso normal",T853&lt;30,"Sobrepeso",T853&lt;35,"Obesidad clase I",T853&lt;40,"Obesidad clase II",T853&gt;=40,"Obesidad clase III"))</f>
        <v>Sobrepeso</v>
      </c>
      <c r="V853">
        <v>107</v>
      </c>
      <c r="X853" t="s">
        <v>3463</v>
      </c>
      <c r="Y853">
        <v>1.1299999999999999</v>
      </c>
      <c r="AA853">
        <v>58</v>
      </c>
      <c r="AB853" s="9">
        <f t="shared" si="27"/>
        <v>57.814658252990618</v>
      </c>
      <c r="AD853" t="s">
        <v>158</v>
      </c>
      <c r="AF853" t="s">
        <v>158</v>
      </c>
      <c r="AH853" t="s">
        <v>3463</v>
      </c>
      <c r="AI853" t="s">
        <v>3463</v>
      </c>
      <c r="AJ853" t="s">
        <v>3463</v>
      </c>
      <c r="AK853" t="s">
        <v>3463</v>
      </c>
      <c r="AL853" t="s">
        <v>3463</v>
      </c>
      <c r="AP853" t="s">
        <v>3463</v>
      </c>
      <c r="AQ853" t="s">
        <v>120</v>
      </c>
      <c r="AR853" t="s">
        <v>3491</v>
      </c>
      <c r="AT853" t="s">
        <v>3465</v>
      </c>
      <c r="AU853" t="s">
        <v>80</v>
      </c>
      <c r="AV853" t="s">
        <v>126</v>
      </c>
      <c r="AW853" t="s">
        <v>126</v>
      </c>
      <c r="AX853" t="s">
        <v>3463</v>
      </c>
      <c r="AY853" t="s">
        <v>3465</v>
      </c>
      <c r="AZ853" t="s">
        <v>90</v>
      </c>
      <c r="BD853" t="s">
        <v>105</v>
      </c>
      <c r="BF853" t="s">
        <v>3921</v>
      </c>
      <c r="BG853" t="s">
        <v>2095</v>
      </c>
      <c r="BH853" t="s">
        <v>4172</v>
      </c>
      <c r="BI853" t="s">
        <v>1427</v>
      </c>
      <c r="BK853" t="s">
        <v>2096</v>
      </c>
      <c r="BL853" t="s">
        <v>2097</v>
      </c>
      <c r="BP853" t="s">
        <v>4325</v>
      </c>
      <c r="BQ853" t="s">
        <v>3463</v>
      </c>
      <c r="BR853" t="s">
        <v>3465</v>
      </c>
      <c r="BS853" t="s">
        <v>3465</v>
      </c>
      <c r="BT853" t="s">
        <v>3465</v>
      </c>
      <c r="BU853" t="s">
        <v>3463</v>
      </c>
      <c r="BV853" t="s">
        <v>3463</v>
      </c>
      <c r="BW853" t="s">
        <v>3463</v>
      </c>
      <c r="BX853" t="s">
        <v>121</v>
      </c>
      <c r="BY853" t="s">
        <v>79</v>
      </c>
      <c r="BZ853" t="s">
        <v>79</v>
      </c>
      <c r="CA853" s="10">
        <v>45911</v>
      </c>
    </row>
    <row r="854" spans="1:79">
      <c r="A854">
        <v>861</v>
      </c>
      <c r="B854">
        <v>185</v>
      </c>
      <c r="C854">
        <v>42</v>
      </c>
      <c r="D854" t="s">
        <v>3466</v>
      </c>
      <c r="F854" t="s">
        <v>150</v>
      </c>
      <c r="G854" s="12" t="s">
        <v>3465</v>
      </c>
      <c r="H854" s="12" t="s">
        <v>88</v>
      </c>
      <c r="I854">
        <v>88</v>
      </c>
      <c r="K854">
        <v>139</v>
      </c>
      <c r="L854">
        <v>94</v>
      </c>
      <c r="M854" t="s">
        <v>72</v>
      </c>
      <c r="P854" t="s">
        <v>83</v>
      </c>
      <c r="Q854" t="s">
        <v>72</v>
      </c>
      <c r="R854">
        <v>81.5</v>
      </c>
      <c r="S854">
        <v>163</v>
      </c>
      <c r="T854" s="8">
        <f t="shared" si="26"/>
        <v>30.674846625766872</v>
      </c>
      <c r="U854" s="13" t="str" cm="1">
        <f t="array" ref="U854">IF(T854="","",_xlfn.IFS(T854&lt;18.5,"Bajo peso",T854&lt;25,"Peso normal",T854&lt;30,"Sobrepeso",T854&lt;35,"Obesidad clase I",T854&lt;40,"Obesidad clase II",T854&gt;=40,"Obesidad clase III"))</f>
        <v>Obesidad clase I</v>
      </c>
      <c r="V854">
        <v>328</v>
      </c>
      <c r="X854" t="s">
        <v>3465</v>
      </c>
      <c r="Y854">
        <v>0.82</v>
      </c>
      <c r="AA854">
        <v>90</v>
      </c>
      <c r="AB854" s="9">
        <f t="shared" si="27"/>
        <v>91.530864287772474</v>
      </c>
      <c r="AD854" t="s">
        <v>73</v>
      </c>
      <c r="AF854" t="s">
        <v>73</v>
      </c>
      <c r="AG854" t="s">
        <v>3465</v>
      </c>
      <c r="AH854" t="s">
        <v>3465</v>
      </c>
      <c r="AI854" t="s">
        <v>3463</v>
      </c>
      <c r="AJ854" t="s">
        <v>3463</v>
      </c>
      <c r="AK854" t="s">
        <v>3463</v>
      </c>
      <c r="AL854" t="s">
        <v>3463</v>
      </c>
      <c r="AP854" t="s">
        <v>3463</v>
      </c>
      <c r="AQ854" t="s">
        <v>2098</v>
      </c>
      <c r="AR854" t="s">
        <v>3577</v>
      </c>
      <c r="AT854" t="s">
        <v>3463</v>
      </c>
      <c r="AV854" t="s">
        <v>74</v>
      </c>
      <c r="AW854" t="s">
        <v>3915</v>
      </c>
      <c r="AX854" t="s">
        <v>3463</v>
      </c>
      <c r="AY854" t="s">
        <v>3465</v>
      </c>
      <c r="AZ854" t="s">
        <v>247</v>
      </c>
      <c r="BA854" t="s">
        <v>3920</v>
      </c>
      <c r="BB854" t="s">
        <v>3485</v>
      </c>
      <c r="BF854" t="s">
        <v>3921</v>
      </c>
      <c r="BG854" t="s">
        <v>2099</v>
      </c>
      <c r="BH854" t="s">
        <v>4191</v>
      </c>
      <c r="BI854" t="s">
        <v>76</v>
      </c>
      <c r="BK854" t="s">
        <v>2100</v>
      </c>
      <c r="BL854" t="s">
        <v>2101</v>
      </c>
      <c r="BP854" t="s">
        <v>4374</v>
      </c>
      <c r="BQ854" t="s">
        <v>3463</v>
      </c>
      <c r="BR854" t="s">
        <v>3463</v>
      </c>
      <c r="BS854" t="s">
        <v>3465</v>
      </c>
      <c r="BT854" t="s">
        <v>3465</v>
      </c>
      <c r="BU854" t="s">
        <v>3463</v>
      </c>
      <c r="BV854" t="s">
        <v>3463</v>
      </c>
      <c r="BW854" t="s">
        <v>3463</v>
      </c>
      <c r="BX854" t="s">
        <v>79</v>
      </c>
      <c r="BY854" t="s">
        <v>87</v>
      </c>
      <c r="BZ854" t="s">
        <v>79</v>
      </c>
      <c r="CA854" s="10">
        <v>45911</v>
      </c>
    </row>
    <row r="855" spans="1:79">
      <c r="A855">
        <v>862</v>
      </c>
      <c r="B855">
        <v>187</v>
      </c>
      <c r="C855">
        <v>56</v>
      </c>
      <c r="D855" t="s">
        <v>3466</v>
      </c>
      <c r="E855" t="s">
        <v>1966</v>
      </c>
      <c r="F855" t="s">
        <v>150</v>
      </c>
      <c r="G855" s="12" t="s">
        <v>3463</v>
      </c>
      <c r="H855" s="12"/>
      <c r="I855">
        <v>79</v>
      </c>
      <c r="J855">
        <v>80</v>
      </c>
      <c r="K855">
        <v>164</v>
      </c>
      <c r="L855">
        <v>83</v>
      </c>
      <c r="M855" t="s">
        <v>72</v>
      </c>
      <c r="N855">
        <v>157</v>
      </c>
      <c r="O855">
        <v>82</v>
      </c>
      <c r="P855" t="s">
        <v>72</v>
      </c>
      <c r="Q855" t="s">
        <v>72</v>
      </c>
      <c r="R855">
        <v>59.5</v>
      </c>
      <c r="S855">
        <v>152</v>
      </c>
      <c r="T855" s="8">
        <f t="shared" si="26"/>
        <v>25.753116343490305</v>
      </c>
      <c r="U855" s="13" t="str" cm="1">
        <f t="array" ref="U855">IF(T855="","",_xlfn.IFS(T855&lt;18.5,"Bajo peso",T855&lt;25,"Peso normal",T855&lt;30,"Sobrepeso",T855&lt;35,"Obesidad clase I",T855&lt;40,"Obesidad clase II",T855&gt;=40,"Obesidad clase III"))</f>
        <v>Sobrepeso</v>
      </c>
      <c r="V855">
        <v>110</v>
      </c>
      <c r="X855" t="s">
        <v>3463</v>
      </c>
      <c r="Y855">
        <v>0.85</v>
      </c>
      <c r="AA855">
        <v>81</v>
      </c>
      <c r="AB855" s="9">
        <f t="shared" si="27"/>
        <v>80.357676151885812</v>
      </c>
      <c r="AD855" t="s">
        <v>73</v>
      </c>
      <c r="AF855" t="s">
        <v>73</v>
      </c>
      <c r="AH855" t="s">
        <v>3463</v>
      </c>
      <c r="AI855" t="s">
        <v>3463</v>
      </c>
      <c r="AJ855" t="s">
        <v>3463</v>
      </c>
      <c r="AK855" t="s">
        <v>3463</v>
      </c>
      <c r="AL855" t="s">
        <v>3465</v>
      </c>
      <c r="AM855" t="s">
        <v>866</v>
      </c>
      <c r="AN855" t="s">
        <v>3617</v>
      </c>
      <c r="AP855" t="s">
        <v>3463</v>
      </c>
      <c r="AT855" t="s">
        <v>3465</v>
      </c>
      <c r="AU855" t="s">
        <v>80</v>
      </c>
      <c r="AV855" t="s">
        <v>74</v>
      </c>
      <c r="AW855" t="s">
        <v>3915</v>
      </c>
      <c r="AY855" t="s">
        <v>3465</v>
      </c>
      <c r="AZ855" t="s">
        <v>665</v>
      </c>
      <c r="BF855" t="s">
        <v>3921</v>
      </c>
      <c r="BH855" t="s">
        <v>4020</v>
      </c>
      <c r="BP855" t="s">
        <v>4260</v>
      </c>
      <c r="BQ855" t="s">
        <v>3463</v>
      </c>
      <c r="BR855" t="s">
        <v>3463</v>
      </c>
      <c r="BS855" t="s">
        <v>3463</v>
      </c>
      <c r="BT855" t="s">
        <v>3463</v>
      </c>
      <c r="BU855" t="s">
        <v>3463</v>
      </c>
      <c r="BV855" t="s">
        <v>3463</v>
      </c>
      <c r="BW855" t="s">
        <v>3463</v>
      </c>
      <c r="BX855" t="s">
        <v>79</v>
      </c>
      <c r="BY855" t="s">
        <v>79</v>
      </c>
      <c r="BZ855" t="s">
        <v>79</v>
      </c>
      <c r="CA855" s="10">
        <v>45911</v>
      </c>
    </row>
    <row r="856" spans="1:79">
      <c r="A856">
        <v>863</v>
      </c>
      <c r="B856">
        <v>188</v>
      </c>
      <c r="C856">
        <v>54</v>
      </c>
      <c r="D856" t="s">
        <v>3466</v>
      </c>
      <c r="F856" t="s">
        <v>150</v>
      </c>
      <c r="G856" s="12" t="s">
        <v>3465</v>
      </c>
      <c r="H856" t="s">
        <v>88</v>
      </c>
      <c r="I856">
        <v>74</v>
      </c>
      <c r="K856">
        <v>162</v>
      </c>
      <c r="L856">
        <v>90</v>
      </c>
      <c r="M856" t="s">
        <v>72</v>
      </c>
      <c r="P856" t="s">
        <v>83</v>
      </c>
      <c r="Q856" t="s">
        <v>72</v>
      </c>
      <c r="R856">
        <v>79.5</v>
      </c>
      <c r="S856">
        <v>152</v>
      </c>
      <c r="T856" s="8">
        <f t="shared" si="26"/>
        <v>34.409626038781163</v>
      </c>
      <c r="U856" s="13" t="str" cm="1">
        <f t="array" ref="U856">IF(T856="","",_xlfn.IFS(T856&lt;18.5,"Bajo peso",T856&lt;25,"Peso normal",T856&lt;30,"Sobrepeso",T856&lt;35,"Obesidad clase I",T856&lt;40,"Obesidad clase II",T856&gt;=40,"Obesidad clase III"))</f>
        <v>Obesidad clase I</v>
      </c>
      <c r="V856">
        <v>121</v>
      </c>
      <c r="X856" t="s">
        <v>3463</v>
      </c>
      <c r="Y856">
        <v>0.65</v>
      </c>
      <c r="AA856">
        <v>90</v>
      </c>
      <c r="AB856" s="9">
        <f t="shared" si="27"/>
        <v>104.56129555746247</v>
      </c>
      <c r="AD856" t="s">
        <v>73</v>
      </c>
      <c r="AF856" t="s">
        <v>73</v>
      </c>
      <c r="AH856" t="s">
        <v>3463</v>
      </c>
      <c r="AI856" t="s">
        <v>3465</v>
      </c>
      <c r="AJ856" t="s">
        <v>3463</v>
      </c>
      <c r="AK856" t="s">
        <v>3463</v>
      </c>
      <c r="AL856" t="s">
        <v>3465</v>
      </c>
      <c r="AM856" t="s">
        <v>2102</v>
      </c>
      <c r="AN856" t="s">
        <v>3800</v>
      </c>
      <c r="AP856" t="s">
        <v>3463</v>
      </c>
      <c r="AQ856" t="s">
        <v>2103</v>
      </c>
      <c r="AR856" t="s">
        <v>3565</v>
      </c>
      <c r="AS856" t="s">
        <v>3465</v>
      </c>
      <c r="AT856" t="s">
        <v>3465</v>
      </c>
      <c r="AU856" t="s">
        <v>125</v>
      </c>
      <c r="AV856" t="s">
        <v>112</v>
      </c>
      <c r="AW856" t="s">
        <v>3917</v>
      </c>
      <c r="AX856" t="s">
        <v>3465</v>
      </c>
      <c r="AY856" t="s">
        <v>3465</v>
      </c>
      <c r="AZ856" t="s">
        <v>247</v>
      </c>
      <c r="BA856" t="s">
        <v>3920</v>
      </c>
      <c r="BF856" t="s">
        <v>3921</v>
      </c>
      <c r="BG856" t="s">
        <v>2104</v>
      </c>
      <c r="BH856" t="s">
        <v>4042</v>
      </c>
      <c r="BI856" t="s">
        <v>1206</v>
      </c>
      <c r="BK856" t="s">
        <v>2105</v>
      </c>
      <c r="BL856" t="s">
        <v>2106</v>
      </c>
      <c r="BP856" t="s">
        <v>4492</v>
      </c>
      <c r="BQ856" t="s">
        <v>3463</v>
      </c>
      <c r="BR856" t="s">
        <v>3463</v>
      </c>
      <c r="BS856" t="s">
        <v>3465</v>
      </c>
      <c r="BT856" t="s">
        <v>3465</v>
      </c>
      <c r="BU856" t="s">
        <v>3463</v>
      </c>
      <c r="BV856" t="s">
        <v>3463</v>
      </c>
      <c r="BW856" t="s">
        <v>3463</v>
      </c>
      <c r="BX856" t="s">
        <v>79</v>
      </c>
      <c r="BY856" t="s">
        <v>79</v>
      </c>
      <c r="BZ856" t="s">
        <v>79</v>
      </c>
      <c r="CA856" s="10">
        <v>45911</v>
      </c>
    </row>
    <row r="857" spans="1:79">
      <c r="A857">
        <v>864</v>
      </c>
      <c r="B857">
        <v>189</v>
      </c>
      <c r="C857">
        <v>61</v>
      </c>
      <c r="D857" t="s">
        <v>3466</v>
      </c>
      <c r="E857" t="s">
        <v>2107</v>
      </c>
      <c r="F857" t="s">
        <v>150</v>
      </c>
      <c r="G857" s="12" t="s">
        <v>3463</v>
      </c>
      <c r="H857" s="12"/>
      <c r="I857">
        <v>65</v>
      </c>
      <c r="K857">
        <v>131</v>
      </c>
      <c r="L857">
        <v>58</v>
      </c>
      <c r="M857" t="s">
        <v>82</v>
      </c>
      <c r="P857" t="s">
        <v>83</v>
      </c>
      <c r="Q857" t="s">
        <v>82</v>
      </c>
      <c r="R857">
        <v>68.900000000000006</v>
      </c>
      <c r="S857">
        <v>165</v>
      </c>
      <c r="T857" s="8">
        <f t="shared" si="26"/>
        <v>25.307621671258037</v>
      </c>
      <c r="U857" s="13" t="str" cm="1">
        <f t="array" ref="U857">IF(T857="","",_xlfn.IFS(T857&lt;18.5,"Bajo peso",T857&lt;25,"Peso normal",T857&lt;30,"Sobrepeso",T857&lt;35,"Obesidad clase I",T857&lt;40,"Obesidad clase II",T857&gt;=40,"Obesidad clase III"))</f>
        <v>Sobrepeso</v>
      </c>
      <c r="V857">
        <v>98</v>
      </c>
      <c r="X857" t="s">
        <v>3463</v>
      </c>
      <c r="Y857">
        <v>0.85</v>
      </c>
      <c r="AA857">
        <v>78</v>
      </c>
      <c r="AB857" s="9">
        <f t="shared" si="27"/>
        <v>77.897286760007532</v>
      </c>
      <c r="AD857" t="s">
        <v>73</v>
      </c>
      <c r="AF857" t="s">
        <v>73</v>
      </c>
      <c r="AH857" t="s">
        <v>3463</v>
      </c>
      <c r="AI857" t="s">
        <v>3463</v>
      </c>
      <c r="AJ857" t="s">
        <v>3463</v>
      </c>
      <c r="AK857" t="s">
        <v>3463</v>
      </c>
      <c r="AL857" t="s">
        <v>3463</v>
      </c>
      <c r="AP857" t="s">
        <v>3463</v>
      </c>
      <c r="AQ857" t="s">
        <v>2108</v>
      </c>
      <c r="AR857" t="s">
        <v>3488</v>
      </c>
      <c r="AT857" t="s">
        <v>3463</v>
      </c>
      <c r="AV857" t="s">
        <v>74</v>
      </c>
      <c r="AW857" t="s">
        <v>3915</v>
      </c>
      <c r="AX857" t="s">
        <v>3463</v>
      </c>
      <c r="AY857" t="s">
        <v>3463</v>
      </c>
      <c r="AZ857" t="s">
        <v>2109</v>
      </c>
      <c r="BF857" t="s">
        <v>3921</v>
      </c>
      <c r="BH857" t="s">
        <v>4020</v>
      </c>
      <c r="BP857" t="s">
        <v>4260</v>
      </c>
      <c r="BQ857" t="s">
        <v>3463</v>
      </c>
      <c r="BR857" t="s">
        <v>3465</v>
      </c>
      <c r="BS857" t="s">
        <v>3463</v>
      </c>
      <c r="BT857" t="s">
        <v>3463</v>
      </c>
      <c r="BU857" t="s">
        <v>3463</v>
      </c>
      <c r="BV857" t="s">
        <v>3463</v>
      </c>
      <c r="BW857" t="s">
        <v>3463</v>
      </c>
      <c r="BX857" t="s">
        <v>79</v>
      </c>
      <c r="BY857" t="s">
        <v>79</v>
      </c>
      <c r="BZ857" t="s">
        <v>79</v>
      </c>
      <c r="CA857" s="10">
        <v>45911</v>
      </c>
    </row>
    <row r="858" spans="1:79">
      <c r="A858">
        <v>865</v>
      </c>
      <c r="B858">
        <v>190</v>
      </c>
      <c r="C858">
        <v>67</v>
      </c>
      <c r="D858" t="s">
        <v>3466</v>
      </c>
      <c r="E858" t="s">
        <v>2110</v>
      </c>
      <c r="F858" t="s">
        <v>150</v>
      </c>
      <c r="G858" s="12" t="s">
        <v>3463</v>
      </c>
      <c r="H858" s="12"/>
      <c r="I858">
        <v>85</v>
      </c>
      <c r="J858">
        <v>86</v>
      </c>
      <c r="K858">
        <v>161</v>
      </c>
      <c r="L858">
        <v>85</v>
      </c>
      <c r="M858" t="s">
        <v>72</v>
      </c>
      <c r="N858">
        <v>125</v>
      </c>
      <c r="O858">
        <v>82</v>
      </c>
      <c r="P858" t="s">
        <v>82</v>
      </c>
      <c r="Q858" t="s">
        <v>82</v>
      </c>
      <c r="R858">
        <v>94.95</v>
      </c>
      <c r="S858">
        <v>148.30000000000001</v>
      </c>
      <c r="T858" s="8">
        <f t="shared" si="26"/>
        <v>43.173043651834746</v>
      </c>
      <c r="U858" s="13" t="str" cm="1">
        <f t="array" ref="U858">IF(T858="","",_xlfn.IFS(T858&lt;18.5,"Bajo peso",T858&lt;25,"Peso normal",T858&lt;30,"Sobrepeso",T858&lt;35,"Obesidad clase I",T858&lt;40,"Obesidad clase II",T858&gt;=40,"Obesidad clase III"))</f>
        <v>Obesidad clase III</v>
      </c>
      <c r="V858">
        <v>138</v>
      </c>
      <c r="X858" t="s">
        <v>3463</v>
      </c>
      <c r="Y858">
        <v>0.97</v>
      </c>
      <c r="AA858">
        <v>64</v>
      </c>
      <c r="AB858" s="9">
        <f t="shared" si="27"/>
        <v>64.046133344338855</v>
      </c>
      <c r="AD858" t="s">
        <v>73</v>
      </c>
      <c r="AF858" t="s">
        <v>73</v>
      </c>
      <c r="AG858" t="s">
        <v>3465</v>
      </c>
      <c r="AH858" t="s">
        <v>3465</v>
      </c>
      <c r="AI858" t="s">
        <v>3465</v>
      </c>
      <c r="AJ858" t="s">
        <v>3463</v>
      </c>
      <c r="AK858" t="s">
        <v>3463</v>
      </c>
      <c r="AL858" t="s">
        <v>3463</v>
      </c>
      <c r="AP858" t="s">
        <v>3463</v>
      </c>
      <c r="AS858" t="s">
        <v>3465</v>
      </c>
      <c r="AT858" t="s">
        <v>3465</v>
      </c>
      <c r="AU858" t="s">
        <v>80</v>
      </c>
      <c r="AV858" t="s">
        <v>126</v>
      </c>
      <c r="AW858" t="s">
        <v>126</v>
      </c>
      <c r="AY858" t="s">
        <v>3465</v>
      </c>
      <c r="AZ858" t="s">
        <v>665</v>
      </c>
      <c r="BF858" t="s">
        <v>3921</v>
      </c>
      <c r="BH858" t="s">
        <v>4020</v>
      </c>
      <c r="BP858" t="s">
        <v>4260</v>
      </c>
      <c r="BQ858" t="s">
        <v>3463</v>
      </c>
      <c r="BR858" t="s">
        <v>3463</v>
      </c>
      <c r="BS858" t="s">
        <v>3463</v>
      </c>
      <c r="BT858" t="s">
        <v>3463</v>
      </c>
      <c r="BU858" t="s">
        <v>3463</v>
      </c>
      <c r="BV858" t="s">
        <v>3463</v>
      </c>
      <c r="BW858" t="s">
        <v>3463</v>
      </c>
      <c r="BX858" t="s">
        <v>79</v>
      </c>
      <c r="BY858" t="s">
        <v>79</v>
      </c>
      <c r="BZ858" t="s">
        <v>79</v>
      </c>
      <c r="CA858" s="10">
        <v>45911</v>
      </c>
    </row>
    <row r="859" spans="1:79">
      <c r="A859">
        <v>866</v>
      </c>
      <c r="B859">
        <v>191</v>
      </c>
      <c r="C859">
        <v>65</v>
      </c>
      <c r="D859" t="s">
        <v>3466</v>
      </c>
      <c r="E859" t="s">
        <v>2111</v>
      </c>
      <c r="F859" t="s">
        <v>150</v>
      </c>
      <c r="G859" s="12" t="s">
        <v>3463</v>
      </c>
      <c r="I859">
        <v>69</v>
      </c>
      <c r="K859">
        <v>140</v>
      </c>
      <c r="L859">
        <v>78</v>
      </c>
      <c r="M859" t="s">
        <v>72</v>
      </c>
      <c r="P859" t="s">
        <v>83</v>
      </c>
      <c r="Q859" t="s">
        <v>72</v>
      </c>
      <c r="R859">
        <v>58</v>
      </c>
      <c r="S859">
        <v>153</v>
      </c>
      <c r="T859" s="8">
        <f t="shared" si="26"/>
        <v>24.776795249690291</v>
      </c>
      <c r="U859" s="13" t="str" cm="1">
        <f t="array" ref="U859">IF(T859="","",_xlfn.IFS(T859&lt;18.5,"Bajo peso",T859&lt;25,"Peso normal",T859&lt;30,"Sobrepeso",T859&lt;35,"Obesidad clase I",T859&lt;40,"Obesidad clase II",T859&gt;=40,"Obesidad clase III"))</f>
        <v>Peso normal</v>
      </c>
      <c r="V859">
        <v>101</v>
      </c>
      <c r="X859" t="s">
        <v>3463</v>
      </c>
      <c r="Y859">
        <v>0.7</v>
      </c>
      <c r="AA859">
        <v>90</v>
      </c>
      <c r="AB859" s="9">
        <f t="shared" si="27"/>
        <v>95.91871754308319</v>
      </c>
      <c r="AD859" t="s">
        <v>73</v>
      </c>
      <c r="AF859" t="s">
        <v>73</v>
      </c>
      <c r="AH859" t="s">
        <v>3463</v>
      </c>
      <c r="AI859" t="s">
        <v>3465</v>
      </c>
      <c r="AJ859" t="s">
        <v>3463</v>
      </c>
      <c r="AK859" t="s">
        <v>3465</v>
      </c>
      <c r="AL859" t="s">
        <v>3465</v>
      </c>
      <c r="AM859" t="s">
        <v>2112</v>
      </c>
      <c r="AN859" t="s">
        <v>3801</v>
      </c>
      <c r="AQ859" t="s">
        <v>2113</v>
      </c>
      <c r="AR859" t="s">
        <v>3490</v>
      </c>
      <c r="AS859" t="s">
        <v>3465</v>
      </c>
      <c r="AT859" t="s">
        <v>3465</v>
      </c>
      <c r="AU859" t="s">
        <v>80</v>
      </c>
      <c r="AV859" t="s">
        <v>112</v>
      </c>
      <c r="AW859" t="s">
        <v>3917</v>
      </c>
      <c r="AX859" t="s">
        <v>3463</v>
      </c>
      <c r="AY859" t="s">
        <v>3463</v>
      </c>
      <c r="BF859" t="s">
        <v>3921</v>
      </c>
      <c r="BH859" t="s">
        <v>4020</v>
      </c>
      <c r="BP859" t="s">
        <v>4260</v>
      </c>
      <c r="BQ859" t="s">
        <v>3463</v>
      </c>
      <c r="BR859" t="s">
        <v>3463</v>
      </c>
      <c r="BS859" t="s">
        <v>3463</v>
      </c>
      <c r="BT859" t="s">
        <v>3463</v>
      </c>
      <c r="BU859" t="s">
        <v>3463</v>
      </c>
      <c r="BV859" t="s">
        <v>3463</v>
      </c>
      <c r="BW859" t="s">
        <v>3463</v>
      </c>
      <c r="BX859" t="s">
        <v>79</v>
      </c>
      <c r="BY859" t="s">
        <v>79</v>
      </c>
      <c r="BZ859" t="s">
        <v>79</v>
      </c>
      <c r="CA859" s="10">
        <v>45911</v>
      </c>
    </row>
    <row r="860" spans="1:79">
      <c r="A860">
        <v>867</v>
      </c>
      <c r="B860">
        <v>192</v>
      </c>
      <c r="C860">
        <v>53</v>
      </c>
      <c r="D860" t="s">
        <v>3466</v>
      </c>
      <c r="F860" t="s">
        <v>150</v>
      </c>
      <c r="G860" s="12" t="s">
        <v>3463</v>
      </c>
      <c r="I860">
        <v>66</v>
      </c>
      <c r="J860">
        <v>72</v>
      </c>
      <c r="K860">
        <v>146</v>
      </c>
      <c r="L860">
        <v>90</v>
      </c>
      <c r="M860" t="s">
        <v>72</v>
      </c>
      <c r="N860">
        <v>148</v>
      </c>
      <c r="O860">
        <v>103</v>
      </c>
      <c r="P860" t="s">
        <v>72</v>
      </c>
      <c r="Q860" t="s">
        <v>72</v>
      </c>
      <c r="R860">
        <v>97</v>
      </c>
      <c r="S860">
        <v>155.5</v>
      </c>
      <c r="T860" s="8">
        <f t="shared" si="26"/>
        <v>40.115383422421196</v>
      </c>
      <c r="U860" s="13" t="str" cm="1">
        <f t="array" ref="U860">IF(T860="","",_xlfn.IFS(T860&lt;18.5,"Bajo peso",T860&lt;25,"Peso normal",T860&lt;30,"Sobrepeso",T860&lt;35,"Obesidad clase I",T860&lt;40,"Obesidad clase II",T860&gt;=40,"Obesidad clase III"))</f>
        <v>Obesidad clase III</v>
      </c>
      <c r="V860">
        <v>104</v>
      </c>
      <c r="X860" t="s">
        <v>3463</v>
      </c>
      <c r="Y860">
        <v>1.1000000000000001</v>
      </c>
      <c r="AA860">
        <v>60</v>
      </c>
      <c r="AB860" s="9">
        <f t="shared" si="27"/>
        <v>60.084420992125636</v>
      </c>
      <c r="AD860" t="s">
        <v>73</v>
      </c>
      <c r="AF860" t="s">
        <v>73</v>
      </c>
      <c r="AI860" t="s">
        <v>3465</v>
      </c>
      <c r="AL860" t="s">
        <v>3465</v>
      </c>
      <c r="AM860" t="s">
        <v>2114</v>
      </c>
      <c r="AN860" t="s">
        <v>3802</v>
      </c>
      <c r="AS860" t="s">
        <v>3465</v>
      </c>
      <c r="AT860" t="s">
        <v>3465</v>
      </c>
      <c r="AU860" t="s">
        <v>125</v>
      </c>
      <c r="AW860" t="s">
        <v>3916</v>
      </c>
      <c r="AX860" t="s">
        <v>3465</v>
      </c>
      <c r="AY860" t="s">
        <v>3465</v>
      </c>
      <c r="AZ860" t="s">
        <v>104</v>
      </c>
      <c r="BA860" t="s">
        <v>3920</v>
      </c>
      <c r="BD860" t="s">
        <v>105</v>
      </c>
      <c r="BF860" t="s">
        <v>3921</v>
      </c>
      <c r="BG860" t="s">
        <v>2115</v>
      </c>
      <c r="BH860" t="s">
        <v>4192</v>
      </c>
      <c r="BK860" t="s">
        <v>2116</v>
      </c>
      <c r="BL860" t="s">
        <v>2117</v>
      </c>
      <c r="BP860" t="s">
        <v>4325</v>
      </c>
      <c r="BQ860" t="s">
        <v>3463</v>
      </c>
      <c r="BR860" t="s">
        <v>3465</v>
      </c>
      <c r="BS860" t="s">
        <v>3465</v>
      </c>
      <c r="BT860" t="s">
        <v>3465</v>
      </c>
      <c r="BU860" t="s">
        <v>3463</v>
      </c>
      <c r="BV860" t="s">
        <v>3463</v>
      </c>
      <c r="BW860" t="s">
        <v>3463</v>
      </c>
      <c r="BX860" t="s">
        <v>79</v>
      </c>
      <c r="BY860" t="s">
        <v>79</v>
      </c>
      <c r="BZ860" t="s">
        <v>79</v>
      </c>
      <c r="CA860" s="10">
        <v>45911</v>
      </c>
    </row>
    <row r="861" spans="1:79">
      <c r="A861">
        <v>868</v>
      </c>
      <c r="B861">
        <v>193</v>
      </c>
      <c r="C861">
        <v>67</v>
      </c>
      <c r="D861" t="s">
        <v>3466</v>
      </c>
      <c r="E861" t="s">
        <v>1966</v>
      </c>
      <c r="F861" t="s">
        <v>150</v>
      </c>
      <c r="G861" s="12" t="s">
        <v>3463</v>
      </c>
      <c r="H861" s="12"/>
      <c r="I861">
        <v>60</v>
      </c>
      <c r="K861">
        <v>140</v>
      </c>
      <c r="L861">
        <v>82</v>
      </c>
      <c r="M861" t="s">
        <v>72</v>
      </c>
      <c r="P861" t="s">
        <v>83</v>
      </c>
      <c r="Q861" t="s">
        <v>72</v>
      </c>
      <c r="R861">
        <v>87</v>
      </c>
      <c r="S861">
        <v>156</v>
      </c>
      <c r="T861" s="8">
        <f t="shared" si="26"/>
        <v>35.749506903353058</v>
      </c>
      <c r="U861" s="13" t="str" cm="1">
        <f t="array" ref="U861">IF(T861="","",_xlfn.IFS(T861&lt;18.5,"Bajo peso",T861&lt;25,"Peso normal",T861&lt;30,"Sobrepeso",T861&lt;35,"Obesidad clase I",T861&lt;40,"Obesidad clase II",T861&gt;=40,"Obesidad clase III"))</f>
        <v>Obesidad clase II</v>
      </c>
      <c r="V861">
        <v>93</v>
      </c>
      <c r="X861" t="s">
        <v>3463</v>
      </c>
      <c r="Y861">
        <v>0.67</v>
      </c>
      <c r="AA861">
        <v>90</v>
      </c>
      <c r="AB861" s="9">
        <f t="shared" si="27"/>
        <v>95.738352235951751</v>
      </c>
      <c r="AD861" t="s">
        <v>73</v>
      </c>
      <c r="AF861" t="s">
        <v>73</v>
      </c>
      <c r="AG861" t="s">
        <v>3465</v>
      </c>
      <c r="AH861" t="s">
        <v>3465</v>
      </c>
      <c r="AI861" t="s">
        <v>3463</v>
      </c>
      <c r="AJ861" t="s">
        <v>3463</v>
      </c>
      <c r="AK861" t="s">
        <v>3465</v>
      </c>
      <c r="AL861" t="s">
        <v>3465</v>
      </c>
      <c r="AM861" t="s">
        <v>2071</v>
      </c>
      <c r="AN861" t="s">
        <v>116</v>
      </c>
      <c r="AP861" t="s">
        <v>3464</v>
      </c>
      <c r="AT861" t="s">
        <v>3465</v>
      </c>
      <c r="AU861" t="s">
        <v>80</v>
      </c>
      <c r="AV861" t="s">
        <v>74</v>
      </c>
      <c r="AW861" t="s">
        <v>3915</v>
      </c>
      <c r="AY861" t="s">
        <v>3463</v>
      </c>
      <c r="BF861" t="s">
        <v>3921</v>
      </c>
      <c r="BH861" t="s">
        <v>4020</v>
      </c>
      <c r="BP861" t="s">
        <v>4260</v>
      </c>
      <c r="BQ861" t="s">
        <v>3463</v>
      </c>
      <c r="BR861" t="s">
        <v>3463</v>
      </c>
      <c r="BS861" t="s">
        <v>3463</v>
      </c>
      <c r="BT861" t="s">
        <v>3463</v>
      </c>
      <c r="BU861" t="s">
        <v>3463</v>
      </c>
      <c r="BV861" t="s">
        <v>3463</v>
      </c>
      <c r="BW861" t="s">
        <v>3463</v>
      </c>
      <c r="BX861" t="s">
        <v>518</v>
      </c>
      <c r="BY861" t="s">
        <v>87</v>
      </c>
      <c r="BZ861" t="s">
        <v>79</v>
      </c>
      <c r="CA861" s="10">
        <v>45911</v>
      </c>
    </row>
    <row r="862" spans="1:79">
      <c r="A862">
        <v>869</v>
      </c>
      <c r="B862">
        <v>194</v>
      </c>
      <c r="C862">
        <v>58</v>
      </c>
      <c r="D862" t="s">
        <v>3466</v>
      </c>
      <c r="F862" t="s">
        <v>150</v>
      </c>
      <c r="G862" s="12" t="s">
        <v>3463</v>
      </c>
      <c r="H862" s="12"/>
      <c r="I862">
        <v>83</v>
      </c>
      <c r="K862">
        <v>137</v>
      </c>
      <c r="L862">
        <v>86</v>
      </c>
      <c r="M862" t="s">
        <v>82</v>
      </c>
      <c r="P862" t="s">
        <v>83</v>
      </c>
      <c r="Q862" t="s">
        <v>82</v>
      </c>
      <c r="R862">
        <v>66</v>
      </c>
      <c r="S862">
        <v>148</v>
      </c>
      <c r="T862" s="8">
        <f t="shared" si="26"/>
        <v>30.131482834185537</v>
      </c>
      <c r="U862" s="13" t="str" cm="1">
        <f t="array" ref="U862">IF(T862="","",_xlfn.IFS(T862&lt;18.5,"Bajo peso",T862&lt;25,"Peso normal",T862&lt;30,"Sobrepeso",T862&lt;35,"Obesidad clase I",T862&lt;40,"Obesidad clase II",T862&gt;=40,"Obesidad clase III"))</f>
        <v>Obesidad clase I</v>
      </c>
      <c r="V862">
        <v>114</v>
      </c>
      <c r="W862">
        <v>136</v>
      </c>
      <c r="X862" t="s">
        <v>3463</v>
      </c>
      <c r="Y862">
        <v>2.23</v>
      </c>
      <c r="Z862">
        <v>2.06</v>
      </c>
      <c r="AA862">
        <v>25</v>
      </c>
      <c r="AB862" s="9">
        <f t="shared" si="27"/>
        <v>24.943777791132906</v>
      </c>
      <c r="AC862">
        <v>27</v>
      </c>
      <c r="AD862" t="s">
        <v>303</v>
      </c>
      <c r="AE862" t="s">
        <v>303</v>
      </c>
      <c r="AF862" t="s">
        <v>303</v>
      </c>
      <c r="AH862" t="s">
        <v>3463</v>
      </c>
      <c r="AI862" t="s">
        <v>3465</v>
      </c>
      <c r="AJ862" t="s">
        <v>3463</v>
      </c>
      <c r="AL862" t="s">
        <v>3465</v>
      </c>
      <c r="AM862" t="s">
        <v>2118</v>
      </c>
      <c r="AN862" t="s">
        <v>3803</v>
      </c>
      <c r="AP862" t="s">
        <v>3463</v>
      </c>
      <c r="AQ862" t="s">
        <v>2119</v>
      </c>
      <c r="AR862" t="s">
        <v>3495</v>
      </c>
      <c r="AS862" t="s">
        <v>3465</v>
      </c>
      <c r="AT862" t="s">
        <v>3465</v>
      </c>
      <c r="AU862" t="s">
        <v>125</v>
      </c>
      <c r="AV862" t="s">
        <v>112</v>
      </c>
      <c r="AW862" t="s">
        <v>3917</v>
      </c>
      <c r="AX862" t="s">
        <v>3463</v>
      </c>
      <c r="AY862" t="s">
        <v>3465</v>
      </c>
      <c r="AZ862" t="s">
        <v>90</v>
      </c>
      <c r="BC862" t="s">
        <v>128</v>
      </c>
      <c r="BD862" t="s">
        <v>105</v>
      </c>
      <c r="BF862" t="s">
        <v>3921</v>
      </c>
      <c r="BG862" t="s">
        <v>2120</v>
      </c>
      <c r="BH862" t="s">
        <v>4193</v>
      </c>
      <c r="BI862" t="s">
        <v>2121</v>
      </c>
      <c r="BK862" t="s">
        <v>2122</v>
      </c>
      <c r="BL862" t="s">
        <v>2123</v>
      </c>
      <c r="BP862" t="s">
        <v>4493</v>
      </c>
      <c r="BQ862" t="s">
        <v>3463</v>
      </c>
      <c r="BR862" t="s">
        <v>3465</v>
      </c>
      <c r="BS862" t="s">
        <v>3463</v>
      </c>
      <c r="BT862" t="s">
        <v>3463</v>
      </c>
      <c r="BU862" t="s">
        <v>3463</v>
      </c>
      <c r="BV862" t="s">
        <v>3463</v>
      </c>
      <c r="BW862" t="s">
        <v>3463</v>
      </c>
      <c r="BX862" t="s">
        <v>79</v>
      </c>
      <c r="BY862" t="s">
        <v>79</v>
      </c>
      <c r="BZ862" t="s">
        <v>79</v>
      </c>
      <c r="CA862" s="10">
        <v>45911</v>
      </c>
    </row>
    <row r="863" spans="1:79">
      <c r="A863">
        <v>870</v>
      </c>
      <c r="B863">
        <v>195</v>
      </c>
      <c r="C863">
        <v>54</v>
      </c>
      <c r="D863" t="s">
        <v>3462</v>
      </c>
      <c r="E863" t="s">
        <v>2124</v>
      </c>
      <c r="F863" t="s">
        <v>380</v>
      </c>
      <c r="G863" s="12" t="s">
        <v>3463</v>
      </c>
      <c r="M863" t="s">
        <v>83</v>
      </c>
      <c r="P863" t="s">
        <v>83</v>
      </c>
      <c r="Q863" t="s">
        <v>83</v>
      </c>
      <c r="T863" s="8" t="str">
        <f t="shared" si="26"/>
        <v/>
      </c>
      <c r="U863" s="13" t="str" cm="1">
        <f t="array" ref="U863">IF(T863="","",_xlfn.IFS(T863&lt;18.5,"Bajo peso",T863&lt;25,"Peso normal",T863&lt;30,"Sobrepeso",T863&lt;35,"Obesidad clase I",T863&lt;40,"Obesidad clase II",T863&gt;=40,"Obesidad clase III"))</f>
        <v/>
      </c>
      <c r="AB863" s="9" t="str">
        <f t="shared" si="27"/>
        <v/>
      </c>
      <c r="AH863" t="s">
        <v>3463</v>
      </c>
      <c r="AI863" t="s">
        <v>3463</v>
      </c>
      <c r="AJ863" t="s">
        <v>3465</v>
      </c>
      <c r="AK863" t="s">
        <v>3465</v>
      </c>
      <c r="AL863" t="s">
        <v>3463</v>
      </c>
      <c r="AP863" t="s">
        <v>3463</v>
      </c>
      <c r="AQ863" t="s">
        <v>399</v>
      </c>
      <c r="AR863" t="s">
        <v>3505</v>
      </c>
      <c r="AV863" t="s">
        <v>126</v>
      </c>
      <c r="AW863" t="s">
        <v>126</v>
      </c>
      <c r="BF863" t="s">
        <v>3921</v>
      </c>
      <c r="BH863" t="s">
        <v>4020</v>
      </c>
      <c r="BP863" t="s">
        <v>4260</v>
      </c>
      <c r="BQ863" t="s">
        <v>3463</v>
      </c>
      <c r="BR863" t="s">
        <v>3465</v>
      </c>
      <c r="BS863" t="s">
        <v>3463</v>
      </c>
      <c r="BT863" t="s">
        <v>3463</v>
      </c>
      <c r="BU863" t="s">
        <v>3463</v>
      </c>
      <c r="BV863" t="s">
        <v>3463</v>
      </c>
      <c r="BW863" t="s">
        <v>3463</v>
      </c>
      <c r="BX863" t="s">
        <v>79</v>
      </c>
      <c r="BY863" t="s">
        <v>87</v>
      </c>
      <c r="BZ863" t="s">
        <v>79</v>
      </c>
      <c r="CA863" s="10">
        <v>45911</v>
      </c>
    </row>
    <row r="864" spans="1:79">
      <c r="A864">
        <v>871</v>
      </c>
      <c r="B864">
        <v>196</v>
      </c>
      <c r="C864">
        <v>49</v>
      </c>
      <c r="D864" t="s">
        <v>3466</v>
      </c>
      <c r="E864" t="s">
        <v>1966</v>
      </c>
      <c r="F864" t="s">
        <v>150</v>
      </c>
      <c r="G864" s="12" t="s">
        <v>3465</v>
      </c>
      <c r="H864" s="12" t="s">
        <v>88</v>
      </c>
      <c r="I864">
        <v>66</v>
      </c>
      <c r="K864">
        <v>165</v>
      </c>
      <c r="L864">
        <v>88</v>
      </c>
      <c r="M864" t="s">
        <v>72</v>
      </c>
      <c r="P864" t="s">
        <v>83</v>
      </c>
      <c r="Q864" t="s">
        <v>72</v>
      </c>
      <c r="R864">
        <v>94.6</v>
      </c>
      <c r="S864">
        <v>153</v>
      </c>
      <c r="T864" s="8">
        <f t="shared" si="26"/>
        <v>40.411807424494846</v>
      </c>
      <c r="U864" s="13" t="str" cm="1">
        <f t="array" ref="U864">IF(T864="","",_xlfn.IFS(T864&lt;18.5,"Bajo peso",T864&lt;25,"Peso normal",T864&lt;30,"Sobrepeso",T864&lt;35,"Obesidad clase I",T864&lt;40,"Obesidad clase II",T864&gt;=40,"Obesidad clase III"))</f>
        <v>Obesidad clase III</v>
      </c>
      <c r="V864">
        <v>86</v>
      </c>
      <c r="X864" t="s">
        <v>3463</v>
      </c>
      <c r="Y864">
        <v>0.7</v>
      </c>
      <c r="AA864">
        <v>90</v>
      </c>
      <c r="AB864" s="9">
        <f t="shared" si="27"/>
        <v>105.95451916798535</v>
      </c>
      <c r="AD864" t="s">
        <v>73</v>
      </c>
      <c r="AF864" t="s">
        <v>73</v>
      </c>
      <c r="AG864" t="s">
        <v>3465</v>
      </c>
      <c r="AH864" t="s">
        <v>3465</v>
      </c>
      <c r="AI864" t="s">
        <v>3465</v>
      </c>
      <c r="AJ864" t="s">
        <v>3463</v>
      </c>
      <c r="AK864" t="s">
        <v>3463</v>
      </c>
      <c r="AL864" t="s">
        <v>3463</v>
      </c>
      <c r="AO864" t="s">
        <v>3463</v>
      </c>
      <c r="AP864" t="s">
        <v>3465</v>
      </c>
      <c r="AQ864" t="s">
        <v>2125</v>
      </c>
      <c r="AR864" t="s">
        <v>3488</v>
      </c>
      <c r="AS864" t="s">
        <v>3465</v>
      </c>
      <c r="AT864" t="s">
        <v>3465</v>
      </c>
      <c r="AU864" t="s">
        <v>80</v>
      </c>
      <c r="AV864" t="s">
        <v>74</v>
      </c>
      <c r="AW864" t="s">
        <v>3915</v>
      </c>
      <c r="AX864" t="s">
        <v>3463</v>
      </c>
      <c r="AY864" t="s">
        <v>3465</v>
      </c>
      <c r="AZ864" t="s">
        <v>2126</v>
      </c>
      <c r="BA864" t="s">
        <v>3920</v>
      </c>
      <c r="BC864" t="s">
        <v>128</v>
      </c>
      <c r="BF864" t="s">
        <v>3921</v>
      </c>
      <c r="BG864" t="s">
        <v>2127</v>
      </c>
      <c r="BH864" t="s">
        <v>4014</v>
      </c>
      <c r="BK864" t="s">
        <v>720</v>
      </c>
      <c r="BL864" t="s">
        <v>2128</v>
      </c>
      <c r="BP864" t="s">
        <v>4494</v>
      </c>
      <c r="BQ864" t="s">
        <v>3465</v>
      </c>
      <c r="BR864" t="s">
        <v>3465</v>
      </c>
      <c r="BS864" t="s">
        <v>3463</v>
      </c>
      <c r="BT864" t="s">
        <v>3463</v>
      </c>
      <c r="BU864" t="s">
        <v>3463</v>
      </c>
      <c r="BV864" t="s">
        <v>3463</v>
      </c>
      <c r="BW864" t="s">
        <v>3463</v>
      </c>
      <c r="BX864" t="s">
        <v>79</v>
      </c>
      <c r="BY864" t="s">
        <v>79</v>
      </c>
      <c r="BZ864" t="s">
        <v>79</v>
      </c>
      <c r="CA864" s="10">
        <v>45911</v>
      </c>
    </row>
    <row r="865" spans="1:79">
      <c r="A865">
        <v>872</v>
      </c>
      <c r="B865">
        <v>197</v>
      </c>
      <c r="C865">
        <v>27</v>
      </c>
      <c r="D865" t="s">
        <v>3466</v>
      </c>
      <c r="F865" t="s">
        <v>150</v>
      </c>
      <c r="G865" s="12" t="s">
        <v>3465</v>
      </c>
      <c r="H865" t="s">
        <v>88</v>
      </c>
      <c r="I865">
        <v>77</v>
      </c>
      <c r="K865">
        <v>134</v>
      </c>
      <c r="L865">
        <v>83</v>
      </c>
      <c r="M865" t="s">
        <v>82</v>
      </c>
      <c r="P865" t="s">
        <v>83</v>
      </c>
      <c r="Q865" t="s">
        <v>82</v>
      </c>
      <c r="R865">
        <v>134</v>
      </c>
      <c r="S865">
        <v>162</v>
      </c>
      <c r="T865" s="8">
        <f t="shared" si="26"/>
        <v>51.059289742417313</v>
      </c>
      <c r="U865" s="13" t="str" cm="1">
        <f t="array" ref="U865">IF(T865="","",_xlfn.IFS(T865&lt;18.5,"Bajo peso",T865&lt;25,"Peso normal",T865&lt;30,"Sobrepeso",T865&lt;35,"Obesidad clase I",T865&lt;40,"Obesidad clase II",T865&gt;=40,"Obesidad clase III"))</f>
        <v>Obesidad clase III</v>
      </c>
      <c r="V865">
        <v>103</v>
      </c>
      <c r="X865" t="s">
        <v>3463</v>
      </c>
      <c r="Y865">
        <v>0.96</v>
      </c>
      <c r="AA865">
        <v>83</v>
      </c>
      <c r="AB865" s="9">
        <f t="shared" si="27"/>
        <v>83.163703296947276</v>
      </c>
      <c r="AD865" t="s">
        <v>73</v>
      </c>
      <c r="AF865" t="s">
        <v>73</v>
      </c>
      <c r="AH865" t="s">
        <v>3463</v>
      </c>
      <c r="AI865" t="s">
        <v>3463</v>
      </c>
      <c r="AJ865" t="s">
        <v>3463</v>
      </c>
      <c r="AK865" t="s">
        <v>3463</v>
      </c>
      <c r="AL865" t="s">
        <v>3465</v>
      </c>
      <c r="AM865" t="s">
        <v>1511</v>
      </c>
      <c r="AN865" t="s">
        <v>1511</v>
      </c>
      <c r="AP865" t="s">
        <v>3463</v>
      </c>
      <c r="AQ865" t="s">
        <v>2129</v>
      </c>
      <c r="AR865" t="s">
        <v>3489</v>
      </c>
      <c r="AV865" t="s">
        <v>74</v>
      </c>
      <c r="AW865" t="s">
        <v>3915</v>
      </c>
      <c r="AX865" t="s">
        <v>3463</v>
      </c>
      <c r="AY865" t="s">
        <v>3465</v>
      </c>
      <c r="AZ865" t="s">
        <v>90</v>
      </c>
      <c r="BC865" t="s">
        <v>128</v>
      </c>
      <c r="BE865" t="s">
        <v>153</v>
      </c>
      <c r="BF865" t="s">
        <v>153</v>
      </c>
      <c r="BG865" t="s">
        <v>2130</v>
      </c>
      <c r="BH865" t="s">
        <v>4168</v>
      </c>
      <c r="BK865" t="s">
        <v>2131</v>
      </c>
      <c r="BL865" t="s">
        <v>2132</v>
      </c>
      <c r="BP865" t="s">
        <v>4405</v>
      </c>
      <c r="BQ865" t="s">
        <v>3465</v>
      </c>
      <c r="BR865" t="s">
        <v>3465</v>
      </c>
      <c r="BS865" t="s">
        <v>3465</v>
      </c>
      <c r="BT865" t="s">
        <v>3465</v>
      </c>
      <c r="BU865" t="s">
        <v>3463</v>
      </c>
      <c r="BV865" t="s">
        <v>3463</v>
      </c>
      <c r="BW865" t="s">
        <v>3463</v>
      </c>
      <c r="BX865" t="s">
        <v>79</v>
      </c>
      <c r="BY865" t="s">
        <v>79</v>
      </c>
      <c r="BZ865" t="s">
        <v>79</v>
      </c>
      <c r="CA865" s="10">
        <v>45911</v>
      </c>
    </row>
    <row r="866" spans="1:79">
      <c r="A866">
        <v>873</v>
      </c>
      <c r="B866">
        <v>198</v>
      </c>
      <c r="C866">
        <v>48</v>
      </c>
      <c r="D866" t="s">
        <v>3462</v>
      </c>
      <c r="F866" t="s">
        <v>150</v>
      </c>
      <c r="G866" s="12" t="s">
        <v>3465</v>
      </c>
      <c r="H866" t="s">
        <v>88</v>
      </c>
      <c r="I866">
        <v>82</v>
      </c>
      <c r="J866">
        <v>79</v>
      </c>
      <c r="K866">
        <v>173</v>
      </c>
      <c r="L866">
        <v>89</v>
      </c>
      <c r="M866" t="s">
        <v>72</v>
      </c>
      <c r="N866">
        <v>155</v>
      </c>
      <c r="O866">
        <v>102</v>
      </c>
      <c r="P866" t="s">
        <v>72</v>
      </c>
      <c r="Q866" t="s">
        <v>72</v>
      </c>
      <c r="R866">
        <v>107.2</v>
      </c>
      <c r="S866">
        <v>172.5</v>
      </c>
      <c r="T866" s="8">
        <f t="shared" si="26"/>
        <v>36.026044948540225</v>
      </c>
      <c r="U866" s="13" t="str" cm="1">
        <f t="array" ref="U866">IF(T866="","",_xlfn.IFS(T866&lt;18.5,"Bajo peso",T866&lt;25,"Peso normal",T866&lt;30,"Sobrepeso",T866&lt;35,"Obesidad clase I",T866&lt;40,"Obesidad clase II",T866&gt;=40,"Obesidad clase III"))</f>
        <v>Obesidad clase II</v>
      </c>
      <c r="V866">
        <v>286</v>
      </c>
      <c r="X866" t="s">
        <v>3465</v>
      </c>
      <c r="Y866">
        <v>1</v>
      </c>
      <c r="AA866">
        <v>90</v>
      </c>
      <c r="AB866" s="9">
        <f t="shared" si="27"/>
        <v>92.839114899004102</v>
      </c>
      <c r="AD866" t="s">
        <v>73</v>
      </c>
      <c r="AF866" t="s">
        <v>73</v>
      </c>
      <c r="AG866" t="s">
        <v>3465</v>
      </c>
      <c r="AH866" t="s">
        <v>3465</v>
      </c>
      <c r="AI866" t="s">
        <v>3463</v>
      </c>
      <c r="AJ866" t="s">
        <v>3463</v>
      </c>
      <c r="AK866" t="s">
        <v>3463</v>
      </c>
      <c r="AL866" t="s">
        <v>3465</v>
      </c>
      <c r="AM866" t="s">
        <v>2133</v>
      </c>
      <c r="AN866" t="s">
        <v>3804</v>
      </c>
      <c r="AO866" t="s">
        <v>3465</v>
      </c>
      <c r="AP866" t="s">
        <v>3465</v>
      </c>
      <c r="AQ866" t="s">
        <v>2134</v>
      </c>
      <c r="AR866" t="s">
        <v>3536</v>
      </c>
      <c r="AV866" t="s">
        <v>74</v>
      </c>
      <c r="AW866" t="s">
        <v>3915</v>
      </c>
      <c r="BA866" t="s">
        <v>3920</v>
      </c>
      <c r="BB866" t="s">
        <v>3485</v>
      </c>
      <c r="BC866" t="s">
        <v>128</v>
      </c>
      <c r="BE866" t="s">
        <v>153</v>
      </c>
      <c r="BF866" t="s">
        <v>153</v>
      </c>
      <c r="BG866" t="s">
        <v>2135</v>
      </c>
      <c r="BH866" t="s">
        <v>4024</v>
      </c>
      <c r="BI866" t="s">
        <v>411</v>
      </c>
      <c r="BK866" t="s">
        <v>2136</v>
      </c>
      <c r="BL866" t="s">
        <v>2137</v>
      </c>
      <c r="BP866" t="s">
        <v>4495</v>
      </c>
      <c r="BQ866" t="s">
        <v>3465</v>
      </c>
      <c r="BR866" t="s">
        <v>3465</v>
      </c>
      <c r="BS866" t="s">
        <v>3463</v>
      </c>
      <c r="BT866" t="s">
        <v>3463</v>
      </c>
      <c r="BU866" t="s">
        <v>3463</v>
      </c>
      <c r="BV866" t="s">
        <v>3463</v>
      </c>
      <c r="BW866" t="s">
        <v>3463</v>
      </c>
      <c r="BX866" t="s">
        <v>79</v>
      </c>
      <c r="BY866" t="s">
        <v>87</v>
      </c>
      <c r="BZ866" t="s">
        <v>79</v>
      </c>
      <c r="CA866" s="10">
        <v>45911</v>
      </c>
    </row>
    <row r="867" spans="1:79">
      <c r="A867">
        <v>874</v>
      </c>
      <c r="B867">
        <v>200</v>
      </c>
      <c r="C867">
        <v>46</v>
      </c>
      <c r="D867" t="s">
        <v>3466</v>
      </c>
      <c r="E867" t="s">
        <v>2138</v>
      </c>
      <c r="F867" t="s">
        <v>150</v>
      </c>
      <c r="G867" s="12" t="s">
        <v>3463</v>
      </c>
      <c r="I867">
        <v>78</v>
      </c>
      <c r="K867">
        <v>112</v>
      </c>
      <c r="L867">
        <v>57</v>
      </c>
      <c r="M867" t="s">
        <v>80</v>
      </c>
      <c r="P867" t="s">
        <v>83</v>
      </c>
      <c r="Q867" t="s">
        <v>80</v>
      </c>
      <c r="R867">
        <v>50.2</v>
      </c>
      <c r="S867">
        <v>155</v>
      </c>
      <c r="T867" s="8">
        <f t="shared" si="26"/>
        <v>20.894901144641</v>
      </c>
      <c r="U867" s="13" t="str" cm="1">
        <f t="array" ref="U867">IF(T867="","",_xlfn.IFS(T867&lt;18.5,"Bajo peso",T867&lt;25,"Peso normal",T867&lt;30,"Sobrepeso",T867&lt;35,"Obesidad clase I",T867&lt;40,"Obesidad clase II",T867&gt;=40,"Obesidad clase III"))</f>
        <v>Peso normal</v>
      </c>
      <c r="V867">
        <v>106</v>
      </c>
      <c r="X867" t="s">
        <v>3463</v>
      </c>
      <c r="Y867">
        <v>0.6</v>
      </c>
      <c r="AA867">
        <v>90</v>
      </c>
      <c r="AB867" s="9">
        <f t="shared" si="27"/>
        <v>112.03576502101542</v>
      </c>
      <c r="AD867" t="s">
        <v>73</v>
      </c>
      <c r="AF867" t="s">
        <v>73</v>
      </c>
      <c r="AH867" t="s">
        <v>3463</v>
      </c>
      <c r="AI867" t="s">
        <v>3463</v>
      </c>
      <c r="AJ867" t="s">
        <v>3463</v>
      </c>
      <c r="AK867" t="s">
        <v>3463</v>
      </c>
      <c r="AL867" t="s">
        <v>3463</v>
      </c>
      <c r="AP867" t="s">
        <v>3464</v>
      </c>
      <c r="AQ867" t="s">
        <v>169</v>
      </c>
      <c r="AR867" t="s">
        <v>3493</v>
      </c>
      <c r="AT867" t="s">
        <v>3465</v>
      </c>
      <c r="AU867" t="s">
        <v>80</v>
      </c>
      <c r="AV867" t="s">
        <v>126</v>
      </c>
      <c r="AW867" t="s">
        <v>126</v>
      </c>
      <c r="AY867" t="s">
        <v>3463</v>
      </c>
      <c r="BF867" t="s">
        <v>3921</v>
      </c>
      <c r="BG867" t="s">
        <v>2139</v>
      </c>
      <c r="BH867" t="s">
        <v>4029</v>
      </c>
      <c r="BL867" t="s">
        <v>2140</v>
      </c>
      <c r="BP867" t="s">
        <v>4342</v>
      </c>
      <c r="BQ867" t="s">
        <v>3463</v>
      </c>
      <c r="BR867" t="s">
        <v>3463</v>
      </c>
      <c r="BS867" t="s">
        <v>3465</v>
      </c>
      <c r="BT867" t="s">
        <v>3465</v>
      </c>
      <c r="BU867" t="s">
        <v>3463</v>
      </c>
      <c r="BV867" t="s">
        <v>3463</v>
      </c>
      <c r="BW867" t="s">
        <v>3463</v>
      </c>
      <c r="BX867" t="s">
        <v>79</v>
      </c>
      <c r="BY867" t="s">
        <v>79</v>
      </c>
      <c r="BZ867" t="s">
        <v>79</v>
      </c>
      <c r="CA867" s="10">
        <v>45911</v>
      </c>
    </row>
    <row r="868" spans="1:79">
      <c r="A868">
        <v>875</v>
      </c>
      <c r="B868">
        <v>201</v>
      </c>
      <c r="C868">
        <v>60</v>
      </c>
      <c r="D868" t="s">
        <v>3466</v>
      </c>
      <c r="E868" t="s">
        <v>1657</v>
      </c>
      <c r="F868" t="s">
        <v>150</v>
      </c>
      <c r="G868" s="12" t="s">
        <v>3463</v>
      </c>
      <c r="I868">
        <v>63</v>
      </c>
      <c r="K868">
        <v>130</v>
      </c>
      <c r="L868">
        <v>78</v>
      </c>
      <c r="M868" t="s">
        <v>82</v>
      </c>
      <c r="P868" t="s">
        <v>83</v>
      </c>
      <c r="Q868" t="s">
        <v>82</v>
      </c>
      <c r="R868">
        <v>66.7</v>
      </c>
      <c r="S868">
        <v>153.5</v>
      </c>
      <c r="T868" s="8">
        <f t="shared" si="26"/>
        <v>28.307992657747032</v>
      </c>
      <c r="U868" s="13" t="str" cm="1">
        <f t="array" ref="U868">IF(T868="","",_xlfn.IFS(T868&lt;18.5,"Bajo peso",T868&lt;25,"Peso normal",T868&lt;30,"Sobrepeso",T868&lt;35,"Obesidad clase I",T868&lt;40,"Obesidad clase II",T868&gt;=40,"Obesidad clase III"))</f>
        <v>Sobrepeso</v>
      </c>
      <c r="V868">
        <v>81</v>
      </c>
      <c r="X868" t="s">
        <v>3463</v>
      </c>
      <c r="Y868">
        <v>0.89</v>
      </c>
      <c r="AA868">
        <v>61</v>
      </c>
      <c r="AB868" s="9">
        <f t="shared" si="27"/>
        <v>74.175083093499936</v>
      </c>
      <c r="AD868" t="s">
        <v>73</v>
      </c>
      <c r="AF868" t="s">
        <v>73</v>
      </c>
      <c r="AI868" t="s">
        <v>3465</v>
      </c>
      <c r="AJ868" t="s">
        <v>3463</v>
      </c>
      <c r="AK868" t="s">
        <v>3463</v>
      </c>
      <c r="AL868" t="s">
        <v>3463</v>
      </c>
      <c r="AP868" t="s">
        <v>3463</v>
      </c>
      <c r="AQ868" t="s">
        <v>2141</v>
      </c>
      <c r="AR868" t="s">
        <v>3578</v>
      </c>
      <c r="AS868" t="s">
        <v>3465</v>
      </c>
      <c r="AT868" t="s">
        <v>3463</v>
      </c>
      <c r="AV868" t="s">
        <v>126</v>
      </c>
      <c r="AW868" t="s">
        <v>126</v>
      </c>
      <c r="AX868" t="s">
        <v>3465</v>
      </c>
      <c r="AY868" t="s">
        <v>3463</v>
      </c>
      <c r="BF868" t="s">
        <v>3921</v>
      </c>
      <c r="BH868" t="s">
        <v>4020</v>
      </c>
      <c r="BP868" t="s">
        <v>4260</v>
      </c>
      <c r="BQ868" t="s">
        <v>3463</v>
      </c>
      <c r="BR868" t="s">
        <v>3463</v>
      </c>
      <c r="BS868" t="s">
        <v>3463</v>
      </c>
      <c r="BT868" t="s">
        <v>3463</v>
      </c>
      <c r="BU868" t="s">
        <v>3463</v>
      </c>
      <c r="BV868" t="s">
        <v>3463</v>
      </c>
      <c r="BW868" t="s">
        <v>3463</v>
      </c>
      <c r="BX868" t="s">
        <v>79</v>
      </c>
      <c r="BY868" t="s">
        <v>79</v>
      </c>
      <c r="BZ868" t="s">
        <v>79</v>
      </c>
      <c r="CA868" s="10">
        <v>45911</v>
      </c>
    </row>
    <row r="869" spans="1:79">
      <c r="A869">
        <v>876</v>
      </c>
      <c r="B869">
        <v>202</v>
      </c>
      <c r="C869">
        <v>61</v>
      </c>
      <c r="D869" t="s">
        <v>3466</v>
      </c>
      <c r="F869" t="s">
        <v>150</v>
      </c>
      <c r="G869" s="12" t="s">
        <v>3465</v>
      </c>
      <c r="H869" t="s">
        <v>88</v>
      </c>
      <c r="I869">
        <v>66</v>
      </c>
      <c r="K869">
        <v>163</v>
      </c>
      <c r="L869">
        <v>90</v>
      </c>
      <c r="M869" t="s">
        <v>72</v>
      </c>
      <c r="P869" t="s">
        <v>83</v>
      </c>
      <c r="Q869" t="s">
        <v>72</v>
      </c>
      <c r="R869">
        <v>74</v>
      </c>
      <c r="S869">
        <v>147</v>
      </c>
      <c r="T869" s="8">
        <f t="shared" si="26"/>
        <v>34.244990513212088</v>
      </c>
      <c r="U869" s="13" t="str" cm="1">
        <f t="array" ref="U869">IF(T869="","",_xlfn.IFS(T869&lt;18.5,"Bajo peso",T869&lt;25,"Peso normal",T869&lt;30,"Sobrepeso",T869&lt;35,"Obesidad clase I",T869&lt;40,"Obesidad clase II",T869&gt;=40,"Obesidad clase III"))</f>
        <v>Obesidad clase I</v>
      </c>
      <c r="V869">
        <v>92</v>
      </c>
      <c r="X869" t="s">
        <v>3463</v>
      </c>
      <c r="Y869">
        <v>0.88</v>
      </c>
      <c r="AA869">
        <v>75</v>
      </c>
      <c r="AB869" s="9">
        <f t="shared" si="27"/>
        <v>74.721543655110153</v>
      </c>
      <c r="AD869" t="s">
        <v>73</v>
      </c>
      <c r="AF869" t="s">
        <v>73</v>
      </c>
      <c r="AH869" t="s">
        <v>3463</v>
      </c>
      <c r="AI869" t="s">
        <v>3465</v>
      </c>
      <c r="AJ869" t="s">
        <v>3463</v>
      </c>
      <c r="AK869" t="s">
        <v>3463</v>
      </c>
      <c r="AL869" t="s">
        <v>3463</v>
      </c>
      <c r="AP869" t="s">
        <v>3463</v>
      </c>
      <c r="AS869" t="s">
        <v>3465</v>
      </c>
      <c r="AT869" t="s">
        <v>3465</v>
      </c>
      <c r="AU869" t="s">
        <v>80</v>
      </c>
      <c r="AV869" t="s">
        <v>74</v>
      </c>
      <c r="AW869" t="s">
        <v>3915</v>
      </c>
      <c r="AX869" t="s">
        <v>3463</v>
      </c>
      <c r="AY869" t="s">
        <v>3465</v>
      </c>
      <c r="AZ869" t="s">
        <v>90</v>
      </c>
      <c r="BA869" t="s">
        <v>3920</v>
      </c>
      <c r="BC869" t="s">
        <v>128</v>
      </c>
      <c r="BF869" t="s">
        <v>3921</v>
      </c>
      <c r="BG869" t="s">
        <v>2142</v>
      </c>
      <c r="BH869" t="s">
        <v>4182</v>
      </c>
      <c r="BI869" t="s">
        <v>411</v>
      </c>
      <c r="BK869" t="s">
        <v>2143</v>
      </c>
      <c r="BL869" t="s">
        <v>2144</v>
      </c>
      <c r="BP869" t="s">
        <v>4496</v>
      </c>
      <c r="BQ869" t="s">
        <v>3463</v>
      </c>
      <c r="BR869" t="s">
        <v>3463</v>
      </c>
      <c r="BS869" t="s">
        <v>3463</v>
      </c>
      <c r="BT869" t="s">
        <v>3463</v>
      </c>
      <c r="BU869" t="s">
        <v>3463</v>
      </c>
      <c r="BV869" t="s">
        <v>3463</v>
      </c>
      <c r="BW869" t="s">
        <v>3463</v>
      </c>
      <c r="BX869" t="s">
        <v>79</v>
      </c>
      <c r="BY869" t="s">
        <v>79</v>
      </c>
      <c r="BZ869" t="s">
        <v>79</v>
      </c>
      <c r="CA869" s="10">
        <v>45911</v>
      </c>
    </row>
    <row r="870" spans="1:79">
      <c r="A870">
        <v>877</v>
      </c>
      <c r="B870">
        <v>204</v>
      </c>
      <c r="C870">
        <v>56</v>
      </c>
      <c r="D870" t="s">
        <v>3462</v>
      </c>
      <c r="F870" t="s">
        <v>150</v>
      </c>
      <c r="G870" s="12" t="s">
        <v>3463</v>
      </c>
      <c r="I870">
        <v>84</v>
      </c>
      <c r="J870">
        <v>78</v>
      </c>
      <c r="K870">
        <v>162</v>
      </c>
      <c r="L870">
        <v>93</v>
      </c>
      <c r="M870" t="s">
        <v>72</v>
      </c>
      <c r="N870">
        <v>154</v>
      </c>
      <c r="O870">
        <v>89</v>
      </c>
      <c r="P870" t="s">
        <v>72</v>
      </c>
      <c r="Q870" t="s">
        <v>72</v>
      </c>
      <c r="R870">
        <v>77.5</v>
      </c>
      <c r="S870">
        <v>166</v>
      </c>
      <c r="T870" s="8">
        <f t="shared" si="26"/>
        <v>28.124546378284222</v>
      </c>
      <c r="U870" s="13" t="str" cm="1">
        <f t="array" ref="U870">IF(T870="","",_xlfn.IFS(T870&lt;18.5,"Bajo peso",T870&lt;25,"Peso normal",T870&lt;30,"Sobrepeso",T870&lt;35,"Obesidad clase I",T870&lt;40,"Obesidad clase II",T870&gt;=40,"Obesidad clase III"))</f>
        <v>Sobrepeso</v>
      </c>
      <c r="V870">
        <v>120</v>
      </c>
      <c r="X870" t="s">
        <v>3463</v>
      </c>
      <c r="Y870">
        <v>1.21</v>
      </c>
      <c r="AA870">
        <v>70</v>
      </c>
      <c r="AB870" s="9">
        <f t="shared" si="27"/>
        <v>70.271704243703198</v>
      </c>
      <c r="AD870" t="s">
        <v>73</v>
      </c>
      <c r="AF870" t="s">
        <v>73</v>
      </c>
      <c r="AH870" t="s">
        <v>3463</v>
      </c>
      <c r="AI870" t="s">
        <v>3463</v>
      </c>
      <c r="AJ870" t="s">
        <v>3463</v>
      </c>
      <c r="AK870" t="s">
        <v>3463</v>
      </c>
      <c r="AL870" t="s">
        <v>3463</v>
      </c>
      <c r="AP870" t="s">
        <v>3463</v>
      </c>
      <c r="AQ870" t="s">
        <v>2145</v>
      </c>
      <c r="AR870" t="s">
        <v>3491</v>
      </c>
      <c r="AV870" t="s">
        <v>126</v>
      </c>
      <c r="AW870" t="s">
        <v>126</v>
      </c>
      <c r="BA870" t="s">
        <v>3920</v>
      </c>
      <c r="BF870" t="s">
        <v>3921</v>
      </c>
      <c r="BG870" t="s">
        <v>2146</v>
      </c>
      <c r="BH870" t="s">
        <v>4021</v>
      </c>
      <c r="BI870" t="s">
        <v>76</v>
      </c>
      <c r="BL870" t="s">
        <v>2147</v>
      </c>
      <c r="BP870" t="s">
        <v>4261</v>
      </c>
      <c r="BQ870" t="s">
        <v>3463</v>
      </c>
      <c r="BR870" t="s">
        <v>3463</v>
      </c>
      <c r="BS870" t="s">
        <v>3465</v>
      </c>
      <c r="BT870" t="s">
        <v>3465</v>
      </c>
      <c r="BU870" t="s">
        <v>3463</v>
      </c>
      <c r="BV870" t="s">
        <v>3463</v>
      </c>
      <c r="BW870" t="s">
        <v>3463</v>
      </c>
      <c r="BX870" t="s">
        <v>79</v>
      </c>
      <c r="BY870" t="s">
        <v>79</v>
      </c>
      <c r="BZ870" t="s">
        <v>79</v>
      </c>
      <c r="CA870" s="10">
        <v>45911</v>
      </c>
    </row>
    <row r="871" spans="1:79">
      <c r="A871">
        <v>878</v>
      </c>
      <c r="B871">
        <v>205</v>
      </c>
      <c r="C871">
        <v>24</v>
      </c>
      <c r="D871" t="s">
        <v>3466</v>
      </c>
      <c r="E871" t="s">
        <v>2148</v>
      </c>
      <c r="F871" t="s">
        <v>168</v>
      </c>
      <c r="G871" s="12" t="s">
        <v>3463</v>
      </c>
      <c r="I871">
        <v>96</v>
      </c>
      <c r="K871">
        <v>111</v>
      </c>
      <c r="L871">
        <v>66</v>
      </c>
      <c r="M871" t="s">
        <v>80</v>
      </c>
      <c r="P871" t="s">
        <v>83</v>
      </c>
      <c r="Q871" t="s">
        <v>80</v>
      </c>
      <c r="R871">
        <v>66.8</v>
      </c>
      <c r="S871">
        <v>169</v>
      </c>
      <c r="T871" s="8">
        <f t="shared" si="26"/>
        <v>23.388536815937815</v>
      </c>
      <c r="U871" s="13" t="str" cm="1">
        <f t="array" ref="U871">IF(T871="","",_xlfn.IFS(T871&lt;18.5,"Bajo peso",T871&lt;25,"Peso normal",T871&lt;30,"Sobrepeso",T871&lt;35,"Obesidad clase I",T871&lt;40,"Obesidad clase II",T871&gt;=40,"Obesidad clase III"))</f>
        <v>Peso normal</v>
      </c>
      <c r="V871">
        <v>109</v>
      </c>
      <c r="X871" t="s">
        <v>3463</v>
      </c>
      <c r="Y871">
        <v>0.35</v>
      </c>
      <c r="AA871">
        <v>90</v>
      </c>
      <c r="AB871" s="9">
        <f t="shared" si="27"/>
        <v>146.28267843564706</v>
      </c>
      <c r="AD871" t="s">
        <v>73</v>
      </c>
      <c r="AF871" t="s">
        <v>73</v>
      </c>
      <c r="AH871" t="s">
        <v>3463</v>
      </c>
      <c r="AI871" t="s">
        <v>3463</v>
      </c>
      <c r="AJ871" t="s">
        <v>3463</v>
      </c>
      <c r="AK871" t="s">
        <v>3463</v>
      </c>
      <c r="AL871" t="s">
        <v>3463</v>
      </c>
      <c r="AO871" t="s">
        <v>3464</v>
      </c>
      <c r="AP871" t="s">
        <v>3465</v>
      </c>
      <c r="AQ871" t="s">
        <v>2149</v>
      </c>
      <c r="AR871" t="s">
        <v>3537</v>
      </c>
      <c r="AT871" t="s">
        <v>3463</v>
      </c>
      <c r="AV871" t="s">
        <v>126</v>
      </c>
      <c r="AW871" t="s">
        <v>126</v>
      </c>
      <c r="AY871" t="s">
        <v>3465</v>
      </c>
      <c r="AZ871" t="s">
        <v>665</v>
      </c>
      <c r="BF871" t="s">
        <v>3921</v>
      </c>
      <c r="BH871" t="s">
        <v>4020</v>
      </c>
      <c r="BP871" t="s">
        <v>4260</v>
      </c>
      <c r="BQ871" t="s">
        <v>3463</v>
      </c>
      <c r="BR871" t="s">
        <v>3465</v>
      </c>
      <c r="BS871" t="s">
        <v>3465</v>
      </c>
      <c r="BT871" t="s">
        <v>3465</v>
      </c>
      <c r="BU871" t="s">
        <v>3463</v>
      </c>
      <c r="BV871" t="s">
        <v>3463</v>
      </c>
      <c r="BW871" t="s">
        <v>3463</v>
      </c>
      <c r="BX871" t="s">
        <v>79</v>
      </c>
      <c r="BY871" t="s">
        <v>79</v>
      </c>
      <c r="BZ871" t="s">
        <v>79</v>
      </c>
      <c r="CA871" s="10">
        <v>45911</v>
      </c>
    </row>
    <row r="872" spans="1:79">
      <c r="A872">
        <v>879</v>
      </c>
      <c r="B872">
        <v>206</v>
      </c>
      <c r="C872">
        <v>59</v>
      </c>
      <c r="D872" t="s">
        <v>3466</v>
      </c>
      <c r="E872" t="s">
        <v>1966</v>
      </c>
      <c r="F872" t="s">
        <v>150</v>
      </c>
      <c r="G872" s="12" t="s">
        <v>3463</v>
      </c>
      <c r="H872" s="12"/>
      <c r="M872" t="s">
        <v>83</v>
      </c>
      <c r="P872" t="s">
        <v>83</v>
      </c>
      <c r="Q872" t="s">
        <v>83</v>
      </c>
      <c r="T872" s="8" t="str">
        <f t="shared" si="26"/>
        <v/>
      </c>
      <c r="U872" s="13" t="str" cm="1">
        <f t="array" ref="U872">IF(T872="","",_xlfn.IFS(T872&lt;18.5,"Bajo peso",T872&lt;25,"Peso normal",T872&lt;30,"Sobrepeso",T872&lt;35,"Obesidad clase I",T872&lt;40,"Obesidad clase II",T872&gt;=40,"Obesidad clase III"))</f>
        <v/>
      </c>
      <c r="AB872" s="9" t="str">
        <f t="shared" si="27"/>
        <v/>
      </c>
      <c r="AH872" t="s">
        <v>3463</v>
      </c>
      <c r="AI872" t="s">
        <v>3463</v>
      </c>
      <c r="AJ872" t="s">
        <v>3463</v>
      </c>
      <c r="AK872" t="s">
        <v>3463</v>
      </c>
      <c r="AL872" t="s">
        <v>3465</v>
      </c>
      <c r="AM872" t="s">
        <v>110</v>
      </c>
      <c r="AN872" t="s">
        <v>110</v>
      </c>
      <c r="AP872" t="s">
        <v>3463</v>
      </c>
      <c r="AQ872" t="s">
        <v>2150</v>
      </c>
      <c r="AR872" t="s">
        <v>3530</v>
      </c>
      <c r="AT872" t="s">
        <v>3465</v>
      </c>
      <c r="AV872" t="s">
        <v>112</v>
      </c>
      <c r="AW872" t="s">
        <v>3917</v>
      </c>
      <c r="AX872" t="s">
        <v>3463</v>
      </c>
      <c r="AY872" t="s">
        <v>3463</v>
      </c>
      <c r="BF872" t="s">
        <v>3921</v>
      </c>
      <c r="BH872" t="s">
        <v>4020</v>
      </c>
      <c r="BP872" t="s">
        <v>4260</v>
      </c>
      <c r="BQ872" t="s">
        <v>3463</v>
      </c>
      <c r="BR872" t="s">
        <v>3463</v>
      </c>
      <c r="BS872" t="s">
        <v>3463</v>
      </c>
      <c r="BT872" t="s">
        <v>3465</v>
      </c>
      <c r="BU872" t="s">
        <v>3463</v>
      </c>
      <c r="BV872" t="s">
        <v>3463</v>
      </c>
      <c r="BW872" t="s">
        <v>3463</v>
      </c>
      <c r="BX872" t="s">
        <v>79</v>
      </c>
      <c r="BY872" t="s">
        <v>87</v>
      </c>
      <c r="BZ872" t="s">
        <v>79</v>
      </c>
      <c r="CA872" s="10">
        <v>45911</v>
      </c>
    </row>
    <row r="873" spans="1:79">
      <c r="A873">
        <v>880</v>
      </c>
      <c r="B873">
        <v>207</v>
      </c>
      <c r="C873">
        <v>33</v>
      </c>
      <c r="D873" t="s">
        <v>3466</v>
      </c>
      <c r="F873" t="s">
        <v>150</v>
      </c>
      <c r="G873" s="12" t="s">
        <v>3465</v>
      </c>
      <c r="H873" s="12" t="s">
        <v>88</v>
      </c>
      <c r="I873">
        <v>85</v>
      </c>
      <c r="K873">
        <v>106</v>
      </c>
      <c r="L873">
        <v>68</v>
      </c>
      <c r="M873" t="s">
        <v>80</v>
      </c>
      <c r="P873" t="s">
        <v>83</v>
      </c>
      <c r="Q873" t="s">
        <v>80</v>
      </c>
      <c r="R873">
        <v>65.3</v>
      </c>
      <c r="S873">
        <v>145.30000000000001</v>
      </c>
      <c r="T873" s="8">
        <f t="shared" si="26"/>
        <v>30.930144765392715</v>
      </c>
      <c r="U873" s="13" t="str" cm="1">
        <f t="array" ref="U873">IF(T873="","",_xlfn.IFS(T873&lt;18.5,"Bajo peso",T873&lt;25,"Peso normal",T873&lt;30,"Sobrepeso",T873&lt;35,"Obesidad clase I",T873&lt;40,"Obesidad clase II",T873&gt;=40,"Obesidad clase III"))</f>
        <v>Obesidad clase I</v>
      </c>
      <c r="V873">
        <v>100</v>
      </c>
      <c r="X873" t="s">
        <v>3463</v>
      </c>
      <c r="Y873">
        <v>0.53</v>
      </c>
      <c r="AA873">
        <v>90</v>
      </c>
      <c r="AB873" s="9">
        <f t="shared" si="27"/>
        <v>125.15659794391735</v>
      </c>
      <c r="AD873" t="s">
        <v>73</v>
      </c>
      <c r="AF873" t="s">
        <v>73</v>
      </c>
      <c r="AH873" t="s">
        <v>3463</v>
      </c>
      <c r="AI873" t="s">
        <v>3463</v>
      </c>
      <c r="AJ873" t="s">
        <v>3465</v>
      </c>
      <c r="AK873" t="s">
        <v>3463</v>
      </c>
      <c r="AL873" t="s">
        <v>3465</v>
      </c>
      <c r="AM873" t="s">
        <v>2151</v>
      </c>
      <c r="AN873" t="s">
        <v>3805</v>
      </c>
      <c r="AO873" t="s">
        <v>3463</v>
      </c>
      <c r="AP873" t="s">
        <v>3465</v>
      </c>
      <c r="AQ873" t="s">
        <v>1932</v>
      </c>
      <c r="AR873" t="s">
        <v>3491</v>
      </c>
      <c r="AT873" t="s">
        <v>3463</v>
      </c>
      <c r="AV873" t="s">
        <v>126</v>
      </c>
      <c r="AW873" t="s">
        <v>126</v>
      </c>
      <c r="AX873" t="s">
        <v>3463</v>
      </c>
      <c r="AY873" t="s">
        <v>3465</v>
      </c>
      <c r="AZ873" t="s">
        <v>247</v>
      </c>
      <c r="BF873" t="s">
        <v>3921</v>
      </c>
      <c r="BH873" t="s">
        <v>4020</v>
      </c>
      <c r="BP873" t="s">
        <v>4260</v>
      </c>
      <c r="BQ873" t="s">
        <v>3463</v>
      </c>
      <c r="BR873" t="s">
        <v>3463</v>
      </c>
      <c r="BS873" t="s">
        <v>3465</v>
      </c>
      <c r="BT873" t="s">
        <v>3465</v>
      </c>
      <c r="BU873" t="s">
        <v>3463</v>
      </c>
      <c r="BV873" t="s">
        <v>3463</v>
      </c>
      <c r="BW873" t="s">
        <v>3463</v>
      </c>
      <c r="BX873" t="s">
        <v>79</v>
      </c>
      <c r="BY873" t="s">
        <v>87</v>
      </c>
      <c r="BZ873" t="s">
        <v>79</v>
      </c>
      <c r="CA873" s="10">
        <v>45911</v>
      </c>
    </row>
    <row r="874" spans="1:79">
      <c r="A874">
        <v>881</v>
      </c>
      <c r="B874">
        <v>208</v>
      </c>
      <c r="C874">
        <v>34</v>
      </c>
      <c r="D874" t="s">
        <v>3462</v>
      </c>
      <c r="E874" t="s">
        <v>2152</v>
      </c>
      <c r="F874" t="s">
        <v>380</v>
      </c>
      <c r="G874" s="12" t="s">
        <v>3465</v>
      </c>
      <c r="H874" s="12" t="s">
        <v>88</v>
      </c>
      <c r="I874">
        <v>69</v>
      </c>
      <c r="J874">
        <v>68</v>
      </c>
      <c r="K874">
        <v>141</v>
      </c>
      <c r="L874">
        <v>85</v>
      </c>
      <c r="M874" t="s">
        <v>72</v>
      </c>
      <c r="N874">
        <v>145</v>
      </c>
      <c r="O874">
        <v>81</v>
      </c>
      <c r="P874" t="s">
        <v>72</v>
      </c>
      <c r="Q874" t="s">
        <v>72</v>
      </c>
      <c r="R874">
        <v>82</v>
      </c>
      <c r="S874">
        <v>169</v>
      </c>
      <c r="T874" s="8">
        <f t="shared" si="26"/>
        <v>28.710479324953607</v>
      </c>
      <c r="U874" s="13" t="str" cm="1">
        <f t="array" ref="U874">IF(T874="","",_xlfn.IFS(T874&lt;18.5,"Bajo peso",T874&lt;25,"Peso normal",T874&lt;30,"Sobrepeso",T874&lt;35,"Obesidad clase I",T874&lt;40,"Obesidad clase II",T874&gt;=40,"Obesidad clase III"))</f>
        <v>Sobrepeso</v>
      </c>
      <c r="V874">
        <v>120</v>
      </c>
      <c r="X874" t="s">
        <v>3463</v>
      </c>
      <c r="Y874">
        <v>1.02</v>
      </c>
      <c r="AA874">
        <v>90</v>
      </c>
      <c r="AB874" s="9">
        <f t="shared" si="27"/>
        <v>98.906513150786665</v>
      </c>
      <c r="AD874" t="s">
        <v>73</v>
      </c>
      <c r="AF874" t="s">
        <v>73</v>
      </c>
      <c r="AH874" t="s">
        <v>3463</v>
      </c>
      <c r="AI874" t="s">
        <v>3463</v>
      </c>
      <c r="AJ874" t="s">
        <v>3463</v>
      </c>
      <c r="AK874" t="s">
        <v>3463</v>
      </c>
      <c r="AL874" t="s">
        <v>3465</v>
      </c>
      <c r="AM874" t="s">
        <v>2153</v>
      </c>
      <c r="AN874" t="s">
        <v>3806</v>
      </c>
      <c r="AO874" t="s">
        <v>3463</v>
      </c>
      <c r="AP874" t="s">
        <v>3465</v>
      </c>
      <c r="AQ874" t="s">
        <v>955</v>
      </c>
      <c r="AR874" t="s">
        <v>3512</v>
      </c>
      <c r="AV874" t="s">
        <v>126</v>
      </c>
      <c r="AW874" t="s">
        <v>126</v>
      </c>
      <c r="BF874" t="s">
        <v>3921</v>
      </c>
      <c r="BH874" t="s">
        <v>4020</v>
      </c>
      <c r="BP874" t="s">
        <v>4260</v>
      </c>
      <c r="BQ874" t="s">
        <v>3463</v>
      </c>
      <c r="BR874" t="s">
        <v>3463</v>
      </c>
      <c r="BS874" t="s">
        <v>3463</v>
      </c>
      <c r="BT874" t="s">
        <v>3463</v>
      </c>
      <c r="BU874" t="s">
        <v>3463</v>
      </c>
      <c r="BV874" t="s">
        <v>3463</v>
      </c>
      <c r="BW874" t="s">
        <v>3463</v>
      </c>
      <c r="BX874" t="s">
        <v>79</v>
      </c>
      <c r="BY874" t="s">
        <v>79</v>
      </c>
      <c r="BZ874" t="s">
        <v>79</v>
      </c>
      <c r="CA874" s="10">
        <v>45911</v>
      </c>
    </row>
    <row r="875" spans="1:79">
      <c r="A875">
        <v>882</v>
      </c>
      <c r="B875">
        <v>209</v>
      </c>
      <c r="C875">
        <v>26</v>
      </c>
      <c r="D875" t="s">
        <v>3462</v>
      </c>
      <c r="F875" t="s">
        <v>150</v>
      </c>
      <c r="G875" s="12" t="s">
        <v>3463</v>
      </c>
      <c r="I875">
        <v>80</v>
      </c>
      <c r="K875">
        <v>134</v>
      </c>
      <c r="L875">
        <v>70</v>
      </c>
      <c r="M875" t="s">
        <v>82</v>
      </c>
      <c r="P875" t="s">
        <v>83</v>
      </c>
      <c r="Q875" t="s">
        <v>82</v>
      </c>
      <c r="R875">
        <v>71.8</v>
      </c>
      <c r="S875">
        <v>164</v>
      </c>
      <c r="T875" s="8">
        <f t="shared" si="26"/>
        <v>26.695419393218323</v>
      </c>
      <c r="U875" s="13" t="str" cm="1">
        <f t="array" ref="U875">IF(T875="","",_xlfn.IFS(T875&lt;18.5,"Bajo peso",T875&lt;25,"Peso normal",T875&lt;30,"Sobrepeso",T875&lt;35,"Obesidad clase I",T875&lt;40,"Obesidad clase II",T875&gt;=40,"Obesidad clase III"))</f>
        <v>Sobrepeso</v>
      </c>
      <c r="V875">
        <v>110</v>
      </c>
      <c r="X875" t="s">
        <v>3463</v>
      </c>
      <c r="Y875">
        <v>0.92</v>
      </c>
      <c r="AA875">
        <v>90</v>
      </c>
      <c r="AB875" s="9">
        <f t="shared" si="27"/>
        <v>117.65428950348965</v>
      </c>
      <c r="AD875" t="s">
        <v>73</v>
      </c>
      <c r="AF875" t="s">
        <v>73</v>
      </c>
      <c r="AH875" t="s">
        <v>3463</v>
      </c>
      <c r="AI875" t="s">
        <v>3463</v>
      </c>
      <c r="AJ875" t="s">
        <v>3463</v>
      </c>
      <c r="AK875" t="s">
        <v>3463</v>
      </c>
      <c r="AL875" t="s">
        <v>3463</v>
      </c>
      <c r="AP875" t="s">
        <v>3463</v>
      </c>
      <c r="AQ875" t="s">
        <v>159</v>
      </c>
      <c r="AR875" t="s">
        <v>3491</v>
      </c>
      <c r="AV875" t="s">
        <v>126</v>
      </c>
      <c r="AW875" t="s">
        <v>126</v>
      </c>
      <c r="BF875" t="s">
        <v>3921</v>
      </c>
      <c r="BH875" t="s">
        <v>4020</v>
      </c>
      <c r="BP875" t="s">
        <v>4260</v>
      </c>
      <c r="BQ875" t="s">
        <v>3463</v>
      </c>
      <c r="BR875" t="s">
        <v>3465</v>
      </c>
      <c r="BS875" t="s">
        <v>3463</v>
      </c>
      <c r="BT875" t="s">
        <v>3463</v>
      </c>
      <c r="BU875" t="s">
        <v>3463</v>
      </c>
      <c r="BV875" t="s">
        <v>3463</v>
      </c>
      <c r="BW875" t="s">
        <v>3463</v>
      </c>
      <c r="BX875" t="s">
        <v>79</v>
      </c>
      <c r="BY875" t="s">
        <v>79</v>
      </c>
      <c r="BZ875" t="s">
        <v>79</v>
      </c>
      <c r="CA875" s="10">
        <v>45911</v>
      </c>
    </row>
    <row r="876" spans="1:79">
      <c r="A876">
        <v>883</v>
      </c>
      <c r="B876">
        <v>210</v>
      </c>
      <c r="C876">
        <v>36</v>
      </c>
      <c r="D876" t="s">
        <v>3466</v>
      </c>
      <c r="E876" t="s">
        <v>2154</v>
      </c>
      <c r="F876" t="s">
        <v>150</v>
      </c>
      <c r="G876" s="12" t="s">
        <v>3463</v>
      </c>
      <c r="I876">
        <v>73</v>
      </c>
      <c r="K876">
        <v>138</v>
      </c>
      <c r="L876">
        <v>80</v>
      </c>
      <c r="M876" t="s">
        <v>82</v>
      </c>
      <c r="P876" t="s">
        <v>83</v>
      </c>
      <c r="Q876" t="s">
        <v>82</v>
      </c>
      <c r="R876">
        <v>90.3</v>
      </c>
      <c r="S876">
        <v>159</v>
      </c>
      <c r="T876" s="8">
        <f t="shared" si="26"/>
        <v>35.718523792571496</v>
      </c>
      <c r="U876" s="13" t="str" cm="1">
        <f t="array" ref="U876">IF(T876="","",_xlfn.IFS(T876&lt;18.5,"Bajo peso",T876&lt;25,"Peso normal",T876&lt;30,"Sobrepeso",T876&lt;35,"Obesidad clase I",T876&lt;40,"Obesidad clase II",T876&gt;=40,"Obesidad clase III"))</f>
        <v>Obesidad clase II</v>
      </c>
      <c r="V876">
        <v>116</v>
      </c>
      <c r="X876" t="s">
        <v>3463</v>
      </c>
      <c r="Y876">
        <v>0.86</v>
      </c>
      <c r="AA876">
        <v>90</v>
      </c>
      <c r="AB876" s="9">
        <f t="shared" si="27"/>
        <v>89.732979876052383</v>
      </c>
      <c r="AD876" t="s">
        <v>73</v>
      </c>
      <c r="AF876" t="s">
        <v>73</v>
      </c>
      <c r="AH876" t="s">
        <v>3463</v>
      </c>
      <c r="AI876" t="s">
        <v>3463</v>
      </c>
      <c r="AJ876" t="s">
        <v>3463</v>
      </c>
      <c r="AK876" t="s">
        <v>3463</v>
      </c>
      <c r="AL876" t="s">
        <v>3465</v>
      </c>
      <c r="AM876" t="s">
        <v>116</v>
      </c>
      <c r="AN876" t="s">
        <v>116</v>
      </c>
      <c r="AP876" t="s">
        <v>3463</v>
      </c>
      <c r="AT876" t="s">
        <v>3465</v>
      </c>
      <c r="AV876" t="s">
        <v>126</v>
      </c>
      <c r="AW876" t="s">
        <v>126</v>
      </c>
      <c r="AY876" t="s">
        <v>3465</v>
      </c>
      <c r="AZ876" t="s">
        <v>665</v>
      </c>
      <c r="BF876" t="s">
        <v>3921</v>
      </c>
      <c r="BH876" t="s">
        <v>4020</v>
      </c>
      <c r="BP876" t="s">
        <v>4260</v>
      </c>
      <c r="BQ876" t="s">
        <v>3463</v>
      </c>
      <c r="BR876" t="s">
        <v>3465</v>
      </c>
      <c r="BS876" t="s">
        <v>3463</v>
      </c>
      <c r="BT876" t="s">
        <v>3463</v>
      </c>
      <c r="BU876" t="s">
        <v>3463</v>
      </c>
      <c r="BV876" t="s">
        <v>3463</v>
      </c>
      <c r="BW876" t="s">
        <v>3463</v>
      </c>
      <c r="BX876" t="s">
        <v>79</v>
      </c>
      <c r="BY876" t="s">
        <v>79</v>
      </c>
      <c r="BZ876" t="s">
        <v>79</v>
      </c>
      <c r="CA876" s="10">
        <v>45911</v>
      </c>
    </row>
    <row r="877" spans="1:79">
      <c r="A877">
        <v>884</v>
      </c>
      <c r="B877">
        <v>211</v>
      </c>
      <c r="C877">
        <v>41</v>
      </c>
      <c r="D877" t="s">
        <v>3466</v>
      </c>
      <c r="F877" t="s">
        <v>2155</v>
      </c>
      <c r="G877" s="12" t="s">
        <v>3463</v>
      </c>
      <c r="H877" s="12"/>
      <c r="I877">
        <v>98</v>
      </c>
      <c r="K877">
        <v>128</v>
      </c>
      <c r="L877">
        <v>86</v>
      </c>
      <c r="M877" t="s">
        <v>82</v>
      </c>
      <c r="P877" t="s">
        <v>83</v>
      </c>
      <c r="Q877" t="s">
        <v>82</v>
      </c>
      <c r="R877">
        <v>91.85</v>
      </c>
      <c r="S877">
        <v>157</v>
      </c>
      <c r="T877" s="8">
        <f t="shared" si="26"/>
        <v>37.263174976672481</v>
      </c>
      <c r="U877" s="13" t="str" cm="1">
        <f t="array" ref="U877">IF(T877="","",_xlfn.IFS(T877&lt;18.5,"Bajo peso",T877&lt;25,"Peso normal",T877&lt;30,"Sobrepeso",T877&lt;35,"Obesidad clase I",T877&lt;40,"Obesidad clase II",T877&gt;=40,"Obesidad clase III"))</f>
        <v>Obesidad clase II</v>
      </c>
      <c r="V877">
        <v>101</v>
      </c>
      <c r="X877" t="s">
        <v>3463</v>
      </c>
      <c r="Y877">
        <v>1.01</v>
      </c>
      <c r="AA877">
        <v>72</v>
      </c>
      <c r="AB877" s="9">
        <f t="shared" si="27"/>
        <v>71.723181398257239</v>
      </c>
      <c r="AD877" t="s">
        <v>73</v>
      </c>
      <c r="AF877" t="s">
        <v>73</v>
      </c>
      <c r="AH877" t="s">
        <v>3463</v>
      </c>
      <c r="AI877" t="s">
        <v>3463</v>
      </c>
      <c r="AL877" t="s">
        <v>3465</v>
      </c>
      <c r="AM877" t="s">
        <v>2156</v>
      </c>
      <c r="AN877" t="s">
        <v>3716</v>
      </c>
      <c r="AP877" t="s">
        <v>3463</v>
      </c>
      <c r="AQ877" t="s">
        <v>2157</v>
      </c>
      <c r="AR877" t="s">
        <v>3565</v>
      </c>
      <c r="AT877" t="s">
        <v>3465</v>
      </c>
      <c r="AU877" t="s">
        <v>1899</v>
      </c>
      <c r="AV877" t="s">
        <v>112</v>
      </c>
      <c r="AW877" t="s">
        <v>3917</v>
      </c>
      <c r="AX877" t="s">
        <v>3463</v>
      </c>
      <c r="AY877" t="s">
        <v>3465</v>
      </c>
      <c r="AZ877" t="s">
        <v>104</v>
      </c>
      <c r="BF877" t="s">
        <v>3921</v>
      </c>
      <c r="BH877" t="s">
        <v>4020</v>
      </c>
      <c r="BP877" t="s">
        <v>4260</v>
      </c>
      <c r="BQ877" t="s">
        <v>3465</v>
      </c>
      <c r="BR877" t="s">
        <v>3465</v>
      </c>
      <c r="BS877" t="s">
        <v>3465</v>
      </c>
      <c r="BT877" t="s">
        <v>3465</v>
      </c>
      <c r="BU877" t="s">
        <v>3463</v>
      </c>
      <c r="BV877" t="s">
        <v>3463</v>
      </c>
      <c r="BW877" t="s">
        <v>3463</v>
      </c>
      <c r="BX877" t="s">
        <v>79</v>
      </c>
      <c r="BY877" t="s">
        <v>87</v>
      </c>
      <c r="BZ877" t="s">
        <v>79</v>
      </c>
      <c r="CA877" s="10">
        <v>45911</v>
      </c>
    </row>
    <row r="878" spans="1:79">
      <c r="A878">
        <v>885</v>
      </c>
      <c r="B878">
        <v>212</v>
      </c>
      <c r="C878">
        <v>38</v>
      </c>
      <c r="D878" t="s">
        <v>3462</v>
      </c>
      <c r="E878" t="s">
        <v>1966</v>
      </c>
      <c r="F878" t="s">
        <v>150</v>
      </c>
      <c r="G878" s="12" t="s">
        <v>3465</v>
      </c>
      <c r="H878" t="s">
        <v>88</v>
      </c>
      <c r="I878">
        <v>75</v>
      </c>
      <c r="K878">
        <v>130</v>
      </c>
      <c r="L878">
        <v>79</v>
      </c>
      <c r="M878" t="s">
        <v>82</v>
      </c>
      <c r="P878" t="s">
        <v>83</v>
      </c>
      <c r="Q878" t="s">
        <v>82</v>
      </c>
      <c r="R878">
        <v>120.7</v>
      </c>
      <c r="S878">
        <v>169</v>
      </c>
      <c r="T878" s="8">
        <f t="shared" si="26"/>
        <v>42.260425055145134</v>
      </c>
      <c r="U878" s="13" t="str" cm="1">
        <f t="array" ref="U878">IF(T878="","",_xlfn.IFS(T878&lt;18.5,"Bajo peso",T878&lt;25,"Peso normal",T878&lt;30,"Sobrepeso",T878&lt;35,"Obesidad clase I",T878&lt;40,"Obesidad clase II",T878&gt;=40,"Obesidad clase III"))</f>
        <v>Obesidad clase III</v>
      </c>
      <c r="V878">
        <v>116</v>
      </c>
      <c r="X878" t="s">
        <v>3463</v>
      </c>
      <c r="Y878">
        <v>1.34</v>
      </c>
      <c r="AA878">
        <v>69</v>
      </c>
      <c r="AB878" s="9">
        <f t="shared" si="27"/>
        <v>69.536897371599196</v>
      </c>
      <c r="AD878" t="s">
        <v>73</v>
      </c>
      <c r="AF878" t="s">
        <v>73</v>
      </c>
      <c r="AH878" t="s">
        <v>3463</v>
      </c>
      <c r="AI878" t="s">
        <v>3463</v>
      </c>
      <c r="AJ878" t="s">
        <v>3463</v>
      </c>
      <c r="AK878" t="s">
        <v>3463</v>
      </c>
      <c r="AL878" t="s">
        <v>3463</v>
      </c>
      <c r="AO878" t="s">
        <v>3465</v>
      </c>
      <c r="AP878" t="s">
        <v>3465</v>
      </c>
      <c r="AQ878" t="s">
        <v>148</v>
      </c>
      <c r="AR878" t="s">
        <v>3491</v>
      </c>
      <c r="AV878" t="s">
        <v>74</v>
      </c>
      <c r="AW878" t="s">
        <v>3915</v>
      </c>
      <c r="BF878" t="s">
        <v>3921</v>
      </c>
      <c r="BH878" t="s">
        <v>4020</v>
      </c>
      <c r="BP878" t="s">
        <v>4260</v>
      </c>
      <c r="BQ878" t="s">
        <v>3463</v>
      </c>
      <c r="BR878" t="s">
        <v>3465</v>
      </c>
      <c r="BS878" t="s">
        <v>3463</v>
      </c>
      <c r="BT878" t="s">
        <v>3463</v>
      </c>
      <c r="BU878" t="s">
        <v>3463</v>
      </c>
      <c r="BV878" t="s">
        <v>3463</v>
      </c>
      <c r="BW878" t="s">
        <v>3463</v>
      </c>
      <c r="BX878" t="s">
        <v>79</v>
      </c>
      <c r="BY878" t="s">
        <v>79</v>
      </c>
      <c r="BZ878" t="s">
        <v>79</v>
      </c>
      <c r="CA878" s="10">
        <v>45911</v>
      </c>
    </row>
    <row r="879" spans="1:79">
      <c r="A879">
        <v>886</v>
      </c>
      <c r="B879">
        <v>213</v>
      </c>
      <c r="C879">
        <v>50</v>
      </c>
      <c r="D879" t="s">
        <v>3466</v>
      </c>
      <c r="F879" t="s">
        <v>150</v>
      </c>
      <c r="G879" s="12" t="s">
        <v>3465</v>
      </c>
      <c r="H879" t="s">
        <v>88</v>
      </c>
      <c r="I879">
        <v>72</v>
      </c>
      <c r="K879">
        <v>138</v>
      </c>
      <c r="L879">
        <v>78</v>
      </c>
      <c r="M879" t="s">
        <v>82</v>
      </c>
      <c r="P879" t="s">
        <v>83</v>
      </c>
      <c r="Q879" t="s">
        <v>82</v>
      </c>
      <c r="R879">
        <v>100</v>
      </c>
      <c r="S879">
        <v>149</v>
      </c>
      <c r="T879" s="8">
        <f t="shared" si="26"/>
        <v>45.043016080356743</v>
      </c>
      <c r="U879" s="13" t="str" cm="1">
        <f t="array" ref="U879">IF(T879="","",_xlfn.IFS(T879&lt;18.5,"Bajo peso",T879&lt;25,"Peso normal",T879&lt;30,"Sobrepeso",T879&lt;35,"Obesidad clase I",T879&lt;40,"Obesidad clase II",T879&gt;=40,"Obesidad clase III"))</f>
        <v>Obesidad clase III</v>
      </c>
      <c r="V879">
        <v>94</v>
      </c>
      <c r="X879" t="s">
        <v>3463</v>
      </c>
      <c r="Y879">
        <v>1.38</v>
      </c>
      <c r="AA879">
        <v>47</v>
      </c>
      <c r="AB879" s="9">
        <f t="shared" si="27"/>
        <v>46.631697140041148</v>
      </c>
      <c r="AD879" t="s">
        <v>158</v>
      </c>
      <c r="AF879" t="s">
        <v>158</v>
      </c>
      <c r="AH879" t="s">
        <v>3463</v>
      </c>
      <c r="AI879" t="s">
        <v>3465</v>
      </c>
      <c r="AJ879" t="s">
        <v>3463</v>
      </c>
      <c r="AK879" t="s">
        <v>3463</v>
      </c>
      <c r="AL879" t="s">
        <v>3463</v>
      </c>
      <c r="AP879" t="s">
        <v>3463</v>
      </c>
      <c r="AQ879" t="s">
        <v>2158</v>
      </c>
      <c r="AR879" t="s">
        <v>3579</v>
      </c>
      <c r="AS879" t="s">
        <v>3465</v>
      </c>
      <c r="AT879" t="s">
        <v>3465</v>
      </c>
      <c r="AU879" t="s">
        <v>80</v>
      </c>
      <c r="AV879" t="s">
        <v>126</v>
      </c>
      <c r="AW879" t="s">
        <v>126</v>
      </c>
      <c r="AX879" t="s">
        <v>3463</v>
      </c>
      <c r="AY879" t="s">
        <v>3465</v>
      </c>
      <c r="AZ879" t="s">
        <v>137</v>
      </c>
      <c r="BA879" t="s">
        <v>3920</v>
      </c>
      <c r="BE879" t="s">
        <v>2159</v>
      </c>
      <c r="BF879" t="s">
        <v>3975</v>
      </c>
      <c r="BG879" t="s">
        <v>2160</v>
      </c>
      <c r="BH879" t="s">
        <v>4194</v>
      </c>
      <c r="BK879" t="s">
        <v>2161</v>
      </c>
      <c r="BL879" t="s">
        <v>2162</v>
      </c>
      <c r="BP879" t="s">
        <v>4497</v>
      </c>
      <c r="BQ879" t="s">
        <v>3463</v>
      </c>
      <c r="BR879" t="s">
        <v>3465</v>
      </c>
      <c r="BS879" t="s">
        <v>3463</v>
      </c>
      <c r="BT879" t="s">
        <v>3463</v>
      </c>
      <c r="BU879" t="s">
        <v>3463</v>
      </c>
      <c r="BV879" t="s">
        <v>3463</v>
      </c>
      <c r="BW879" t="s">
        <v>3463</v>
      </c>
      <c r="BX879" t="s">
        <v>518</v>
      </c>
      <c r="BY879" t="s">
        <v>79</v>
      </c>
      <c r="BZ879" t="s">
        <v>79</v>
      </c>
      <c r="CA879" s="10">
        <v>45911</v>
      </c>
    </row>
    <row r="880" spans="1:79">
      <c r="A880">
        <v>887</v>
      </c>
      <c r="B880">
        <v>214</v>
      </c>
      <c r="C880">
        <v>48</v>
      </c>
      <c r="D880" t="s">
        <v>3466</v>
      </c>
      <c r="E880" t="s">
        <v>2163</v>
      </c>
      <c r="F880" t="s">
        <v>150</v>
      </c>
      <c r="G880" s="12" t="s">
        <v>3465</v>
      </c>
      <c r="H880" t="s">
        <v>88</v>
      </c>
      <c r="I880">
        <v>85</v>
      </c>
      <c r="K880">
        <v>127</v>
      </c>
      <c r="L880">
        <v>71</v>
      </c>
      <c r="M880" t="s">
        <v>118</v>
      </c>
      <c r="P880" t="s">
        <v>83</v>
      </c>
      <c r="Q880" t="s">
        <v>118</v>
      </c>
      <c r="R880">
        <v>84.44</v>
      </c>
      <c r="S880">
        <v>154.5</v>
      </c>
      <c r="T880" s="8">
        <f t="shared" si="26"/>
        <v>35.374577141001872</v>
      </c>
      <c r="U880" s="13" t="str" cm="1">
        <f t="array" ref="U880">IF(T880="","",_xlfn.IFS(T880&lt;18.5,"Bajo peso",T880&lt;25,"Peso normal",T880&lt;30,"Sobrepeso",T880&lt;35,"Obesidad clase I",T880&lt;40,"Obesidad clase II",T880&gt;=40,"Obesidad clase III"))</f>
        <v>Obesidad clase II</v>
      </c>
      <c r="V880">
        <v>149</v>
      </c>
      <c r="X880" t="s">
        <v>3463</v>
      </c>
      <c r="Y880">
        <v>0.88</v>
      </c>
      <c r="AA880">
        <v>81</v>
      </c>
      <c r="AB880" s="9">
        <f t="shared" si="27"/>
        <v>81.01378703394343</v>
      </c>
      <c r="AD880" t="s">
        <v>73</v>
      </c>
      <c r="AF880" t="s">
        <v>73</v>
      </c>
      <c r="AH880" t="s">
        <v>3463</v>
      </c>
      <c r="AI880" t="s">
        <v>3465</v>
      </c>
      <c r="AJ880" t="s">
        <v>3463</v>
      </c>
      <c r="AK880" t="s">
        <v>3465</v>
      </c>
      <c r="AL880" t="s">
        <v>3463</v>
      </c>
      <c r="AO880" t="s">
        <v>3465</v>
      </c>
      <c r="AP880" t="s">
        <v>3465</v>
      </c>
      <c r="AQ880" t="s">
        <v>2164</v>
      </c>
      <c r="AR880" t="s">
        <v>3562</v>
      </c>
      <c r="AS880" t="s">
        <v>3465</v>
      </c>
      <c r="AT880" t="s">
        <v>3463</v>
      </c>
      <c r="AV880" t="s">
        <v>74</v>
      </c>
      <c r="AW880" t="s">
        <v>3915</v>
      </c>
      <c r="AX880" t="s">
        <v>3463</v>
      </c>
      <c r="AY880" t="s">
        <v>3465</v>
      </c>
      <c r="AZ880" t="s">
        <v>247</v>
      </c>
      <c r="BF880" t="s">
        <v>3921</v>
      </c>
      <c r="BH880" t="s">
        <v>4020</v>
      </c>
      <c r="BP880" t="s">
        <v>4260</v>
      </c>
      <c r="BQ880" t="s">
        <v>3463</v>
      </c>
      <c r="BR880" t="s">
        <v>3463</v>
      </c>
      <c r="BS880" t="s">
        <v>3463</v>
      </c>
      <c r="BT880" t="s">
        <v>3463</v>
      </c>
      <c r="BU880" t="s">
        <v>3463</v>
      </c>
      <c r="BV880" t="s">
        <v>3463</v>
      </c>
      <c r="BW880" t="s">
        <v>3463</v>
      </c>
      <c r="BX880" t="s">
        <v>79</v>
      </c>
      <c r="BY880" t="s">
        <v>79</v>
      </c>
      <c r="BZ880" t="s">
        <v>79</v>
      </c>
      <c r="CA880" s="10">
        <v>45911</v>
      </c>
    </row>
    <row r="881" spans="1:79">
      <c r="A881">
        <v>888</v>
      </c>
      <c r="B881">
        <v>215</v>
      </c>
      <c r="C881">
        <v>35</v>
      </c>
      <c r="D881" t="s">
        <v>3462</v>
      </c>
      <c r="E881" t="s">
        <v>1966</v>
      </c>
      <c r="F881" t="s">
        <v>150</v>
      </c>
      <c r="G881" s="12" t="s">
        <v>3463</v>
      </c>
      <c r="H881" s="12"/>
      <c r="I881">
        <v>80</v>
      </c>
      <c r="J881">
        <v>76</v>
      </c>
      <c r="K881">
        <v>145</v>
      </c>
      <c r="L881">
        <v>79</v>
      </c>
      <c r="M881" t="s">
        <v>72</v>
      </c>
      <c r="N881">
        <v>128</v>
      </c>
      <c r="O881">
        <v>73</v>
      </c>
      <c r="P881" t="s">
        <v>118</v>
      </c>
      <c r="Q881" t="s">
        <v>118</v>
      </c>
      <c r="R881">
        <v>81.5</v>
      </c>
      <c r="S881">
        <v>162</v>
      </c>
      <c r="T881" s="8">
        <f t="shared" si="26"/>
        <v>31.054717268709041</v>
      </c>
      <c r="U881" s="13" t="str" cm="1">
        <f t="array" ref="U881">IF(T881="","",_xlfn.IFS(T881&lt;18.5,"Bajo peso",T881&lt;25,"Peso normal",T881&lt;30,"Sobrepeso",T881&lt;35,"Obesidad clase I",T881&lt;40,"Obesidad clase II",T881&gt;=40,"Obesidad clase III"))</f>
        <v>Obesidad clase I</v>
      </c>
      <c r="V881">
        <v>96</v>
      </c>
      <c r="X881" t="s">
        <v>3463</v>
      </c>
      <c r="Y881">
        <v>1.2</v>
      </c>
      <c r="AA881">
        <v>81</v>
      </c>
      <c r="AB881" s="9">
        <f t="shared" si="27"/>
        <v>80.877290764326645</v>
      </c>
      <c r="AD881" t="s">
        <v>73</v>
      </c>
      <c r="AF881" t="s">
        <v>73</v>
      </c>
      <c r="AH881" t="s">
        <v>3463</v>
      </c>
      <c r="AI881" t="s">
        <v>3463</v>
      </c>
      <c r="AJ881" t="s">
        <v>3463</v>
      </c>
      <c r="AK881" t="s">
        <v>3463</v>
      </c>
      <c r="AL881" t="s">
        <v>3463</v>
      </c>
      <c r="AP881" t="s">
        <v>3463</v>
      </c>
      <c r="AQ881" t="s">
        <v>2165</v>
      </c>
      <c r="AR881" t="s">
        <v>3491</v>
      </c>
      <c r="AV881" t="s">
        <v>126</v>
      </c>
      <c r="AW881" t="s">
        <v>126</v>
      </c>
      <c r="BF881" t="s">
        <v>3921</v>
      </c>
      <c r="BH881" t="s">
        <v>4020</v>
      </c>
      <c r="BP881" t="s">
        <v>4260</v>
      </c>
      <c r="BQ881" t="s">
        <v>3463</v>
      </c>
      <c r="BR881" t="s">
        <v>3463</v>
      </c>
      <c r="BT881" t="s">
        <v>3465</v>
      </c>
      <c r="BU881" t="s">
        <v>3463</v>
      </c>
      <c r="BV881" t="s">
        <v>3463</v>
      </c>
      <c r="BW881" t="s">
        <v>3463</v>
      </c>
      <c r="BX881" t="s">
        <v>79</v>
      </c>
      <c r="BY881" t="s">
        <v>79</v>
      </c>
      <c r="BZ881" t="s">
        <v>79</v>
      </c>
      <c r="CA881" s="10">
        <v>45911</v>
      </c>
    </row>
    <row r="882" spans="1:79">
      <c r="A882">
        <v>889</v>
      </c>
      <c r="B882">
        <v>216</v>
      </c>
      <c r="C882">
        <v>38</v>
      </c>
      <c r="D882" t="s">
        <v>3462</v>
      </c>
      <c r="F882" t="s">
        <v>150</v>
      </c>
      <c r="G882" s="12" t="s">
        <v>3465</v>
      </c>
      <c r="H882" s="12" t="s">
        <v>88</v>
      </c>
      <c r="I882">
        <v>77</v>
      </c>
      <c r="K882">
        <v>122</v>
      </c>
      <c r="L882">
        <v>78</v>
      </c>
      <c r="M882" t="s">
        <v>118</v>
      </c>
      <c r="P882" t="s">
        <v>83</v>
      </c>
      <c r="Q882" t="s">
        <v>118</v>
      </c>
      <c r="R882">
        <v>75.5</v>
      </c>
      <c r="S882">
        <v>154</v>
      </c>
      <c r="T882" s="8">
        <f t="shared" si="26"/>
        <v>31.835048068814302</v>
      </c>
      <c r="U882" s="13" t="str" cm="1">
        <f t="array" ref="U882">IF(T882="","",_xlfn.IFS(T882&lt;18.5,"Bajo peso",T882&lt;25,"Peso normal",T882&lt;30,"Sobrepeso",T882&lt;35,"Obesidad clase I",T882&lt;40,"Obesidad clase II",T882&gt;=40,"Obesidad clase III"))</f>
        <v>Obesidad clase I</v>
      </c>
      <c r="V882">
        <v>91</v>
      </c>
      <c r="X882" t="s">
        <v>3463</v>
      </c>
      <c r="Y882">
        <v>0.99</v>
      </c>
      <c r="AA882">
        <v>90</v>
      </c>
      <c r="AB882" s="9">
        <f t="shared" si="27"/>
        <v>99.995126410677102</v>
      </c>
      <c r="AD882" t="s">
        <v>73</v>
      </c>
      <c r="AF882" t="s">
        <v>73</v>
      </c>
      <c r="AH882" t="s">
        <v>3463</v>
      </c>
      <c r="AI882" t="s">
        <v>3463</v>
      </c>
      <c r="AJ882" t="s">
        <v>3463</v>
      </c>
      <c r="AK882" t="s">
        <v>3463</v>
      </c>
      <c r="AL882" t="s">
        <v>3465</v>
      </c>
      <c r="AO882" t="s">
        <v>3463</v>
      </c>
      <c r="AP882" t="s">
        <v>3465</v>
      </c>
      <c r="AQ882" t="s">
        <v>2166</v>
      </c>
      <c r="AR882" t="s">
        <v>3536</v>
      </c>
      <c r="AV882" t="s">
        <v>74</v>
      </c>
      <c r="AW882" t="s">
        <v>3915</v>
      </c>
      <c r="BF882" t="s">
        <v>3921</v>
      </c>
      <c r="BH882" t="s">
        <v>4020</v>
      </c>
      <c r="BP882" t="s">
        <v>4260</v>
      </c>
      <c r="BQ882" t="s">
        <v>3463</v>
      </c>
      <c r="BR882" t="s">
        <v>3463</v>
      </c>
      <c r="BS882" t="s">
        <v>3463</v>
      </c>
      <c r="BT882" t="s">
        <v>3463</v>
      </c>
      <c r="BU882" t="s">
        <v>3463</v>
      </c>
      <c r="BV882" t="s">
        <v>3463</v>
      </c>
      <c r="BW882" t="s">
        <v>3463</v>
      </c>
      <c r="BX882" t="s">
        <v>79</v>
      </c>
      <c r="BY882" t="s">
        <v>79</v>
      </c>
      <c r="BZ882" t="s">
        <v>79</v>
      </c>
      <c r="CA882" s="10">
        <v>45911</v>
      </c>
    </row>
    <row r="883" spans="1:79">
      <c r="A883">
        <v>890</v>
      </c>
      <c r="B883">
        <v>217</v>
      </c>
      <c r="C883">
        <v>61</v>
      </c>
      <c r="D883" t="s">
        <v>3466</v>
      </c>
      <c r="F883" t="s">
        <v>150</v>
      </c>
      <c r="G883" s="12" t="s">
        <v>3463</v>
      </c>
      <c r="I883">
        <v>78</v>
      </c>
      <c r="K883">
        <v>133</v>
      </c>
      <c r="L883">
        <v>66</v>
      </c>
      <c r="M883" t="s">
        <v>82</v>
      </c>
      <c r="P883" t="s">
        <v>83</v>
      </c>
      <c r="Q883" t="s">
        <v>82</v>
      </c>
      <c r="R883">
        <v>54.8</v>
      </c>
      <c r="S883">
        <v>141</v>
      </c>
      <c r="T883" s="8">
        <f t="shared" si="26"/>
        <v>27.564005834716564</v>
      </c>
      <c r="U883" s="13" t="str" cm="1">
        <f t="array" ref="U883">IF(T883="","",_xlfn.IFS(T883&lt;18.5,"Bajo peso",T883&lt;25,"Peso normal",T883&lt;30,"Sobrepeso",T883&lt;35,"Obesidad clase I",T883&lt;40,"Obesidad clase II",T883&gt;=40,"Obesidad clase III"))</f>
        <v>Sobrepeso</v>
      </c>
      <c r="V883">
        <v>99</v>
      </c>
      <c r="X883" t="s">
        <v>3463</v>
      </c>
      <c r="Y883">
        <v>0.73</v>
      </c>
      <c r="AA883">
        <v>90</v>
      </c>
      <c r="AB883" s="9">
        <f t="shared" si="27"/>
        <v>93.505597508030391</v>
      </c>
      <c r="AD883" t="s">
        <v>73</v>
      </c>
      <c r="AF883" t="s">
        <v>73</v>
      </c>
      <c r="AH883" t="s">
        <v>3463</v>
      </c>
      <c r="AI883" t="s">
        <v>3463</v>
      </c>
      <c r="AJ883" t="s">
        <v>3463</v>
      </c>
      <c r="AL883" t="s">
        <v>3463</v>
      </c>
      <c r="AP883" t="s">
        <v>3463</v>
      </c>
      <c r="AT883" t="s">
        <v>3465</v>
      </c>
      <c r="AU883" t="s">
        <v>1899</v>
      </c>
      <c r="AV883" t="s">
        <v>126</v>
      </c>
      <c r="AW883" t="s">
        <v>126</v>
      </c>
      <c r="AX883" t="s">
        <v>3465</v>
      </c>
      <c r="AY883" t="s">
        <v>3465</v>
      </c>
      <c r="AZ883" t="s">
        <v>104</v>
      </c>
      <c r="BF883" t="s">
        <v>3921</v>
      </c>
      <c r="BH883" t="s">
        <v>4020</v>
      </c>
      <c r="BP883" t="s">
        <v>4260</v>
      </c>
      <c r="BQ883" t="s">
        <v>3465</v>
      </c>
      <c r="BR883" t="s">
        <v>3465</v>
      </c>
      <c r="BS883" t="s">
        <v>3465</v>
      </c>
      <c r="BT883" t="s">
        <v>3465</v>
      </c>
      <c r="BU883" t="s">
        <v>3463</v>
      </c>
      <c r="BV883" t="s">
        <v>3463</v>
      </c>
      <c r="BW883" t="s">
        <v>3463</v>
      </c>
      <c r="BX883" t="s">
        <v>79</v>
      </c>
      <c r="BY883" t="s">
        <v>79</v>
      </c>
      <c r="BZ883" t="s">
        <v>79</v>
      </c>
      <c r="CA883" s="10">
        <v>45911</v>
      </c>
    </row>
    <row r="884" spans="1:79">
      <c r="A884">
        <v>891</v>
      </c>
      <c r="B884">
        <v>218</v>
      </c>
      <c r="C884">
        <v>57</v>
      </c>
      <c r="D884" t="s">
        <v>3466</v>
      </c>
      <c r="E884" t="s">
        <v>1966</v>
      </c>
      <c r="F884" t="s">
        <v>150</v>
      </c>
      <c r="G884" s="12" t="s">
        <v>3465</v>
      </c>
      <c r="H884" t="s">
        <v>88</v>
      </c>
      <c r="I884">
        <v>80</v>
      </c>
      <c r="K884">
        <v>148</v>
      </c>
      <c r="L884">
        <v>81</v>
      </c>
      <c r="M884" t="s">
        <v>72</v>
      </c>
      <c r="P884" t="s">
        <v>83</v>
      </c>
      <c r="Q884" t="s">
        <v>72</v>
      </c>
      <c r="R884">
        <v>74.95</v>
      </c>
      <c r="S884">
        <v>157</v>
      </c>
      <c r="T884" s="8">
        <f t="shared" si="26"/>
        <v>30.406913059353322</v>
      </c>
      <c r="U884" s="13" t="str" cm="1">
        <f t="array" ref="U884">IF(T884="","",_xlfn.IFS(T884&lt;18.5,"Bajo peso",T884&lt;25,"Peso normal",T884&lt;30,"Sobrepeso",T884&lt;35,"Obesidad clase I",T884&lt;40,"Obesidad clase II",T884&gt;=40,"Obesidad clase III"))</f>
        <v>Obesidad clase I</v>
      </c>
      <c r="V884">
        <v>78</v>
      </c>
      <c r="X884" t="s">
        <v>3463</v>
      </c>
      <c r="Y884">
        <v>1.08</v>
      </c>
      <c r="AA884">
        <v>60</v>
      </c>
      <c r="AB884" s="9">
        <f t="shared" si="27"/>
        <v>59.912930922067609</v>
      </c>
      <c r="AD884" t="s">
        <v>73</v>
      </c>
      <c r="AF884" t="s">
        <v>73</v>
      </c>
      <c r="AH884" t="s">
        <v>3463</v>
      </c>
      <c r="AI884" t="s">
        <v>3463</v>
      </c>
      <c r="AJ884" t="s">
        <v>3463</v>
      </c>
      <c r="AK884" t="s">
        <v>3463</v>
      </c>
      <c r="AL884" t="s">
        <v>3465</v>
      </c>
      <c r="AM884" t="s">
        <v>2167</v>
      </c>
      <c r="AN884" t="s">
        <v>2167</v>
      </c>
      <c r="AO884" t="s">
        <v>3463</v>
      </c>
      <c r="AP884" t="s">
        <v>3465</v>
      </c>
      <c r="AT884" t="s">
        <v>3465</v>
      </c>
      <c r="AU884" t="s">
        <v>80</v>
      </c>
      <c r="AV884" t="s">
        <v>74</v>
      </c>
      <c r="AW884" t="s">
        <v>3915</v>
      </c>
      <c r="AX884" t="s">
        <v>3463</v>
      </c>
      <c r="AY884" t="s">
        <v>3463</v>
      </c>
      <c r="BF884" t="s">
        <v>3921</v>
      </c>
      <c r="BH884" t="s">
        <v>4020</v>
      </c>
      <c r="BP884" t="s">
        <v>4260</v>
      </c>
      <c r="BQ884" t="s">
        <v>3463</v>
      </c>
      <c r="BR884" t="s">
        <v>3465</v>
      </c>
      <c r="BS884" t="s">
        <v>3463</v>
      </c>
      <c r="BT884" t="s">
        <v>3463</v>
      </c>
      <c r="BU884" t="s">
        <v>3463</v>
      </c>
      <c r="BV884" t="s">
        <v>3463</v>
      </c>
      <c r="BW884" t="s">
        <v>3463</v>
      </c>
      <c r="BX884" t="s">
        <v>79</v>
      </c>
      <c r="BY884" t="s">
        <v>79</v>
      </c>
      <c r="BZ884" t="s">
        <v>79</v>
      </c>
      <c r="CA884" s="10">
        <v>45911</v>
      </c>
    </row>
    <row r="885" spans="1:79">
      <c r="A885">
        <v>892</v>
      </c>
      <c r="B885">
        <v>219</v>
      </c>
      <c r="C885">
        <v>59</v>
      </c>
      <c r="D885" t="s">
        <v>3466</v>
      </c>
      <c r="F885" t="s">
        <v>150</v>
      </c>
      <c r="G885" s="12" t="s">
        <v>3463</v>
      </c>
      <c r="I885">
        <v>63</v>
      </c>
      <c r="K885">
        <v>126</v>
      </c>
      <c r="L885">
        <v>93</v>
      </c>
      <c r="M885" t="s">
        <v>72</v>
      </c>
      <c r="P885" t="s">
        <v>83</v>
      </c>
      <c r="Q885" t="s">
        <v>72</v>
      </c>
      <c r="R885">
        <v>82</v>
      </c>
      <c r="S885">
        <v>152</v>
      </c>
      <c r="T885" s="8">
        <f t="shared" si="26"/>
        <v>35.491689750692522</v>
      </c>
      <c r="U885" s="13" t="str" cm="1">
        <f t="array" ref="U885">IF(T885="","",_xlfn.IFS(T885&lt;18.5,"Bajo peso",T885&lt;25,"Peso normal",T885&lt;30,"Sobrepeso",T885&lt;35,"Obesidad clase I",T885&lt;40,"Obesidad clase II",T885&gt;=40,"Obesidad clase III"))</f>
        <v>Obesidad clase II</v>
      </c>
      <c r="V885">
        <v>90</v>
      </c>
      <c r="X885" t="s">
        <v>3463</v>
      </c>
      <c r="Y885">
        <v>0.68</v>
      </c>
      <c r="AA885">
        <v>90</v>
      </c>
      <c r="AB885" s="9">
        <f t="shared" si="27"/>
        <v>100.26362185731034</v>
      </c>
      <c r="AD885" t="s">
        <v>73</v>
      </c>
      <c r="AF885" t="s">
        <v>73</v>
      </c>
      <c r="AH885" t="s">
        <v>3463</v>
      </c>
      <c r="AI885" t="s">
        <v>3463</v>
      </c>
      <c r="AL885" t="s">
        <v>3465</v>
      </c>
      <c r="AM885" t="s">
        <v>2168</v>
      </c>
      <c r="AN885" t="s">
        <v>3807</v>
      </c>
      <c r="AP885" t="s">
        <v>3463</v>
      </c>
      <c r="AT885" t="s">
        <v>3463</v>
      </c>
      <c r="AU885" t="s">
        <v>125</v>
      </c>
      <c r="AV885" t="s">
        <v>178</v>
      </c>
      <c r="AW885" t="s">
        <v>3918</v>
      </c>
      <c r="AX885" t="s">
        <v>3463</v>
      </c>
      <c r="AY885" t="s">
        <v>3465</v>
      </c>
      <c r="AZ885" t="s">
        <v>104</v>
      </c>
      <c r="BF885" t="s">
        <v>3921</v>
      </c>
      <c r="BH885" t="s">
        <v>4020</v>
      </c>
      <c r="BP885" t="s">
        <v>4260</v>
      </c>
      <c r="BQ885" t="s">
        <v>3463</v>
      </c>
      <c r="BR885" t="s">
        <v>3465</v>
      </c>
      <c r="BS885" t="s">
        <v>3465</v>
      </c>
      <c r="BT885" t="s">
        <v>3465</v>
      </c>
      <c r="BU885" t="s">
        <v>3463</v>
      </c>
      <c r="BV885" t="s">
        <v>3463</v>
      </c>
      <c r="BW885" t="s">
        <v>3463</v>
      </c>
      <c r="BX885" t="s">
        <v>79</v>
      </c>
      <c r="BY885" t="s">
        <v>79</v>
      </c>
      <c r="BZ885" t="s">
        <v>79</v>
      </c>
      <c r="CA885" s="10">
        <v>45911</v>
      </c>
    </row>
    <row r="886" spans="1:79">
      <c r="A886">
        <v>893</v>
      </c>
      <c r="B886">
        <v>220</v>
      </c>
      <c r="C886">
        <v>64</v>
      </c>
      <c r="D886" t="s">
        <v>3466</v>
      </c>
      <c r="E886" t="s">
        <v>2169</v>
      </c>
      <c r="F886" t="s">
        <v>150</v>
      </c>
      <c r="G886" s="12" t="s">
        <v>3463</v>
      </c>
      <c r="H886" s="12"/>
      <c r="I886">
        <v>82</v>
      </c>
      <c r="J886">
        <v>75</v>
      </c>
      <c r="K886">
        <v>182</v>
      </c>
      <c r="L886">
        <v>98</v>
      </c>
      <c r="M886" t="s">
        <v>96</v>
      </c>
      <c r="N886">
        <v>164</v>
      </c>
      <c r="O886">
        <v>92</v>
      </c>
      <c r="P886" t="s">
        <v>72</v>
      </c>
      <c r="Q886" t="s">
        <v>72</v>
      </c>
      <c r="R886">
        <v>85</v>
      </c>
      <c r="S886">
        <v>146</v>
      </c>
      <c r="T886" s="8">
        <f t="shared" si="26"/>
        <v>39.876149371364235</v>
      </c>
      <c r="U886" s="13" t="str" cm="1">
        <f t="array" ref="U886">IF(T886="","",_xlfn.IFS(T886&lt;18.5,"Bajo peso",T886&lt;25,"Peso normal",T886&lt;30,"Sobrepeso",T886&lt;35,"Obesidad clase I",T886&lt;40,"Obesidad clase II",T886&gt;=40,"Obesidad clase III"))</f>
        <v>Obesidad clase II</v>
      </c>
      <c r="V886">
        <v>124</v>
      </c>
      <c r="W886">
        <v>112</v>
      </c>
      <c r="X886" t="s">
        <v>3463</v>
      </c>
      <c r="Y886">
        <v>1.74</v>
      </c>
      <c r="Z886">
        <v>1.92</v>
      </c>
      <c r="AA886">
        <v>32</v>
      </c>
      <c r="AB886" s="9">
        <f t="shared" si="27"/>
        <v>32.364054301402284</v>
      </c>
      <c r="AC886">
        <v>29</v>
      </c>
      <c r="AD886" t="s">
        <v>218</v>
      </c>
      <c r="AE886" t="s">
        <v>303</v>
      </c>
      <c r="AF886" t="s">
        <v>218</v>
      </c>
      <c r="AH886" t="s">
        <v>3464</v>
      </c>
      <c r="AI886" t="s">
        <v>3465</v>
      </c>
      <c r="AJ886" t="s">
        <v>3463</v>
      </c>
      <c r="AK886" t="s">
        <v>3463</v>
      </c>
      <c r="AL886" t="s">
        <v>3465</v>
      </c>
      <c r="AM886" t="s">
        <v>2170</v>
      </c>
      <c r="AN886" t="s">
        <v>3808</v>
      </c>
      <c r="AP886" t="s">
        <v>3463</v>
      </c>
      <c r="AQ886" t="s">
        <v>308</v>
      </c>
      <c r="AR886" t="s">
        <v>3490</v>
      </c>
      <c r="AS886" t="s">
        <v>3465</v>
      </c>
      <c r="AT886" t="s">
        <v>3465</v>
      </c>
      <c r="AU886" t="s">
        <v>80</v>
      </c>
      <c r="AW886" t="s">
        <v>3916</v>
      </c>
      <c r="AX886" t="s">
        <v>3463</v>
      </c>
      <c r="AY886" t="s">
        <v>3465</v>
      </c>
      <c r="AZ886" t="s">
        <v>104</v>
      </c>
      <c r="BA886" t="s">
        <v>3920</v>
      </c>
      <c r="BC886" t="s">
        <v>128</v>
      </c>
      <c r="BD886" t="s">
        <v>105</v>
      </c>
      <c r="BF886" t="s">
        <v>3921</v>
      </c>
      <c r="BG886" t="s">
        <v>2171</v>
      </c>
      <c r="BH886" t="s">
        <v>4195</v>
      </c>
      <c r="BI886" t="s">
        <v>411</v>
      </c>
      <c r="BK886" t="s">
        <v>2172</v>
      </c>
      <c r="BL886" t="s">
        <v>2173</v>
      </c>
      <c r="BP886" t="s">
        <v>4498</v>
      </c>
      <c r="BQ886" t="s">
        <v>3463</v>
      </c>
      <c r="BR886" t="s">
        <v>3463</v>
      </c>
      <c r="BS886" t="s">
        <v>3465</v>
      </c>
      <c r="BT886" t="s">
        <v>3465</v>
      </c>
      <c r="BU886" t="s">
        <v>3463</v>
      </c>
      <c r="BV886" t="s">
        <v>3463</v>
      </c>
      <c r="BW886" t="s">
        <v>3463</v>
      </c>
      <c r="BX886" t="s">
        <v>79</v>
      </c>
      <c r="BY886" t="s">
        <v>79</v>
      </c>
      <c r="BZ886" t="s">
        <v>79</v>
      </c>
      <c r="CA886" s="10">
        <v>45911</v>
      </c>
    </row>
    <row r="887" spans="1:79">
      <c r="A887">
        <v>894</v>
      </c>
      <c r="B887">
        <v>221</v>
      </c>
      <c r="C887">
        <v>79</v>
      </c>
      <c r="D887" t="s">
        <v>3466</v>
      </c>
      <c r="E887" t="s">
        <v>1966</v>
      </c>
      <c r="F887" t="s">
        <v>150</v>
      </c>
      <c r="G887" s="12" t="s">
        <v>3465</v>
      </c>
      <c r="H887" s="12" t="s">
        <v>88</v>
      </c>
      <c r="I887">
        <v>88</v>
      </c>
      <c r="J887">
        <v>80</v>
      </c>
      <c r="K887">
        <v>135</v>
      </c>
      <c r="L887">
        <v>78</v>
      </c>
      <c r="M887" t="s">
        <v>82</v>
      </c>
      <c r="N887">
        <v>120</v>
      </c>
      <c r="O887">
        <v>63</v>
      </c>
      <c r="P887" t="s">
        <v>118</v>
      </c>
      <c r="Q887" t="s">
        <v>118</v>
      </c>
      <c r="R887">
        <v>61.5</v>
      </c>
      <c r="S887">
        <v>155</v>
      </c>
      <c r="T887" s="8">
        <f t="shared" si="26"/>
        <v>25.598335067637876</v>
      </c>
      <c r="U887" s="13" t="str" cm="1">
        <f t="array" ref="U887">IF(T887="","",_xlfn.IFS(T887&lt;18.5,"Bajo peso",T887&lt;25,"Peso normal",T887&lt;30,"Sobrepeso",T887&lt;35,"Obesidad clase I",T887&lt;40,"Obesidad clase II",T887&gt;=40,"Obesidad clase III"))</f>
        <v>Sobrepeso</v>
      </c>
      <c r="V887">
        <v>114</v>
      </c>
      <c r="X887" t="s">
        <v>3463</v>
      </c>
      <c r="Y887">
        <v>1.05</v>
      </c>
      <c r="AA887">
        <v>54</v>
      </c>
      <c r="AB887" s="9">
        <f t="shared" si="27"/>
        <v>54.048014744940417</v>
      </c>
      <c r="AD887" t="s">
        <v>158</v>
      </c>
      <c r="AF887" t="s">
        <v>158</v>
      </c>
      <c r="AH887" t="s">
        <v>3463</v>
      </c>
      <c r="AI887" t="s">
        <v>3463</v>
      </c>
      <c r="AJ887" t="s">
        <v>3463</v>
      </c>
      <c r="AK887" t="s">
        <v>3463</v>
      </c>
      <c r="AL887" t="s">
        <v>3465</v>
      </c>
      <c r="AM887" t="s">
        <v>110</v>
      </c>
      <c r="AN887" t="s">
        <v>110</v>
      </c>
      <c r="AP887" t="s">
        <v>3463</v>
      </c>
      <c r="AT887" t="s">
        <v>3463</v>
      </c>
      <c r="AV887" t="s">
        <v>112</v>
      </c>
      <c r="AW887" t="s">
        <v>3917</v>
      </c>
      <c r="AY887" t="s">
        <v>3463</v>
      </c>
      <c r="BF887" t="s">
        <v>3921</v>
      </c>
      <c r="BG887" t="s">
        <v>2174</v>
      </c>
      <c r="BH887" t="s">
        <v>4053</v>
      </c>
      <c r="BK887" t="s">
        <v>2175</v>
      </c>
      <c r="BL887" t="s">
        <v>2176</v>
      </c>
      <c r="BP887" t="s">
        <v>4499</v>
      </c>
      <c r="BQ887" t="s">
        <v>3463</v>
      </c>
      <c r="BR887" t="s">
        <v>3463</v>
      </c>
      <c r="BS887" t="s">
        <v>3463</v>
      </c>
      <c r="BT887" t="s">
        <v>3463</v>
      </c>
      <c r="BU887" t="s">
        <v>3463</v>
      </c>
      <c r="BV887" t="s">
        <v>3463</v>
      </c>
      <c r="BW887" t="s">
        <v>3463</v>
      </c>
      <c r="BX887" t="s">
        <v>518</v>
      </c>
      <c r="BY887" t="s">
        <v>79</v>
      </c>
      <c r="BZ887" t="s">
        <v>79</v>
      </c>
      <c r="CA887" s="10">
        <v>45911</v>
      </c>
    </row>
    <row r="888" spans="1:79">
      <c r="A888">
        <v>895</v>
      </c>
      <c r="B888">
        <v>222</v>
      </c>
      <c r="C888">
        <v>55</v>
      </c>
      <c r="D888" t="s">
        <v>3466</v>
      </c>
      <c r="F888" t="s">
        <v>150</v>
      </c>
      <c r="G888" s="12" t="s">
        <v>3465</v>
      </c>
      <c r="H888" s="12" t="s">
        <v>88</v>
      </c>
      <c r="I888">
        <v>88</v>
      </c>
      <c r="J888">
        <v>86</v>
      </c>
      <c r="K888">
        <v>158</v>
      </c>
      <c r="L888">
        <v>87</v>
      </c>
      <c r="M888" t="s">
        <v>72</v>
      </c>
      <c r="N888">
        <v>150</v>
      </c>
      <c r="O888">
        <v>83</v>
      </c>
      <c r="P888" t="s">
        <v>72</v>
      </c>
      <c r="Q888" t="s">
        <v>72</v>
      </c>
      <c r="R888">
        <v>82</v>
      </c>
      <c r="S888">
        <v>160</v>
      </c>
      <c r="T888" s="8">
        <f t="shared" si="26"/>
        <v>32.03125</v>
      </c>
      <c r="U888" s="13" t="str" cm="1">
        <f t="array" ref="U888">IF(T888="","",_xlfn.IFS(T888&lt;18.5,"Bajo peso",T888&lt;25,"Peso normal",T888&lt;30,"Sobrepeso",T888&lt;35,"Obesidad clase I",T888&lt;40,"Obesidad clase II",T888&gt;=40,"Obesidad clase III"))</f>
        <v>Obesidad clase I</v>
      </c>
      <c r="V888">
        <v>98</v>
      </c>
      <c r="X888" t="s">
        <v>3463</v>
      </c>
      <c r="Y888">
        <v>0.77</v>
      </c>
      <c r="AA888">
        <v>90</v>
      </c>
      <c r="AB888" s="9">
        <f t="shared" si="27"/>
        <v>91.042089624851926</v>
      </c>
      <c r="AD888" t="s">
        <v>73</v>
      </c>
      <c r="AF888" t="s">
        <v>73</v>
      </c>
      <c r="AH888" t="s">
        <v>3463</v>
      </c>
      <c r="AI888" t="s">
        <v>3463</v>
      </c>
      <c r="AJ888" t="s">
        <v>3463</v>
      </c>
      <c r="AK888" t="s">
        <v>3463</v>
      </c>
      <c r="AL888" t="s">
        <v>3465</v>
      </c>
      <c r="AM888" t="s">
        <v>2177</v>
      </c>
      <c r="AN888" t="s">
        <v>3767</v>
      </c>
      <c r="AO888" t="s">
        <v>3463</v>
      </c>
      <c r="AP888" t="s">
        <v>3465</v>
      </c>
      <c r="AQ888" t="s">
        <v>2178</v>
      </c>
      <c r="AR888" t="s">
        <v>3553</v>
      </c>
      <c r="AT888" t="s">
        <v>3463</v>
      </c>
      <c r="AU888" t="s">
        <v>80</v>
      </c>
      <c r="AV888" t="s">
        <v>74</v>
      </c>
      <c r="AW888" t="s">
        <v>3915</v>
      </c>
      <c r="AX888" t="s">
        <v>3465</v>
      </c>
      <c r="AY888" t="s">
        <v>3463</v>
      </c>
      <c r="AZ888" t="s">
        <v>1230</v>
      </c>
      <c r="BF888" t="s">
        <v>3921</v>
      </c>
      <c r="BH888" t="s">
        <v>4020</v>
      </c>
      <c r="BP888" t="s">
        <v>4260</v>
      </c>
      <c r="BQ888" t="s">
        <v>3463</v>
      </c>
      <c r="BR888" t="s">
        <v>3463</v>
      </c>
      <c r="BS888" t="s">
        <v>3463</v>
      </c>
      <c r="BT888" t="s">
        <v>3465</v>
      </c>
      <c r="BU888" t="s">
        <v>3463</v>
      </c>
      <c r="BV888" t="s">
        <v>3463</v>
      </c>
      <c r="BW888" t="s">
        <v>3463</v>
      </c>
      <c r="BX888" t="s">
        <v>79</v>
      </c>
      <c r="BY888" t="s">
        <v>79</v>
      </c>
      <c r="BZ888" t="s">
        <v>79</v>
      </c>
      <c r="CA888" s="10">
        <v>45911</v>
      </c>
    </row>
    <row r="889" spans="1:79">
      <c r="A889">
        <v>896</v>
      </c>
      <c r="B889">
        <v>223</v>
      </c>
      <c r="C889">
        <v>62</v>
      </c>
      <c r="D889" t="s">
        <v>3466</v>
      </c>
      <c r="E889" t="s">
        <v>1966</v>
      </c>
      <c r="F889" t="s">
        <v>150</v>
      </c>
      <c r="G889" s="12" t="s">
        <v>3463</v>
      </c>
      <c r="I889">
        <v>79</v>
      </c>
      <c r="J889">
        <v>81</v>
      </c>
      <c r="K889">
        <v>144</v>
      </c>
      <c r="L889">
        <v>100</v>
      </c>
      <c r="M889" t="s">
        <v>72</v>
      </c>
      <c r="N889">
        <v>128</v>
      </c>
      <c r="O889">
        <v>101</v>
      </c>
      <c r="P889" t="s">
        <v>72</v>
      </c>
      <c r="Q889" t="s">
        <v>72</v>
      </c>
      <c r="R889">
        <v>77.900000000000006</v>
      </c>
      <c r="S889">
        <v>154</v>
      </c>
      <c r="T889" s="8">
        <f t="shared" si="26"/>
        <v>32.847023106763366</v>
      </c>
      <c r="U889" s="13" t="str" cm="1">
        <f t="array" ref="U889">IF(T889="","",_xlfn.IFS(T889&lt;18.5,"Bajo peso",T889&lt;25,"Peso normal",T889&lt;30,"Sobrepeso",T889&lt;35,"Obesidad clase I",T889&lt;40,"Obesidad clase II",T889&gt;=40,"Obesidad clase III"))</f>
        <v>Obesidad clase I</v>
      </c>
      <c r="V889">
        <v>88</v>
      </c>
      <c r="X889" t="s">
        <v>3463</v>
      </c>
      <c r="Y889">
        <v>0.88</v>
      </c>
      <c r="AA889">
        <v>74</v>
      </c>
      <c r="AB889" s="9">
        <f t="shared" si="27"/>
        <v>74.258270084448469</v>
      </c>
      <c r="AD889" t="s">
        <v>73</v>
      </c>
      <c r="AF889" t="s">
        <v>73</v>
      </c>
      <c r="AH889" t="s">
        <v>3463</v>
      </c>
      <c r="AI889" t="s">
        <v>3465</v>
      </c>
      <c r="AJ889" t="s">
        <v>3463</v>
      </c>
      <c r="AK889" t="s">
        <v>3463</v>
      </c>
      <c r="AL889" t="s">
        <v>3465</v>
      </c>
      <c r="AM889" t="s">
        <v>2179</v>
      </c>
      <c r="AN889" t="s">
        <v>3720</v>
      </c>
      <c r="AP889" t="s">
        <v>3463</v>
      </c>
      <c r="AQ889" t="s">
        <v>159</v>
      </c>
      <c r="AR889" t="s">
        <v>3491</v>
      </c>
      <c r="AS889" t="s">
        <v>3465</v>
      </c>
      <c r="AT889" t="s">
        <v>3465</v>
      </c>
      <c r="AU889" t="s">
        <v>80</v>
      </c>
      <c r="AV889" t="s">
        <v>74</v>
      </c>
      <c r="AW889" t="s">
        <v>3915</v>
      </c>
      <c r="AY889" t="s">
        <v>3465</v>
      </c>
      <c r="AZ889" t="s">
        <v>665</v>
      </c>
      <c r="BA889" t="s">
        <v>3920</v>
      </c>
      <c r="BF889" t="s">
        <v>3921</v>
      </c>
      <c r="BG889" t="s">
        <v>2180</v>
      </c>
      <c r="BH889" t="s">
        <v>4029</v>
      </c>
      <c r="BK889" t="s">
        <v>2181</v>
      </c>
      <c r="BL889" t="s">
        <v>2182</v>
      </c>
      <c r="BP889" t="s">
        <v>4500</v>
      </c>
      <c r="BQ889" t="s">
        <v>3463</v>
      </c>
      <c r="BR889" t="s">
        <v>3465</v>
      </c>
      <c r="BS889" t="s">
        <v>3463</v>
      </c>
      <c r="BT889" t="s">
        <v>3463</v>
      </c>
      <c r="BU889" t="s">
        <v>3463</v>
      </c>
      <c r="BV889" t="s">
        <v>3463</v>
      </c>
      <c r="BW889" t="s">
        <v>3463</v>
      </c>
      <c r="BX889" t="s">
        <v>79</v>
      </c>
      <c r="BY889" t="s">
        <v>79</v>
      </c>
      <c r="BZ889" t="s">
        <v>79</v>
      </c>
      <c r="CA889" s="10">
        <v>45911</v>
      </c>
    </row>
    <row r="890" spans="1:79">
      <c r="A890">
        <v>897</v>
      </c>
      <c r="B890">
        <v>225</v>
      </c>
      <c r="C890">
        <v>63</v>
      </c>
      <c r="D890" t="s">
        <v>3462</v>
      </c>
      <c r="F890" t="s">
        <v>150</v>
      </c>
      <c r="G890" s="12" t="s">
        <v>3465</v>
      </c>
      <c r="H890" s="12" t="s">
        <v>88</v>
      </c>
      <c r="I890">
        <v>71</v>
      </c>
      <c r="K890">
        <v>129</v>
      </c>
      <c r="L890">
        <v>76</v>
      </c>
      <c r="M890" t="s">
        <v>118</v>
      </c>
      <c r="P890" t="s">
        <v>83</v>
      </c>
      <c r="Q890" t="s">
        <v>118</v>
      </c>
      <c r="R890">
        <v>70</v>
      </c>
      <c r="S890">
        <v>128</v>
      </c>
      <c r="T890" s="8">
        <f t="shared" si="26"/>
        <v>42.724609375</v>
      </c>
      <c r="U890" s="13" t="str" cm="1">
        <f t="array" ref="U890">IF(T890="","",_xlfn.IFS(T890&lt;18.5,"Bajo peso",T890&lt;25,"Peso normal",T890&lt;30,"Sobrepeso",T890&lt;35,"Obesidad clase I",T890&lt;40,"Obesidad clase II",T890&gt;=40,"Obesidad clase III"))</f>
        <v>Obesidad clase III</v>
      </c>
      <c r="V890">
        <v>91</v>
      </c>
      <c r="X890" t="s">
        <v>3463</v>
      </c>
      <c r="Y890">
        <v>1.1499999999999999</v>
      </c>
      <c r="AA890">
        <v>72</v>
      </c>
      <c r="AB890" s="9">
        <f t="shared" si="27"/>
        <v>71.511925048266676</v>
      </c>
      <c r="AD890" t="s">
        <v>73</v>
      </c>
      <c r="AF890" t="s">
        <v>73</v>
      </c>
      <c r="AH890" t="s">
        <v>3463</v>
      </c>
      <c r="AI890" t="s">
        <v>3465</v>
      </c>
      <c r="AJ890" t="s">
        <v>3463</v>
      </c>
      <c r="AK890" t="s">
        <v>3463</v>
      </c>
      <c r="AL890" t="s">
        <v>3465</v>
      </c>
      <c r="AM890" t="s">
        <v>2183</v>
      </c>
      <c r="AN890" t="s">
        <v>3809</v>
      </c>
      <c r="AO890" t="s">
        <v>3463</v>
      </c>
      <c r="AP890" t="s">
        <v>3464</v>
      </c>
      <c r="AS890" t="s">
        <v>3465</v>
      </c>
      <c r="AV890" t="s">
        <v>178</v>
      </c>
      <c r="AW890" t="s">
        <v>3918</v>
      </c>
      <c r="BF890" t="s">
        <v>3921</v>
      </c>
      <c r="BH890" t="s">
        <v>4020</v>
      </c>
      <c r="BP890" t="s">
        <v>4260</v>
      </c>
      <c r="BQ890" t="s">
        <v>3463</v>
      </c>
      <c r="BR890" t="s">
        <v>3463</v>
      </c>
      <c r="BS890" t="s">
        <v>3463</v>
      </c>
      <c r="BT890" t="s">
        <v>3463</v>
      </c>
      <c r="BU890" t="s">
        <v>3465</v>
      </c>
      <c r="BV890" t="s">
        <v>3465</v>
      </c>
      <c r="BW890" t="s">
        <v>3465</v>
      </c>
      <c r="BX890" t="s">
        <v>79</v>
      </c>
      <c r="BY890" t="s">
        <v>79</v>
      </c>
      <c r="BZ890" t="s">
        <v>79</v>
      </c>
      <c r="CA890" s="10">
        <v>45911</v>
      </c>
    </row>
    <row r="891" spans="1:79">
      <c r="A891">
        <v>898</v>
      </c>
      <c r="B891">
        <v>226</v>
      </c>
      <c r="C891">
        <v>78</v>
      </c>
      <c r="D891" t="s">
        <v>3466</v>
      </c>
      <c r="F891" t="s">
        <v>150</v>
      </c>
      <c r="G891" s="12" t="s">
        <v>3463</v>
      </c>
      <c r="I891">
        <v>73</v>
      </c>
      <c r="J891">
        <v>73</v>
      </c>
      <c r="K891">
        <v>161</v>
      </c>
      <c r="L891">
        <v>114</v>
      </c>
      <c r="M891" t="s">
        <v>72</v>
      </c>
      <c r="N891">
        <v>139</v>
      </c>
      <c r="O891">
        <v>127</v>
      </c>
      <c r="P891" t="s">
        <v>96</v>
      </c>
      <c r="Q891" t="s">
        <v>72</v>
      </c>
      <c r="R891">
        <v>34</v>
      </c>
      <c r="S891">
        <v>138</v>
      </c>
      <c r="T891" s="8">
        <f t="shared" si="26"/>
        <v>17.853392144507456</v>
      </c>
      <c r="U891" s="13" t="str" cm="1">
        <f t="array" ref="U891">IF(T891="","",_xlfn.IFS(T891&lt;18.5,"Bajo peso",T891&lt;25,"Peso normal",T891&lt;30,"Sobrepeso",T891&lt;35,"Obesidad clase I",T891&lt;40,"Obesidad clase II",T891&gt;=40,"Obesidad clase III"))</f>
        <v>Bajo peso</v>
      </c>
      <c r="V891">
        <v>73</v>
      </c>
      <c r="X891" t="s">
        <v>3463</v>
      </c>
      <c r="Y891">
        <v>0.87</v>
      </c>
      <c r="AA891">
        <v>68</v>
      </c>
      <c r="AB891" s="9">
        <f t="shared" si="27"/>
        <v>68.15297364784098</v>
      </c>
      <c r="AD891" t="s">
        <v>73</v>
      </c>
      <c r="AF891" t="s">
        <v>73</v>
      </c>
      <c r="AH891" t="s">
        <v>3463</v>
      </c>
      <c r="AI891" t="s">
        <v>3463</v>
      </c>
      <c r="AJ891" t="s">
        <v>3463</v>
      </c>
      <c r="AK891" t="s">
        <v>3463</v>
      </c>
      <c r="AL891" t="s">
        <v>3465</v>
      </c>
      <c r="AM891" t="s">
        <v>2184</v>
      </c>
      <c r="AN891" t="s">
        <v>3810</v>
      </c>
      <c r="AP891" t="s">
        <v>3463</v>
      </c>
      <c r="AQ891" t="s">
        <v>169</v>
      </c>
      <c r="AR891" t="s">
        <v>3493</v>
      </c>
      <c r="AT891" t="s">
        <v>3463</v>
      </c>
      <c r="AV891" t="s">
        <v>126</v>
      </c>
      <c r="AW891" t="s">
        <v>126</v>
      </c>
      <c r="AX891" t="s">
        <v>3465</v>
      </c>
      <c r="AY891" t="s">
        <v>3463</v>
      </c>
      <c r="BA891" t="s">
        <v>3920</v>
      </c>
      <c r="BF891" t="s">
        <v>3921</v>
      </c>
      <c r="BG891" t="s">
        <v>2185</v>
      </c>
      <c r="BH891" t="s">
        <v>4021</v>
      </c>
      <c r="BI891" t="s">
        <v>76</v>
      </c>
      <c r="BL891" t="s">
        <v>2186</v>
      </c>
      <c r="BP891" t="s">
        <v>4261</v>
      </c>
      <c r="BQ891" t="s">
        <v>3463</v>
      </c>
      <c r="BR891" t="s">
        <v>3465</v>
      </c>
      <c r="BS891" t="s">
        <v>3463</v>
      </c>
      <c r="BT891" t="s">
        <v>3463</v>
      </c>
      <c r="BU891" t="s">
        <v>3463</v>
      </c>
      <c r="BV891" t="s">
        <v>3463</v>
      </c>
      <c r="BW891" t="s">
        <v>3463</v>
      </c>
      <c r="BX891" t="s">
        <v>79</v>
      </c>
      <c r="BY891" t="s">
        <v>79</v>
      </c>
      <c r="BZ891" t="s">
        <v>79</v>
      </c>
      <c r="CA891" s="10">
        <v>45911</v>
      </c>
    </row>
    <row r="892" spans="1:79">
      <c r="A892">
        <v>899</v>
      </c>
      <c r="B892">
        <v>227</v>
      </c>
      <c r="C892">
        <v>53</v>
      </c>
      <c r="D892" t="s">
        <v>3462</v>
      </c>
      <c r="E892" t="s">
        <v>2169</v>
      </c>
      <c r="F892" t="s">
        <v>150</v>
      </c>
      <c r="G892" s="12" t="s">
        <v>3463</v>
      </c>
      <c r="H892" s="12"/>
      <c r="I892">
        <v>90</v>
      </c>
      <c r="J892">
        <v>95</v>
      </c>
      <c r="K892">
        <v>104</v>
      </c>
      <c r="L892">
        <v>75</v>
      </c>
      <c r="M892" t="s">
        <v>80</v>
      </c>
      <c r="N892">
        <v>118</v>
      </c>
      <c r="O892">
        <v>76</v>
      </c>
      <c r="P892" t="s">
        <v>80</v>
      </c>
      <c r="Q892" t="s">
        <v>80</v>
      </c>
      <c r="R892">
        <v>45.8</v>
      </c>
      <c r="S892">
        <v>160</v>
      </c>
      <c r="T892" s="8">
        <f t="shared" si="26"/>
        <v>17.890625</v>
      </c>
      <c r="U892" s="13" t="str" cm="1">
        <f t="array" ref="U892">IF(T892="","",_xlfn.IFS(T892&lt;18.5,"Bajo peso",T892&lt;25,"Peso normal",T892&lt;30,"Sobrepeso",T892&lt;35,"Obesidad clase I",T892&lt;40,"Obesidad clase II",T892&gt;=40,"Obesidad clase III"))</f>
        <v>Bajo peso</v>
      </c>
      <c r="V892">
        <v>92</v>
      </c>
      <c r="X892" t="s">
        <v>3463</v>
      </c>
      <c r="Y892">
        <v>1.24</v>
      </c>
      <c r="AA892">
        <v>70</v>
      </c>
      <c r="AB892" s="9">
        <f t="shared" si="27"/>
        <v>69.521627633584572</v>
      </c>
      <c r="AD892" t="s">
        <v>73</v>
      </c>
      <c r="AF892" t="s">
        <v>73</v>
      </c>
      <c r="AH892" t="s">
        <v>3463</v>
      </c>
      <c r="AI892" t="s">
        <v>3463</v>
      </c>
      <c r="AJ892" t="s">
        <v>3463</v>
      </c>
      <c r="AK892" t="s">
        <v>3463</v>
      </c>
      <c r="AL892" t="s">
        <v>3465</v>
      </c>
      <c r="AM892" t="s">
        <v>2187</v>
      </c>
      <c r="AN892" t="s">
        <v>3811</v>
      </c>
      <c r="AP892" t="s">
        <v>3463</v>
      </c>
      <c r="AV892" t="s">
        <v>112</v>
      </c>
      <c r="AW892" t="s">
        <v>3917</v>
      </c>
      <c r="BF892" t="s">
        <v>3921</v>
      </c>
      <c r="BH892" t="s">
        <v>4020</v>
      </c>
      <c r="BP892" t="s">
        <v>4260</v>
      </c>
      <c r="BQ892" t="s">
        <v>3463</v>
      </c>
      <c r="BR892" t="s">
        <v>3463</v>
      </c>
      <c r="BS892" t="s">
        <v>3463</v>
      </c>
      <c r="BT892" t="s">
        <v>3463</v>
      </c>
      <c r="BU892" t="s">
        <v>3463</v>
      </c>
      <c r="BV892" t="s">
        <v>3463</v>
      </c>
      <c r="BW892" t="s">
        <v>3463</v>
      </c>
      <c r="BX892" t="s">
        <v>518</v>
      </c>
      <c r="BY892" t="s">
        <v>79</v>
      </c>
      <c r="BZ892" t="s">
        <v>79</v>
      </c>
      <c r="CA892" s="10">
        <v>45911</v>
      </c>
    </row>
    <row r="893" spans="1:79">
      <c r="A893">
        <v>900</v>
      </c>
      <c r="B893">
        <v>228</v>
      </c>
      <c r="C893">
        <v>52</v>
      </c>
      <c r="D893" t="s">
        <v>3466</v>
      </c>
      <c r="E893" t="s">
        <v>2188</v>
      </c>
      <c r="F893" t="s">
        <v>380</v>
      </c>
      <c r="G893" s="12" t="s">
        <v>3465</v>
      </c>
      <c r="H893" t="s">
        <v>88</v>
      </c>
      <c r="I893">
        <v>72</v>
      </c>
      <c r="K893">
        <v>117</v>
      </c>
      <c r="L893">
        <v>74</v>
      </c>
      <c r="M893" t="s">
        <v>80</v>
      </c>
      <c r="P893" t="s">
        <v>83</v>
      </c>
      <c r="Q893" t="s">
        <v>80</v>
      </c>
      <c r="R893">
        <v>90.6</v>
      </c>
      <c r="S893">
        <v>158</v>
      </c>
      <c r="T893" s="8">
        <f t="shared" si="26"/>
        <v>36.292260855632108</v>
      </c>
      <c r="U893" s="13" t="str" cm="1">
        <f t="array" ref="U893">IF(T893="","",_xlfn.IFS(T893&lt;18.5,"Bajo peso",T893&lt;25,"Peso normal",T893&lt;30,"Sobrepeso",T893&lt;35,"Obesidad clase I",T893&lt;40,"Obesidad clase II",T893&gt;=40,"Obesidad clase III"))</f>
        <v>Obesidad clase II</v>
      </c>
      <c r="V893">
        <v>117</v>
      </c>
      <c r="X893" t="s">
        <v>3463</v>
      </c>
      <c r="Y893">
        <v>1.1499999999999999</v>
      </c>
      <c r="AA893">
        <v>58</v>
      </c>
      <c r="AB893" s="9">
        <f t="shared" si="27"/>
        <v>57.318748810124163</v>
      </c>
      <c r="AD893" t="s">
        <v>158</v>
      </c>
      <c r="AF893" t="s">
        <v>158</v>
      </c>
      <c r="AH893" t="s">
        <v>3463</v>
      </c>
      <c r="AI893" t="s">
        <v>3465</v>
      </c>
      <c r="AJ893" t="s">
        <v>3465</v>
      </c>
      <c r="AK893" t="s">
        <v>3465</v>
      </c>
      <c r="AL893" t="s">
        <v>3465</v>
      </c>
      <c r="AM893" t="s">
        <v>2189</v>
      </c>
      <c r="AN893" t="s">
        <v>3812</v>
      </c>
      <c r="AP893" t="s">
        <v>3463</v>
      </c>
      <c r="AQ893" t="s">
        <v>2190</v>
      </c>
      <c r="AR893" t="s">
        <v>3516</v>
      </c>
      <c r="AS893" t="s">
        <v>3465</v>
      </c>
      <c r="AT893" t="s">
        <v>3465</v>
      </c>
      <c r="AU893" t="s">
        <v>80</v>
      </c>
      <c r="AV893" t="s">
        <v>74</v>
      </c>
      <c r="AW893" t="s">
        <v>3915</v>
      </c>
      <c r="AY893" t="s">
        <v>3465</v>
      </c>
      <c r="AZ893" t="s">
        <v>665</v>
      </c>
      <c r="BA893" t="s">
        <v>3920</v>
      </c>
      <c r="BC893" t="s">
        <v>128</v>
      </c>
      <c r="BF893" t="s">
        <v>3921</v>
      </c>
      <c r="BG893" t="s">
        <v>2191</v>
      </c>
      <c r="BH893" t="s">
        <v>4196</v>
      </c>
      <c r="BL893" t="s">
        <v>2192</v>
      </c>
      <c r="BP893" t="s">
        <v>4501</v>
      </c>
      <c r="BQ893" t="s">
        <v>3463</v>
      </c>
      <c r="BR893" t="s">
        <v>3463</v>
      </c>
      <c r="BS893" t="s">
        <v>3463</v>
      </c>
      <c r="BT893" t="s">
        <v>3463</v>
      </c>
      <c r="BU893" t="s">
        <v>3463</v>
      </c>
      <c r="BV893" t="s">
        <v>3463</v>
      </c>
      <c r="BW893" t="s">
        <v>3463</v>
      </c>
      <c r="BX893" t="s">
        <v>518</v>
      </c>
      <c r="BY893" t="s">
        <v>79</v>
      </c>
      <c r="BZ893" t="s">
        <v>79</v>
      </c>
      <c r="CA893" s="10">
        <v>45911</v>
      </c>
    </row>
    <row r="894" spans="1:79">
      <c r="A894">
        <v>901</v>
      </c>
      <c r="B894">
        <v>229</v>
      </c>
      <c r="C894">
        <v>63</v>
      </c>
      <c r="D894" t="s">
        <v>3462</v>
      </c>
      <c r="F894" t="s">
        <v>150</v>
      </c>
      <c r="G894" s="12" t="s">
        <v>3463</v>
      </c>
      <c r="I894">
        <v>62</v>
      </c>
      <c r="J894">
        <v>63</v>
      </c>
      <c r="K894">
        <v>149</v>
      </c>
      <c r="L894">
        <v>71</v>
      </c>
      <c r="M894" t="s">
        <v>72</v>
      </c>
      <c r="N894">
        <v>161</v>
      </c>
      <c r="O894">
        <v>80</v>
      </c>
      <c r="P894" t="s">
        <v>72</v>
      </c>
      <c r="Q894" t="s">
        <v>72</v>
      </c>
      <c r="R894">
        <v>74.5</v>
      </c>
      <c r="S894">
        <v>163</v>
      </c>
      <c r="T894" s="8">
        <f t="shared" si="26"/>
        <v>28.040197222326775</v>
      </c>
      <c r="U894" s="13" t="str" cm="1">
        <f t="array" ref="U894">IF(T894="","",_xlfn.IFS(T894&lt;18.5,"Bajo peso",T894&lt;25,"Peso normal",T894&lt;30,"Sobrepeso",T894&lt;35,"Obesidad clase I",T894&lt;40,"Obesidad clase II",T894&gt;=40,"Obesidad clase III"))</f>
        <v>Sobrepeso</v>
      </c>
      <c r="V894">
        <v>113</v>
      </c>
      <c r="X894" t="s">
        <v>3463</v>
      </c>
      <c r="Y894">
        <v>1.35</v>
      </c>
      <c r="AA894">
        <v>59</v>
      </c>
      <c r="AB894" s="9">
        <f t="shared" si="27"/>
        <v>58.995020355804606</v>
      </c>
      <c r="AD894" t="s">
        <v>158</v>
      </c>
      <c r="AF894" t="s">
        <v>158</v>
      </c>
      <c r="AH894" t="s">
        <v>3463</v>
      </c>
      <c r="AI894" t="s">
        <v>3463</v>
      </c>
      <c r="AJ894" t="s">
        <v>3463</v>
      </c>
      <c r="AK894" t="s">
        <v>3463</v>
      </c>
      <c r="AL894" t="s">
        <v>3465</v>
      </c>
      <c r="AM894" t="s">
        <v>2193</v>
      </c>
      <c r="AN894" t="s">
        <v>3813</v>
      </c>
      <c r="AP894" t="s">
        <v>3463</v>
      </c>
      <c r="AQ894" t="s">
        <v>2194</v>
      </c>
      <c r="AR894" t="s">
        <v>3543</v>
      </c>
      <c r="AV894" t="s">
        <v>74</v>
      </c>
      <c r="AW894" t="s">
        <v>3915</v>
      </c>
      <c r="BF894" t="s">
        <v>3921</v>
      </c>
      <c r="BG894" t="s">
        <v>2195</v>
      </c>
      <c r="BH894" t="s">
        <v>4197</v>
      </c>
      <c r="BK894" t="s">
        <v>2196</v>
      </c>
      <c r="BL894" t="s">
        <v>2197</v>
      </c>
      <c r="BP894" t="s">
        <v>4499</v>
      </c>
      <c r="BQ894" t="s">
        <v>3465</v>
      </c>
      <c r="BR894" t="s">
        <v>3465</v>
      </c>
      <c r="BS894" t="s">
        <v>3463</v>
      </c>
      <c r="BT894" t="s">
        <v>3463</v>
      </c>
      <c r="BU894" t="s">
        <v>3463</v>
      </c>
      <c r="BV894" t="s">
        <v>3463</v>
      </c>
      <c r="BW894" t="s">
        <v>3463</v>
      </c>
      <c r="BX894" t="s">
        <v>79</v>
      </c>
      <c r="BY894" t="s">
        <v>79</v>
      </c>
      <c r="BZ894" t="s">
        <v>79</v>
      </c>
      <c r="CA894" s="10">
        <v>45911</v>
      </c>
    </row>
    <row r="895" spans="1:79">
      <c r="A895">
        <v>902</v>
      </c>
      <c r="B895">
        <v>230</v>
      </c>
      <c r="C895">
        <v>67</v>
      </c>
      <c r="D895" t="s">
        <v>3462</v>
      </c>
      <c r="F895" t="s">
        <v>150</v>
      </c>
      <c r="G895" s="12" t="s">
        <v>3463</v>
      </c>
      <c r="H895" s="12"/>
      <c r="I895">
        <v>59</v>
      </c>
      <c r="K895">
        <v>107</v>
      </c>
      <c r="L895">
        <v>65</v>
      </c>
      <c r="M895" t="s">
        <v>80</v>
      </c>
      <c r="P895" t="s">
        <v>83</v>
      </c>
      <c r="Q895" t="s">
        <v>80</v>
      </c>
      <c r="R895">
        <v>95</v>
      </c>
      <c r="S895">
        <v>175</v>
      </c>
      <c r="T895" s="8">
        <f t="shared" si="26"/>
        <v>31.020408163265305</v>
      </c>
      <c r="U895" s="13" t="str" cm="1">
        <f t="array" ref="U895">IF(T895="","",_xlfn.IFS(T895&lt;18.5,"Bajo peso",T895&lt;25,"Peso normal",T895&lt;30,"Sobrepeso",T895&lt;35,"Obesidad clase I",T895&lt;40,"Obesidad clase II",T895&gt;=40,"Obesidad clase III"))</f>
        <v>Obesidad clase I</v>
      </c>
      <c r="V895">
        <v>160</v>
      </c>
      <c r="X895" t="s">
        <v>3463</v>
      </c>
      <c r="Y895">
        <v>2.17</v>
      </c>
      <c r="AA895">
        <v>33</v>
      </c>
      <c r="AB895" s="9">
        <f t="shared" si="27"/>
        <v>32.558183498390946</v>
      </c>
      <c r="AD895" t="s">
        <v>218</v>
      </c>
      <c r="AF895" t="s">
        <v>218</v>
      </c>
      <c r="AH895" t="s">
        <v>3463</v>
      </c>
      <c r="AI895" t="s">
        <v>3465</v>
      </c>
      <c r="AJ895" t="s">
        <v>3465</v>
      </c>
      <c r="AK895" t="s">
        <v>3463</v>
      </c>
      <c r="AL895" t="s">
        <v>3465</v>
      </c>
      <c r="AM895" t="s">
        <v>2198</v>
      </c>
      <c r="AN895" t="s">
        <v>3814</v>
      </c>
      <c r="AP895" t="s">
        <v>3463</v>
      </c>
      <c r="AQ895" t="s">
        <v>2199</v>
      </c>
      <c r="AR895" t="s">
        <v>3491</v>
      </c>
      <c r="AS895" t="s">
        <v>3465</v>
      </c>
      <c r="AV895" t="s">
        <v>126</v>
      </c>
      <c r="AW895" t="s">
        <v>126</v>
      </c>
      <c r="BA895" t="s">
        <v>3920</v>
      </c>
      <c r="BC895" t="s">
        <v>128</v>
      </c>
      <c r="BD895" t="s">
        <v>105</v>
      </c>
      <c r="BF895" t="s">
        <v>3921</v>
      </c>
      <c r="BG895" t="s">
        <v>2200</v>
      </c>
      <c r="BH895" t="s">
        <v>4198</v>
      </c>
      <c r="BI895" t="s">
        <v>411</v>
      </c>
      <c r="BK895" t="s">
        <v>2201</v>
      </c>
      <c r="BL895" t="s">
        <v>2202</v>
      </c>
      <c r="BP895" t="s">
        <v>4502</v>
      </c>
      <c r="BQ895" t="s">
        <v>3463</v>
      </c>
      <c r="BR895" t="s">
        <v>3463</v>
      </c>
      <c r="BS895" t="s">
        <v>3463</v>
      </c>
      <c r="BT895" t="s">
        <v>3465</v>
      </c>
      <c r="BU895" t="s">
        <v>3463</v>
      </c>
      <c r="BV895" t="s">
        <v>3463</v>
      </c>
      <c r="BW895" t="s">
        <v>3463</v>
      </c>
      <c r="BX895" t="s">
        <v>79</v>
      </c>
      <c r="BY895" t="s">
        <v>87</v>
      </c>
      <c r="BZ895" t="s">
        <v>79</v>
      </c>
      <c r="CA895" s="10">
        <v>45911</v>
      </c>
    </row>
    <row r="896" spans="1:79">
      <c r="A896">
        <v>903</v>
      </c>
      <c r="B896">
        <v>231</v>
      </c>
      <c r="C896">
        <v>78</v>
      </c>
      <c r="D896" t="s">
        <v>3462</v>
      </c>
      <c r="E896" t="s">
        <v>1659</v>
      </c>
      <c r="F896" t="s">
        <v>150</v>
      </c>
      <c r="G896" s="12" t="s">
        <v>3463</v>
      </c>
      <c r="H896" s="12"/>
      <c r="I896">
        <v>100</v>
      </c>
      <c r="J896">
        <v>97</v>
      </c>
      <c r="K896">
        <v>132</v>
      </c>
      <c r="L896">
        <v>96</v>
      </c>
      <c r="M896" t="s">
        <v>72</v>
      </c>
      <c r="N896">
        <v>154</v>
      </c>
      <c r="O896">
        <v>88</v>
      </c>
      <c r="P896" t="s">
        <v>72</v>
      </c>
      <c r="Q896" t="s">
        <v>72</v>
      </c>
      <c r="R896">
        <v>72</v>
      </c>
      <c r="S896">
        <v>166</v>
      </c>
      <c r="T896" s="8">
        <f t="shared" si="26"/>
        <v>26.1286108288576</v>
      </c>
      <c r="U896" s="13" t="str" cm="1">
        <f t="array" ref="U896">IF(T896="","",_xlfn.IFS(T896&lt;18.5,"Bajo peso",T896&lt;25,"Peso normal",T896&lt;30,"Sobrepeso",T896&lt;35,"Obesidad clase I",T896&lt;40,"Obesidad clase II",T896&gt;=40,"Obesidad clase III"))</f>
        <v>Sobrepeso</v>
      </c>
      <c r="V896">
        <v>125</v>
      </c>
      <c r="X896" t="s">
        <v>3463</v>
      </c>
      <c r="Y896">
        <v>1.87</v>
      </c>
      <c r="AA896">
        <v>36</v>
      </c>
      <c r="AB896" s="9">
        <f t="shared" si="27"/>
        <v>36.34886343712953</v>
      </c>
      <c r="AD896" t="s">
        <v>218</v>
      </c>
      <c r="AF896" t="s">
        <v>218</v>
      </c>
      <c r="AH896" t="s">
        <v>3463</v>
      </c>
      <c r="AI896" t="s">
        <v>3465</v>
      </c>
      <c r="AJ896" t="s">
        <v>3463</v>
      </c>
      <c r="AK896" t="s">
        <v>3464</v>
      </c>
      <c r="AL896" t="s">
        <v>3465</v>
      </c>
      <c r="AM896" t="s">
        <v>2203</v>
      </c>
      <c r="AN896" t="s">
        <v>2203</v>
      </c>
      <c r="AP896" t="s">
        <v>3463</v>
      </c>
      <c r="AQ896" t="s">
        <v>1448</v>
      </c>
      <c r="AR896" t="s">
        <v>3506</v>
      </c>
      <c r="AS896" t="s">
        <v>3463</v>
      </c>
      <c r="AV896" t="s">
        <v>74</v>
      </c>
      <c r="AW896" t="s">
        <v>3915</v>
      </c>
      <c r="BD896" t="s">
        <v>105</v>
      </c>
      <c r="BF896" t="s">
        <v>3921</v>
      </c>
      <c r="BG896" t="s">
        <v>2204</v>
      </c>
      <c r="BH896" t="s">
        <v>4199</v>
      </c>
      <c r="BK896" t="s">
        <v>2205</v>
      </c>
      <c r="BL896" t="s">
        <v>2206</v>
      </c>
      <c r="BP896" t="s">
        <v>4503</v>
      </c>
      <c r="BQ896" t="s">
        <v>3465</v>
      </c>
      <c r="BR896" t="s">
        <v>3465</v>
      </c>
      <c r="BS896" t="s">
        <v>3463</v>
      </c>
      <c r="BT896" t="s">
        <v>3463</v>
      </c>
      <c r="BU896" t="s">
        <v>3465</v>
      </c>
      <c r="BV896" t="s">
        <v>3465</v>
      </c>
      <c r="BW896" t="s">
        <v>3465</v>
      </c>
      <c r="BX896" t="s">
        <v>518</v>
      </c>
      <c r="BY896" t="s">
        <v>79</v>
      </c>
      <c r="BZ896" t="s">
        <v>95</v>
      </c>
      <c r="CA896" s="10">
        <v>45911</v>
      </c>
    </row>
    <row r="897" spans="1:79">
      <c r="A897">
        <v>904</v>
      </c>
      <c r="B897">
        <v>232</v>
      </c>
      <c r="C897">
        <v>50</v>
      </c>
      <c r="D897" t="s">
        <v>3462</v>
      </c>
      <c r="E897" t="s">
        <v>2207</v>
      </c>
      <c r="F897" t="s">
        <v>150</v>
      </c>
      <c r="G897" s="12" t="s">
        <v>3463</v>
      </c>
      <c r="I897">
        <v>93</v>
      </c>
      <c r="K897">
        <v>127</v>
      </c>
      <c r="L897">
        <v>86</v>
      </c>
      <c r="M897" t="s">
        <v>82</v>
      </c>
      <c r="P897" t="s">
        <v>83</v>
      </c>
      <c r="Q897" t="s">
        <v>82</v>
      </c>
      <c r="R897">
        <v>79.45</v>
      </c>
      <c r="S897">
        <v>165</v>
      </c>
      <c r="T897" s="8">
        <f t="shared" si="26"/>
        <v>29.182736455463729</v>
      </c>
      <c r="U897" s="13" t="str" cm="1">
        <f t="array" ref="U897">IF(T897="","",_xlfn.IFS(T897&lt;18.5,"Bajo peso",T897&lt;25,"Peso normal",T897&lt;30,"Sobrepeso",T897&lt;35,"Obesidad clase I",T897&lt;40,"Obesidad clase II",T897&gt;=40,"Obesidad clase III"))</f>
        <v>Sobrepeso</v>
      </c>
      <c r="V897">
        <v>157</v>
      </c>
      <c r="X897" t="s">
        <v>3463</v>
      </c>
      <c r="Y897">
        <v>1.02</v>
      </c>
      <c r="AA897">
        <v>89</v>
      </c>
      <c r="AB897" s="9">
        <f t="shared" si="27"/>
        <v>89.538284658160052</v>
      </c>
      <c r="AD897" t="s">
        <v>73</v>
      </c>
      <c r="AF897" t="s">
        <v>73</v>
      </c>
      <c r="AH897" t="s">
        <v>3464</v>
      </c>
      <c r="AI897" t="s">
        <v>3464</v>
      </c>
      <c r="AJ897" t="s">
        <v>3463</v>
      </c>
      <c r="AK897" t="s">
        <v>3463</v>
      </c>
      <c r="AL897" t="s">
        <v>3463</v>
      </c>
      <c r="AP897" t="s">
        <v>3463</v>
      </c>
      <c r="AV897" t="s">
        <v>74</v>
      </c>
      <c r="AW897" t="s">
        <v>3915</v>
      </c>
      <c r="BF897" t="s">
        <v>3921</v>
      </c>
      <c r="BH897" t="s">
        <v>4020</v>
      </c>
      <c r="BP897" t="s">
        <v>4260</v>
      </c>
      <c r="BQ897" t="s">
        <v>3463</v>
      </c>
      <c r="BR897" t="s">
        <v>3465</v>
      </c>
      <c r="BS897" t="s">
        <v>3463</v>
      </c>
      <c r="BT897" t="s">
        <v>3463</v>
      </c>
      <c r="BU897" t="s">
        <v>3463</v>
      </c>
      <c r="BV897" t="s">
        <v>3463</v>
      </c>
      <c r="BW897" t="s">
        <v>3463</v>
      </c>
      <c r="BX897" t="s">
        <v>79</v>
      </c>
      <c r="BY897" t="s">
        <v>87</v>
      </c>
      <c r="BZ897" t="s">
        <v>79</v>
      </c>
      <c r="CA897" s="10">
        <v>45911</v>
      </c>
    </row>
    <row r="898" spans="1:79">
      <c r="A898">
        <v>905</v>
      </c>
      <c r="B898">
        <v>233</v>
      </c>
      <c r="C898">
        <v>40</v>
      </c>
      <c r="D898" t="s">
        <v>3466</v>
      </c>
      <c r="F898" t="s">
        <v>150</v>
      </c>
      <c r="G898" s="12" t="s">
        <v>3463</v>
      </c>
      <c r="H898" s="12"/>
      <c r="I898">
        <v>91</v>
      </c>
      <c r="K898">
        <v>104</v>
      </c>
      <c r="L898">
        <v>72</v>
      </c>
      <c r="M898" t="s">
        <v>80</v>
      </c>
      <c r="P898" t="s">
        <v>83</v>
      </c>
      <c r="Q898" t="s">
        <v>80</v>
      </c>
      <c r="R898">
        <v>55.15</v>
      </c>
      <c r="S898">
        <v>160.5</v>
      </c>
      <c r="T898" s="8">
        <f t="shared" ref="T898:T961" si="28">IFERROR(R898/(S898^2)*10000,"")</f>
        <v>21.408953717452277</v>
      </c>
      <c r="U898" s="13" t="str" cm="1">
        <f t="array" ref="U898">IF(T898="","",_xlfn.IFS(T898&lt;18.5,"Bajo peso",T898&lt;25,"Peso normal",T898&lt;30,"Sobrepeso",T898&lt;35,"Obesidad clase I",T898&lt;40,"Obesidad clase II",T898&gt;=40,"Obesidad clase III"))</f>
        <v>Peso normal</v>
      </c>
      <c r="V898">
        <v>143</v>
      </c>
      <c r="X898" t="s">
        <v>3463</v>
      </c>
      <c r="Y898">
        <v>0.88</v>
      </c>
      <c r="AA898">
        <v>85</v>
      </c>
      <c r="AB898" s="9">
        <f t="shared" ref="AB898:AB961" si="29">IF(OR(C898="",D898="",Y898=""),"",142*POWER(MIN(Y898/IF(D898="Mujer",0.7,0.9),1),IF(D898="Mujer",-0.241,-0.302))*POWER(MAX(Y898/IF(D898="Mujer",0.7,0.9),1),-1.2)*POWER(0.9938,C898)*IF(D898="Mujer",1.012,1))</f>
        <v>85.146538032018356</v>
      </c>
      <c r="AD898" t="s">
        <v>73</v>
      </c>
      <c r="AF898" t="s">
        <v>73</v>
      </c>
      <c r="AH898" t="s">
        <v>3463</v>
      </c>
      <c r="AI898" t="s">
        <v>3463</v>
      </c>
      <c r="AJ898" t="s">
        <v>3463</v>
      </c>
      <c r="AL898" t="s">
        <v>3465</v>
      </c>
      <c r="AM898" t="s">
        <v>2208</v>
      </c>
      <c r="AN898" t="s">
        <v>3815</v>
      </c>
      <c r="AP898" t="s">
        <v>3463</v>
      </c>
      <c r="AT898" t="s">
        <v>3463</v>
      </c>
      <c r="AV898" t="s">
        <v>126</v>
      </c>
      <c r="AW898" t="s">
        <v>126</v>
      </c>
      <c r="AX898" t="s">
        <v>3463</v>
      </c>
      <c r="AY898" t="s">
        <v>3465</v>
      </c>
      <c r="AZ898" t="s">
        <v>90</v>
      </c>
      <c r="BF898" t="s">
        <v>3921</v>
      </c>
      <c r="BH898" t="s">
        <v>4020</v>
      </c>
      <c r="BP898" t="s">
        <v>4260</v>
      </c>
      <c r="BQ898" t="s">
        <v>3463</v>
      </c>
      <c r="BR898" t="s">
        <v>3463</v>
      </c>
      <c r="BS898" t="s">
        <v>3463</v>
      </c>
      <c r="BT898" t="s">
        <v>3463</v>
      </c>
      <c r="BU898" t="s">
        <v>3463</v>
      </c>
      <c r="BV898" t="s">
        <v>3463</v>
      </c>
      <c r="BW898" t="s">
        <v>3463</v>
      </c>
      <c r="BX898" t="s">
        <v>79</v>
      </c>
      <c r="BY898" t="s">
        <v>79</v>
      </c>
      <c r="BZ898" t="s">
        <v>79</v>
      </c>
      <c r="CA898" s="10">
        <v>45911</v>
      </c>
    </row>
    <row r="899" spans="1:79">
      <c r="A899">
        <v>906</v>
      </c>
      <c r="B899">
        <v>234</v>
      </c>
      <c r="C899">
        <v>58</v>
      </c>
      <c r="D899" t="s">
        <v>3466</v>
      </c>
      <c r="F899" t="s">
        <v>150</v>
      </c>
      <c r="G899" s="12" t="s">
        <v>3463</v>
      </c>
      <c r="I899">
        <v>80</v>
      </c>
      <c r="J899">
        <v>81</v>
      </c>
      <c r="K899">
        <v>154</v>
      </c>
      <c r="L899">
        <v>84</v>
      </c>
      <c r="M899" t="s">
        <v>72</v>
      </c>
      <c r="N899">
        <v>153</v>
      </c>
      <c r="O899">
        <v>86</v>
      </c>
      <c r="P899" t="s">
        <v>72</v>
      </c>
      <c r="Q899" t="s">
        <v>72</v>
      </c>
      <c r="R899">
        <v>59.5</v>
      </c>
      <c r="S899">
        <v>159</v>
      </c>
      <c r="T899" s="8">
        <f t="shared" si="28"/>
        <v>23.535461413709903</v>
      </c>
      <c r="U899" s="13" t="str" cm="1">
        <f t="array" ref="U899">IF(T899="","",_xlfn.IFS(T899&lt;18.5,"Bajo peso",T899&lt;25,"Peso normal",T899&lt;30,"Sobrepeso",T899&lt;35,"Obesidad clase I",T899&lt;40,"Obesidad clase II",T899&gt;=40,"Obesidad clase III"))</f>
        <v>Peso normal</v>
      </c>
      <c r="V899">
        <v>100</v>
      </c>
      <c r="X899" t="s">
        <v>3463</v>
      </c>
      <c r="Y899">
        <v>0.99</v>
      </c>
      <c r="AA899">
        <v>66</v>
      </c>
      <c r="AB899" s="9">
        <f t="shared" si="29"/>
        <v>66.094577556857232</v>
      </c>
      <c r="AD899" t="s">
        <v>73</v>
      </c>
      <c r="AF899" t="s">
        <v>73</v>
      </c>
      <c r="AG899" t="s">
        <v>3465</v>
      </c>
      <c r="AH899" t="s">
        <v>3465</v>
      </c>
      <c r="AI899" t="s">
        <v>3463</v>
      </c>
      <c r="AJ899" t="s">
        <v>3463</v>
      </c>
      <c r="AK899" t="s">
        <v>3463</v>
      </c>
      <c r="AL899" t="s">
        <v>3465</v>
      </c>
      <c r="AM899" t="s">
        <v>2209</v>
      </c>
      <c r="AN899" t="s">
        <v>3816</v>
      </c>
      <c r="AP899" t="s">
        <v>3463</v>
      </c>
      <c r="AQ899" t="s">
        <v>2210</v>
      </c>
      <c r="AR899" t="s">
        <v>3548</v>
      </c>
      <c r="AT899" t="s">
        <v>3463</v>
      </c>
      <c r="AU899" t="s">
        <v>125</v>
      </c>
      <c r="AV899" t="s">
        <v>126</v>
      </c>
      <c r="AW899" t="s">
        <v>126</v>
      </c>
      <c r="AX899" t="s">
        <v>3463</v>
      </c>
      <c r="AY899" t="s">
        <v>3463</v>
      </c>
      <c r="AZ899" t="s">
        <v>1230</v>
      </c>
      <c r="BA899" t="s">
        <v>3920</v>
      </c>
      <c r="BB899" t="s">
        <v>3485</v>
      </c>
      <c r="BF899" t="s">
        <v>3921</v>
      </c>
      <c r="BG899" t="s">
        <v>2211</v>
      </c>
      <c r="BH899" t="s">
        <v>4069</v>
      </c>
      <c r="BI899" t="s">
        <v>76</v>
      </c>
      <c r="BL899" t="s">
        <v>2094</v>
      </c>
      <c r="BP899" t="s">
        <v>4261</v>
      </c>
      <c r="BQ899" t="s">
        <v>3465</v>
      </c>
      <c r="BR899" t="s">
        <v>3463</v>
      </c>
      <c r="BS899" t="s">
        <v>3463</v>
      </c>
      <c r="BT899" t="s">
        <v>3463</v>
      </c>
      <c r="BU899" t="s">
        <v>3463</v>
      </c>
      <c r="BV899" t="s">
        <v>3463</v>
      </c>
      <c r="BW899" t="s">
        <v>3463</v>
      </c>
      <c r="BX899" t="s">
        <v>79</v>
      </c>
      <c r="BY899" t="s">
        <v>79</v>
      </c>
      <c r="BZ899" t="s">
        <v>79</v>
      </c>
      <c r="CA899" s="10">
        <v>45911</v>
      </c>
    </row>
    <row r="900" spans="1:79">
      <c r="A900">
        <v>907</v>
      </c>
      <c r="B900">
        <v>235</v>
      </c>
      <c r="C900">
        <v>57</v>
      </c>
      <c r="D900" t="s">
        <v>3466</v>
      </c>
      <c r="E900" t="s">
        <v>2032</v>
      </c>
      <c r="F900" t="s">
        <v>150</v>
      </c>
      <c r="G900" s="12" t="s">
        <v>3463</v>
      </c>
      <c r="I900">
        <v>71</v>
      </c>
      <c r="K900">
        <v>121</v>
      </c>
      <c r="L900">
        <v>70</v>
      </c>
      <c r="M900" t="s">
        <v>118</v>
      </c>
      <c r="P900" t="s">
        <v>83</v>
      </c>
      <c r="Q900" t="s">
        <v>118</v>
      </c>
      <c r="R900">
        <v>61</v>
      </c>
      <c r="S900">
        <v>153</v>
      </c>
      <c r="T900" s="8">
        <f t="shared" si="28"/>
        <v>26.058353624674272</v>
      </c>
      <c r="U900" s="13" t="str" cm="1">
        <f t="array" ref="U900">IF(T900="","",_xlfn.IFS(T900&lt;18.5,"Bajo peso",T900&lt;25,"Peso normal",T900&lt;30,"Sobrepeso",T900&lt;35,"Obesidad clase I",T900&lt;40,"Obesidad clase II",T900&gt;=40,"Obesidad clase III"))</f>
        <v>Sobrepeso</v>
      </c>
      <c r="V900">
        <v>114</v>
      </c>
      <c r="X900" t="s">
        <v>3463</v>
      </c>
      <c r="Y900">
        <v>1.1499999999999999</v>
      </c>
      <c r="AA900">
        <v>56</v>
      </c>
      <c r="AB900" s="9">
        <f t="shared" si="29"/>
        <v>55.563764740380691</v>
      </c>
      <c r="AD900" t="s">
        <v>158</v>
      </c>
      <c r="AF900" t="s">
        <v>158</v>
      </c>
      <c r="AH900" t="s">
        <v>3463</v>
      </c>
      <c r="AI900" t="s">
        <v>3463</v>
      </c>
      <c r="AJ900" t="s">
        <v>3463</v>
      </c>
      <c r="AK900" t="s">
        <v>3463</v>
      </c>
      <c r="AL900" t="s">
        <v>3465</v>
      </c>
      <c r="AM900" t="s">
        <v>110</v>
      </c>
      <c r="AN900" t="s">
        <v>110</v>
      </c>
      <c r="AP900" t="s">
        <v>3463</v>
      </c>
      <c r="AT900" t="s">
        <v>3465</v>
      </c>
      <c r="AU900" t="s">
        <v>125</v>
      </c>
      <c r="AV900" t="s">
        <v>74</v>
      </c>
      <c r="AW900" t="s">
        <v>3915</v>
      </c>
      <c r="AY900" t="s">
        <v>3465</v>
      </c>
      <c r="AZ900" t="s">
        <v>665</v>
      </c>
      <c r="BF900" t="s">
        <v>3921</v>
      </c>
      <c r="BH900" t="s">
        <v>4020</v>
      </c>
      <c r="BP900" t="s">
        <v>4260</v>
      </c>
      <c r="BQ900" t="s">
        <v>3465</v>
      </c>
      <c r="BR900" t="s">
        <v>3463</v>
      </c>
      <c r="BS900" t="s">
        <v>3463</v>
      </c>
      <c r="BT900" t="s">
        <v>3463</v>
      </c>
      <c r="BU900" t="s">
        <v>3463</v>
      </c>
      <c r="BV900" t="s">
        <v>3463</v>
      </c>
      <c r="BW900" t="s">
        <v>3463</v>
      </c>
      <c r="BX900" t="s">
        <v>518</v>
      </c>
      <c r="BY900" t="s">
        <v>79</v>
      </c>
      <c r="BZ900" t="s">
        <v>79</v>
      </c>
      <c r="CA900" s="10">
        <v>45911</v>
      </c>
    </row>
    <row r="901" spans="1:79">
      <c r="A901">
        <v>908</v>
      </c>
      <c r="B901">
        <v>236</v>
      </c>
      <c r="C901">
        <v>49</v>
      </c>
      <c r="D901" t="s">
        <v>3466</v>
      </c>
      <c r="E901" t="s">
        <v>2111</v>
      </c>
      <c r="F901" t="s">
        <v>150</v>
      </c>
      <c r="G901" s="12" t="s">
        <v>3463</v>
      </c>
      <c r="H901" s="12"/>
      <c r="I901">
        <v>79</v>
      </c>
      <c r="K901">
        <v>114</v>
      </c>
      <c r="L901">
        <v>83</v>
      </c>
      <c r="M901" t="s">
        <v>82</v>
      </c>
      <c r="P901" t="s">
        <v>83</v>
      </c>
      <c r="Q901" t="s">
        <v>82</v>
      </c>
      <c r="R901">
        <v>79.5</v>
      </c>
      <c r="S901">
        <v>149</v>
      </c>
      <c r="T901" s="8">
        <f t="shared" si="28"/>
        <v>35.809197783883612</v>
      </c>
      <c r="U901" s="13" t="str" cm="1">
        <f t="array" ref="U901">IF(T901="","",_xlfn.IFS(T901&lt;18.5,"Bajo peso",T901&lt;25,"Peso normal",T901&lt;30,"Sobrepeso",T901&lt;35,"Obesidad clase I",T901&lt;40,"Obesidad clase II",T901&gt;=40,"Obesidad clase III"))</f>
        <v>Obesidad clase II</v>
      </c>
      <c r="V901">
        <v>101</v>
      </c>
      <c r="X901" t="s">
        <v>3463</v>
      </c>
      <c r="Y901">
        <v>0.78</v>
      </c>
      <c r="AA901">
        <v>90</v>
      </c>
      <c r="AB901" s="9">
        <f t="shared" si="29"/>
        <v>93.051549567859198</v>
      </c>
      <c r="AD901" t="s">
        <v>73</v>
      </c>
      <c r="AF901" t="s">
        <v>73</v>
      </c>
      <c r="AH901" t="s">
        <v>3463</v>
      </c>
      <c r="AI901" t="s">
        <v>3463</v>
      </c>
      <c r="AJ901" t="s">
        <v>3463</v>
      </c>
      <c r="AK901" t="s">
        <v>3463</v>
      </c>
      <c r="AL901" t="s">
        <v>3465</v>
      </c>
      <c r="AM901" t="s">
        <v>2212</v>
      </c>
      <c r="AN901" t="s">
        <v>116</v>
      </c>
      <c r="AP901" t="s">
        <v>3463</v>
      </c>
      <c r="AQ901" t="s">
        <v>399</v>
      </c>
      <c r="AR901" t="s">
        <v>3505</v>
      </c>
      <c r="AT901" t="s">
        <v>3463</v>
      </c>
      <c r="AV901" t="s">
        <v>74</v>
      </c>
      <c r="AW901" t="s">
        <v>3915</v>
      </c>
      <c r="AX901" t="s">
        <v>3463</v>
      </c>
      <c r="AY901" t="s">
        <v>3465</v>
      </c>
      <c r="AZ901" t="s">
        <v>104</v>
      </c>
      <c r="BF901" t="s">
        <v>3921</v>
      </c>
      <c r="BH901" t="s">
        <v>4020</v>
      </c>
      <c r="BP901" t="s">
        <v>4260</v>
      </c>
      <c r="BQ901" t="s">
        <v>3463</v>
      </c>
      <c r="BR901" t="s">
        <v>3463</v>
      </c>
      <c r="BS901" t="s">
        <v>3465</v>
      </c>
      <c r="BT901" t="s">
        <v>3465</v>
      </c>
      <c r="BU901" t="s">
        <v>3463</v>
      </c>
      <c r="BV901" t="s">
        <v>3463</v>
      </c>
      <c r="BW901" t="s">
        <v>3463</v>
      </c>
      <c r="BX901" t="s">
        <v>79</v>
      </c>
      <c r="BY901" t="s">
        <v>79</v>
      </c>
      <c r="BZ901" t="s">
        <v>79</v>
      </c>
      <c r="CA901" s="10">
        <v>45911</v>
      </c>
    </row>
    <row r="902" spans="1:79">
      <c r="A902">
        <v>909</v>
      </c>
      <c r="B902">
        <v>237</v>
      </c>
      <c r="C902">
        <v>42</v>
      </c>
      <c r="D902" t="s">
        <v>3466</v>
      </c>
      <c r="E902" t="s">
        <v>1659</v>
      </c>
      <c r="F902" t="s">
        <v>150</v>
      </c>
      <c r="G902" s="12" t="s">
        <v>3463</v>
      </c>
      <c r="I902">
        <v>78</v>
      </c>
      <c r="J902">
        <v>76</v>
      </c>
      <c r="K902">
        <v>153</v>
      </c>
      <c r="L902">
        <v>88</v>
      </c>
      <c r="M902" t="s">
        <v>72</v>
      </c>
      <c r="N902">
        <v>144</v>
      </c>
      <c r="O902">
        <v>84</v>
      </c>
      <c r="P902" t="s">
        <v>72</v>
      </c>
      <c r="Q902" t="s">
        <v>72</v>
      </c>
      <c r="R902">
        <v>57</v>
      </c>
      <c r="S902">
        <v>153</v>
      </c>
      <c r="T902" s="8">
        <f t="shared" si="28"/>
        <v>24.349609124695629</v>
      </c>
      <c r="U902" s="13" t="str" cm="1">
        <f t="array" ref="U902">IF(T902="","",_xlfn.IFS(T902&lt;18.5,"Bajo peso",T902&lt;25,"Peso normal",T902&lt;30,"Sobrepeso",T902&lt;35,"Obesidad clase I",T902&lt;40,"Obesidad clase II",T902&gt;=40,"Obesidad clase III"))</f>
        <v>Peso normal</v>
      </c>
      <c r="V902">
        <v>91</v>
      </c>
      <c r="X902" t="s">
        <v>3463</v>
      </c>
      <c r="Y902">
        <v>0.81</v>
      </c>
      <c r="AA902">
        <v>90</v>
      </c>
      <c r="AB902" s="9">
        <f t="shared" si="29"/>
        <v>92.888545700919423</v>
      </c>
      <c r="AD902" t="s">
        <v>73</v>
      </c>
      <c r="AF902" t="s">
        <v>73</v>
      </c>
      <c r="AH902" t="s">
        <v>3463</v>
      </c>
      <c r="AI902" t="s">
        <v>3463</v>
      </c>
      <c r="AJ902" t="s">
        <v>3463</v>
      </c>
      <c r="AK902" t="s">
        <v>3463</v>
      </c>
      <c r="AL902" t="s">
        <v>3463</v>
      </c>
      <c r="AP902" t="s">
        <v>3463</v>
      </c>
      <c r="AQ902" t="s">
        <v>2213</v>
      </c>
      <c r="AR902" t="s">
        <v>3530</v>
      </c>
      <c r="AV902" t="s">
        <v>178</v>
      </c>
      <c r="AW902" t="s">
        <v>3918</v>
      </c>
      <c r="AX902" t="s">
        <v>3463</v>
      </c>
      <c r="AY902" t="s">
        <v>3465</v>
      </c>
      <c r="AZ902" t="s">
        <v>90</v>
      </c>
      <c r="BF902" t="s">
        <v>3921</v>
      </c>
      <c r="BH902" t="s">
        <v>4020</v>
      </c>
      <c r="BP902" t="s">
        <v>4260</v>
      </c>
      <c r="BQ902" t="s">
        <v>3463</v>
      </c>
      <c r="BR902" t="s">
        <v>3463</v>
      </c>
      <c r="BS902" t="s">
        <v>3465</v>
      </c>
      <c r="BT902" t="s">
        <v>3465</v>
      </c>
      <c r="BU902" t="s">
        <v>3463</v>
      </c>
      <c r="BV902" t="s">
        <v>3463</v>
      </c>
      <c r="BW902" t="s">
        <v>3463</v>
      </c>
      <c r="BX902" t="s">
        <v>79</v>
      </c>
      <c r="BY902" t="s">
        <v>79</v>
      </c>
      <c r="BZ902" t="s">
        <v>79</v>
      </c>
      <c r="CA902" s="10">
        <v>45911</v>
      </c>
    </row>
    <row r="903" spans="1:79">
      <c r="A903">
        <v>910</v>
      </c>
      <c r="B903">
        <v>238</v>
      </c>
      <c r="C903">
        <v>40</v>
      </c>
      <c r="D903" t="s">
        <v>3462</v>
      </c>
      <c r="E903" t="s">
        <v>1966</v>
      </c>
      <c r="F903" t="s">
        <v>150</v>
      </c>
      <c r="G903" s="12" t="s">
        <v>3463</v>
      </c>
      <c r="I903">
        <v>76</v>
      </c>
      <c r="K903">
        <v>126</v>
      </c>
      <c r="L903">
        <v>71</v>
      </c>
      <c r="M903" t="s">
        <v>118</v>
      </c>
      <c r="P903" t="s">
        <v>83</v>
      </c>
      <c r="Q903" t="s">
        <v>118</v>
      </c>
      <c r="R903">
        <v>77</v>
      </c>
      <c r="S903">
        <v>174</v>
      </c>
      <c r="T903" s="8">
        <f t="shared" si="28"/>
        <v>25.432685955872639</v>
      </c>
      <c r="U903" s="13" t="str" cm="1">
        <f t="array" ref="U903">IF(T903="","",_xlfn.IFS(T903&lt;18.5,"Bajo peso",T903&lt;25,"Peso normal",T903&lt;30,"Sobrepeso",T903&lt;35,"Obesidad clase I",T903&lt;40,"Obesidad clase II",T903&gt;=40,"Obesidad clase III"))</f>
        <v>Sobrepeso</v>
      </c>
      <c r="V903">
        <v>105</v>
      </c>
      <c r="X903" t="s">
        <v>3463</v>
      </c>
      <c r="Y903">
        <v>1.45</v>
      </c>
      <c r="AA903">
        <v>62</v>
      </c>
      <c r="AB903" s="9">
        <f t="shared" si="29"/>
        <v>62.473731883774839</v>
      </c>
      <c r="AD903" t="s">
        <v>73</v>
      </c>
      <c r="AF903" t="s">
        <v>73</v>
      </c>
      <c r="AH903" t="s">
        <v>3463</v>
      </c>
      <c r="AI903" t="s">
        <v>3463</v>
      </c>
      <c r="AJ903" t="s">
        <v>3463</v>
      </c>
      <c r="AK903" t="s">
        <v>3463</v>
      </c>
      <c r="AL903" t="s">
        <v>3463</v>
      </c>
      <c r="AP903" t="s">
        <v>3463</v>
      </c>
      <c r="AV903" t="s">
        <v>74</v>
      </c>
      <c r="AW903" t="s">
        <v>3915</v>
      </c>
      <c r="BF903" t="s">
        <v>3921</v>
      </c>
      <c r="BG903" t="s">
        <v>2214</v>
      </c>
      <c r="BH903" t="s">
        <v>4200</v>
      </c>
      <c r="BK903" t="s">
        <v>2215</v>
      </c>
      <c r="BL903" t="s">
        <v>2216</v>
      </c>
      <c r="BP903" t="s">
        <v>4336</v>
      </c>
      <c r="BQ903" t="s">
        <v>3463</v>
      </c>
      <c r="BR903" t="s">
        <v>3465</v>
      </c>
      <c r="BS903" t="s">
        <v>3463</v>
      </c>
      <c r="BT903" t="s">
        <v>3463</v>
      </c>
      <c r="BU903" t="s">
        <v>3463</v>
      </c>
      <c r="BV903" t="s">
        <v>3463</v>
      </c>
      <c r="BW903" t="s">
        <v>3463</v>
      </c>
      <c r="BX903" t="s">
        <v>79</v>
      </c>
      <c r="BY903" t="s">
        <v>79</v>
      </c>
      <c r="BZ903" t="s">
        <v>79</v>
      </c>
      <c r="CA903" s="10">
        <v>45911</v>
      </c>
    </row>
    <row r="904" spans="1:79">
      <c r="A904">
        <v>911</v>
      </c>
      <c r="B904">
        <v>239</v>
      </c>
      <c r="D904" t="s">
        <v>3462</v>
      </c>
      <c r="E904" t="s">
        <v>2217</v>
      </c>
      <c r="F904" t="s">
        <v>380</v>
      </c>
      <c r="G904" s="12" t="s">
        <v>3463</v>
      </c>
      <c r="I904">
        <v>87</v>
      </c>
      <c r="J904">
        <v>79</v>
      </c>
      <c r="K904">
        <v>132</v>
      </c>
      <c r="L904">
        <v>1</v>
      </c>
      <c r="M904" t="s">
        <v>82</v>
      </c>
      <c r="N904">
        <v>157</v>
      </c>
      <c r="O904">
        <v>99</v>
      </c>
      <c r="P904" t="s">
        <v>72</v>
      </c>
      <c r="Q904" t="s">
        <v>82</v>
      </c>
      <c r="R904">
        <v>68.75</v>
      </c>
      <c r="S904">
        <v>160</v>
      </c>
      <c r="T904" s="8">
        <f t="shared" si="28"/>
        <v>26.85546875</v>
      </c>
      <c r="U904" s="13" t="str" cm="1">
        <f t="array" ref="U904">IF(T904="","",_xlfn.IFS(T904&lt;18.5,"Bajo peso",T904&lt;25,"Peso normal",T904&lt;30,"Sobrepeso",T904&lt;35,"Obesidad clase I",T904&lt;40,"Obesidad clase II",T904&gt;=40,"Obesidad clase III"))</f>
        <v>Sobrepeso</v>
      </c>
      <c r="V904">
        <v>99</v>
      </c>
      <c r="X904" t="s">
        <v>3463</v>
      </c>
      <c r="Y904">
        <v>1.24</v>
      </c>
      <c r="AA904">
        <v>75</v>
      </c>
      <c r="AB904" s="9" t="str">
        <f t="shared" si="29"/>
        <v/>
      </c>
      <c r="AD904" t="s">
        <v>73</v>
      </c>
      <c r="AF904" t="s">
        <v>73</v>
      </c>
      <c r="AH904" t="s">
        <v>3463</v>
      </c>
      <c r="AI904" t="s">
        <v>3463</v>
      </c>
      <c r="AJ904" t="s">
        <v>3463</v>
      </c>
      <c r="AK904" t="s">
        <v>3463</v>
      </c>
      <c r="AL904" t="s">
        <v>3463</v>
      </c>
      <c r="AP904" t="s">
        <v>3463</v>
      </c>
      <c r="AQ904" t="s">
        <v>2218</v>
      </c>
      <c r="AR904" t="s">
        <v>3565</v>
      </c>
      <c r="AV904" t="s">
        <v>126</v>
      </c>
      <c r="AW904" t="s">
        <v>126</v>
      </c>
      <c r="BF904" t="s">
        <v>3921</v>
      </c>
      <c r="BH904" t="s">
        <v>4020</v>
      </c>
      <c r="BP904" t="s">
        <v>4260</v>
      </c>
      <c r="BQ904" t="s">
        <v>3465</v>
      </c>
      <c r="BR904" t="s">
        <v>3465</v>
      </c>
      <c r="BS904" t="s">
        <v>3463</v>
      </c>
      <c r="BT904" t="s">
        <v>3463</v>
      </c>
      <c r="BU904" t="s">
        <v>3463</v>
      </c>
      <c r="BV904" t="s">
        <v>3463</v>
      </c>
      <c r="BW904" t="s">
        <v>3463</v>
      </c>
      <c r="BX904" t="s">
        <v>79</v>
      </c>
      <c r="BY904" t="s">
        <v>87</v>
      </c>
      <c r="BZ904" t="s">
        <v>95</v>
      </c>
      <c r="CA904" s="10">
        <v>45911</v>
      </c>
    </row>
    <row r="905" spans="1:79">
      <c r="A905">
        <v>912</v>
      </c>
      <c r="B905">
        <v>240</v>
      </c>
      <c r="C905">
        <v>44</v>
      </c>
      <c r="D905" t="s">
        <v>3466</v>
      </c>
      <c r="E905" t="s">
        <v>1659</v>
      </c>
      <c r="F905" t="s">
        <v>150</v>
      </c>
      <c r="G905" s="12" t="s">
        <v>3465</v>
      </c>
      <c r="H905" t="s">
        <v>88</v>
      </c>
      <c r="I905">
        <v>69</v>
      </c>
      <c r="K905">
        <v>121</v>
      </c>
      <c r="L905">
        <v>75</v>
      </c>
      <c r="M905" t="s">
        <v>118</v>
      </c>
      <c r="P905" t="s">
        <v>83</v>
      </c>
      <c r="Q905" t="s">
        <v>118</v>
      </c>
      <c r="R905">
        <v>70.5</v>
      </c>
      <c r="S905">
        <v>155</v>
      </c>
      <c r="T905" s="8">
        <f t="shared" si="28"/>
        <v>29.344432882414154</v>
      </c>
      <c r="U905" s="13" t="str" cm="1">
        <f t="array" ref="U905">IF(T905="","",_xlfn.IFS(T905&lt;18.5,"Bajo peso",T905&lt;25,"Peso normal",T905&lt;30,"Sobrepeso",T905&lt;35,"Obesidad clase I",T905&lt;40,"Obesidad clase II",T905&gt;=40,"Obesidad clase III"))</f>
        <v>Sobrepeso</v>
      </c>
      <c r="V905">
        <v>87</v>
      </c>
      <c r="X905" t="s">
        <v>3463</v>
      </c>
      <c r="Y905">
        <v>0.72</v>
      </c>
      <c r="AA905">
        <v>90</v>
      </c>
      <c r="AB905" s="9">
        <f t="shared" si="29"/>
        <v>105.66792401079415</v>
      </c>
      <c r="AD905" t="s">
        <v>73</v>
      </c>
      <c r="AF905" t="s">
        <v>73</v>
      </c>
      <c r="AG905" t="s">
        <v>3463</v>
      </c>
      <c r="AH905" t="s">
        <v>3465</v>
      </c>
      <c r="AI905" t="s">
        <v>3463</v>
      </c>
      <c r="AJ905" t="s">
        <v>3463</v>
      </c>
      <c r="AK905" t="s">
        <v>3463</v>
      </c>
      <c r="AL905" t="s">
        <v>3463</v>
      </c>
      <c r="AP905" t="s">
        <v>3464</v>
      </c>
      <c r="AQ905" t="s">
        <v>2219</v>
      </c>
      <c r="AR905" t="s">
        <v>3504</v>
      </c>
      <c r="AV905" t="s">
        <v>74</v>
      </c>
      <c r="AW905" t="s">
        <v>3915</v>
      </c>
      <c r="AX905" t="s">
        <v>3463</v>
      </c>
      <c r="AY905" t="s">
        <v>3465</v>
      </c>
      <c r="AZ905" t="s">
        <v>104</v>
      </c>
      <c r="BF905" t="s">
        <v>3921</v>
      </c>
      <c r="BH905" t="s">
        <v>4020</v>
      </c>
      <c r="BP905" t="s">
        <v>4260</v>
      </c>
      <c r="BQ905" t="s">
        <v>3465</v>
      </c>
      <c r="BR905" t="s">
        <v>3465</v>
      </c>
      <c r="BS905" t="s">
        <v>3465</v>
      </c>
      <c r="BT905" t="s">
        <v>3465</v>
      </c>
      <c r="BU905" t="s">
        <v>3463</v>
      </c>
      <c r="BV905" t="s">
        <v>3463</v>
      </c>
      <c r="BW905" t="s">
        <v>3463</v>
      </c>
      <c r="BX905" t="s">
        <v>79</v>
      </c>
      <c r="BY905" t="s">
        <v>79</v>
      </c>
      <c r="BZ905" t="s">
        <v>79</v>
      </c>
      <c r="CA905" s="10">
        <v>45911</v>
      </c>
    </row>
    <row r="906" spans="1:79">
      <c r="A906">
        <v>913</v>
      </c>
      <c r="B906">
        <v>241</v>
      </c>
      <c r="C906">
        <v>43</v>
      </c>
      <c r="D906" t="s">
        <v>3466</v>
      </c>
      <c r="E906" t="s">
        <v>1966</v>
      </c>
      <c r="F906" t="s">
        <v>150</v>
      </c>
      <c r="G906" s="12" t="s">
        <v>3465</v>
      </c>
      <c r="H906" t="s">
        <v>88</v>
      </c>
      <c r="I906">
        <v>80</v>
      </c>
      <c r="J906">
        <v>84</v>
      </c>
      <c r="K906">
        <v>135</v>
      </c>
      <c r="L906">
        <v>89</v>
      </c>
      <c r="M906" t="s">
        <v>82</v>
      </c>
      <c r="N906">
        <v>129</v>
      </c>
      <c r="O906">
        <v>91</v>
      </c>
      <c r="P906" t="s">
        <v>72</v>
      </c>
      <c r="Q906" t="s">
        <v>82</v>
      </c>
      <c r="R906">
        <v>84</v>
      </c>
      <c r="S906">
        <v>161</v>
      </c>
      <c r="T906" s="8">
        <f t="shared" si="28"/>
        <v>32.406157169862276</v>
      </c>
      <c r="U906" s="13" t="str" cm="1">
        <f t="array" ref="U906">IF(T906="","",_xlfn.IFS(T906&lt;18.5,"Bajo peso",T906&lt;25,"Peso normal",T906&lt;30,"Sobrepeso",T906&lt;35,"Obesidad clase I",T906&lt;40,"Obesidad clase II",T906&gt;=40,"Obesidad clase III"))</f>
        <v>Obesidad clase I</v>
      </c>
      <c r="V906">
        <v>109</v>
      </c>
      <c r="X906" t="s">
        <v>3463</v>
      </c>
      <c r="Y906">
        <v>1.95</v>
      </c>
      <c r="AA906">
        <v>32</v>
      </c>
      <c r="AB906" s="9">
        <f t="shared" si="29"/>
        <v>32.166339757658633</v>
      </c>
      <c r="AD906" t="s">
        <v>218</v>
      </c>
      <c r="AF906" t="s">
        <v>218</v>
      </c>
      <c r="AH906" t="s">
        <v>3463</v>
      </c>
      <c r="AI906" t="s">
        <v>3463</v>
      </c>
      <c r="AJ906" t="s">
        <v>3463</v>
      </c>
      <c r="AK906" t="s">
        <v>3465</v>
      </c>
      <c r="AL906" t="s">
        <v>3463</v>
      </c>
      <c r="AO906" t="s">
        <v>3465</v>
      </c>
      <c r="AP906" t="s">
        <v>3465</v>
      </c>
      <c r="AQ906" t="s">
        <v>159</v>
      </c>
      <c r="AR906" t="s">
        <v>3491</v>
      </c>
      <c r="AT906" t="s">
        <v>3465</v>
      </c>
      <c r="AU906" t="s">
        <v>80</v>
      </c>
      <c r="AV906" t="s">
        <v>74</v>
      </c>
      <c r="AW906" t="s">
        <v>3915</v>
      </c>
      <c r="AY906" t="s">
        <v>3465</v>
      </c>
      <c r="AZ906" t="s">
        <v>665</v>
      </c>
      <c r="BC906" t="s">
        <v>128</v>
      </c>
      <c r="BF906" t="s">
        <v>3921</v>
      </c>
      <c r="BG906" t="s">
        <v>2220</v>
      </c>
      <c r="BH906" t="s">
        <v>4201</v>
      </c>
      <c r="BK906" t="s">
        <v>2221</v>
      </c>
      <c r="BL906" t="s">
        <v>2222</v>
      </c>
      <c r="BP906" t="s">
        <v>4504</v>
      </c>
      <c r="BQ906" t="s">
        <v>3463</v>
      </c>
      <c r="BR906" t="s">
        <v>3463</v>
      </c>
      <c r="BS906" t="s">
        <v>3463</v>
      </c>
      <c r="BT906" t="s">
        <v>3463</v>
      </c>
      <c r="BU906" t="s">
        <v>3463</v>
      </c>
      <c r="BV906" t="s">
        <v>3463</v>
      </c>
      <c r="BW906" t="s">
        <v>3463</v>
      </c>
      <c r="BX906" t="s">
        <v>518</v>
      </c>
      <c r="BY906" t="s">
        <v>79</v>
      </c>
      <c r="BZ906" t="s">
        <v>79</v>
      </c>
      <c r="CA906" s="10">
        <v>45911</v>
      </c>
    </row>
    <row r="907" spans="1:79">
      <c r="A907">
        <v>914</v>
      </c>
      <c r="B907">
        <v>242</v>
      </c>
      <c r="C907">
        <v>33</v>
      </c>
      <c r="D907" t="s">
        <v>3462</v>
      </c>
      <c r="F907" t="s">
        <v>168</v>
      </c>
      <c r="G907" s="12" t="s">
        <v>3465</v>
      </c>
      <c r="H907" t="s">
        <v>88</v>
      </c>
      <c r="K907">
        <v>135</v>
      </c>
      <c r="L907">
        <v>81</v>
      </c>
      <c r="M907" t="s">
        <v>82</v>
      </c>
      <c r="P907" t="s">
        <v>83</v>
      </c>
      <c r="Q907" t="s">
        <v>82</v>
      </c>
      <c r="R907">
        <v>95.5</v>
      </c>
      <c r="S907">
        <v>168</v>
      </c>
      <c r="T907" s="8">
        <f t="shared" si="28"/>
        <v>33.836451247165535</v>
      </c>
      <c r="U907" s="13" t="str" cm="1">
        <f t="array" ref="U907">IF(T907="","",_xlfn.IFS(T907&lt;18.5,"Bajo peso",T907&lt;25,"Peso normal",T907&lt;30,"Sobrepeso",T907&lt;35,"Obesidad clase I",T907&lt;40,"Obesidad clase II",T907&gt;=40,"Obesidad clase III"))</f>
        <v>Obesidad clase I</v>
      </c>
      <c r="V907">
        <v>109</v>
      </c>
      <c r="X907" t="s">
        <v>3463</v>
      </c>
      <c r="Y907">
        <v>1.52</v>
      </c>
      <c r="AA907">
        <v>62</v>
      </c>
      <c r="AB907" s="9">
        <f t="shared" si="29"/>
        <v>61.664299126057962</v>
      </c>
      <c r="AD907" t="s">
        <v>73</v>
      </c>
      <c r="AF907" t="s">
        <v>73</v>
      </c>
      <c r="AH907" t="s">
        <v>3463</v>
      </c>
      <c r="AI907" t="s">
        <v>3463</v>
      </c>
      <c r="AJ907" t="s">
        <v>3463</v>
      </c>
      <c r="AK907" t="s">
        <v>3463</v>
      </c>
      <c r="AL907" t="s">
        <v>3463</v>
      </c>
      <c r="AP907" t="s">
        <v>3463</v>
      </c>
      <c r="AQ907" t="s">
        <v>120</v>
      </c>
      <c r="AR907" t="s">
        <v>3491</v>
      </c>
      <c r="AT907" t="s">
        <v>3465</v>
      </c>
      <c r="AU907" t="s">
        <v>2223</v>
      </c>
      <c r="AV907" t="s">
        <v>126</v>
      </c>
      <c r="AW907" t="s">
        <v>126</v>
      </c>
      <c r="AX907" t="s">
        <v>3463</v>
      </c>
      <c r="AY907" t="s">
        <v>3465</v>
      </c>
      <c r="AZ907" t="s">
        <v>2224</v>
      </c>
      <c r="BF907" t="s">
        <v>3921</v>
      </c>
      <c r="BH907" t="s">
        <v>4020</v>
      </c>
      <c r="BP907" t="s">
        <v>4260</v>
      </c>
      <c r="BQ907" t="s">
        <v>3463</v>
      </c>
      <c r="BR907" t="s">
        <v>3465</v>
      </c>
      <c r="BS907" t="s">
        <v>3465</v>
      </c>
      <c r="BT907" t="s">
        <v>3465</v>
      </c>
      <c r="BU907" t="s">
        <v>3463</v>
      </c>
      <c r="BV907" t="s">
        <v>3463</v>
      </c>
      <c r="BW907" t="s">
        <v>3463</v>
      </c>
      <c r="BX907" t="s">
        <v>79</v>
      </c>
      <c r="BY907" t="s">
        <v>87</v>
      </c>
      <c r="BZ907" t="s">
        <v>95</v>
      </c>
      <c r="CA907" s="10">
        <v>45911</v>
      </c>
    </row>
    <row r="908" spans="1:79">
      <c r="A908">
        <v>915</v>
      </c>
      <c r="B908">
        <v>243</v>
      </c>
      <c r="C908">
        <v>36</v>
      </c>
      <c r="D908" t="s">
        <v>3466</v>
      </c>
      <c r="E908" t="s">
        <v>1659</v>
      </c>
      <c r="F908" t="s">
        <v>150</v>
      </c>
      <c r="G908" s="12" t="s">
        <v>3465</v>
      </c>
      <c r="H908" t="s">
        <v>88</v>
      </c>
      <c r="I908">
        <v>75</v>
      </c>
      <c r="K908">
        <v>118</v>
      </c>
      <c r="L908">
        <v>83</v>
      </c>
      <c r="M908" t="s">
        <v>82</v>
      </c>
      <c r="P908" t="s">
        <v>83</v>
      </c>
      <c r="Q908" t="s">
        <v>82</v>
      </c>
      <c r="R908">
        <v>94</v>
      </c>
      <c r="S908">
        <v>156</v>
      </c>
      <c r="T908" s="8">
        <f t="shared" si="28"/>
        <v>38.625904010519392</v>
      </c>
      <c r="U908" s="13" t="str" cm="1">
        <f t="array" ref="U908">IF(T908="","",_xlfn.IFS(T908&lt;18.5,"Bajo peso",T908&lt;25,"Peso normal",T908&lt;30,"Sobrepeso",T908&lt;35,"Obesidad clase I",T908&lt;40,"Obesidad clase II",T908&gt;=40,"Obesidad clase III"))</f>
        <v>Obesidad clase II</v>
      </c>
      <c r="V908">
        <v>105</v>
      </c>
      <c r="X908" t="s">
        <v>3463</v>
      </c>
      <c r="Y908">
        <v>2.56</v>
      </c>
      <c r="AA908">
        <v>24</v>
      </c>
      <c r="AB908" s="9">
        <f t="shared" si="29"/>
        <v>24.236074190545828</v>
      </c>
      <c r="AD908" t="s">
        <v>303</v>
      </c>
      <c r="AF908" t="s">
        <v>303</v>
      </c>
      <c r="AG908" t="s">
        <v>3463</v>
      </c>
      <c r="AH908" t="s">
        <v>3465</v>
      </c>
      <c r="AI908" t="s">
        <v>3463</v>
      </c>
      <c r="AJ908" t="s">
        <v>3463</v>
      </c>
      <c r="AK908" t="s">
        <v>3463</v>
      </c>
      <c r="AL908" t="s">
        <v>3463</v>
      </c>
      <c r="AO908" t="s">
        <v>3463</v>
      </c>
      <c r="AP908" t="s">
        <v>3465</v>
      </c>
      <c r="AQ908" t="s">
        <v>2225</v>
      </c>
      <c r="AR908" t="s">
        <v>3558</v>
      </c>
      <c r="AV908" t="s">
        <v>74</v>
      </c>
      <c r="AW908" t="s">
        <v>3915</v>
      </c>
      <c r="AX908" t="s">
        <v>3465</v>
      </c>
      <c r="AY908" t="s">
        <v>3465</v>
      </c>
      <c r="AZ908" t="s">
        <v>90</v>
      </c>
      <c r="BB908" t="s">
        <v>3485</v>
      </c>
      <c r="BC908" t="s">
        <v>128</v>
      </c>
      <c r="BD908" t="s">
        <v>105</v>
      </c>
      <c r="BF908" t="s">
        <v>3921</v>
      </c>
      <c r="BG908" t="s">
        <v>2226</v>
      </c>
      <c r="BH908" t="s">
        <v>4202</v>
      </c>
      <c r="BK908" t="s">
        <v>2227</v>
      </c>
      <c r="BL908" t="s">
        <v>2228</v>
      </c>
      <c r="BP908" t="s">
        <v>4505</v>
      </c>
      <c r="BQ908" t="s">
        <v>3463</v>
      </c>
      <c r="BR908" t="s">
        <v>3465</v>
      </c>
      <c r="BS908" t="s">
        <v>3465</v>
      </c>
      <c r="BT908" t="s">
        <v>3465</v>
      </c>
      <c r="BU908" t="s">
        <v>3463</v>
      </c>
      <c r="BV908" t="s">
        <v>3463</v>
      </c>
      <c r="BW908" t="s">
        <v>3463</v>
      </c>
      <c r="BX908" t="s">
        <v>79</v>
      </c>
      <c r="BY908" t="s">
        <v>79</v>
      </c>
      <c r="BZ908" t="s">
        <v>79</v>
      </c>
      <c r="CA908" s="10">
        <v>45911</v>
      </c>
    </row>
    <row r="909" spans="1:79">
      <c r="A909">
        <v>916</v>
      </c>
      <c r="B909">
        <v>244</v>
      </c>
      <c r="C909">
        <v>43</v>
      </c>
      <c r="D909" t="s">
        <v>3466</v>
      </c>
      <c r="E909" t="s">
        <v>1966</v>
      </c>
      <c r="F909" t="s">
        <v>150</v>
      </c>
      <c r="G909" s="12" t="s">
        <v>3465</v>
      </c>
      <c r="H909" t="s">
        <v>88</v>
      </c>
      <c r="I909">
        <v>90</v>
      </c>
      <c r="K909">
        <v>127</v>
      </c>
      <c r="L909">
        <v>75</v>
      </c>
      <c r="M909" t="s">
        <v>118</v>
      </c>
      <c r="P909" t="s">
        <v>83</v>
      </c>
      <c r="Q909" t="s">
        <v>118</v>
      </c>
      <c r="R909">
        <v>76.25</v>
      </c>
      <c r="S909">
        <v>156.80000000000001</v>
      </c>
      <c r="T909" s="8">
        <f t="shared" si="28"/>
        <v>31.013282226155763</v>
      </c>
      <c r="U909" s="13" t="str" cm="1">
        <f t="array" ref="U909">IF(T909="","",_xlfn.IFS(T909&lt;18.5,"Bajo peso",T909&lt;25,"Peso normal",T909&lt;30,"Sobrepeso",T909&lt;35,"Obesidad clase I",T909&lt;40,"Obesidad clase II",T909&gt;=40,"Obesidad clase III"))</f>
        <v>Obesidad clase I</v>
      </c>
      <c r="V909">
        <v>95</v>
      </c>
      <c r="X909" t="s">
        <v>3463</v>
      </c>
      <c r="Y909">
        <v>0.66</v>
      </c>
      <c r="AA909">
        <v>90</v>
      </c>
      <c r="AB909" s="9">
        <f t="shared" si="29"/>
        <v>111.55372316553986</v>
      </c>
      <c r="AD909" t="s">
        <v>73</v>
      </c>
      <c r="AF909" t="s">
        <v>73</v>
      </c>
      <c r="AH909" t="s">
        <v>3463</v>
      </c>
      <c r="AI909" t="s">
        <v>3463</v>
      </c>
      <c r="AJ909" t="s">
        <v>3463</v>
      </c>
      <c r="AK909" t="s">
        <v>3465</v>
      </c>
      <c r="AL909" t="s">
        <v>3463</v>
      </c>
      <c r="AO909" t="s">
        <v>3463</v>
      </c>
      <c r="AP909" t="s">
        <v>3465</v>
      </c>
      <c r="AQ909" t="s">
        <v>2229</v>
      </c>
      <c r="AR909" t="s">
        <v>3508</v>
      </c>
      <c r="AT909" t="s">
        <v>3463</v>
      </c>
      <c r="AV909" t="s">
        <v>74</v>
      </c>
      <c r="AW909" t="s">
        <v>3915</v>
      </c>
      <c r="AX909" t="s">
        <v>3465</v>
      </c>
      <c r="AY909" t="s">
        <v>3465</v>
      </c>
      <c r="AZ909" t="s">
        <v>2230</v>
      </c>
      <c r="BF909" t="s">
        <v>3921</v>
      </c>
      <c r="BH909" t="s">
        <v>4020</v>
      </c>
      <c r="BP909" t="s">
        <v>4260</v>
      </c>
      <c r="BQ909" t="s">
        <v>3463</v>
      </c>
      <c r="BR909" t="s">
        <v>3463</v>
      </c>
      <c r="BS909" t="s">
        <v>3465</v>
      </c>
      <c r="BT909" t="s">
        <v>3465</v>
      </c>
      <c r="BU909" t="s">
        <v>3463</v>
      </c>
      <c r="BV909" t="s">
        <v>3463</v>
      </c>
      <c r="BW909" t="s">
        <v>3463</v>
      </c>
      <c r="BX909" t="s">
        <v>79</v>
      </c>
      <c r="BY909" t="s">
        <v>79</v>
      </c>
      <c r="BZ909" t="s">
        <v>79</v>
      </c>
      <c r="CA909" s="10">
        <v>45911</v>
      </c>
    </row>
    <row r="910" spans="1:79">
      <c r="A910">
        <v>917</v>
      </c>
      <c r="B910">
        <v>245</v>
      </c>
      <c r="C910">
        <v>43</v>
      </c>
      <c r="D910" t="s">
        <v>3466</v>
      </c>
      <c r="E910" t="s">
        <v>2231</v>
      </c>
      <c r="F910" t="s">
        <v>150</v>
      </c>
      <c r="G910" s="12" t="s">
        <v>3465</v>
      </c>
      <c r="H910" t="s">
        <v>88</v>
      </c>
      <c r="I910">
        <v>78</v>
      </c>
      <c r="J910">
        <v>74</v>
      </c>
      <c r="K910">
        <v>137</v>
      </c>
      <c r="L910">
        <v>89</v>
      </c>
      <c r="M910" t="s">
        <v>82</v>
      </c>
      <c r="N910">
        <v>126</v>
      </c>
      <c r="O910">
        <v>80</v>
      </c>
      <c r="P910" t="s">
        <v>82</v>
      </c>
      <c r="Q910" t="s">
        <v>82</v>
      </c>
      <c r="R910">
        <v>88.85</v>
      </c>
      <c r="S910">
        <v>162</v>
      </c>
      <c r="T910" s="8">
        <f t="shared" si="28"/>
        <v>33.855357415028195</v>
      </c>
      <c r="U910" s="13" t="str" cm="1">
        <f t="array" ref="U910">IF(T910="","",_xlfn.IFS(T910&lt;18.5,"Bajo peso",T910&lt;25,"Peso normal",T910&lt;30,"Sobrepeso",T910&lt;35,"Obesidad clase I",T910&lt;40,"Obesidad clase II",T910&gt;=40,"Obesidad clase III"))</f>
        <v>Obesidad clase I</v>
      </c>
      <c r="V910">
        <v>92</v>
      </c>
      <c r="X910" t="s">
        <v>3463</v>
      </c>
      <c r="Y910">
        <v>0.77</v>
      </c>
      <c r="AA910">
        <v>90</v>
      </c>
      <c r="AB910" s="9">
        <f t="shared" si="29"/>
        <v>98.096679776498405</v>
      </c>
      <c r="AD910" t="s">
        <v>73</v>
      </c>
      <c r="AF910" t="s">
        <v>73</v>
      </c>
      <c r="AH910" t="s">
        <v>3463</v>
      </c>
      <c r="AI910" t="s">
        <v>3463</v>
      </c>
      <c r="AJ910" t="s">
        <v>3463</v>
      </c>
      <c r="AK910" t="s">
        <v>3463</v>
      </c>
      <c r="AL910" t="s">
        <v>3465</v>
      </c>
      <c r="AM910" t="s">
        <v>110</v>
      </c>
      <c r="AN910" t="s">
        <v>110</v>
      </c>
      <c r="AP910" t="s">
        <v>3463</v>
      </c>
      <c r="AQ910" t="s">
        <v>2232</v>
      </c>
      <c r="AR910" t="s">
        <v>3491</v>
      </c>
      <c r="AT910" t="s">
        <v>3465</v>
      </c>
      <c r="AU910" t="s">
        <v>80</v>
      </c>
      <c r="AV910" t="s">
        <v>74</v>
      </c>
      <c r="AW910" t="s">
        <v>3915</v>
      </c>
      <c r="AY910" t="s">
        <v>3465</v>
      </c>
      <c r="AZ910" t="s">
        <v>665</v>
      </c>
      <c r="BF910" t="s">
        <v>3921</v>
      </c>
      <c r="BH910" t="s">
        <v>4020</v>
      </c>
      <c r="BP910" t="s">
        <v>4260</v>
      </c>
      <c r="BQ910" t="s">
        <v>3463</v>
      </c>
      <c r="BR910" t="s">
        <v>3463</v>
      </c>
      <c r="BS910" t="s">
        <v>3463</v>
      </c>
      <c r="BT910" t="s">
        <v>3463</v>
      </c>
      <c r="BU910" t="s">
        <v>3463</v>
      </c>
      <c r="BV910" t="s">
        <v>3463</v>
      </c>
      <c r="BW910" t="s">
        <v>3463</v>
      </c>
      <c r="BX910" t="s">
        <v>79</v>
      </c>
      <c r="BY910" t="s">
        <v>79</v>
      </c>
      <c r="BZ910" t="s">
        <v>79</v>
      </c>
      <c r="CA910" s="10">
        <v>45911</v>
      </c>
    </row>
    <row r="911" spans="1:79">
      <c r="A911">
        <v>918</v>
      </c>
      <c r="B911">
        <v>246</v>
      </c>
      <c r="C911">
        <v>63</v>
      </c>
      <c r="D911" t="s">
        <v>3462</v>
      </c>
      <c r="F911" t="s">
        <v>380</v>
      </c>
      <c r="G911" s="12" t="s">
        <v>3465</v>
      </c>
      <c r="H911" t="s">
        <v>88</v>
      </c>
      <c r="I911">
        <v>72</v>
      </c>
      <c r="J911">
        <v>72</v>
      </c>
      <c r="K911">
        <v>160</v>
      </c>
      <c r="L911">
        <v>74</v>
      </c>
      <c r="M911" t="s">
        <v>72</v>
      </c>
      <c r="N911">
        <v>95</v>
      </c>
      <c r="O911">
        <v>56</v>
      </c>
      <c r="P911" t="s">
        <v>80</v>
      </c>
      <c r="Q911" t="s">
        <v>80</v>
      </c>
      <c r="R911">
        <v>84.6</v>
      </c>
      <c r="S911">
        <v>170</v>
      </c>
      <c r="T911" s="8">
        <f t="shared" si="28"/>
        <v>29.273356401384081</v>
      </c>
      <c r="U911" s="13" t="str" cm="1">
        <f t="array" ref="U911">IF(T911="","",_xlfn.IFS(T911&lt;18.5,"Bajo peso",T911&lt;25,"Peso normal",T911&lt;30,"Sobrepeso",T911&lt;35,"Obesidad clase I",T911&lt;40,"Obesidad clase II",T911&gt;=40,"Obesidad clase III"))</f>
        <v>Sobrepeso</v>
      </c>
      <c r="V911">
        <v>119</v>
      </c>
      <c r="X911" t="s">
        <v>3463</v>
      </c>
      <c r="Y911">
        <v>1.66</v>
      </c>
      <c r="AA911">
        <v>46</v>
      </c>
      <c r="AB911" s="9">
        <f t="shared" si="29"/>
        <v>46.034790585104837</v>
      </c>
      <c r="AD911" t="s">
        <v>158</v>
      </c>
      <c r="AF911" t="s">
        <v>158</v>
      </c>
      <c r="AH911" t="s">
        <v>3463</v>
      </c>
      <c r="AI911" t="s">
        <v>3463</v>
      </c>
      <c r="AJ911" t="s">
        <v>3465</v>
      </c>
      <c r="AK911" t="s">
        <v>3463</v>
      </c>
      <c r="AL911" t="s">
        <v>3463</v>
      </c>
      <c r="AP911" t="s">
        <v>3463</v>
      </c>
      <c r="AQ911" t="s">
        <v>2233</v>
      </c>
      <c r="AR911" t="s">
        <v>3488</v>
      </c>
      <c r="AV911" t="s">
        <v>126</v>
      </c>
      <c r="AW911" t="s">
        <v>126</v>
      </c>
      <c r="BF911" t="s">
        <v>3921</v>
      </c>
      <c r="BH911" t="s">
        <v>4020</v>
      </c>
      <c r="BP911" t="s">
        <v>4260</v>
      </c>
      <c r="BQ911" t="s">
        <v>3465</v>
      </c>
      <c r="BR911" t="s">
        <v>3465</v>
      </c>
      <c r="BS911" t="s">
        <v>3463</v>
      </c>
      <c r="BT911" t="s">
        <v>3463</v>
      </c>
      <c r="BU911" t="s">
        <v>3463</v>
      </c>
      <c r="BV911" t="s">
        <v>3463</v>
      </c>
      <c r="BW911" t="s">
        <v>3463</v>
      </c>
      <c r="BX911" t="s">
        <v>79</v>
      </c>
      <c r="BY911" t="s">
        <v>87</v>
      </c>
      <c r="BZ911" t="s">
        <v>79</v>
      </c>
      <c r="CA911" s="10">
        <v>45911</v>
      </c>
    </row>
    <row r="912" spans="1:79">
      <c r="A912">
        <v>919</v>
      </c>
      <c r="B912">
        <v>247</v>
      </c>
      <c r="C912">
        <v>53</v>
      </c>
      <c r="D912" t="s">
        <v>3466</v>
      </c>
      <c r="E912" t="s">
        <v>2234</v>
      </c>
      <c r="F912" t="s">
        <v>150</v>
      </c>
      <c r="G912" s="12" t="s">
        <v>3465</v>
      </c>
      <c r="H912" t="s">
        <v>88</v>
      </c>
      <c r="I912">
        <v>66</v>
      </c>
      <c r="J912">
        <v>69</v>
      </c>
      <c r="K912">
        <v>206</v>
      </c>
      <c r="L912">
        <v>107</v>
      </c>
      <c r="M912" t="s">
        <v>96</v>
      </c>
      <c r="N912">
        <v>206</v>
      </c>
      <c r="O912">
        <v>122</v>
      </c>
      <c r="P912" t="s">
        <v>96</v>
      </c>
      <c r="Q912" t="s">
        <v>96</v>
      </c>
      <c r="R912">
        <v>90</v>
      </c>
      <c r="S912">
        <v>141</v>
      </c>
      <c r="T912" s="8">
        <f t="shared" si="28"/>
        <v>45.269352648257126</v>
      </c>
      <c r="U912" s="13" t="str" cm="1">
        <f t="array" ref="U912">IF(T912="","",_xlfn.IFS(T912&lt;18.5,"Bajo peso",T912&lt;25,"Peso normal",T912&lt;30,"Sobrepeso",T912&lt;35,"Obesidad clase I",T912&lt;40,"Obesidad clase II",T912&gt;=40,"Obesidad clase III"))</f>
        <v>Obesidad clase III</v>
      </c>
      <c r="V912">
        <v>94</v>
      </c>
      <c r="X912" t="s">
        <v>3463</v>
      </c>
      <c r="Y912">
        <v>1.23</v>
      </c>
      <c r="AA912">
        <v>52</v>
      </c>
      <c r="AB912" s="9">
        <f t="shared" si="29"/>
        <v>52.546884141090523</v>
      </c>
      <c r="AD912" t="s">
        <v>158</v>
      </c>
      <c r="AF912" t="s">
        <v>158</v>
      </c>
      <c r="AH912" t="s">
        <v>3463</v>
      </c>
      <c r="AI912" t="s">
        <v>3465</v>
      </c>
      <c r="AJ912" t="s">
        <v>3465</v>
      </c>
      <c r="AK912" t="s">
        <v>3463</v>
      </c>
      <c r="AL912" t="s">
        <v>3465</v>
      </c>
      <c r="AM912" t="s">
        <v>116</v>
      </c>
      <c r="AN912" t="s">
        <v>116</v>
      </c>
      <c r="AO912" t="s">
        <v>3463</v>
      </c>
      <c r="AP912" t="s">
        <v>3465</v>
      </c>
      <c r="AQ912" t="s">
        <v>2235</v>
      </c>
      <c r="AR912" t="s">
        <v>3504</v>
      </c>
      <c r="AS912" t="s">
        <v>3465</v>
      </c>
      <c r="AT912" t="s">
        <v>3465</v>
      </c>
      <c r="AU912" t="s">
        <v>80</v>
      </c>
      <c r="AV912" t="s">
        <v>74</v>
      </c>
      <c r="AW912" t="s">
        <v>3915</v>
      </c>
      <c r="AX912" t="s">
        <v>3463</v>
      </c>
      <c r="AY912" t="s">
        <v>3465</v>
      </c>
      <c r="AZ912" t="s">
        <v>90</v>
      </c>
      <c r="BA912" t="s">
        <v>3920</v>
      </c>
      <c r="BF912" t="s">
        <v>3921</v>
      </c>
      <c r="BG912" t="s">
        <v>2236</v>
      </c>
      <c r="BH912" t="s">
        <v>4057</v>
      </c>
      <c r="BK912" t="s">
        <v>720</v>
      </c>
      <c r="BL912" t="s">
        <v>2237</v>
      </c>
      <c r="BP912" t="s">
        <v>4506</v>
      </c>
      <c r="BQ912" t="s">
        <v>3465</v>
      </c>
      <c r="BR912" t="s">
        <v>3465</v>
      </c>
      <c r="BS912" t="s">
        <v>3465</v>
      </c>
      <c r="BT912" t="s">
        <v>3465</v>
      </c>
      <c r="BU912" t="s">
        <v>3463</v>
      </c>
      <c r="BV912" t="s">
        <v>3463</v>
      </c>
      <c r="BW912" t="s">
        <v>3463</v>
      </c>
      <c r="BX912" t="s">
        <v>518</v>
      </c>
      <c r="BY912" t="s">
        <v>79</v>
      </c>
      <c r="BZ912" t="s">
        <v>79</v>
      </c>
      <c r="CA912" s="10">
        <v>45911</v>
      </c>
    </row>
    <row r="913" spans="1:79">
      <c r="A913">
        <v>920</v>
      </c>
      <c r="B913">
        <v>248</v>
      </c>
      <c r="C913">
        <v>65</v>
      </c>
      <c r="D913" t="s">
        <v>3462</v>
      </c>
      <c r="F913" t="s">
        <v>150</v>
      </c>
      <c r="G913" s="12" t="s">
        <v>3463</v>
      </c>
      <c r="H913" s="12"/>
      <c r="I913">
        <v>76</v>
      </c>
      <c r="J913">
        <v>75</v>
      </c>
      <c r="K913">
        <v>165</v>
      </c>
      <c r="L913">
        <v>95</v>
      </c>
      <c r="M913" t="s">
        <v>72</v>
      </c>
      <c r="N913">
        <v>169</v>
      </c>
      <c r="O913">
        <v>91</v>
      </c>
      <c r="P913" t="s">
        <v>72</v>
      </c>
      <c r="Q913" t="s">
        <v>72</v>
      </c>
      <c r="R913">
        <v>73.2</v>
      </c>
      <c r="S913">
        <v>163</v>
      </c>
      <c r="T913" s="8">
        <f t="shared" si="28"/>
        <v>27.550905190259325</v>
      </c>
      <c r="U913" s="13" t="str" cm="1">
        <f t="array" ref="U913">IF(T913="","",_xlfn.IFS(T913&lt;18.5,"Bajo peso",T913&lt;25,"Peso normal",T913&lt;30,"Sobrepeso",T913&lt;35,"Obesidad clase I",T913&lt;40,"Obesidad clase II",T913&gt;=40,"Obesidad clase III"))</f>
        <v>Sobrepeso</v>
      </c>
      <c r="V913">
        <v>105</v>
      </c>
      <c r="X913" t="s">
        <v>3463</v>
      </c>
      <c r="Y913">
        <v>1.47</v>
      </c>
      <c r="AA913">
        <v>53</v>
      </c>
      <c r="AB913" s="9">
        <f t="shared" si="29"/>
        <v>52.605731093496594</v>
      </c>
      <c r="AD913" t="s">
        <v>158</v>
      </c>
      <c r="AF913" t="s">
        <v>158</v>
      </c>
      <c r="AH913" t="s">
        <v>3463</v>
      </c>
      <c r="AI913" t="s">
        <v>3463</v>
      </c>
      <c r="AJ913" t="s">
        <v>3463</v>
      </c>
      <c r="AK913" t="s">
        <v>3463</v>
      </c>
      <c r="AL913" t="s">
        <v>3463</v>
      </c>
      <c r="AQ913" t="s">
        <v>2238</v>
      </c>
      <c r="AR913" t="s">
        <v>3493</v>
      </c>
      <c r="AV913" t="s">
        <v>126</v>
      </c>
      <c r="AW913" t="s">
        <v>126</v>
      </c>
      <c r="BF913" t="s">
        <v>3921</v>
      </c>
      <c r="BH913" t="s">
        <v>4020</v>
      </c>
      <c r="BP913" t="s">
        <v>4260</v>
      </c>
      <c r="BQ913" t="s">
        <v>3463</v>
      </c>
      <c r="BR913" t="s">
        <v>3465</v>
      </c>
      <c r="BT913" t="s">
        <v>3463</v>
      </c>
      <c r="BU913" t="s">
        <v>3463</v>
      </c>
      <c r="BV913" t="s">
        <v>3463</v>
      </c>
      <c r="BW913" t="s">
        <v>3463</v>
      </c>
      <c r="BX913" t="s">
        <v>79</v>
      </c>
      <c r="BY913" t="s">
        <v>87</v>
      </c>
      <c r="BZ913" t="s">
        <v>79</v>
      </c>
      <c r="CA913" s="10">
        <v>45911</v>
      </c>
    </row>
    <row r="914" spans="1:79">
      <c r="A914">
        <v>921</v>
      </c>
      <c r="B914">
        <v>249</v>
      </c>
      <c r="C914">
        <v>24</v>
      </c>
      <c r="D914" t="s">
        <v>3466</v>
      </c>
      <c r="E914" t="s">
        <v>1657</v>
      </c>
      <c r="F914" t="s">
        <v>150</v>
      </c>
      <c r="G914" s="12" t="s">
        <v>3463</v>
      </c>
      <c r="H914" s="12"/>
      <c r="I914">
        <v>105</v>
      </c>
      <c r="J914">
        <v>103</v>
      </c>
      <c r="K914">
        <v>159</v>
      </c>
      <c r="L914">
        <v>112</v>
      </c>
      <c r="M914" t="s">
        <v>72</v>
      </c>
      <c r="N914">
        <v>160</v>
      </c>
      <c r="O914">
        <v>117</v>
      </c>
      <c r="P914" t="s">
        <v>72</v>
      </c>
      <c r="Q914" t="s">
        <v>72</v>
      </c>
      <c r="R914">
        <v>43.2</v>
      </c>
      <c r="S914">
        <v>153</v>
      </c>
      <c r="T914" s="8">
        <f t="shared" si="28"/>
        <v>18.45444059976932</v>
      </c>
      <c r="U914" s="13" t="str" cm="1">
        <f t="array" ref="U914">IF(T914="","",_xlfn.IFS(T914&lt;18.5,"Bajo peso",T914&lt;25,"Peso normal",T914&lt;30,"Sobrepeso",T914&lt;35,"Obesidad clase I",T914&lt;40,"Obesidad clase II",T914&gt;=40,"Obesidad clase III"))</f>
        <v>Bajo peso</v>
      </c>
      <c r="V914">
        <v>93</v>
      </c>
      <c r="X914" t="s">
        <v>3463</v>
      </c>
      <c r="Y914">
        <v>1.02</v>
      </c>
      <c r="AA914">
        <v>79</v>
      </c>
      <c r="AB914" s="9">
        <f t="shared" si="29"/>
        <v>78.784741903648367</v>
      </c>
      <c r="AD914" t="s">
        <v>73</v>
      </c>
      <c r="AF914" t="s">
        <v>73</v>
      </c>
      <c r="AH914" t="s">
        <v>3463</v>
      </c>
      <c r="AI914" t="s">
        <v>3465</v>
      </c>
      <c r="AJ914" t="s">
        <v>3463</v>
      </c>
      <c r="AK914" t="s">
        <v>3463</v>
      </c>
      <c r="AL914" t="s">
        <v>3463</v>
      </c>
      <c r="AP914" t="s">
        <v>3463</v>
      </c>
      <c r="AQ914" t="s">
        <v>120</v>
      </c>
      <c r="AR914" t="s">
        <v>3491</v>
      </c>
      <c r="AS914" t="s">
        <v>3465</v>
      </c>
      <c r="AT914" t="s">
        <v>3463</v>
      </c>
      <c r="AV914" t="s">
        <v>126</v>
      </c>
      <c r="AW914" t="s">
        <v>126</v>
      </c>
      <c r="AX914" t="s">
        <v>3463</v>
      </c>
      <c r="AY914" t="s">
        <v>3463</v>
      </c>
      <c r="BA914" t="s">
        <v>3920</v>
      </c>
      <c r="BF914" t="s">
        <v>3921</v>
      </c>
      <c r="BG914" t="s">
        <v>2239</v>
      </c>
      <c r="BH914" t="s">
        <v>4162</v>
      </c>
      <c r="BK914" t="s">
        <v>2240</v>
      </c>
      <c r="BP914" t="s">
        <v>4369</v>
      </c>
      <c r="BQ914" t="s">
        <v>3463</v>
      </c>
      <c r="BR914" t="s">
        <v>3463</v>
      </c>
      <c r="BS914" t="s">
        <v>3463</v>
      </c>
      <c r="BT914" t="s">
        <v>3463</v>
      </c>
      <c r="BU914" t="s">
        <v>3463</v>
      </c>
      <c r="BV914" t="s">
        <v>3463</v>
      </c>
      <c r="BW914" t="s">
        <v>3463</v>
      </c>
      <c r="BX914" t="s">
        <v>79</v>
      </c>
      <c r="BY914" t="s">
        <v>79</v>
      </c>
      <c r="BZ914" t="s">
        <v>95</v>
      </c>
      <c r="CA914" s="10">
        <v>45911</v>
      </c>
    </row>
    <row r="915" spans="1:79">
      <c r="A915">
        <v>922</v>
      </c>
      <c r="B915">
        <v>250</v>
      </c>
      <c r="C915">
        <v>45</v>
      </c>
      <c r="D915" t="s">
        <v>3462</v>
      </c>
      <c r="E915" t="s">
        <v>1966</v>
      </c>
      <c r="F915" t="s">
        <v>150</v>
      </c>
      <c r="G915" s="12" t="s">
        <v>3463</v>
      </c>
      <c r="H915" s="12"/>
      <c r="I915">
        <v>86</v>
      </c>
      <c r="K915">
        <v>135</v>
      </c>
      <c r="L915">
        <v>73</v>
      </c>
      <c r="M915" t="s">
        <v>82</v>
      </c>
      <c r="P915" t="s">
        <v>83</v>
      </c>
      <c r="Q915" t="s">
        <v>82</v>
      </c>
      <c r="R915">
        <v>78.099999999999994</v>
      </c>
      <c r="S915">
        <v>174</v>
      </c>
      <c r="T915" s="8">
        <f t="shared" si="28"/>
        <v>25.796010040956531</v>
      </c>
      <c r="U915" s="13" t="str" cm="1">
        <f t="array" ref="U915">IF(T915="","",_xlfn.IFS(T915&lt;18.5,"Bajo peso",T915&lt;25,"Peso normal",T915&lt;30,"Sobrepeso",T915&lt;35,"Obesidad clase I",T915&lt;40,"Obesidad clase II",T915&gt;=40,"Obesidad clase III"))</f>
        <v>Sobrepeso</v>
      </c>
      <c r="V915">
        <v>99</v>
      </c>
      <c r="X915" t="s">
        <v>3463</v>
      </c>
      <c r="Y915">
        <v>1.43</v>
      </c>
      <c r="AA915">
        <v>61</v>
      </c>
      <c r="AB915" s="9">
        <f t="shared" si="29"/>
        <v>61.578735871829629</v>
      </c>
      <c r="AD915" t="s">
        <v>73</v>
      </c>
      <c r="AF915" t="s">
        <v>73</v>
      </c>
      <c r="AH915" t="s">
        <v>3463</v>
      </c>
      <c r="AI915" t="s">
        <v>3463</v>
      </c>
      <c r="AJ915" t="s">
        <v>3463</v>
      </c>
      <c r="AK915" t="s">
        <v>3463</v>
      </c>
      <c r="AL915" t="s">
        <v>3463</v>
      </c>
      <c r="AP915" t="s">
        <v>3463</v>
      </c>
      <c r="AV915" t="s">
        <v>74</v>
      </c>
      <c r="AW915" t="s">
        <v>3915</v>
      </c>
      <c r="BF915" t="s">
        <v>3921</v>
      </c>
      <c r="BH915" t="s">
        <v>4020</v>
      </c>
      <c r="BP915" t="s">
        <v>4260</v>
      </c>
      <c r="BQ915" t="s">
        <v>3465</v>
      </c>
      <c r="BR915" t="s">
        <v>3465</v>
      </c>
      <c r="BT915" t="s">
        <v>3465</v>
      </c>
      <c r="BU915" t="s">
        <v>3463</v>
      </c>
      <c r="BV915" t="s">
        <v>3463</v>
      </c>
      <c r="BW915" t="s">
        <v>3463</v>
      </c>
      <c r="BX915" t="s">
        <v>518</v>
      </c>
      <c r="BY915" t="s">
        <v>79</v>
      </c>
      <c r="BZ915" t="s">
        <v>79</v>
      </c>
      <c r="CA915" s="10">
        <v>45911</v>
      </c>
    </row>
    <row r="916" spans="1:79">
      <c r="A916">
        <v>923</v>
      </c>
      <c r="B916">
        <v>251</v>
      </c>
      <c r="C916">
        <v>62</v>
      </c>
      <c r="D916" t="s">
        <v>3466</v>
      </c>
      <c r="E916" t="s">
        <v>1966</v>
      </c>
      <c r="F916" t="s">
        <v>150</v>
      </c>
      <c r="G916" s="12" t="s">
        <v>3463</v>
      </c>
      <c r="H916" s="12"/>
      <c r="I916">
        <v>97</v>
      </c>
      <c r="J916">
        <v>95</v>
      </c>
      <c r="K916">
        <v>153</v>
      </c>
      <c r="L916">
        <v>106</v>
      </c>
      <c r="M916" t="s">
        <v>72</v>
      </c>
      <c r="N916">
        <v>152</v>
      </c>
      <c r="O916">
        <v>98</v>
      </c>
      <c r="P916" t="s">
        <v>72</v>
      </c>
      <c r="Q916" t="s">
        <v>72</v>
      </c>
      <c r="R916">
        <v>69.150000000000006</v>
      </c>
      <c r="S916">
        <v>154.19999999999999</v>
      </c>
      <c r="T916" s="8">
        <f t="shared" si="28"/>
        <v>29.081944213134701</v>
      </c>
      <c r="U916" s="13" t="str" cm="1">
        <f t="array" ref="U916">IF(T916="","",_xlfn.IFS(T916&lt;18.5,"Bajo peso",T916&lt;25,"Peso normal",T916&lt;30,"Sobrepeso",T916&lt;35,"Obesidad clase I",T916&lt;40,"Obesidad clase II",T916&gt;=40,"Obesidad clase III"))</f>
        <v>Sobrepeso</v>
      </c>
      <c r="V916">
        <v>103</v>
      </c>
      <c r="X916" t="s">
        <v>3463</v>
      </c>
      <c r="Y916">
        <v>1.02</v>
      </c>
      <c r="AA916">
        <v>62</v>
      </c>
      <c r="AB916" s="9">
        <f t="shared" si="29"/>
        <v>62.201925416908573</v>
      </c>
      <c r="AD916" t="s">
        <v>73</v>
      </c>
      <c r="AF916" t="s">
        <v>73</v>
      </c>
      <c r="AH916" t="s">
        <v>3463</v>
      </c>
      <c r="AI916" t="s">
        <v>3465</v>
      </c>
      <c r="AJ916" t="s">
        <v>3463</v>
      </c>
      <c r="AK916" t="s">
        <v>3465</v>
      </c>
      <c r="AL916" t="s">
        <v>3463</v>
      </c>
      <c r="AP916" t="s">
        <v>3463</v>
      </c>
      <c r="AQ916" t="s">
        <v>2241</v>
      </c>
      <c r="AR916" t="s">
        <v>3491</v>
      </c>
      <c r="AS916" t="s">
        <v>3465</v>
      </c>
      <c r="AT916" t="s">
        <v>3463</v>
      </c>
      <c r="AV916" t="s">
        <v>74</v>
      </c>
      <c r="AW916" t="s">
        <v>3915</v>
      </c>
      <c r="AX916" t="s">
        <v>3463</v>
      </c>
      <c r="AY916" t="s">
        <v>3463</v>
      </c>
      <c r="BA916" t="s">
        <v>3920</v>
      </c>
      <c r="BC916" t="s">
        <v>128</v>
      </c>
      <c r="BF916" t="s">
        <v>3921</v>
      </c>
      <c r="BG916" t="s">
        <v>2242</v>
      </c>
      <c r="BH916" t="s">
        <v>4203</v>
      </c>
      <c r="BK916" t="s">
        <v>2243</v>
      </c>
      <c r="BL916" t="s">
        <v>2244</v>
      </c>
      <c r="BP916" t="s">
        <v>4507</v>
      </c>
      <c r="BQ916" t="s">
        <v>3463</v>
      </c>
      <c r="BR916" t="s">
        <v>3463</v>
      </c>
      <c r="BS916" t="s">
        <v>3463</v>
      </c>
      <c r="BT916" t="s">
        <v>3463</v>
      </c>
      <c r="BU916" t="s">
        <v>3463</v>
      </c>
      <c r="BV916" t="s">
        <v>3463</v>
      </c>
      <c r="BW916" t="s">
        <v>3463</v>
      </c>
      <c r="BX916" t="s">
        <v>79</v>
      </c>
      <c r="BY916" t="s">
        <v>79</v>
      </c>
      <c r="BZ916" t="s">
        <v>79</v>
      </c>
      <c r="CA916" s="10">
        <v>45911</v>
      </c>
    </row>
    <row r="917" spans="1:79">
      <c r="A917">
        <v>924</v>
      </c>
      <c r="B917">
        <v>252</v>
      </c>
      <c r="C917">
        <v>30</v>
      </c>
      <c r="D917" t="s">
        <v>3462</v>
      </c>
      <c r="F917" t="s">
        <v>150</v>
      </c>
      <c r="G917" s="12" t="s">
        <v>3463</v>
      </c>
      <c r="H917" s="12"/>
      <c r="I917">
        <v>59</v>
      </c>
      <c r="K917">
        <v>127</v>
      </c>
      <c r="L917">
        <v>63</v>
      </c>
      <c r="M917" t="s">
        <v>118</v>
      </c>
      <c r="P917" t="s">
        <v>83</v>
      </c>
      <c r="Q917" t="s">
        <v>118</v>
      </c>
      <c r="R917">
        <v>711</v>
      </c>
      <c r="S917">
        <v>163</v>
      </c>
      <c r="T917" s="8">
        <f t="shared" si="28"/>
        <v>267.60510369227296</v>
      </c>
      <c r="U917" s="13" t="str" cm="1">
        <f t="array" ref="U917">IF(T917="","",_xlfn.IFS(T917&lt;18.5,"Bajo peso",T917&lt;25,"Peso normal",T917&lt;30,"Sobrepeso",T917&lt;35,"Obesidad clase I",T917&lt;40,"Obesidad clase II",T917&gt;=40,"Obesidad clase III"))</f>
        <v>Obesidad clase III</v>
      </c>
      <c r="V917">
        <v>104</v>
      </c>
      <c r="X917" t="s">
        <v>3463</v>
      </c>
      <c r="Y917">
        <v>1.0900000000000001</v>
      </c>
      <c r="AA917">
        <v>90</v>
      </c>
      <c r="AB917" s="9">
        <f t="shared" si="29"/>
        <v>93.634809330553409</v>
      </c>
      <c r="AD917" t="s">
        <v>73</v>
      </c>
      <c r="AF917" t="s">
        <v>73</v>
      </c>
      <c r="AH917" t="s">
        <v>3463</v>
      </c>
      <c r="AI917" t="s">
        <v>3463</v>
      </c>
      <c r="AJ917" t="s">
        <v>3463</v>
      </c>
      <c r="AK917" t="s">
        <v>3463</v>
      </c>
      <c r="AP917" t="s">
        <v>3463</v>
      </c>
      <c r="AQ917" t="s">
        <v>2245</v>
      </c>
      <c r="AR917" t="s">
        <v>3494</v>
      </c>
      <c r="AV917" t="s">
        <v>126</v>
      </c>
      <c r="AW917" t="s">
        <v>126</v>
      </c>
      <c r="BF917" t="s">
        <v>3921</v>
      </c>
      <c r="BH917" t="s">
        <v>4020</v>
      </c>
      <c r="BP917" t="s">
        <v>4260</v>
      </c>
      <c r="BQ917" t="s">
        <v>3463</v>
      </c>
      <c r="BR917" t="s">
        <v>3465</v>
      </c>
      <c r="BS917" t="s">
        <v>3463</v>
      </c>
      <c r="BT917" t="s">
        <v>3463</v>
      </c>
      <c r="BU917" t="s">
        <v>3463</v>
      </c>
      <c r="BV917" t="s">
        <v>3463</v>
      </c>
      <c r="BW917" t="s">
        <v>3463</v>
      </c>
      <c r="BX917" t="s">
        <v>79</v>
      </c>
      <c r="BY917" t="s">
        <v>87</v>
      </c>
      <c r="BZ917" t="s">
        <v>79</v>
      </c>
      <c r="CA917" s="10">
        <v>45911</v>
      </c>
    </row>
    <row r="918" spans="1:79">
      <c r="A918">
        <v>925</v>
      </c>
      <c r="B918">
        <v>253</v>
      </c>
      <c r="C918">
        <v>51</v>
      </c>
      <c r="D918" t="s">
        <v>3466</v>
      </c>
      <c r="E918" t="s">
        <v>1803</v>
      </c>
      <c r="F918" t="s">
        <v>380</v>
      </c>
      <c r="G918" s="12" t="s">
        <v>3465</v>
      </c>
      <c r="H918" s="12" t="s">
        <v>88</v>
      </c>
      <c r="I918">
        <v>103</v>
      </c>
      <c r="K918">
        <v>124</v>
      </c>
      <c r="L918">
        <v>78</v>
      </c>
      <c r="M918" t="s">
        <v>118</v>
      </c>
      <c r="P918" t="s">
        <v>83</v>
      </c>
      <c r="Q918" t="s">
        <v>118</v>
      </c>
      <c r="R918">
        <v>70.400000000000006</v>
      </c>
      <c r="S918">
        <v>162</v>
      </c>
      <c r="T918" s="8">
        <f t="shared" si="28"/>
        <v>26.825179088553575</v>
      </c>
      <c r="U918" s="13" t="str" cm="1">
        <f t="array" ref="U918">IF(T918="","",_xlfn.IFS(T918&lt;18.5,"Bajo peso",T918&lt;25,"Peso normal",T918&lt;30,"Sobrepeso",T918&lt;35,"Obesidad clase I",T918&lt;40,"Obesidad clase II",T918&gt;=40,"Obesidad clase III"))</f>
        <v>Sobrepeso</v>
      </c>
      <c r="V918">
        <v>73</v>
      </c>
      <c r="X918" t="s">
        <v>3463</v>
      </c>
      <c r="Y918">
        <v>1.03</v>
      </c>
      <c r="AA918">
        <v>66</v>
      </c>
      <c r="AB918" s="9">
        <f t="shared" si="29"/>
        <v>65.830999376808848</v>
      </c>
      <c r="AD918" t="s">
        <v>73</v>
      </c>
      <c r="AF918" t="s">
        <v>73</v>
      </c>
      <c r="AH918" t="s">
        <v>3463</v>
      </c>
      <c r="AI918" t="s">
        <v>3463</v>
      </c>
      <c r="AJ918" t="s">
        <v>3463</v>
      </c>
      <c r="AK918" t="s">
        <v>3463</v>
      </c>
      <c r="AL918" t="s">
        <v>3465</v>
      </c>
      <c r="AM918" t="s">
        <v>2246</v>
      </c>
      <c r="AN918" t="s">
        <v>3817</v>
      </c>
      <c r="AP918" t="s">
        <v>3464</v>
      </c>
      <c r="AT918" t="s">
        <v>3463</v>
      </c>
      <c r="AV918" t="s">
        <v>74</v>
      </c>
      <c r="AW918" t="s">
        <v>3915</v>
      </c>
      <c r="AX918" t="s">
        <v>3463</v>
      </c>
      <c r="AY918" t="s">
        <v>3465</v>
      </c>
      <c r="AZ918" t="s">
        <v>247</v>
      </c>
      <c r="BF918" t="s">
        <v>3921</v>
      </c>
      <c r="BH918" t="s">
        <v>4020</v>
      </c>
      <c r="BP918" t="s">
        <v>4260</v>
      </c>
      <c r="BQ918" t="s">
        <v>3465</v>
      </c>
      <c r="BR918" t="s">
        <v>3465</v>
      </c>
      <c r="BS918" t="s">
        <v>3465</v>
      </c>
      <c r="BT918" t="s">
        <v>3465</v>
      </c>
      <c r="BU918" t="s">
        <v>3463</v>
      </c>
      <c r="BV918" t="s">
        <v>3463</v>
      </c>
      <c r="BW918" t="s">
        <v>3463</v>
      </c>
      <c r="BX918" t="s">
        <v>79</v>
      </c>
      <c r="BY918" t="s">
        <v>79</v>
      </c>
      <c r="BZ918" t="s">
        <v>79</v>
      </c>
      <c r="CA918" s="10">
        <v>45911</v>
      </c>
    </row>
    <row r="919" spans="1:79">
      <c r="A919">
        <v>926</v>
      </c>
      <c r="B919">
        <v>254</v>
      </c>
      <c r="C919">
        <v>64</v>
      </c>
      <c r="D919" t="s">
        <v>3462</v>
      </c>
      <c r="F919" t="s">
        <v>380</v>
      </c>
      <c r="G919" s="12" t="s">
        <v>3465</v>
      </c>
      <c r="H919" s="12" t="s">
        <v>88</v>
      </c>
      <c r="I919">
        <v>59</v>
      </c>
      <c r="J919">
        <v>60</v>
      </c>
      <c r="K919">
        <v>175</v>
      </c>
      <c r="L919">
        <v>93</v>
      </c>
      <c r="M919" t="s">
        <v>72</v>
      </c>
      <c r="N919">
        <v>149</v>
      </c>
      <c r="O919">
        <v>88</v>
      </c>
      <c r="P919" t="s">
        <v>72</v>
      </c>
      <c r="Q919" t="s">
        <v>72</v>
      </c>
      <c r="R919">
        <v>87.6</v>
      </c>
      <c r="S919">
        <v>168</v>
      </c>
      <c r="T919" s="8">
        <f t="shared" si="28"/>
        <v>31.03741496598639</v>
      </c>
      <c r="U919" s="13" t="str" cm="1">
        <f t="array" ref="U919">IF(T919="","",_xlfn.IFS(T919&lt;18.5,"Bajo peso",T919&lt;25,"Peso normal",T919&lt;30,"Sobrepeso",T919&lt;35,"Obesidad clase I",T919&lt;40,"Obesidad clase II",T919&gt;=40,"Obesidad clase III"))</f>
        <v>Obesidad clase I</v>
      </c>
      <c r="V919">
        <v>102</v>
      </c>
      <c r="X919" t="s">
        <v>3463</v>
      </c>
      <c r="Y919">
        <v>1.23</v>
      </c>
      <c r="AA919">
        <v>66</v>
      </c>
      <c r="AB919" s="9">
        <f t="shared" si="29"/>
        <v>65.558458937503772</v>
      </c>
      <c r="AD919" t="s">
        <v>73</v>
      </c>
      <c r="AF919" t="s">
        <v>73</v>
      </c>
      <c r="AH919" t="s">
        <v>3463</v>
      </c>
      <c r="AI919" t="s">
        <v>3463</v>
      </c>
      <c r="AJ919" t="s">
        <v>3465</v>
      </c>
      <c r="AK919" t="s">
        <v>3463</v>
      </c>
      <c r="AL919" t="s">
        <v>3465</v>
      </c>
      <c r="AM919" t="s">
        <v>2247</v>
      </c>
      <c r="AN919" t="s">
        <v>3818</v>
      </c>
      <c r="AP919" t="s">
        <v>3463</v>
      </c>
      <c r="AW919" t="s">
        <v>3916</v>
      </c>
      <c r="BF919" t="s">
        <v>3921</v>
      </c>
      <c r="BH919" t="s">
        <v>4020</v>
      </c>
      <c r="BP919" t="s">
        <v>4260</v>
      </c>
      <c r="BQ919" t="s">
        <v>3465</v>
      </c>
      <c r="BR919" t="s">
        <v>3463</v>
      </c>
      <c r="BS919" t="s">
        <v>3465</v>
      </c>
      <c r="BT919" t="s">
        <v>3465</v>
      </c>
      <c r="BU919" t="s">
        <v>3463</v>
      </c>
      <c r="BV919" t="s">
        <v>3463</v>
      </c>
      <c r="BW919" t="s">
        <v>3463</v>
      </c>
      <c r="BX919" t="s">
        <v>79</v>
      </c>
      <c r="BY919" t="s">
        <v>87</v>
      </c>
      <c r="BZ919" t="s">
        <v>95</v>
      </c>
      <c r="CA919" s="10">
        <v>45911</v>
      </c>
    </row>
    <row r="920" spans="1:79">
      <c r="A920">
        <v>927</v>
      </c>
      <c r="B920">
        <v>255</v>
      </c>
      <c r="C920">
        <v>60</v>
      </c>
      <c r="D920" t="s">
        <v>3462</v>
      </c>
      <c r="F920" t="s">
        <v>380</v>
      </c>
      <c r="G920" s="12" t="s">
        <v>3465</v>
      </c>
      <c r="H920" s="12" t="s">
        <v>88</v>
      </c>
      <c r="I920">
        <v>80</v>
      </c>
      <c r="J920">
        <v>79</v>
      </c>
      <c r="K920">
        <v>157</v>
      </c>
      <c r="L920">
        <v>88</v>
      </c>
      <c r="M920" t="s">
        <v>72</v>
      </c>
      <c r="N920">
        <v>141</v>
      </c>
      <c r="O920">
        <v>79</v>
      </c>
      <c r="P920" t="s">
        <v>72</v>
      </c>
      <c r="Q920" t="s">
        <v>72</v>
      </c>
      <c r="R920">
        <v>91</v>
      </c>
      <c r="S920">
        <v>165</v>
      </c>
      <c r="T920" s="8">
        <f t="shared" si="28"/>
        <v>33.425160697887968</v>
      </c>
      <c r="U920" s="13" t="str" cm="1">
        <f t="array" ref="U920">IF(T920="","",_xlfn.IFS(T920&lt;18.5,"Bajo peso",T920&lt;25,"Peso normal",T920&lt;30,"Sobrepeso",T920&lt;35,"Obesidad clase I",T920&lt;40,"Obesidad clase II",T920&gt;=40,"Obesidad clase III"))</f>
        <v>Obesidad clase I</v>
      </c>
      <c r="V920">
        <v>101</v>
      </c>
      <c r="X920" t="s">
        <v>3463</v>
      </c>
      <c r="Y920">
        <v>1.44</v>
      </c>
      <c r="AA920">
        <v>56</v>
      </c>
      <c r="AB920" s="9">
        <f t="shared" si="29"/>
        <v>55.626778536846111</v>
      </c>
      <c r="AD920" t="s">
        <v>158</v>
      </c>
      <c r="AF920" t="s">
        <v>158</v>
      </c>
      <c r="AH920" t="s">
        <v>3463</v>
      </c>
      <c r="AI920" t="s">
        <v>3463</v>
      </c>
      <c r="AJ920" t="s">
        <v>3463</v>
      </c>
      <c r="AK920" t="s">
        <v>3463</v>
      </c>
      <c r="AL920" t="s">
        <v>3463</v>
      </c>
      <c r="AP920" t="s">
        <v>3463</v>
      </c>
      <c r="AQ920" t="s">
        <v>120</v>
      </c>
      <c r="AR920" t="s">
        <v>3491</v>
      </c>
      <c r="AV920" t="s">
        <v>126</v>
      </c>
      <c r="AW920" t="s">
        <v>126</v>
      </c>
      <c r="BF920" t="s">
        <v>3921</v>
      </c>
      <c r="BH920" t="s">
        <v>4020</v>
      </c>
      <c r="BP920" t="s">
        <v>4260</v>
      </c>
      <c r="BQ920" t="s">
        <v>3463</v>
      </c>
      <c r="BR920" t="s">
        <v>3463</v>
      </c>
      <c r="BS920" t="s">
        <v>3463</v>
      </c>
      <c r="BT920" t="s">
        <v>3463</v>
      </c>
      <c r="BU920" t="s">
        <v>3463</v>
      </c>
      <c r="BV920" t="s">
        <v>3463</v>
      </c>
      <c r="BW920" t="s">
        <v>3463</v>
      </c>
      <c r="BX920" t="s">
        <v>79</v>
      </c>
      <c r="BY920" t="s">
        <v>87</v>
      </c>
      <c r="BZ920" t="s">
        <v>79</v>
      </c>
      <c r="CA920" s="10">
        <v>45911</v>
      </c>
    </row>
    <row r="921" spans="1:79">
      <c r="A921">
        <v>928</v>
      </c>
      <c r="B921">
        <v>256</v>
      </c>
      <c r="C921">
        <v>26</v>
      </c>
      <c r="D921" t="s">
        <v>3466</v>
      </c>
      <c r="E921" t="s">
        <v>2248</v>
      </c>
      <c r="F921" t="s">
        <v>150</v>
      </c>
      <c r="G921" s="12" t="s">
        <v>3465</v>
      </c>
      <c r="H921" t="s">
        <v>88</v>
      </c>
      <c r="I921">
        <v>70</v>
      </c>
      <c r="K921">
        <v>108</v>
      </c>
      <c r="L921">
        <v>74</v>
      </c>
      <c r="M921" t="s">
        <v>80</v>
      </c>
      <c r="P921" t="s">
        <v>83</v>
      </c>
      <c r="Q921" t="s">
        <v>80</v>
      </c>
      <c r="R921">
        <v>71.3</v>
      </c>
      <c r="S921">
        <v>167.5</v>
      </c>
      <c r="T921" s="8">
        <f t="shared" si="28"/>
        <v>25.413232345734013</v>
      </c>
      <c r="U921" s="13" t="str" cm="1">
        <f t="array" ref="U921">IF(T921="","",_xlfn.IFS(T921&lt;18.5,"Bajo peso",T921&lt;25,"Peso normal",T921&lt;30,"Sobrepeso",T921&lt;35,"Obesidad clase I",T921&lt;40,"Obesidad clase II",T921&gt;=40,"Obesidad clase III"))</f>
        <v>Sobrepeso</v>
      </c>
      <c r="V921">
        <v>83</v>
      </c>
      <c r="X921" t="s">
        <v>3463</v>
      </c>
      <c r="Y921">
        <v>1.39</v>
      </c>
      <c r="AA921">
        <v>54</v>
      </c>
      <c r="AB921" s="9">
        <f t="shared" si="29"/>
        <v>53.671353457376895</v>
      </c>
      <c r="AD921" t="s">
        <v>158</v>
      </c>
      <c r="AF921" t="s">
        <v>158</v>
      </c>
      <c r="AH921" t="s">
        <v>3463</v>
      </c>
      <c r="AI921" t="s">
        <v>3463</v>
      </c>
      <c r="AJ921" t="s">
        <v>3463</v>
      </c>
      <c r="AK921" t="s">
        <v>3463</v>
      </c>
      <c r="AL921" t="s">
        <v>3463</v>
      </c>
      <c r="AO921" t="s">
        <v>3464</v>
      </c>
      <c r="AP921" t="s">
        <v>3465</v>
      </c>
      <c r="AQ921" t="s">
        <v>1595</v>
      </c>
      <c r="AR921" t="s">
        <v>3528</v>
      </c>
      <c r="AT921" t="s">
        <v>3463</v>
      </c>
      <c r="AV921" t="s">
        <v>126</v>
      </c>
      <c r="AW921" t="s">
        <v>126</v>
      </c>
      <c r="AX921" t="s">
        <v>3463</v>
      </c>
      <c r="AY921" t="s">
        <v>3463</v>
      </c>
      <c r="BF921" t="s">
        <v>3921</v>
      </c>
      <c r="BG921" t="s">
        <v>2249</v>
      </c>
      <c r="BH921" t="s">
        <v>4200</v>
      </c>
      <c r="BK921" t="s">
        <v>2250</v>
      </c>
      <c r="BL921" t="s">
        <v>1883</v>
      </c>
      <c r="BP921" t="s">
        <v>4310</v>
      </c>
      <c r="BQ921" t="s">
        <v>3463</v>
      </c>
      <c r="BR921" t="s">
        <v>3463</v>
      </c>
      <c r="BS921" t="s">
        <v>3463</v>
      </c>
      <c r="BT921" t="s">
        <v>3463</v>
      </c>
      <c r="BU921" t="s">
        <v>3463</v>
      </c>
      <c r="BV921" t="s">
        <v>3463</v>
      </c>
      <c r="BW921" t="s">
        <v>3463</v>
      </c>
      <c r="BX921" t="s">
        <v>79</v>
      </c>
      <c r="BY921" t="s">
        <v>79</v>
      </c>
      <c r="BZ921" t="s">
        <v>79</v>
      </c>
      <c r="CA921" s="10">
        <v>45911</v>
      </c>
    </row>
    <row r="922" spans="1:79">
      <c r="A922">
        <v>929</v>
      </c>
      <c r="B922">
        <v>257</v>
      </c>
      <c r="C922">
        <v>49</v>
      </c>
      <c r="D922" t="s">
        <v>3462</v>
      </c>
      <c r="E922" t="s">
        <v>1966</v>
      </c>
      <c r="F922" t="s">
        <v>150</v>
      </c>
      <c r="G922" s="12" t="s">
        <v>3463</v>
      </c>
      <c r="I922">
        <v>63</v>
      </c>
      <c r="K922">
        <v>130</v>
      </c>
      <c r="L922">
        <v>83</v>
      </c>
      <c r="M922" t="s">
        <v>82</v>
      </c>
      <c r="P922" t="s">
        <v>83</v>
      </c>
      <c r="Q922" t="s">
        <v>82</v>
      </c>
      <c r="R922">
        <v>90</v>
      </c>
      <c r="S922">
        <v>161</v>
      </c>
      <c r="T922" s="8">
        <f t="shared" si="28"/>
        <v>34.720882681995292</v>
      </c>
      <c r="U922" s="13" t="str" cm="1">
        <f t="array" ref="U922">IF(T922="","",_xlfn.IFS(T922&lt;18.5,"Bajo peso",T922&lt;25,"Peso normal",T922&lt;30,"Sobrepeso",T922&lt;35,"Obesidad clase I",T922&lt;40,"Obesidad clase II",T922&gt;=40,"Obesidad clase III"))</f>
        <v>Obesidad clase I</v>
      </c>
      <c r="V922">
        <v>110</v>
      </c>
      <c r="X922" t="s">
        <v>3463</v>
      </c>
      <c r="Y922">
        <v>0.96</v>
      </c>
      <c r="AA922">
        <v>90</v>
      </c>
      <c r="AB922" s="9">
        <f t="shared" si="29"/>
        <v>96.895699911548874</v>
      </c>
      <c r="AD922" t="s">
        <v>73</v>
      </c>
      <c r="AF922" t="s">
        <v>73</v>
      </c>
      <c r="AG922" t="s">
        <v>3463</v>
      </c>
      <c r="AH922" t="s">
        <v>3465</v>
      </c>
      <c r="AI922" t="s">
        <v>3463</v>
      </c>
      <c r="AJ922" t="s">
        <v>3463</v>
      </c>
      <c r="AK922" t="s">
        <v>3463</v>
      </c>
      <c r="AL922" t="s">
        <v>3463</v>
      </c>
      <c r="AP922" t="s">
        <v>3463</v>
      </c>
      <c r="AQ922" t="s">
        <v>1574</v>
      </c>
      <c r="AR922" t="s">
        <v>3488</v>
      </c>
      <c r="AV922" t="s">
        <v>74</v>
      </c>
      <c r="AW922" t="s">
        <v>3915</v>
      </c>
      <c r="BF922" t="s">
        <v>3921</v>
      </c>
      <c r="BH922" t="s">
        <v>4020</v>
      </c>
      <c r="BP922" t="s">
        <v>4260</v>
      </c>
      <c r="BQ922" t="s">
        <v>3463</v>
      </c>
      <c r="BR922" t="s">
        <v>3465</v>
      </c>
      <c r="BS922" t="s">
        <v>3463</v>
      </c>
      <c r="BT922" t="s">
        <v>3463</v>
      </c>
      <c r="BU922" t="s">
        <v>3463</v>
      </c>
      <c r="BV922" t="s">
        <v>3463</v>
      </c>
      <c r="BW922" t="s">
        <v>3463</v>
      </c>
      <c r="BX922" t="s">
        <v>79</v>
      </c>
      <c r="BY922" t="s">
        <v>79</v>
      </c>
      <c r="BZ922" t="s">
        <v>79</v>
      </c>
      <c r="CA922" s="10">
        <v>45911</v>
      </c>
    </row>
    <row r="923" spans="1:79">
      <c r="A923">
        <v>930</v>
      </c>
      <c r="B923">
        <v>258</v>
      </c>
      <c r="C923">
        <v>23</v>
      </c>
      <c r="D923" t="s">
        <v>3462</v>
      </c>
      <c r="F923" t="s">
        <v>380</v>
      </c>
      <c r="G923" s="12" t="s">
        <v>3463</v>
      </c>
      <c r="I923">
        <v>96</v>
      </c>
      <c r="K923">
        <v>146</v>
      </c>
      <c r="L923">
        <v>90</v>
      </c>
      <c r="M923" t="s">
        <v>72</v>
      </c>
      <c r="P923" t="s">
        <v>83</v>
      </c>
      <c r="Q923" t="s">
        <v>72</v>
      </c>
      <c r="R923">
        <v>52.5</v>
      </c>
      <c r="S923">
        <v>164</v>
      </c>
      <c r="T923" s="8">
        <f t="shared" si="28"/>
        <v>19.519631171921475</v>
      </c>
      <c r="U923" s="13" t="str" cm="1">
        <f t="array" ref="U923">IF(T923="","",_xlfn.IFS(T923&lt;18.5,"Bajo peso",T923&lt;25,"Peso normal",T923&lt;30,"Sobrepeso",T923&lt;35,"Obesidad clase I",T923&lt;40,"Obesidad clase II",T923&gt;=40,"Obesidad clase III"))</f>
        <v>Peso normal</v>
      </c>
      <c r="V923">
        <v>97</v>
      </c>
      <c r="X923" t="s">
        <v>3463</v>
      </c>
      <c r="Y923">
        <v>1.1299999999999999</v>
      </c>
      <c r="AA923">
        <v>90</v>
      </c>
      <c r="AB923" s="9">
        <f t="shared" si="29"/>
        <v>93.661702760580198</v>
      </c>
      <c r="AD923" t="s">
        <v>73</v>
      </c>
      <c r="AF923" t="s">
        <v>73</v>
      </c>
      <c r="AH923" t="s">
        <v>3463</v>
      </c>
      <c r="AI923" t="s">
        <v>3463</v>
      </c>
      <c r="AJ923" t="s">
        <v>3463</v>
      </c>
      <c r="AK923" t="s">
        <v>3463</v>
      </c>
      <c r="AL923" t="s">
        <v>3463</v>
      </c>
      <c r="AP923" t="s">
        <v>3463</v>
      </c>
      <c r="AQ923" t="s">
        <v>2251</v>
      </c>
      <c r="AR923" t="s">
        <v>3561</v>
      </c>
      <c r="AW923" t="s">
        <v>3916</v>
      </c>
      <c r="BF923" t="s">
        <v>3921</v>
      </c>
      <c r="BH923" t="s">
        <v>4020</v>
      </c>
      <c r="BP923" t="s">
        <v>4260</v>
      </c>
      <c r="BQ923" t="s">
        <v>3463</v>
      </c>
      <c r="BR923" t="s">
        <v>3463</v>
      </c>
      <c r="BS923" t="s">
        <v>3463</v>
      </c>
      <c r="BT923" t="s">
        <v>3463</v>
      </c>
      <c r="BU923" t="s">
        <v>3463</v>
      </c>
      <c r="BV923" t="s">
        <v>3463</v>
      </c>
      <c r="BW923" t="s">
        <v>3463</v>
      </c>
      <c r="BX923" t="s">
        <v>79</v>
      </c>
      <c r="BY923" t="s">
        <v>87</v>
      </c>
      <c r="BZ923" t="s">
        <v>95</v>
      </c>
      <c r="CA923" s="10">
        <v>45911</v>
      </c>
    </row>
    <row r="924" spans="1:79">
      <c r="A924">
        <v>931</v>
      </c>
      <c r="B924">
        <v>259</v>
      </c>
      <c r="C924">
        <v>59</v>
      </c>
      <c r="D924" t="s">
        <v>3466</v>
      </c>
      <c r="E924" t="s">
        <v>1966</v>
      </c>
      <c r="F924" t="s">
        <v>150</v>
      </c>
      <c r="G924" s="12" t="s">
        <v>3463</v>
      </c>
      <c r="I924">
        <v>73</v>
      </c>
      <c r="K924">
        <v>122</v>
      </c>
      <c r="L924">
        <v>78</v>
      </c>
      <c r="M924" t="s">
        <v>118</v>
      </c>
      <c r="P924" t="s">
        <v>83</v>
      </c>
      <c r="Q924" t="s">
        <v>118</v>
      </c>
      <c r="R924">
        <v>56</v>
      </c>
      <c r="S924">
        <v>150</v>
      </c>
      <c r="T924" s="8">
        <f t="shared" si="28"/>
        <v>24.888888888888889</v>
      </c>
      <c r="U924" s="13" t="str" cm="1">
        <f t="array" ref="U924">IF(T924="","",_xlfn.IFS(T924&lt;18.5,"Bajo peso",T924&lt;25,"Peso normal",T924&lt;30,"Sobrepeso",T924&lt;35,"Obesidad clase I",T924&lt;40,"Obesidad clase II",T924&gt;=40,"Obesidad clase III"))</f>
        <v>Peso normal</v>
      </c>
      <c r="V924">
        <v>95</v>
      </c>
      <c r="X924" t="s">
        <v>3463</v>
      </c>
      <c r="Y924">
        <v>0.57999999999999996</v>
      </c>
      <c r="AA924">
        <v>90</v>
      </c>
      <c r="AB924" s="9">
        <f t="shared" si="29"/>
        <v>104.18180805131765</v>
      </c>
      <c r="AD924" t="s">
        <v>73</v>
      </c>
      <c r="AF924" t="s">
        <v>73</v>
      </c>
      <c r="AH924" t="s">
        <v>3463</v>
      </c>
      <c r="AI924" t="s">
        <v>3463</v>
      </c>
      <c r="AJ924" t="s">
        <v>3463</v>
      </c>
      <c r="AK924" t="s">
        <v>3463</v>
      </c>
      <c r="AL924" t="s">
        <v>3465</v>
      </c>
      <c r="AM924" t="s">
        <v>2252</v>
      </c>
      <c r="AN924" t="s">
        <v>3819</v>
      </c>
      <c r="AP924" t="s">
        <v>3465</v>
      </c>
      <c r="AQ924" t="s">
        <v>2253</v>
      </c>
      <c r="AR924" t="s">
        <v>3491</v>
      </c>
      <c r="AT924" t="s">
        <v>3465</v>
      </c>
      <c r="AU924" t="s">
        <v>80</v>
      </c>
      <c r="AV924" t="s">
        <v>74</v>
      </c>
      <c r="AW924" t="s">
        <v>3915</v>
      </c>
      <c r="AY924" t="s">
        <v>3465</v>
      </c>
      <c r="AZ924" t="s">
        <v>665</v>
      </c>
      <c r="BF924" t="s">
        <v>3921</v>
      </c>
      <c r="BH924" t="s">
        <v>4020</v>
      </c>
      <c r="BP924" t="s">
        <v>4260</v>
      </c>
      <c r="BQ924" t="s">
        <v>3463</v>
      </c>
      <c r="BR924" t="s">
        <v>3463</v>
      </c>
      <c r="BS924" t="s">
        <v>3463</v>
      </c>
      <c r="BT924" t="s">
        <v>3465</v>
      </c>
      <c r="BU924" t="s">
        <v>3463</v>
      </c>
      <c r="BV924" t="s">
        <v>3463</v>
      </c>
      <c r="BW924" t="s">
        <v>3463</v>
      </c>
      <c r="BX924" t="s">
        <v>79</v>
      </c>
      <c r="BY924" t="s">
        <v>79</v>
      </c>
      <c r="BZ924" t="s">
        <v>79</v>
      </c>
      <c r="CA924" s="10">
        <v>45911</v>
      </c>
    </row>
    <row r="925" spans="1:79">
      <c r="A925">
        <v>932</v>
      </c>
      <c r="B925">
        <v>260</v>
      </c>
      <c r="C925">
        <v>18</v>
      </c>
      <c r="D925" t="s">
        <v>3466</v>
      </c>
      <c r="E925" t="s">
        <v>2254</v>
      </c>
      <c r="F925" t="s">
        <v>150</v>
      </c>
      <c r="G925" s="12" t="s">
        <v>3465</v>
      </c>
      <c r="H925" t="s">
        <v>88</v>
      </c>
      <c r="I925">
        <v>80</v>
      </c>
      <c r="K925">
        <v>112</v>
      </c>
      <c r="L925">
        <v>81</v>
      </c>
      <c r="M925" t="s">
        <v>82</v>
      </c>
      <c r="P925" t="s">
        <v>83</v>
      </c>
      <c r="Q925" t="s">
        <v>82</v>
      </c>
      <c r="R925">
        <v>54</v>
      </c>
      <c r="S925">
        <v>141</v>
      </c>
      <c r="T925" s="8">
        <f t="shared" si="28"/>
        <v>27.16161158895428</v>
      </c>
      <c r="U925" s="13" t="str" cm="1">
        <f t="array" ref="U925">IF(T925="","",_xlfn.IFS(T925&lt;18.5,"Bajo peso",T925&lt;25,"Peso normal",T925&lt;30,"Sobrepeso",T925&lt;35,"Obesidad clase I",T925&lt;40,"Obesidad clase II",T925&gt;=40,"Obesidad clase III"))</f>
        <v>Sobrepeso</v>
      </c>
      <c r="V925">
        <v>100</v>
      </c>
      <c r="X925" t="s">
        <v>3463</v>
      </c>
      <c r="Y925">
        <v>1.45</v>
      </c>
      <c r="AA925">
        <v>54</v>
      </c>
      <c r="AB925" s="9">
        <f t="shared" si="29"/>
        <v>53.619994560935432</v>
      </c>
      <c r="AD925" t="s">
        <v>158</v>
      </c>
      <c r="AF925" t="s">
        <v>158</v>
      </c>
      <c r="AH925" t="s">
        <v>3463</v>
      </c>
      <c r="AI925" t="s">
        <v>3465</v>
      </c>
      <c r="AJ925" t="s">
        <v>3463</v>
      </c>
      <c r="AK925" t="s">
        <v>3463</v>
      </c>
      <c r="AL925" t="s">
        <v>3465</v>
      </c>
      <c r="AM925" t="s">
        <v>2255</v>
      </c>
      <c r="AN925" t="s">
        <v>3820</v>
      </c>
      <c r="AO925" t="s">
        <v>3464</v>
      </c>
      <c r="AP925" t="s">
        <v>3465</v>
      </c>
      <c r="AQ925" t="s">
        <v>955</v>
      </c>
      <c r="AR925" t="s">
        <v>3512</v>
      </c>
      <c r="AS925" t="s">
        <v>3463</v>
      </c>
      <c r="AT925" t="s">
        <v>3463</v>
      </c>
      <c r="AV925" t="s">
        <v>126</v>
      </c>
      <c r="AW925" t="s">
        <v>126</v>
      </c>
      <c r="AX925" t="s">
        <v>3463</v>
      </c>
      <c r="AY925" t="s">
        <v>3463</v>
      </c>
      <c r="BD925" t="s">
        <v>105</v>
      </c>
      <c r="BF925" t="s">
        <v>3921</v>
      </c>
      <c r="BG925" t="s">
        <v>2256</v>
      </c>
      <c r="BH925" t="s">
        <v>4053</v>
      </c>
      <c r="BI925" t="s">
        <v>629</v>
      </c>
      <c r="BK925" t="s">
        <v>2257</v>
      </c>
      <c r="BL925" t="s">
        <v>2258</v>
      </c>
      <c r="BP925" t="s">
        <v>4508</v>
      </c>
      <c r="BQ925" t="s">
        <v>3463</v>
      </c>
      <c r="BR925" t="s">
        <v>3463</v>
      </c>
      <c r="BS925" t="s">
        <v>3463</v>
      </c>
      <c r="BT925" t="s">
        <v>3463</v>
      </c>
      <c r="BU925" t="s">
        <v>3463</v>
      </c>
      <c r="BV925" t="s">
        <v>3463</v>
      </c>
      <c r="BW925" t="s">
        <v>3463</v>
      </c>
      <c r="BX925" t="s">
        <v>79</v>
      </c>
      <c r="BY925" t="s">
        <v>79</v>
      </c>
      <c r="BZ925" t="s">
        <v>95</v>
      </c>
      <c r="CA925" s="10">
        <v>45911</v>
      </c>
    </row>
    <row r="926" spans="1:79">
      <c r="A926">
        <v>933</v>
      </c>
      <c r="B926">
        <v>261</v>
      </c>
      <c r="C926">
        <v>59</v>
      </c>
      <c r="D926" t="s">
        <v>3462</v>
      </c>
      <c r="E926" t="s">
        <v>2259</v>
      </c>
      <c r="F926" t="s">
        <v>168</v>
      </c>
      <c r="G926" s="12" t="s">
        <v>3463</v>
      </c>
      <c r="H926" s="12"/>
      <c r="I926">
        <v>92</v>
      </c>
      <c r="K926">
        <v>145</v>
      </c>
      <c r="L926">
        <v>88</v>
      </c>
      <c r="M926" t="s">
        <v>72</v>
      </c>
      <c r="P926" t="s">
        <v>83</v>
      </c>
      <c r="Q926" t="s">
        <v>72</v>
      </c>
      <c r="R926">
        <v>93.15</v>
      </c>
      <c r="S926">
        <v>175.4</v>
      </c>
      <c r="T926" s="8">
        <f t="shared" si="28"/>
        <v>30.277755747085337</v>
      </c>
      <c r="U926" s="13" t="str" cm="1">
        <f t="array" ref="U926">IF(T926="","",_xlfn.IFS(T926&lt;18.5,"Bajo peso",T926&lt;25,"Peso normal",T926&lt;30,"Sobrepeso",T926&lt;35,"Obesidad clase I",T926&lt;40,"Obesidad clase II",T926&gt;=40,"Obesidad clase III"))</f>
        <v>Obesidad clase I</v>
      </c>
      <c r="V926">
        <v>94</v>
      </c>
      <c r="X926" t="s">
        <v>3463</v>
      </c>
      <c r="Y926">
        <v>1.99</v>
      </c>
      <c r="Z926">
        <v>1.72</v>
      </c>
      <c r="AA926">
        <v>38</v>
      </c>
      <c r="AB926" s="9">
        <f t="shared" si="29"/>
        <v>37.966120008389993</v>
      </c>
      <c r="AC926">
        <v>45</v>
      </c>
      <c r="AD926" t="s">
        <v>218</v>
      </c>
      <c r="AE926" t="s">
        <v>158</v>
      </c>
      <c r="AF926" t="s">
        <v>158</v>
      </c>
      <c r="AG926" t="s">
        <v>3465</v>
      </c>
      <c r="AH926" t="s">
        <v>3463</v>
      </c>
      <c r="AI926" t="s">
        <v>3465</v>
      </c>
      <c r="AJ926" t="s">
        <v>3463</v>
      </c>
      <c r="AK926" t="s">
        <v>3463</v>
      </c>
      <c r="AL926" t="s">
        <v>3465</v>
      </c>
      <c r="AM926" t="s">
        <v>472</v>
      </c>
      <c r="AN926" t="s">
        <v>3617</v>
      </c>
      <c r="AO926" t="s">
        <v>3465</v>
      </c>
      <c r="AP926" t="s">
        <v>3465</v>
      </c>
      <c r="AQ926" t="s">
        <v>2260</v>
      </c>
      <c r="AR926" t="s">
        <v>3562</v>
      </c>
      <c r="AS926" t="s">
        <v>3465</v>
      </c>
      <c r="AV926" t="s">
        <v>126</v>
      </c>
      <c r="AW926" t="s">
        <v>126</v>
      </c>
      <c r="BA926" t="s">
        <v>3920</v>
      </c>
      <c r="BC926" t="s">
        <v>128</v>
      </c>
      <c r="BD926" t="s">
        <v>105</v>
      </c>
      <c r="BE926" t="s">
        <v>153</v>
      </c>
      <c r="BF926" t="s">
        <v>153</v>
      </c>
      <c r="BG926" t="s">
        <v>2261</v>
      </c>
      <c r="BH926" t="s">
        <v>4056</v>
      </c>
      <c r="BK926" t="s">
        <v>2262</v>
      </c>
      <c r="BL926" t="s">
        <v>2263</v>
      </c>
      <c r="BP926" t="s">
        <v>4509</v>
      </c>
      <c r="BQ926" t="s">
        <v>3465</v>
      </c>
      <c r="BR926" t="s">
        <v>3465</v>
      </c>
      <c r="BS926" t="s">
        <v>3465</v>
      </c>
      <c r="BT926" t="s">
        <v>3465</v>
      </c>
      <c r="BU926" t="s">
        <v>3463</v>
      </c>
      <c r="BV926" t="s">
        <v>3463</v>
      </c>
      <c r="BW926" t="s">
        <v>3463</v>
      </c>
      <c r="BX926" t="s">
        <v>79</v>
      </c>
      <c r="BY926" t="s">
        <v>79</v>
      </c>
      <c r="BZ926" t="s">
        <v>79</v>
      </c>
      <c r="CA926" s="10">
        <v>45911</v>
      </c>
    </row>
    <row r="927" spans="1:79">
      <c r="A927">
        <v>934</v>
      </c>
      <c r="B927">
        <v>262</v>
      </c>
      <c r="C927">
        <v>57</v>
      </c>
      <c r="D927" t="s">
        <v>3462</v>
      </c>
      <c r="F927" t="s">
        <v>150</v>
      </c>
      <c r="G927" s="12" t="s">
        <v>3463</v>
      </c>
      <c r="H927" s="12"/>
      <c r="I927">
        <v>70</v>
      </c>
      <c r="J927">
        <v>67</v>
      </c>
      <c r="K927">
        <v>167</v>
      </c>
      <c r="L927">
        <v>100</v>
      </c>
      <c r="M927" t="s">
        <v>72</v>
      </c>
      <c r="N927">
        <v>151</v>
      </c>
      <c r="O927">
        <v>94</v>
      </c>
      <c r="P927" t="s">
        <v>72</v>
      </c>
      <c r="Q927" t="s">
        <v>72</v>
      </c>
      <c r="R927">
        <v>88.5</v>
      </c>
      <c r="S927">
        <v>163</v>
      </c>
      <c r="T927" s="8">
        <f t="shared" si="28"/>
        <v>33.309496029206969</v>
      </c>
      <c r="U927" s="13" t="str" cm="1">
        <f t="array" ref="U927">IF(T927="","",_xlfn.IFS(T927&lt;18.5,"Bajo peso",T927&lt;25,"Peso normal",T927&lt;30,"Sobrepeso",T927&lt;35,"Obesidad clase I",T927&lt;40,"Obesidad clase II",T927&gt;=40,"Obesidad clase III"))</f>
        <v>Obesidad clase I</v>
      </c>
      <c r="V927">
        <v>96</v>
      </c>
      <c r="X927" t="s">
        <v>3463</v>
      </c>
      <c r="Y927">
        <v>1.58</v>
      </c>
      <c r="AA927">
        <v>51</v>
      </c>
      <c r="AB927" s="9">
        <f t="shared" si="29"/>
        <v>50.70297224152246</v>
      </c>
      <c r="AD927" t="s">
        <v>158</v>
      </c>
      <c r="AF927" t="s">
        <v>158</v>
      </c>
      <c r="AH927" t="s">
        <v>3463</v>
      </c>
      <c r="AI927" t="s">
        <v>3463</v>
      </c>
      <c r="AJ927" t="s">
        <v>3463</v>
      </c>
      <c r="AK927" t="s">
        <v>3463</v>
      </c>
      <c r="AL927" t="s">
        <v>3463</v>
      </c>
      <c r="AP927" t="s">
        <v>3463</v>
      </c>
      <c r="AV927" t="s">
        <v>74</v>
      </c>
      <c r="AW927" t="s">
        <v>3915</v>
      </c>
      <c r="BF927" t="s">
        <v>3921</v>
      </c>
      <c r="BH927" t="s">
        <v>4020</v>
      </c>
      <c r="BP927" t="s">
        <v>4260</v>
      </c>
      <c r="BQ927" t="s">
        <v>3463</v>
      </c>
      <c r="BR927" t="s">
        <v>3465</v>
      </c>
      <c r="BS927" t="s">
        <v>3465</v>
      </c>
      <c r="BT927" t="s">
        <v>3465</v>
      </c>
      <c r="BU927" t="s">
        <v>3463</v>
      </c>
      <c r="BV927" t="s">
        <v>3463</v>
      </c>
      <c r="BW927" t="s">
        <v>3463</v>
      </c>
      <c r="BX927" t="s">
        <v>79</v>
      </c>
      <c r="BY927" t="s">
        <v>87</v>
      </c>
      <c r="BZ927" t="s">
        <v>79</v>
      </c>
      <c r="CA927" s="10">
        <v>45911</v>
      </c>
    </row>
    <row r="928" spans="1:79">
      <c r="A928">
        <v>935</v>
      </c>
      <c r="B928">
        <v>263</v>
      </c>
      <c r="C928">
        <v>58</v>
      </c>
      <c r="D928" t="s">
        <v>3462</v>
      </c>
      <c r="F928" t="s">
        <v>150</v>
      </c>
      <c r="G928" s="12" t="s">
        <v>3463</v>
      </c>
      <c r="H928" s="12"/>
      <c r="I928">
        <v>64</v>
      </c>
      <c r="J928">
        <v>61</v>
      </c>
      <c r="K928">
        <v>157</v>
      </c>
      <c r="L928">
        <v>93</v>
      </c>
      <c r="M928" t="s">
        <v>72</v>
      </c>
      <c r="N928">
        <v>156</v>
      </c>
      <c r="O928">
        <v>87</v>
      </c>
      <c r="P928" t="s">
        <v>72</v>
      </c>
      <c r="Q928" t="s">
        <v>72</v>
      </c>
      <c r="R928">
        <v>78.650000000000006</v>
      </c>
      <c r="S928">
        <v>162</v>
      </c>
      <c r="T928" s="8">
        <f t="shared" si="28"/>
        <v>29.968754762993449</v>
      </c>
      <c r="U928" s="13" t="str" cm="1">
        <f t="array" ref="U928">IF(T928="","",_xlfn.IFS(T928&lt;18.5,"Bajo peso",T928&lt;25,"Peso normal",T928&lt;30,"Sobrepeso",T928&lt;35,"Obesidad clase I",T928&lt;40,"Obesidad clase II",T928&gt;=40,"Obesidad clase III"))</f>
        <v>Sobrepeso</v>
      </c>
      <c r="V928">
        <v>107</v>
      </c>
      <c r="X928" t="s">
        <v>3463</v>
      </c>
      <c r="Y928">
        <v>1.1299999999999999</v>
      </c>
      <c r="AA928">
        <v>75</v>
      </c>
      <c r="AB928" s="9">
        <f t="shared" si="29"/>
        <v>75.340202519593873</v>
      </c>
      <c r="AD928" t="s">
        <v>73</v>
      </c>
      <c r="AF928" t="s">
        <v>73</v>
      </c>
      <c r="AH928" t="s">
        <v>3463</v>
      </c>
      <c r="AI928" t="s">
        <v>3465</v>
      </c>
      <c r="AJ928" t="s">
        <v>3463</v>
      </c>
      <c r="AK928" t="s">
        <v>3463</v>
      </c>
      <c r="AP928" t="s">
        <v>3463</v>
      </c>
      <c r="AS928" t="s">
        <v>3465</v>
      </c>
      <c r="AV928" t="s">
        <v>112</v>
      </c>
      <c r="AW928" t="s">
        <v>3917</v>
      </c>
      <c r="BF928" t="s">
        <v>3921</v>
      </c>
      <c r="BH928" t="s">
        <v>4020</v>
      </c>
      <c r="BP928" t="s">
        <v>4260</v>
      </c>
      <c r="BQ928" t="s">
        <v>3463</v>
      </c>
      <c r="BR928" t="s">
        <v>3465</v>
      </c>
      <c r="BS928" t="s">
        <v>3463</v>
      </c>
      <c r="BT928" t="s">
        <v>3463</v>
      </c>
      <c r="BU928" t="s">
        <v>3463</v>
      </c>
      <c r="BV928" t="s">
        <v>3463</v>
      </c>
      <c r="BW928" t="s">
        <v>3463</v>
      </c>
      <c r="BX928" t="s">
        <v>79</v>
      </c>
      <c r="BY928" t="s">
        <v>79</v>
      </c>
      <c r="BZ928" t="s">
        <v>95</v>
      </c>
      <c r="CA928" s="10">
        <v>45911</v>
      </c>
    </row>
    <row r="929" spans="1:79">
      <c r="A929">
        <v>936</v>
      </c>
      <c r="B929">
        <v>265</v>
      </c>
      <c r="C929">
        <v>36</v>
      </c>
      <c r="D929" t="s">
        <v>3462</v>
      </c>
      <c r="E929" t="s">
        <v>2264</v>
      </c>
      <c r="F929" t="s">
        <v>1804</v>
      </c>
      <c r="G929" s="12" t="s">
        <v>3463</v>
      </c>
      <c r="H929" s="12"/>
      <c r="I929">
        <v>92</v>
      </c>
      <c r="K929">
        <v>140</v>
      </c>
      <c r="L929">
        <v>82</v>
      </c>
      <c r="M929" t="s">
        <v>72</v>
      </c>
      <c r="P929" t="s">
        <v>83</v>
      </c>
      <c r="Q929" t="s">
        <v>72</v>
      </c>
      <c r="R929">
        <v>83.95</v>
      </c>
      <c r="S929">
        <v>175</v>
      </c>
      <c r="T929" s="8">
        <f t="shared" si="28"/>
        <v>27.412244897959187</v>
      </c>
      <c r="U929" s="13" t="str" cm="1">
        <f t="array" ref="U929">IF(T929="","",_xlfn.IFS(T929&lt;18.5,"Bajo peso",T929&lt;25,"Peso normal",T929&lt;30,"Sobrepeso",T929&lt;35,"Obesidad clase I",T929&lt;40,"Obesidad clase II",T929&gt;=40,"Obesidad clase III"))</f>
        <v>Sobrepeso</v>
      </c>
      <c r="V929">
        <v>119</v>
      </c>
      <c r="X929" t="s">
        <v>3463</v>
      </c>
      <c r="Y929">
        <v>2.29</v>
      </c>
      <c r="Z929">
        <v>2.15</v>
      </c>
      <c r="AA929">
        <v>37</v>
      </c>
      <c r="AB929" s="9">
        <f t="shared" si="29"/>
        <v>37.011825305426733</v>
      </c>
      <c r="AC929">
        <v>40</v>
      </c>
      <c r="AD929" t="s">
        <v>218</v>
      </c>
      <c r="AE929" t="s">
        <v>218</v>
      </c>
      <c r="AF929" t="s">
        <v>218</v>
      </c>
      <c r="AH929" t="s">
        <v>3463</v>
      </c>
      <c r="AI929" t="s">
        <v>3463</v>
      </c>
      <c r="AJ929" t="s">
        <v>3463</v>
      </c>
      <c r="AK929" t="s">
        <v>3463</v>
      </c>
      <c r="AL929" t="s">
        <v>3465</v>
      </c>
      <c r="AM929" t="s">
        <v>2265</v>
      </c>
      <c r="AN929" t="s">
        <v>2265</v>
      </c>
      <c r="AP929" t="s">
        <v>3463</v>
      </c>
      <c r="AQ929" t="s">
        <v>2266</v>
      </c>
      <c r="AR929" t="s">
        <v>3536</v>
      </c>
      <c r="AV929" t="s">
        <v>74</v>
      </c>
      <c r="AW929" t="s">
        <v>3915</v>
      </c>
      <c r="BD929" t="s">
        <v>105</v>
      </c>
      <c r="BE929" t="s">
        <v>153</v>
      </c>
      <c r="BF929" t="s">
        <v>153</v>
      </c>
      <c r="BG929" t="s">
        <v>2267</v>
      </c>
      <c r="BH929" t="s">
        <v>4129</v>
      </c>
      <c r="BI929" t="s">
        <v>411</v>
      </c>
      <c r="BK929" t="s">
        <v>2268</v>
      </c>
      <c r="BL929" t="s">
        <v>2269</v>
      </c>
      <c r="BP929" t="s">
        <v>4510</v>
      </c>
      <c r="BQ929" t="s">
        <v>3465</v>
      </c>
      <c r="BR929" t="s">
        <v>3465</v>
      </c>
      <c r="BS929" t="s">
        <v>3463</v>
      </c>
      <c r="BT929" t="s">
        <v>3463</v>
      </c>
      <c r="BU929" t="s">
        <v>3463</v>
      </c>
      <c r="BV929" t="s">
        <v>3463</v>
      </c>
      <c r="BW929" t="s">
        <v>3463</v>
      </c>
      <c r="BX929" t="s">
        <v>79</v>
      </c>
      <c r="BY929" t="s">
        <v>79</v>
      </c>
      <c r="BZ929" t="s">
        <v>95</v>
      </c>
      <c r="CA929" s="10">
        <v>45911</v>
      </c>
    </row>
    <row r="930" spans="1:79">
      <c r="A930">
        <v>937</v>
      </c>
      <c r="B930">
        <v>266</v>
      </c>
      <c r="C930">
        <v>39</v>
      </c>
      <c r="D930" t="s">
        <v>3466</v>
      </c>
      <c r="E930" t="s">
        <v>1966</v>
      </c>
      <c r="F930" t="s">
        <v>150</v>
      </c>
      <c r="G930" s="12" t="s">
        <v>3465</v>
      </c>
      <c r="H930" t="s">
        <v>88</v>
      </c>
      <c r="I930">
        <v>62</v>
      </c>
      <c r="K930">
        <v>130</v>
      </c>
      <c r="L930">
        <v>72</v>
      </c>
      <c r="M930" t="s">
        <v>82</v>
      </c>
      <c r="P930" t="s">
        <v>83</v>
      </c>
      <c r="Q930" t="s">
        <v>82</v>
      </c>
      <c r="R930">
        <v>80</v>
      </c>
      <c r="S930">
        <v>161</v>
      </c>
      <c r="T930" s="8">
        <f t="shared" si="28"/>
        <v>30.863006828440263</v>
      </c>
      <c r="U930" s="13" t="str" cm="1">
        <f t="array" ref="U930">IF(T930="","",_xlfn.IFS(T930&lt;18.5,"Bajo peso",T930&lt;25,"Peso normal",T930&lt;30,"Sobrepeso",T930&lt;35,"Obesidad clase I",T930&lt;40,"Obesidad clase II",T930&gt;=40,"Obesidad clase III"))</f>
        <v>Obesidad clase I</v>
      </c>
      <c r="V930">
        <v>87</v>
      </c>
      <c r="X930" t="s">
        <v>3463</v>
      </c>
      <c r="Y930">
        <v>0.85</v>
      </c>
      <c r="AA930">
        <v>90</v>
      </c>
      <c r="AB930" s="9">
        <f t="shared" si="29"/>
        <v>89.319132834082424</v>
      </c>
      <c r="AD930" t="s">
        <v>73</v>
      </c>
      <c r="AF930" t="s">
        <v>73</v>
      </c>
      <c r="AH930" t="s">
        <v>3463</v>
      </c>
      <c r="AI930" t="s">
        <v>3463</v>
      </c>
      <c r="AJ930" t="s">
        <v>3463</v>
      </c>
      <c r="AK930" t="s">
        <v>3463</v>
      </c>
      <c r="AL930" t="s">
        <v>3465</v>
      </c>
      <c r="AM930" t="s">
        <v>2270</v>
      </c>
      <c r="AN930" t="s">
        <v>3821</v>
      </c>
      <c r="AP930" t="s">
        <v>3463</v>
      </c>
      <c r="AT930" t="s">
        <v>3463</v>
      </c>
      <c r="AV930" t="s">
        <v>126</v>
      </c>
      <c r="AW930" t="s">
        <v>126</v>
      </c>
      <c r="AY930" t="s">
        <v>3465</v>
      </c>
      <c r="AZ930" t="s">
        <v>665</v>
      </c>
      <c r="BF930" t="s">
        <v>3921</v>
      </c>
      <c r="BH930" t="s">
        <v>4020</v>
      </c>
      <c r="BP930" t="s">
        <v>4260</v>
      </c>
      <c r="BQ930" t="s">
        <v>3463</v>
      </c>
      <c r="BR930" t="s">
        <v>3463</v>
      </c>
      <c r="BS930" t="s">
        <v>3463</v>
      </c>
      <c r="BT930" t="s">
        <v>3465</v>
      </c>
      <c r="BU930" t="s">
        <v>3463</v>
      </c>
      <c r="BV930" t="s">
        <v>3463</v>
      </c>
      <c r="BW930" t="s">
        <v>3463</v>
      </c>
      <c r="BX930" t="s">
        <v>79</v>
      </c>
      <c r="BY930" t="s">
        <v>79</v>
      </c>
      <c r="BZ930" t="s">
        <v>79</v>
      </c>
      <c r="CA930" s="10">
        <v>45911</v>
      </c>
    </row>
    <row r="931" spans="1:79">
      <c r="A931">
        <v>938</v>
      </c>
      <c r="B931">
        <v>267</v>
      </c>
      <c r="C931">
        <v>44</v>
      </c>
      <c r="D931" t="s">
        <v>3462</v>
      </c>
      <c r="F931" t="s">
        <v>150</v>
      </c>
      <c r="G931" s="12" t="s">
        <v>3463</v>
      </c>
      <c r="I931">
        <v>68</v>
      </c>
      <c r="J931">
        <v>65</v>
      </c>
      <c r="K931">
        <v>144</v>
      </c>
      <c r="L931">
        <v>88</v>
      </c>
      <c r="M931" t="s">
        <v>72</v>
      </c>
      <c r="N931">
        <v>141</v>
      </c>
      <c r="O931">
        <v>93</v>
      </c>
      <c r="P931" t="s">
        <v>72</v>
      </c>
      <c r="Q931" t="s">
        <v>72</v>
      </c>
      <c r="R931">
        <v>73.900000000000006</v>
      </c>
      <c r="S931">
        <v>164</v>
      </c>
      <c r="T931" s="8">
        <f t="shared" si="28"/>
        <v>27.476204640095183</v>
      </c>
      <c r="U931" s="13" t="str" cm="1">
        <f t="array" ref="U931">IF(T931="","",_xlfn.IFS(T931&lt;18.5,"Bajo peso",T931&lt;25,"Peso normal",T931&lt;30,"Sobrepeso",T931&lt;35,"Obesidad clase I",T931&lt;40,"Obesidad clase II",T931&gt;=40,"Obesidad clase III"))</f>
        <v>Sobrepeso</v>
      </c>
      <c r="V931">
        <v>96</v>
      </c>
      <c r="X931" t="s">
        <v>3463</v>
      </c>
      <c r="Y931">
        <v>1.44</v>
      </c>
      <c r="AA931">
        <v>62</v>
      </c>
      <c r="AB931" s="9">
        <f t="shared" si="29"/>
        <v>61.446907587022423</v>
      </c>
      <c r="AD931" t="s">
        <v>73</v>
      </c>
      <c r="AF931" t="s">
        <v>73</v>
      </c>
      <c r="AH931" t="s">
        <v>3463</v>
      </c>
      <c r="AI931" t="s">
        <v>3463</v>
      </c>
      <c r="AJ931" t="s">
        <v>3463</v>
      </c>
      <c r="AK931" t="s">
        <v>3463</v>
      </c>
      <c r="AL931" t="s">
        <v>3465</v>
      </c>
      <c r="AM931" t="s">
        <v>2271</v>
      </c>
      <c r="AN931" t="s">
        <v>3822</v>
      </c>
      <c r="AP931" t="s">
        <v>3463</v>
      </c>
      <c r="AQ931" t="s">
        <v>2272</v>
      </c>
      <c r="AR931" t="s">
        <v>3580</v>
      </c>
      <c r="AV931" t="s">
        <v>126</v>
      </c>
      <c r="AW931" t="s">
        <v>126</v>
      </c>
      <c r="BF931" t="s">
        <v>3921</v>
      </c>
      <c r="BH931" t="s">
        <v>4020</v>
      </c>
      <c r="BP931" t="s">
        <v>4260</v>
      </c>
      <c r="BQ931" t="s">
        <v>3463</v>
      </c>
      <c r="BR931" t="s">
        <v>3465</v>
      </c>
      <c r="BS931" t="s">
        <v>3463</v>
      </c>
      <c r="BT931" t="s">
        <v>3463</v>
      </c>
      <c r="BU931" t="s">
        <v>3463</v>
      </c>
      <c r="BV931" t="s">
        <v>3463</v>
      </c>
      <c r="BW931" t="s">
        <v>3463</v>
      </c>
      <c r="BX931" t="s">
        <v>79</v>
      </c>
      <c r="BY931" t="s">
        <v>87</v>
      </c>
      <c r="BZ931" t="s">
        <v>95</v>
      </c>
      <c r="CA931" s="10">
        <v>45911</v>
      </c>
    </row>
    <row r="932" spans="1:79">
      <c r="A932">
        <v>939</v>
      </c>
      <c r="B932">
        <v>269</v>
      </c>
      <c r="C932">
        <v>76</v>
      </c>
      <c r="D932" t="s">
        <v>3466</v>
      </c>
      <c r="E932" t="s">
        <v>1659</v>
      </c>
      <c r="F932" t="s">
        <v>150</v>
      </c>
      <c r="G932" s="12" t="s">
        <v>3465</v>
      </c>
      <c r="H932" t="s">
        <v>88</v>
      </c>
      <c r="I932">
        <v>80</v>
      </c>
      <c r="K932">
        <v>133</v>
      </c>
      <c r="L932">
        <v>53</v>
      </c>
      <c r="M932" t="s">
        <v>82</v>
      </c>
      <c r="P932" t="s">
        <v>83</v>
      </c>
      <c r="Q932" t="s">
        <v>82</v>
      </c>
      <c r="R932">
        <v>67.400000000000006</v>
      </c>
      <c r="S932">
        <v>149</v>
      </c>
      <c r="T932" s="8">
        <f t="shared" si="28"/>
        <v>30.358992838160447</v>
      </c>
      <c r="U932" s="13" t="str" cm="1">
        <f t="array" ref="U932">IF(T932="","",_xlfn.IFS(T932&lt;18.5,"Bajo peso",T932&lt;25,"Peso normal",T932&lt;30,"Sobrepeso",T932&lt;35,"Obesidad clase I",T932&lt;40,"Obesidad clase II",T932&gt;=40,"Obesidad clase III"))</f>
        <v>Obesidad clase I</v>
      </c>
      <c r="V932">
        <v>85</v>
      </c>
      <c r="X932" t="s">
        <v>3463</v>
      </c>
      <c r="Y932">
        <v>1.04</v>
      </c>
      <c r="AA932">
        <v>56</v>
      </c>
      <c r="AB932" s="9">
        <f t="shared" si="29"/>
        <v>55.701888661120933</v>
      </c>
      <c r="AD932" t="s">
        <v>158</v>
      </c>
      <c r="AF932" t="s">
        <v>158</v>
      </c>
      <c r="AH932" t="s">
        <v>3463</v>
      </c>
      <c r="AI932" t="s">
        <v>3463</v>
      </c>
      <c r="AJ932" t="s">
        <v>3464</v>
      </c>
      <c r="AK932" t="s">
        <v>3463</v>
      </c>
      <c r="AL932" t="s">
        <v>3465</v>
      </c>
      <c r="AM932" t="s">
        <v>110</v>
      </c>
      <c r="AN932" t="s">
        <v>110</v>
      </c>
      <c r="AP932" t="s">
        <v>3464</v>
      </c>
      <c r="AQ932" t="s">
        <v>143</v>
      </c>
      <c r="AR932" t="s">
        <v>3493</v>
      </c>
      <c r="AV932" t="s">
        <v>178</v>
      </c>
      <c r="AW932" t="s">
        <v>3918</v>
      </c>
      <c r="AX932" t="s">
        <v>3463</v>
      </c>
      <c r="BF932" t="s">
        <v>3921</v>
      </c>
      <c r="BG932" t="s">
        <v>2273</v>
      </c>
      <c r="BH932" t="s">
        <v>4204</v>
      </c>
      <c r="BL932" t="s">
        <v>2274</v>
      </c>
      <c r="BP932" t="s">
        <v>4511</v>
      </c>
      <c r="BQ932" t="s">
        <v>3463</v>
      </c>
      <c r="BR932" t="s">
        <v>3465</v>
      </c>
      <c r="BS932" t="s">
        <v>3463</v>
      </c>
      <c r="BT932" t="s">
        <v>3463</v>
      </c>
      <c r="BU932" t="s">
        <v>3463</v>
      </c>
      <c r="BV932" t="s">
        <v>3463</v>
      </c>
      <c r="BW932" t="s">
        <v>3463</v>
      </c>
      <c r="BX932" t="s">
        <v>79</v>
      </c>
      <c r="BY932" t="s">
        <v>79</v>
      </c>
      <c r="BZ932" t="s">
        <v>79</v>
      </c>
      <c r="CA932" s="10">
        <v>45911</v>
      </c>
    </row>
    <row r="933" spans="1:79">
      <c r="A933">
        <v>940</v>
      </c>
      <c r="B933">
        <v>270</v>
      </c>
      <c r="C933">
        <v>24</v>
      </c>
      <c r="D933" t="s">
        <v>3462</v>
      </c>
      <c r="F933" t="s">
        <v>150</v>
      </c>
      <c r="G933" s="12" t="s">
        <v>3463</v>
      </c>
      <c r="H933" s="12"/>
      <c r="I933">
        <v>77</v>
      </c>
      <c r="K933">
        <v>128</v>
      </c>
      <c r="L933">
        <v>70</v>
      </c>
      <c r="M933" t="s">
        <v>118</v>
      </c>
      <c r="P933" t="s">
        <v>83</v>
      </c>
      <c r="Q933" t="s">
        <v>118</v>
      </c>
      <c r="R933">
        <v>78</v>
      </c>
      <c r="S933">
        <v>177</v>
      </c>
      <c r="T933" s="8">
        <f t="shared" si="28"/>
        <v>24.897060231734176</v>
      </c>
      <c r="U933" s="13" t="str" cm="1">
        <f t="array" ref="U933">IF(T933="","",_xlfn.IFS(T933&lt;18.5,"Bajo peso",T933&lt;25,"Peso normal",T933&lt;30,"Sobrepeso",T933&lt;35,"Obesidad clase I",T933&lt;40,"Obesidad clase II",T933&gt;=40,"Obesidad clase III"))</f>
        <v>Peso normal</v>
      </c>
      <c r="V933">
        <v>117</v>
      </c>
      <c r="X933" t="s">
        <v>3463</v>
      </c>
      <c r="Y933">
        <v>1.37</v>
      </c>
      <c r="AA933">
        <v>74</v>
      </c>
      <c r="AB933" s="9">
        <f t="shared" si="29"/>
        <v>73.873809125654262</v>
      </c>
      <c r="AD933" t="s">
        <v>73</v>
      </c>
      <c r="AF933" t="s">
        <v>73</v>
      </c>
      <c r="AH933" t="s">
        <v>3463</v>
      </c>
      <c r="AI933" t="s">
        <v>3463</v>
      </c>
      <c r="AJ933" t="s">
        <v>3463</v>
      </c>
      <c r="AK933" t="s">
        <v>3463</v>
      </c>
      <c r="AP933" t="s">
        <v>3463</v>
      </c>
      <c r="AQ933" t="s">
        <v>2275</v>
      </c>
      <c r="AR933" t="s">
        <v>3493</v>
      </c>
      <c r="AV933" t="s">
        <v>126</v>
      </c>
      <c r="AW933" t="s">
        <v>126</v>
      </c>
      <c r="BF933" t="s">
        <v>3921</v>
      </c>
      <c r="BH933" t="s">
        <v>4020</v>
      </c>
      <c r="BP933" t="s">
        <v>4260</v>
      </c>
      <c r="BQ933" t="s">
        <v>3465</v>
      </c>
      <c r="BR933" t="s">
        <v>3465</v>
      </c>
      <c r="BS933" t="s">
        <v>3463</v>
      </c>
      <c r="BT933" t="s">
        <v>3465</v>
      </c>
      <c r="BU933" t="s">
        <v>3463</v>
      </c>
      <c r="BV933" t="s">
        <v>3463</v>
      </c>
      <c r="BW933" t="s">
        <v>3463</v>
      </c>
      <c r="BX933" t="s">
        <v>79</v>
      </c>
      <c r="BY933" t="s">
        <v>87</v>
      </c>
      <c r="BZ933" t="s">
        <v>95</v>
      </c>
      <c r="CA933" s="10">
        <v>45911</v>
      </c>
    </row>
    <row r="934" spans="1:79">
      <c r="A934">
        <v>941</v>
      </c>
      <c r="B934">
        <v>271</v>
      </c>
      <c r="C934">
        <v>26</v>
      </c>
      <c r="D934" t="s">
        <v>3466</v>
      </c>
      <c r="E934" t="s">
        <v>1657</v>
      </c>
      <c r="G934" s="12" t="s">
        <v>3465</v>
      </c>
      <c r="H934" t="s">
        <v>88</v>
      </c>
      <c r="I934">
        <v>74</v>
      </c>
      <c r="K934">
        <v>127</v>
      </c>
      <c r="L934">
        <v>74</v>
      </c>
      <c r="M934" t="s">
        <v>118</v>
      </c>
      <c r="P934" t="s">
        <v>83</v>
      </c>
      <c r="Q934" t="s">
        <v>118</v>
      </c>
      <c r="R934">
        <v>65.400000000000006</v>
      </c>
      <c r="S934">
        <v>162</v>
      </c>
      <c r="T934" s="8">
        <f t="shared" si="28"/>
        <v>24.919981710105169</v>
      </c>
      <c r="U934" s="13" t="str" cm="1">
        <f t="array" ref="U934">IF(T934="","",_xlfn.IFS(T934&lt;18.5,"Bajo peso",T934&lt;25,"Peso normal",T934&lt;30,"Sobrepeso",T934&lt;35,"Obesidad clase I",T934&lt;40,"Obesidad clase II",T934&gt;=40,"Obesidad clase III"))</f>
        <v>Peso normal</v>
      </c>
      <c r="V934">
        <v>87</v>
      </c>
      <c r="X934" t="s">
        <v>3463</v>
      </c>
      <c r="Y934">
        <v>0.98</v>
      </c>
      <c r="AA934">
        <v>81</v>
      </c>
      <c r="AB934" s="9">
        <f t="shared" si="29"/>
        <v>81.637372166425919</v>
      </c>
      <c r="AD934" t="s">
        <v>73</v>
      </c>
      <c r="AF934" t="s">
        <v>73</v>
      </c>
      <c r="AH934" t="s">
        <v>3463</v>
      </c>
      <c r="AI934" t="s">
        <v>3463</v>
      </c>
      <c r="AJ934" t="s">
        <v>3465</v>
      </c>
      <c r="AK934" t="s">
        <v>3463</v>
      </c>
      <c r="AL934" t="s">
        <v>3463</v>
      </c>
      <c r="AP934" t="s">
        <v>3463</v>
      </c>
      <c r="AQ934" t="s">
        <v>2276</v>
      </c>
      <c r="AR934" t="s">
        <v>3581</v>
      </c>
      <c r="AV934" t="s">
        <v>126</v>
      </c>
      <c r="AW934" t="s">
        <v>126</v>
      </c>
      <c r="BF934" t="s">
        <v>3921</v>
      </c>
      <c r="BH934" t="s">
        <v>4020</v>
      </c>
      <c r="BP934" t="s">
        <v>4260</v>
      </c>
      <c r="BQ934" t="s">
        <v>3463</v>
      </c>
      <c r="BR934" t="s">
        <v>3465</v>
      </c>
      <c r="BS934" t="s">
        <v>3463</v>
      </c>
      <c r="BT934" t="s">
        <v>3463</v>
      </c>
      <c r="BU934" t="s">
        <v>3463</v>
      </c>
      <c r="BV934" t="s">
        <v>3463</v>
      </c>
      <c r="BW934" t="s">
        <v>3463</v>
      </c>
      <c r="BX934" t="s">
        <v>79</v>
      </c>
      <c r="BY934" t="s">
        <v>79</v>
      </c>
      <c r="BZ934" t="s">
        <v>95</v>
      </c>
      <c r="CA934" s="10">
        <v>45911</v>
      </c>
    </row>
    <row r="935" spans="1:79">
      <c r="A935">
        <v>942</v>
      </c>
      <c r="B935">
        <v>272</v>
      </c>
      <c r="C935">
        <v>50</v>
      </c>
      <c r="D935" t="s">
        <v>3466</v>
      </c>
      <c r="E935" t="s">
        <v>1966</v>
      </c>
      <c r="F935" t="s">
        <v>150</v>
      </c>
      <c r="G935" s="12" t="s">
        <v>3465</v>
      </c>
      <c r="H935" t="s">
        <v>88</v>
      </c>
      <c r="I935">
        <v>98</v>
      </c>
      <c r="J935">
        <v>65</v>
      </c>
      <c r="K935">
        <v>170</v>
      </c>
      <c r="L935">
        <v>95</v>
      </c>
      <c r="M935" t="s">
        <v>72</v>
      </c>
      <c r="N935">
        <v>154</v>
      </c>
      <c r="O935">
        <v>103</v>
      </c>
      <c r="P935" t="s">
        <v>72</v>
      </c>
      <c r="Q935" t="s">
        <v>72</v>
      </c>
      <c r="R935">
        <v>96.2</v>
      </c>
      <c r="S935">
        <v>153</v>
      </c>
      <c r="T935" s="8">
        <f t="shared" si="28"/>
        <v>41.09530522448631</v>
      </c>
      <c r="U935" s="13" t="str" cm="1">
        <f t="array" ref="U935">IF(T935="","",_xlfn.IFS(T935&lt;18.5,"Bajo peso",T935&lt;25,"Peso normal",T935&lt;30,"Sobrepeso",T935&lt;35,"Obesidad clase I",T935&lt;40,"Obesidad clase II",T935&gt;=40,"Obesidad clase III"))</f>
        <v>Obesidad clase III</v>
      </c>
      <c r="V935">
        <v>98</v>
      </c>
      <c r="X935" t="s">
        <v>3463</v>
      </c>
      <c r="Y935">
        <v>0.74</v>
      </c>
      <c r="AA935">
        <v>90</v>
      </c>
      <c r="AB935" s="9">
        <f t="shared" si="29"/>
        <v>98.504951542828778</v>
      </c>
      <c r="AD935" t="s">
        <v>73</v>
      </c>
      <c r="AF935" t="s">
        <v>73</v>
      </c>
      <c r="AH935" t="s">
        <v>3463</v>
      </c>
      <c r="AI935" t="s">
        <v>3463</v>
      </c>
      <c r="AJ935" t="s">
        <v>3463</v>
      </c>
      <c r="AK935" t="s">
        <v>3463</v>
      </c>
      <c r="AL935" t="s">
        <v>3465</v>
      </c>
      <c r="AM935" t="s">
        <v>2277</v>
      </c>
      <c r="AN935" t="s">
        <v>3823</v>
      </c>
      <c r="AP935" t="s">
        <v>3463</v>
      </c>
      <c r="AQ935" t="s">
        <v>2278</v>
      </c>
      <c r="AR935" t="s">
        <v>3490</v>
      </c>
      <c r="AT935" t="s">
        <v>3465</v>
      </c>
      <c r="AU935" t="s">
        <v>80</v>
      </c>
      <c r="AV935" t="s">
        <v>74</v>
      </c>
      <c r="AW935" t="s">
        <v>3915</v>
      </c>
      <c r="AX935" t="s">
        <v>3463</v>
      </c>
      <c r="AY935" t="s">
        <v>3465</v>
      </c>
      <c r="AZ935" t="s">
        <v>2279</v>
      </c>
      <c r="BA935" t="s">
        <v>3920</v>
      </c>
      <c r="BC935" t="s">
        <v>128</v>
      </c>
      <c r="BF935" t="s">
        <v>3921</v>
      </c>
      <c r="BG935" t="s">
        <v>2280</v>
      </c>
      <c r="BH935" t="s">
        <v>4034</v>
      </c>
      <c r="BI935" t="s">
        <v>76</v>
      </c>
      <c r="BK935" t="s">
        <v>2281</v>
      </c>
      <c r="BL935" t="s">
        <v>2282</v>
      </c>
      <c r="BP935" t="s">
        <v>4512</v>
      </c>
      <c r="BQ935" t="s">
        <v>3463</v>
      </c>
      <c r="BR935" t="s">
        <v>3465</v>
      </c>
      <c r="BS935" t="s">
        <v>3463</v>
      </c>
      <c r="BT935" t="s">
        <v>3463</v>
      </c>
      <c r="BU935" t="s">
        <v>3463</v>
      </c>
      <c r="BV935" t="s">
        <v>3463</v>
      </c>
      <c r="BW935" t="s">
        <v>3463</v>
      </c>
      <c r="BX935" t="s">
        <v>79</v>
      </c>
      <c r="BY935" t="s">
        <v>79</v>
      </c>
      <c r="BZ935" t="s">
        <v>79</v>
      </c>
      <c r="CA935" s="10">
        <v>45911</v>
      </c>
    </row>
    <row r="936" spans="1:79">
      <c r="A936">
        <v>943</v>
      </c>
      <c r="B936">
        <v>273</v>
      </c>
      <c r="C936">
        <v>57</v>
      </c>
      <c r="D936" t="s">
        <v>3462</v>
      </c>
      <c r="E936" t="s">
        <v>2169</v>
      </c>
      <c r="F936" t="s">
        <v>150</v>
      </c>
      <c r="G936" s="12" t="s">
        <v>3463</v>
      </c>
      <c r="I936">
        <v>65</v>
      </c>
      <c r="K936">
        <v>145</v>
      </c>
      <c r="L936">
        <v>84</v>
      </c>
      <c r="M936" t="s">
        <v>72</v>
      </c>
      <c r="P936" t="s">
        <v>83</v>
      </c>
      <c r="Q936" t="s">
        <v>72</v>
      </c>
      <c r="R936">
        <v>88.5</v>
      </c>
      <c r="S936">
        <v>177</v>
      </c>
      <c r="T936" s="8">
        <f t="shared" si="28"/>
        <v>28.248587570621467</v>
      </c>
      <c r="U936" s="13" t="str" cm="1">
        <f t="array" ref="U936">IF(T936="","",_xlfn.IFS(T936&lt;18.5,"Bajo peso",T936&lt;25,"Peso normal",T936&lt;30,"Sobrepeso",T936&lt;35,"Obesidad clase I",T936&lt;40,"Obesidad clase II",T936&gt;=40,"Obesidad clase III"))</f>
        <v>Sobrepeso</v>
      </c>
      <c r="V936">
        <v>112</v>
      </c>
      <c r="X936" t="s">
        <v>3463</v>
      </c>
      <c r="Y936">
        <v>1.18</v>
      </c>
      <c r="AA936">
        <v>72</v>
      </c>
      <c r="AB936" s="9">
        <f t="shared" si="29"/>
        <v>71.97199055405332</v>
      </c>
      <c r="AD936" t="s">
        <v>73</v>
      </c>
      <c r="AF936" t="s">
        <v>73</v>
      </c>
      <c r="AH936" t="s">
        <v>3463</v>
      </c>
      <c r="AI936" t="s">
        <v>3463</v>
      </c>
      <c r="AJ936" t="s">
        <v>3463</v>
      </c>
      <c r="AK936" t="s">
        <v>3463</v>
      </c>
      <c r="AL936" t="s">
        <v>3463</v>
      </c>
      <c r="AP936" t="s">
        <v>3463</v>
      </c>
      <c r="AQ936" t="s">
        <v>2283</v>
      </c>
      <c r="AR936" t="s">
        <v>3488</v>
      </c>
      <c r="AW936" t="s">
        <v>3916</v>
      </c>
      <c r="BF936" t="s">
        <v>3921</v>
      </c>
      <c r="BH936" t="s">
        <v>4020</v>
      </c>
      <c r="BP936" t="s">
        <v>4260</v>
      </c>
      <c r="BQ936" t="s">
        <v>3463</v>
      </c>
      <c r="BR936" t="s">
        <v>3465</v>
      </c>
      <c r="BS936" t="s">
        <v>3463</v>
      </c>
      <c r="BT936" t="s">
        <v>3465</v>
      </c>
      <c r="BU936" t="s">
        <v>3463</v>
      </c>
      <c r="BV936" t="s">
        <v>3463</v>
      </c>
      <c r="BW936" t="s">
        <v>3463</v>
      </c>
      <c r="BX936" t="s">
        <v>79</v>
      </c>
      <c r="BY936" t="s">
        <v>87</v>
      </c>
      <c r="BZ936" t="s">
        <v>95</v>
      </c>
      <c r="CA936" s="10">
        <v>45911</v>
      </c>
    </row>
    <row r="937" spans="1:79">
      <c r="A937">
        <v>944</v>
      </c>
      <c r="B937">
        <v>274</v>
      </c>
      <c r="C937">
        <v>62</v>
      </c>
      <c r="D937" t="s">
        <v>3462</v>
      </c>
      <c r="E937" t="s">
        <v>2284</v>
      </c>
      <c r="F937" t="s">
        <v>380</v>
      </c>
      <c r="G937" s="12" t="s">
        <v>3463</v>
      </c>
      <c r="I937">
        <v>76</v>
      </c>
      <c r="K937">
        <v>131</v>
      </c>
      <c r="L937">
        <v>75</v>
      </c>
      <c r="M937" t="s">
        <v>82</v>
      </c>
      <c r="P937" t="s">
        <v>83</v>
      </c>
      <c r="Q937" t="s">
        <v>82</v>
      </c>
      <c r="R937">
        <v>81.150000000000006</v>
      </c>
      <c r="S937">
        <v>169</v>
      </c>
      <c r="T937" s="8">
        <f t="shared" si="28"/>
        <v>28.412870697804699</v>
      </c>
      <c r="U937" s="13" t="str" cm="1">
        <f t="array" ref="U937">IF(T937="","",_xlfn.IFS(T937&lt;18.5,"Bajo peso",T937&lt;25,"Peso normal",T937&lt;30,"Sobrepeso",T937&lt;35,"Obesidad clase I",T937&lt;40,"Obesidad clase II",T937&gt;=40,"Obesidad clase III"))</f>
        <v>Sobrepeso</v>
      </c>
      <c r="V937">
        <v>170</v>
      </c>
      <c r="X937" t="s">
        <v>3463</v>
      </c>
      <c r="Y937">
        <v>1.25</v>
      </c>
      <c r="AA937">
        <v>65</v>
      </c>
      <c r="AB937" s="9">
        <f t="shared" si="29"/>
        <v>65.106578007503799</v>
      </c>
      <c r="AD937" t="s">
        <v>73</v>
      </c>
      <c r="AF937" t="s">
        <v>73</v>
      </c>
      <c r="AG937" t="s">
        <v>3465</v>
      </c>
      <c r="AH937" t="s">
        <v>3465</v>
      </c>
      <c r="AI937" t="s">
        <v>3465</v>
      </c>
      <c r="AJ937" t="s">
        <v>3465</v>
      </c>
      <c r="AK937" t="s">
        <v>3463</v>
      </c>
      <c r="AL937" t="s">
        <v>3465</v>
      </c>
      <c r="AM937" t="s">
        <v>2285</v>
      </c>
      <c r="AN937" t="s">
        <v>3824</v>
      </c>
      <c r="AP937" t="s">
        <v>3463</v>
      </c>
      <c r="AQ937" t="s">
        <v>2286</v>
      </c>
      <c r="AR937" t="s">
        <v>3582</v>
      </c>
      <c r="AS937" t="s">
        <v>3465</v>
      </c>
      <c r="AV937" t="s">
        <v>112</v>
      </c>
      <c r="AW937" t="s">
        <v>3917</v>
      </c>
      <c r="BA937" t="s">
        <v>3920</v>
      </c>
      <c r="BB937" t="s">
        <v>3485</v>
      </c>
      <c r="BF937" t="s">
        <v>3921</v>
      </c>
      <c r="BG937" t="s">
        <v>2287</v>
      </c>
      <c r="BH937" t="s">
        <v>4051</v>
      </c>
      <c r="BL937" t="s">
        <v>1947</v>
      </c>
      <c r="BP937" t="s">
        <v>4260</v>
      </c>
      <c r="BQ937" t="s">
        <v>3463</v>
      </c>
      <c r="BR937" t="s">
        <v>3463</v>
      </c>
      <c r="BS937" t="s">
        <v>3463</v>
      </c>
      <c r="BT937" t="s">
        <v>3463</v>
      </c>
      <c r="BU937" t="s">
        <v>3463</v>
      </c>
      <c r="BV937" t="s">
        <v>3463</v>
      </c>
      <c r="BW937" t="s">
        <v>3463</v>
      </c>
      <c r="BX937" t="s">
        <v>79</v>
      </c>
      <c r="BY937" t="s">
        <v>87</v>
      </c>
      <c r="BZ937" t="s">
        <v>79</v>
      </c>
      <c r="CA937" s="10">
        <v>45911</v>
      </c>
    </row>
    <row r="938" spans="1:79">
      <c r="A938">
        <v>945</v>
      </c>
      <c r="B938">
        <v>275</v>
      </c>
      <c r="C938">
        <v>18</v>
      </c>
      <c r="D938" t="s">
        <v>3466</v>
      </c>
      <c r="E938" t="s">
        <v>1966</v>
      </c>
      <c r="F938" t="s">
        <v>150</v>
      </c>
      <c r="G938" s="12" t="s">
        <v>3465</v>
      </c>
      <c r="H938" s="12" t="s">
        <v>88</v>
      </c>
      <c r="I938">
        <v>88</v>
      </c>
      <c r="K938">
        <v>120</v>
      </c>
      <c r="L938">
        <v>63</v>
      </c>
      <c r="M938" t="s">
        <v>118</v>
      </c>
      <c r="P938" t="s">
        <v>83</v>
      </c>
      <c r="Q938" t="s">
        <v>118</v>
      </c>
      <c r="R938">
        <v>81.5</v>
      </c>
      <c r="S938">
        <v>171</v>
      </c>
      <c r="T938" s="8">
        <f t="shared" si="28"/>
        <v>27.871823809035259</v>
      </c>
      <c r="U938" s="13" t="str" cm="1">
        <f t="array" ref="U938">IF(T938="","",_xlfn.IFS(T938&lt;18.5,"Bajo peso",T938&lt;25,"Peso normal",T938&lt;30,"Sobrepeso",T938&lt;35,"Obesidad clase I",T938&lt;40,"Obesidad clase II",T938&gt;=40,"Obesidad clase III"))</f>
        <v>Sobrepeso</v>
      </c>
      <c r="V938">
        <v>92</v>
      </c>
      <c r="X938" t="s">
        <v>3463</v>
      </c>
      <c r="Y938">
        <v>0.94</v>
      </c>
      <c r="AA938">
        <v>90</v>
      </c>
      <c r="AB938" s="9">
        <f t="shared" si="29"/>
        <v>90.201745971635546</v>
      </c>
      <c r="AD938" t="s">
        <v>73</v>
      </c>
      <c r="AF938" t="s">
        <v>73</v>
      </c>
      <c r="AH938" t="s">
        <v>3463</v>
      </c>
      <c r="AI938" t="s">
        <v>3463</v>
      </c>
      <c r="AJ938" t="s">
        <v>3463</v>
      </c>
      <c r="AK938" t="s">
        <v>3463</v>
      </c>
      <c r="AL938" t="s">
        <v>3465</v>
      </c>
      <c r="AM938" t="s">
        <v>2288</v>
      </c>
      <c r="AN938" t="s">
        <v>3791</v>
      </c>
      <c r="AP938" t="s">
        <v>3463</v>
      </c>
      <c r="AQ938" t="s">
        <v>2289</v>
      </c>
      <c r="AR938" t="s">
        <v>3493</v>
      </c>
      <c r="AT938" t="s">
        <v>3463</v>
      </c>
      <c r="AV938" t="s">
        <v>126</v>
      </c>
      <c r="AW938" t="s">
        <v>126</v>
      </c>
      <c r="AY938" t="s">
        <v>3463</v>
      </c>
      <c r="BF938" t="s">
        <v>3921</v>
      </c>
      <c r="BH938" t="s">
        <v>4020</v>
      </c>
      <c r="BP938" t="s">
        <v>4260</v>
      </c>
      <c r="BQ938" t="s">
        <v>3463</v>
      </c>
      <c r="BR938" t="s">
        <v>3463</v>
      </c>
      <c r="BS938" t="s">
        <v>3463</v>
      </c>
      <c r="BT938" t="s">
        <v>3463</v>
      </c>
      <c r="BU938" t="s">
        <v>3463</v>
      </c>
      <c r="BV938" t="s">
        <v>3463</v>
      </c>
      <c r="BW938" t="s">
        <v>3463</v>
      </c>
      <c r="BX938" t="s">
        <v>79</v>
      </c>
      <c r="BY938" t="s">
        <v>79</v>
      </c>
      <c r="BZ938" t="s">
        <v>79</v>
      </c>
      <c r="CA938" s="10">
        <v>45911</v>
      </c>
    </row>
    <row r="939" spans="1:79">
      <c r="A939">
        <v>946</v>
      </c>
      <c r="B939">
        <v>276</v>
      </c>
      <c r="C939">
        <v>34</v>
      </c>
      <c r="D939" t="s">
        <v>3462</v>
      </c>
      <c r="F939" t="s">
        <v>380</v>
      </c>
      <c r="G939" s="12" t="s">
        <v>3465</v>
      </c>
      <c r="H939" t="s">
        <v>88</v>
      </c>
      <c r="I939">
        <v>64</v>
      </c>
      <c r="K939">
        <v>133</v>
      </c>
      <c r="L939">
        <v>71</v>
      </c>
      <c r="M939" t="s">
        <v>82</v>
      </c>
      <c r="P939" t="s">
        <v>83</v>
      </c>
      <c r="Q939" t="s">
        <v>82</v>
      </c>
      <c r="R939">
        <v>97.8</v>
      </c>
      <c r="S939">
        <v>174</v>
      </c>
      <c r="T939" s="8">
        <f t="shared" si="28"/>
        <v>32.302814110186283</v>
      </c>
      <c r="U939" s="13" t="str" cm="1">
        <f t="array" ref="U939">IF(T939="","",_xlfn.IFS(T939&lt;18.5,"Bajo peso",T939&lt;25,"Peso normal",T939&lt;30,"Sobrepeso",T939&lt;35,"Obesidad clase I",T939&lt;40,"Obesidad clase II",T939&gt;=40,"Obesidad clase III"))</f>
        <v>Obesidad clase I</v>
      </c>
      <c r="V939">
        <v>99</v>
      </c>
      <c r="X939" t="s">
        <v>3463</v>
      </c>
      <c r="Y939">
        <v>1.32</v>
      </c>
      <c r="AA939">
        <v>73</v>
      </c>
      <c r="AB939" s="9">
        <f t="shared" si="29"/>
        <v>72.586587618792748</v>
      </c>
      <c r="AD939" t="s">
        <v>73</v>
      </c>
      <c r="AF939" t="s">
        <v>73</v>
      </c>
      <c r="AH939" t="s">
        <v>3463</v>
      </c>
      <c r="AI939" t="s">
        <v>3463</v>
      </c>
      <c r="AJ939" t="s">
        <v>3463</v>
      </c>
      <c r="AK939" t="s">
        <v>3463</v>
      </c>
      <c r="AP939" t="s">
        <v>3463</v>
      </c>
      <c r="AQ939" t="s">
        <v>143</v>
      </c>
      <c r="AR939" t="s">
        <v>3493</v>
      </c>
      <c r="AV939" t="s">
        <v>126</v>
      </c>
      <c r="AW939" t="s">
        <v>126</v>
      </c>
      <c r="BF939" t="s">
        <v>3921</v>
      </c>
      <c r="BH939" t="s">
        <v>4020</v>
      </c>
      <c r="BP939" t="s">
        <v>4260</v>
      </c>
      <c r="BQ939" t="s">
        <v>3465</v>
      </c>
      <c r="BR939" t="s">
        <v>3463</v>
      </c>
      <c r="BS939" t="s">
        <v>3465</v>
      </c>
      <c r="BT939" t="s">
        <v>3465</v>
      </c>
      <c r="BU939" t="s">
        <v>3463</v>
      </c>
      <c r="BV939" t="s">
        <v>3463</v>
      </c>
      <c r="BW939" t="s">
        <v>3463</v>
      </c>
      <c r="BX939" t="s">
        <v>79</v>
      </c>
      <c r="BY939" t="s">
        <v>87</v>
      </c>
      <c r="BZ939" t="s">
        <v>79</v>
      </c>
      <c r="CA939" s="10">
        <v>45911</v>
      </c>
    </row>
    <row r="940" spans="1:79">
      <c r="A940">
        <v>947</v>
      </c>
      <c r="B940">
        <v>277</v>
      </c>
      <c r="C940">
        <v>35</v>
      </c>
      <c r="D940" t="s">
        <v>3462</v>
      </c>
      <c r="F940" t="s">
        <v>150</v>
      </c>
      <c r="G940" s="12" t="s">
        <v>3465</v>
      </c>
      <c r="H940" s="12" t="s">
        <v>88</v>
      </c>
      <c r="I940">
        <v>76</v>
      </c>
      <c r="J940">
        <v>72</v>
      </c>
      <c r="K940">
        <v>150</v>
      </c>
      <c r="L940">
        <v>78</v>
      </c>
      <c r="M940" t="s">
        <v>72</v>
      </c>
      <c r="N940">
        <v>147</v>
      </c>
      <c r="O940">
        <v>84</v>
      </c>
      <c r="P940" t="s">
        <v>72</v>
      </c>
      <c r="Q940" t="s">
        <v>72</v>
      </c>
      <c r="R940">
        <v>96.7</v>
      </c>
      <c r="S940">
        <v>171</v>
      </c>
      <c r="T940" s="8">
        <f t="shared" si="28"/>
        <v>33.070004445812387</v>
      </c>
      <c r="U940" s="13" t="str" cm="1">
        <f t="array" ref="U940">IF(T940="","",_xlfn.IFS(T940&lt;18.5,"Bajo peso",T940&lt;25,"Peso normal",T940&lt;30,"Sobrepeso",T940&lt;35,"Obesidad clase I",T940&lt;40,"Obesidad clase II",T940&gt;=40,"Obesidad clase III"))</f>
        <v>Obesidad clase I</v>
      </c>
      <c r="V940">
        <v>100</v>
      </c>
      <c r="X940" t="s">
        <v>3463</v>
      </c>
      <c r="Y940">
        <v>1.5</v>
      </c>
      <c r="AA940">
        <v>62</v>
      </c>
      <c r="AB940" s="9">
        <f t="shared" si="29"/>
        <v>61.877759358967587</v>
      </c>
      <c r="AD940" t="s">
        <v>73</v>
      </c>
      <c r="AF940" t="s">
        <v>73</v>
      </c>
      <c r="AH940" t="s">
        <v>3463</v>
      </c>
      <c r="AI940" t="s">
        <v>3463</v>
      </c>
      <c r="AJ940" t="s">
        <v>3463</v>
      </c>
      <c r="AK940" t="s">
        <v>3463</v>
      </c>
      <c r="AL940" t="s">
        <v>3463</v>
      </c>
      <c r="AP940" t="s">
        <v>3463</v>
      </c>
      <c r="AV940" t="s">
        <v>126</v>
      </c>
      <c r="AW940" t="s">
        <v>126</v>
      </c>
      <c r="BF940" t="s">
        <v>3921</v>
      </c>
      <c r="BH940" t="s">
        <v>4020</v>
      </c>
      <c r="BP940" t="s">
        <v>4260</v>
      </c>
      <c r="BQ940" t="s">
        <v>3463</v>
      </c>
      <c r="BR940" t="s">
        <v>3465</v>
      </c>
      <c r="BS940" t="s">
        <v>3463</v>
      </c>
      <c r="BT940" t="s">
        <v>3465</v>
      </c>
      <c r="BU940" t="s">
        <v>3463</v>
      </c>
      <c r="BV940" t="s">
        <v>3463</v>
      </c>
      <c r="BW940" t="s">
        <v>3463</v>
      </c>
      <c r="BX940" t="s">
        <v>79</v>
      </c>
      <c r="BY940" t="s">
        <v>87</v>
      </c>
      <c r="BZ940" t="s">
        <v>95</v>
      </c>
      <c r="CA940" s="10">
        <v>45911</v>
      </c>
    </row>
    <row r="941" spans="1:79">
      <c r="A941">
        <v>948</v>
      </c>
      <c r="B941">
        <v>278</v>
      </c>
      <c r="C941">
        <v>45</v>
      </c>
      <c r="D941" t="s">
        <v>3462</v>
      </c>
      <c r="G941" s="12" t="s">
        <v>3465</v>
      </c>
      <c r="H941" t="s">
        <v>88</v>
      </c>
      <c r="I941">
        <v>57</v>
      </c>
      <c r="K941">
        <v>122</v>
      </c>
      <c r="L941">
        <v>67</v>
      </c>
      <c r="M941" t="s">
        <v>118</v>
      </c>
      <c r="P941" t="s">
        <v>83</v>
      </c>
      <c r="Q941" t="s">
        <v>118</v>
      </c>
      <c r="R941">
        <v>91.65</v>
      </c>
      <c r="S941">
        <v>164</v>
      </c>
      <c r="T941" s="8">
        <f t="shared" si="28"/>
        <v>34.075698988697205</v>
      </c>
      <c r="U941" s="13" t="str" cm="1">
        <f t="array" ref="U941">IF(T941="","",_xlfn.IFS(T941&lt;18.5,"Bajo peso",T941&lt;25,"Peso normal",T941&lt;30,"Sobrepeso",T941&lt;35,"Obesidad clase I",T941&lt;40,"Obesidad clase II",T941&gt;=40,"Obesidad clase III"))</f>
        <v>Obesidad clase I</v>
      </c>
      <c r="AB941" s="9" t="str">
        <f t="shared" si="29"/>
        <v/>
      </c>
      <c r="AH941" t="s">
        <v>3463</v>
      </c>
      <c r="AI941" t="s">
        <v>3463</v>
      </c>
      <c r="AJ941" t="s">
        <v>3463</v>
      </c>
      <c r="AK941" t="s">
        <v>3463</v>
      </c>
      <c r="AP941" t="s">
        <v>3463</v>
      </c>
      <c r="AQ941" t="s">
        <v>148</v>
      </c>
      <c r="AR941" t="s">
        <v>3491</v>
      </c>
      <c r="AW941" t="s">
        <v>3916</v>
      </c>
      <c r="BF941" t="s">
        <v>3921</v>
      </c>
      <c r="BH941" t="s">
        <v>4020</v>
      </c>
      <c r="BP941" t="s">
        <v>4260</v>
      </c>
      <c r="BQ941" t="s">
        <v>3463</v>
      </c>
      <c r="BR941" t="s">
        <v>3463</v>
      </c>
      <c r="BS941" t="s">
        <v>3463</v>
      </c>
      <c r="BT941" t="s">
        <v>3463</v>
      </c>
      <c r="BU941" t="s">
        <v>3463</v>
      </c>
      <c r="BV941" t="s">
        <v>3463</v>
      </c>
      <c r="BW941" t="s">
        <v>3463</v>
      </c>
      <c r="BX941" t="s">
        <v>79</v>
      </c>
      <c r="BY941" t="s">
        <v>79</v>
      </c>
      <c r="BZ941" t="s">
        <v>95</v>
      </c>
      <c r="CA941" s="10">
        <v>45911</v>
      </c>
    </row>
    <row r="942" spans="1:79">
      <c r="A942">
        <v>949</v>
      </c>
      <c r="B942">
        <v>279</v>
      </c>
      <c r="C942">
        <v>40</v>
      </c>
      <c r="D942" t="s">
        <v>3466</v>
      </c>
      <c r="E942" t="s">
        <v>2290</v>
      </c>
      <c r="F942" t="s">
        <v>150</v>
      </c>
      <c r="G942" s="12" t="s">
        <v>3465</v>
      </c>
      <c r="H942" s="12" t="s">
        <v>88</v>
      </c>
      <c r="I942">
        <v>70</v>
      </c>
      <c r="K942">
        <v>121</v>
      </c>
      <c r="L942">
        <v>75</v>
      </c>
      <c r="M942" t="s">
        <v>118</v>
      </c>
      <c r="P942" t="s">
        <v>83</v>
      </c>
      <c r="Q942" t="s">
        <v>118</v>
      </c>
      <c r="R942">
        <v>107.5</v>
      </c>
      <c r="S942">
        <v>163</v>
      </c>
      <c r="T942" s="8">
        <f t="shared" si="28"/>
        <v>40.460687267115816</v>
      </c>
      <c r="U942" s="13" t="str" cm="1">
        <f t="array" ref="U942">IF(T942="","",_xlfn.IFS(T942&lt;18.5,"Bajo peso",T942&lt;25,"Peso normal",T942&lt;30,"Sobrepeso",T942&lt;35,"Obesidad clase I",T942&lt;40,"Obesidad clase II",T942&gt;=40,"Obesidad clase III"))</f>
        <v>Obesidad clase III</v>
      </c>
      <c r="V942">
        <v>129</v>
      </c>
      <c r="X942" t="s">
        <v>3463</v>
      </c>
      <c r="Y942">
        <v>1.1100000000000001</v>
      </c>
      <c r="AA942">
        <v>64</v>
      </c>
      <c r="AB942" s="9">
        <f t="shared" si="29"/>
        <v>64.440459232363011</v>
      </c>
      <c r="AD942" t="s">
        <v>73</v>
      </c>
      <c r="AF942" t="s">
        <v>73</v>
      </c>
      <c r="AH942" t="s">
        <v>3463</v>
      </c>
      <c r="AI942" t="s">
        <v>3463</v>
      </c>
      <c r="AJ942" t="s">
        <v>3463</v>
      </c>
      <c r="AK942" t="s">
        <v>3463</v>
      </c>
      <c r="AL942" t="s">
        <v>3463</v>
      </c>
      <c r="AP942" t="s">
        <v>3463</v>
      </c>
      <c r="AQ942" t="s">
        <v>143</v>
      </c>
      <c r="AR942" t="s">
        <v>3493</v>
      </c>
      <c r="AV942" t="s">
        <v>74</v>
      </c>
      <c r="AW942" t="s">
        <v>3915</v>
      </c>
      <c r="AX942" t="s">
        <v>3463</v>
      </c>
      <c r="AY942" t="s">
        <v>3465</v>
      </c>
      <c r="AZ942" t="s">
        <v>247</v>
      </c>
      <c r="BF942" t="s">
        <v>3921</v>
      </c>
      <c r="BH942" t="s">
        <v>4020</v>
      </c>
      <c r="BP942" t="s">
        <v>4260</v>
      </c>
      <c r="BQ942" t="s">
        <v>3463</v>
      </c>
      <c r="BR942" t="s">
        <v>3465</v>
      </c>
      <c r="BS942" t="s">
        <v>3465</v>
      </c>
      <c r="BT942" t="s">
        <v>3465</v>
      </c>
      <c r="BU942" t="s">
        <v>3463</v>
      </c>
      <c r="BV942" t="s">
        <v>3463</v>
      </c>
      <c r="BW942" t="s">
        <v>3463</v>
      </c>
      <c r="BX942" t="s">
        <v>121</v>
      </c>
      <c r="BY942" t="s">
        <v>79</v>
      </c>
      <c r="BZ942" t="s">
        <v>79</v>
      </c>
      <c r="CA942" s="10">
        <v>45911</v>
      </c>
    </row>
    <row r="943" spans="1:79">
      <c r="A943">
        <v>950</v>
      </c>
      <c r="B943">
        <v>280</v>
      </c>
      <c r="C943">
        <v>30</v>
      </c>
      <c r="D943" t="s">
        <v>3462</v>
      </c>
      <c r="F943" t="s">
        <v>150</v>
      </c>
      <c r="G943" s="12" t="s">
        <v>3465</v>
      </c>
      <c r="H943" s="12" t="s">
        <v>88</v>
      </c>
      <c r="I943">
        <v>65</v>
      </c>
      <c r="J943">
        <v>9</v>
      </c>
      <c r="K943">
        <v>159</v>
      </c>
      <c r="L943">
        <v>91</v>
      </c>
      <c r="M943" t="s">
        <v>72</v>
      </c>
      <c r="N943">
        <v>150</v>
      </c>
      <c r="O943">
        <v>90</v>
      </c>
      <c r="P943" t="s">
        <v>72</v>
      </c>
      <c r="Q943" t="s">
        <v>72</v>
      </c>
      <c r="R943">
        <v>85.5</v>
      </c>
      <c r="S943">
        <v>167</v>
      </c>
      <c r="T943" s="8">
        <f t="shared" si="28"/>
        <v>30.657248377496504</v>
      </c>
      <c r="U943" s="13" t="str" cm="1">
        <f t="array" ref="U943">IF(T943="","",_xlfn.IFS(T943&lt;18.5,"Bajo peso",T943&lt;25,"Peso normal",T943&lt;30,"Sobrepeso",T943&lt;35,"Obesidad clase I",T943&lt;40,"Obesidad clase II",T943&gt;=40,"Obesidad clase III"))</f>
        <v>Obesidad clase I</v>
      </c>
      <c r="V943">
        <v>104</v>
      </c>
      <c r="X943" t="s">
        <v>3463</v>
      </c>
      <c r="Y943">
        <v>1.48</v>
      </c>
      <c r="AA943">
        <v>65</v>
      </c>
      <c r="AB943" s="9">
        <f t="shared" si="29"/>
        <v>64.86868132554531</v>
      </c>
      <c r="AD943" t="s">
        <v>73</v>
      </c>
      <c r="AF943" t="s">
        <v>73</v>
      </c>
      <c r="AH943" t="s">
        <v>3463</v>
      </c>
      <c r="AI943" t="s">
        <v>3463</v>
      </c>
      <c r="AJ943" t="s">
        <v>3463</v>
      </c>
      <c r="AK943" t="s">
        <v>3463</v>
      </c>
      <c r="AL943" t="s">
        <v>3463</v>
      </c>
      <c r="AP943" t="s">
        <v>3463</v>
      </c>
      <c r="AQ943" t="s">
        <v>698</v>
      </c>
      <c r="AR943" t="s">
        <v>3488</v>
      </c>
      <c r="AV943" t="s">
        <v>126</v>
      </c>
      <c r="AW943" t="s">
        <v>126</v>
      </c>
      <c r="BF943" t="s">
        <v>3921</v>
      </c>
      <c r="BH943" t="s">
        <v>4020</v>
      </c>
      <c r="BP943" t="s">
        <v>4260</v>
      </c>
      <c r="BQ943" t="s">
        <v>3463</v>
      </c>
      <c r="BR943" t="s">
        <v>3463</v>
      </c>
      <c r="BT943" t="s">
        <v>3463</v>
      </c>
      <c r="BU943" t="s">
        <v>3463</v>
      </c>
      <c r="BV943" t="s">
        <v>3463</v>
      </c>
      <c r="BW943" t="s">
        <v>3463</v>
      </c>
      <c r="BX943" t="s">
        <v>79</v>
      </c>
      <c r="BY943" t="s">
        <v>87</v>
      </c>
      <c r="BZ943" t="s">
        <v>79</v>
      </c>
      <c r="CA943" s="10">
        <v>45911</v>
      </c>
    </row>
    <row r="944" spans="1:79">
      <c r="A944">
        <v>951</v>
      </c>
      <c r="B944">
        <v>281</v>
      </c>
      <c r="C944">
        <v>27</v>
      </c>
      <c r="D944" t="s">
        <v>3466</v>
      </c>
      <c r="E944" t="s">
        <v>1966</v>
      </c>
      <c r="F944" t="s">
        <v>150</v>
      </c>
      <c r="G944" s="12" t="s">
        <v>3463</v>
      </c>
      <c r="I944">
        <v>82</v>
      </c>
      <c r="J944">
        <v>78</v>
      </c>
      <c r="K944">
        <v>149</v>
      </c>
      <c r="L944">
        <v>74</v>
      </c>
      <c r="M944" t="s">
        <v>72</v>
      </c>
      <c r="N944">
        <v>126</v>
      </c>
      <c r="O944">
        <v>79</v>
      </c>
      <c r="P944" t="s">
        <v>118</v>
      </c>
      <c r="Q944" t="s">
        <v>118</v>
      </c>
      <c r="R944">
        <v>89.6</v>
      </c>
      <c r="S944">
        <v>160</v>
      </c>
      <c r="T944" s="8">
        <f t="shared" si="28"/>
        <v>34.999999999999993</v>
      </c>
      <c r="U944" s="13" t="str" cm="1">
        <f t="array" ref="U944">IF(T944="","",_xlfn.IFS(T944&lt;18.5,"Bajo peso",T944&lt;25,"Peso normal",T944&lt;30,"Sobrepeso",T944&lt;35,"Obesidad clase I",T944&lt;40,"Obesidad clase II",T944&gt;=40,"Obesidad clase III"))</f>
        <v>Obesidad clase II</v>
      </c>
      <c r="V944">
        <v>118</v>
      </c>
      <c r="X944" t="s">
        <v>3463</v>
      </c>
      <c r="Y944">
        <v>1.05</v>
      </c>
      <c r="AA944">
        <v>74</v>
      </c>
      <c r="AB944" s="9">
        <f t="shared" si="29"/>
        <v>74.684786027686386</v>
      </c>
      <c r="AD944" t="s">
        <v>73</v>
      </c>
      <c r="AF944" t="s">
        <v>73</v>
      </c>
      <c r="AH944" t="s">
        <v>3463</v>
      </c>
      <c r="AI944" t="s">
        <v>3463</v>
      </c>
      <c r="AJ944" t="s">
        <v>3465</v>
      </c>
      <c r="AK944" t="s">
        <v>3463</v>
      </c>
      <c r="AL944" t="s">
        <v>3465</v>
      </c>
      <c r="AM944" t="s">
        <v>2291</v>
      </c>
      <c r="AN944" t="s">
        <v>3808</v>
      </c>
      <c r="AO944" t="s">
        <v>3463</v>
      </c>
      <c r="AP944" t="s">
        <v>3465</v>
      </c>
      <c r="AQ944" t="s">
        <v>2292</v>
      </c>
      <c r="AR944" t="s">
        <v>3524</v>
      </c>
      <c r="AT944" t="s">
        <v>3463</v>
      </c>
      <c r="AV944" t="s">
        <v>74</v>
      </c>
      <c r="AW944" t="s">
        <v>3915</v>
      </c>
      <c r="AX944" t="s">
        <v>3463</v>
      </c>
      <c r="AY944" t="s">
        <v>3465</v>
      </c>
      <c r="AZ944" t="s">
        <v>2293</v>
      </c>
      <c r="BF944" t="s">
        <v>3921</v>
      </c>
      <c r="BG944" t="s">
        <v>2294</v>
      </c>
      <c r="BH944" t="s">
        <v>4205</v>
      </c>
      <c r="BI944" t="s">
        <v>76</v>
      </c>
      <c r="BK944" t="s">
        <v>2295</v>
      </c>
      <c r="BL944" t="s">
        <v>2296</v>
      </c>
      <c r="BP944" t="s">
        <v>4430</v>
      </c>
      <c r="BQ944" t="s">
        <v>3463</v>
      </c>
      <c r="BR944" t="s">
        <v>3463</v>
      </c>
      <c r="BS944" t="s">
        <v>3463</v>
      </c>
      <c r="BT944" t="s">
        <v>3463</v>
      </c>
      <c r="BU944" t="s">
        <v>3463</v>
      </c>
      <c r="BV944" t="s">
        <v>3463</v>
      </c>
      <c r="BW944" t="s">
        <v>3463</v>
      </c>
      <c r="BX944" t="s">
        <v>79</v>
      </c>
      <c r="BY944" t="s">
        <v>79</v>
      </c>
      <c r="BZ944" t="s">
        <v>95</v>
      </c>
      <c r="CA944" s="10">
        <v>45911</v>
      </c>
    </row>
    <row r="945" spans="1:79">
      <c r="A945">
        <v>952</v>
      </c>
      <c r="B945">
        <v>282</v>
      </c>
      <c r="C945">
        <v>31</v>
      </c>
      <c r="D945" t="s">
        <v>3462</v>
      </c>
      <c r="F945" t="s">
        <v>168</v>
      </c>
      <c r="G945" s="12" t="s">
        <v>3463</v>
      </c>
      <c r="I945">
        <v>78</v>
      </c>
      <c r="K945">
        <v>145</v>
      </c>
      <c r="L945">
        <v>74</v>
      </c>
      <c r="M945" t="s">
        <v>72</v>
      </c>
      <c r="P945" t="s">
        <v>83</v>
      </c>
      <c r="Q945" t="s">
        <v>72</v>
      </c>
      <c r="R945">
        <v>92.35</v>
      </c>
      <c r="S945">
        <v>171</v>
      </c>
      <c r="T945" s="8">
        <f t="shared" si="28"/>
        <v>31.582367224103137</v>
      </c>
      <c r="U945" s="13" t="str" cm="1">
        <f t="array" ref="U945">IF(T945="","",_xlfn.IFS(T945&lt;18.5,"Bajo peso",T945&lt;25,"Peso normal",T945&lt;30,"Sobrepeso",T945&lt;35,"Obesidad clase I",T945&lt;40,"Obesidad clase II",T945&gt;=40,"Obesidad clase III"))</f>
        <v>Obesidad clase I</v>
      </c>
      <c r="V945">
        <v>131</v>
      </c>
      <c r="X945" t="s">
        <v>3463</v>
      </c>
      <c r="Y945">
        <v>1.24</v>
      </c>
      <c r="AA945">
        <v>80</v>
      </c>
      <c r="AB945" s="9">
        <f t="shared" si="29"/>
        <v>79.715375871522298</v>
      </c>
      <c r="AD945" t="s">
        <v>73</v>
      </c>
      <c r="AF945" t="s">
        <v>73</v>
      </c>
      <c r="AH945" t="s">
        <v>3463</v>
      </c>
      <c r="AI945" t="s">
        <v>3463</v>
      </c>
      <c r="AJ945" t="s">
        <v>3463</v>
      </c>
      <c r="AK945" t="s">
        <v>3463</v>
      </c>
      <c r="AL945" t="s">
        <v>3463</v>
      </c>
      <c r="AP945" t="s">
        <v>3463</v>
      </c>
      <c r="AV945" t="s">
        <v>126</v>
      </c>
      <c r="AW945" t="s">
        <v>126</v>
      </c>
      <c r="BF945" t="s">
        <v>3921</v>
      </c>
      <c r="BH945" t="s">
        <v>4020</v>
      </c>
      <c r="BP945" t="s">
        <v>4260</v>
      </c>
      <c r="BQ945" t="s">
        <v>3465</v>
      </c>
      <c r="BR945" t="s">
        <v>3465</v>
      </c>
      <c r="BS945" t="s">
        <v>3463</v>
      </c>
      <c r="BT945" t="s">
        <v>3463</v>
      </c>
      <c r="BU945" t="s">
        <v>3463</v>
      </c>
      <c r="BV945" t="s">
        <v>3463</v>
      </c>
      <c r="BW945" t="s">
        <v>3463</v>
      </c>
      <c r="BX945" t="s">
        <v>79</v>
      </c>
      <c r="BY945" t="s">
        <v>79</v>
      </c>
      <c r="BZ945" t="s">
        <v>95</v>
      </c>
      <c r="CA945" s="10">
        <v>45911</v>
      </c>
    </row>
    <row r="946" spans="1:79">
      <c r="A946">
        <v>953</v>
      </c>
      <c r="B946">
        <v>283</v>
      </c>
      <c r="D946" t="s">
        <v>3462</v>
      </c>
      <c r="F946" t="s">
        <v>150</v>
      </c>
      <c r="G946" s="12" t="s">
        <v>3465</v>
      </c>
      <c r="H946" s="12" t="s">
        <v>88</v>
      </c>
      <c r="I946">
        <v>75</v>
      </c>
      <c r="J946">
        <v>79</v>
      </c>
      <c r="K946">
        <v>157</v>
      </c>
      <c r="L946">
        <v>101</v>
      </c>
      <c r="M946" t="s">
        <v>72</v>
      </c>
      <c r="N946">
        <v>155</v>
      </c>
      <c r="O946">
        <v>100</v>
      </c>
      <c r="P946" t="s">
        <v>72</v>
      </c>
      <c r="Q946" t="s">
        <v>72</v>
      </c>
      <c r="R946">
        <v>128</v>
      </c>
      <c r="S946">
        <v>170</v>
      </c>
      <c r="T946" s="8">
        <f t="shared" si="28"/>
        <v>44.29065743944637</v>
      </c>
      <c r="U946" s="13" t="str" cm="1">
        <f t="array" ref="U946">IF(T946="","",_xlfn.IFS(T946&lt;18.5,"Bajo peso",T946&lt;25,"Peso normal",T946&lt;30,"Sobrepeso",T946&lt;35,"Obesidad clase I",T946&lt;40,"Obesidad clase II",T946&gt;=40,"Obesidad clase III"))</f>
        <v>Obesidad clase III</v>
      </c>
      <c r="V946">
        <v>122</v>
      </c>
      <c r="X946" t="s">
        <v>3463</v>
      </c>
      <c r="Y946">
        <v>1.1399999999999999</v>
      </c>
      <c r="AA946">
        <v>79</v>
      </c>
      <c r="AB946" s="9" t="str">
        <f t="shared" si="29"/>
        <v/>
      </c>
      <c r="AD946" t="s">
        <v>73</v>
      </c>
      <c r="AF946" t="s">
        <v>73</v>
      </c>
      <c r="AG946" t="s">
        <v>3463</v>
      </c>
      <c r="AH946" t="s">
        <v>3465</v>
      </c>
      <c r="AI946" t="s">
        <v>3465</v>
      </c>
      <c r="AJ946" t="s">
        <v>3463</v>
      </c>
      <c r="AK946" t="s">
        <v>3463</v>
      </c>
      <c r="AL946" t="s">
        <v>3463</v>
      </c>
      <c r="AP946" t="s">
        <v>3463</v>
      </c>
      <c r="AS946" t="s">
        <v>3463</v>
      </c>
      <c r="AV946" t="s">
        <v>74</v>
      </c>
      <c r="AW946" t="s">
        <v>3915</v>
      </c>
      <c r="BF946" t="s">
        <v>3921</v>
      </c>
      <c r="BH946" t="s">
        <v>4020</v>
      </c>
      <c r="BP946" t="s">
        <v>4260</v>
      </c>
      <c r="BQ946" t="s">
        <v>3463</v>
      </c>
      <c r="BR946" t="s">
        <v>3465</v>
      </c>
      <c r="BS946" t="s">
        <v>3465</v>
      </c>
      <c r="BT946" t="s">
        <v>3465</v>
      </c>
      <c r="BU946" t="s">
        <v>3463</v>
      </c>
      <c r="BV946" t="s">
        <v>3463</v>
      </c>
      <c r="BW946" t="s">
        <v>3463</v>
      </c>
      <c r="BX946" t="s">
        <v>79</v>
      </c>
      <c r="BY946" t="s">
        <v>487</v>
      </c>
      <c r="BZ946" t="s">
        <v>95</v>
      </c>
      <c r="CA946" s="10">
        <v>45911</v>
      </c>
    </row>
    <row r="947" spans="1:79">
      <c r="A947">
        <v>954</v>
      </c>
      <c r="B947">
        <v>284</v>
      </c>
      <c r="C947">
        <v>59</v>
      </c>
      <c r="D947" t="s">
        <v>3466</v>
      </c>
      <c r="E947" t="s">
        <v>1966</v>
      </c>
      <c r="F947" t="s">
        <v>150</v>
      </c>
      <c r="G947" s="12" t="s">
        <v>3465</v>
      </c>
      <c r="H947" s="12" t="s">
        <v>88</v>
      </c>
      <c r="I947">
        <v>98</v>
      </c>
      <c r="K947">
        <v>108</v>
      </c>
      <c r="L947">
        <v>86</v>
      </c>
      <c r="M947" t="s">
        <v>82</v>
      </c>
      <c r="P947" t="s">
        <v>83</v>
      </c>
      <c r="Q947" t="s">
        <v>82</v>
      </c>
      <c r="R947">
        <v>67.5</v>
      </c>
      <c r="S947">
        <v>155</v>
      </c>
      <c r="T947" s="8">
        <f t="shared" si="28"/>
        <v>28.095733610822059</v>
      </c>
      <c r="U947" s="13" t="str" cm="1">
        <f t="array" ref="U947">IF(T947="","",_xlfn.IFS(T947&lt;18.5,"Bajo peso",T947&lt;25,"Peso normal",T947&lt;30,"Sobrepeso",T947&lt;35,"Obesidad clase I",T947&lt;40,"Obesidad clase II",T947&gt;=40,"Obesidad clase III"))</f>
        <v>Sobrepeso</v>
      </c>
      <c r="V947">
        <v>126</v>
      </c>
      <c r="X947" t="s">
        <v>3463</v>
      </c>
      <c r="Y947">
        <v>1.06</v>
      </c>
      <c r="AA947">
        <v>60</v>
      </c>
      <c r="AB947" s="9">
        <f t="shared" si="29"/>
        <v>60.51457934836089</v>
      </c>
      <c r="AD947" t="s">
        <v>73</v>
      </c>
      <c r="AF947" t="s">
        <v>73</v>
      </c>
      <c r="AH947" t="s">
        <v>3463</v>
      </c>
      <c r="AI947" t="s">
        <v>3463</v>
      </c>
      <c r="AJ947" t="s">
        <v>3463</v>
      </c>
      <c r="AK947" t="s">
        <v>3463</v>
      </c>
      <c r="AL947" t="s">
        <v>3463</v>
      </c>
      <c r="AP947" t="s">
        <v>3463</v>
      </c>
      <c r="AT947" t="s">
        <v>3465</v>
      </c>
      <c r="AU947" t="s">
        <v>80</v>
      </c>
      <c r="AV947" t="s">
        <v>74</v>
      </c>
      <c r="AW947" t="s">
        <v>3915</v>
      </c>
      <c r="AY947" t="s">
        <v>3465</v>
      </c>
      <c r="AZ947" t="s">
        <v>665</v>
      </c>
      <c r="BF947" t="s">
        <v>3921</v>
      </c>
      <c r="BH947" t="s">
        <v>4020</v>
      </c>
      <c r="BP947" t="s">
        <v>4260</v>
      </c>
      <c r="BQ947" t="s">
        <v>3463</v>
      </c>
      <c r="BR947" t="s">
        <v>3463</v>
      </c>
      <c r="BS947" t="s">
        <v>3463</v>
      </c>
      <c r="BT947" t="s">
        <v>3463</v>
      </c>
      <c r="BU947" t="s">
        <v>3463</v>
      </c>
      <c r="BV947" t="s">
        <v>3463</v>
      </c>
      <c r="BW947" t="s">
        <v>3463</v>
      </c>
      <c r="BX947" t="s">
        <v>518</v>
      </c>
      <c r="BY947" t="s">
        <v>79</v>
      </c>
      <c r="BZ947" t="s">
        <v>79</v>
      </c>
      <c r="CA947" s="10">
        <v>45911</v>
      </c>
    </row>
    <row r="948" spans="1:79">
      <c r="A948">
        <v>955</v>
      </c>
      <c r="B948">
        <v>285</v>
      </c>
      <c r="C948">
        <v>65</v>
      </c>
      <c r="D948" t="s">
        <v>3462</v>
      </c>
      <c r="E948" t="s">
        <v>1966</v>
      </c>
      <c r="F948" t="s">
        <v>150</v>
      </c>
      <c r="G948" s="12" t="s">
        <v>3463</v>
      </c>
      <c r="H948" s="12"/>
      <c r="I948">
        <v>70</v>
      </c>
      <c r="J948">
        <v>62</v>
      </c>
      <c r="K948">
        <v>161</v>
      </c>
      <c r="L948">
        <v>87</v>
      </c>
      <c r="M948" t="s">
        <v>72</v>
      </c>
      <c r="N948">
        <v>157</v>
      </c>
      <c r="O948">
        <v>96</v>
      </c>
      <c r="P948" t="s">
        <v>72</v>
      </c>
      <c r="Q948" t="s">
        <v>72</v>
      </c>
      <c r="R948">
        <v>64.8</v>
      </c>
      <c r="S948">
        <v>168</v>
      </c>
      <c r="T948" s="8">
        <f t="shared" si="28"/>
        <v>22.959183673469386</v>
      </c>
      <c r="U948" s="13" t="str" cm="1">
        <f t="array" ref="U948">IF(T948="","",_xlfn.IFS(T948&lt;18.5,"Bajo peso",T948&lt;25,"Peso normal",T948&lt;30,"Sobrepeso",T948&lt;35,"Obesidad clase I",T948&lt;40,"Obesidad clase II",T948&gt;=40,"Obesidad clase III"))</f>
        <v>Peso normal</v>
      </c>
      <c r="V948">
        <v>122</v>
      </c>
      <c r="X948" t="s">
        <v>3463</v>
      </c>
      <c r="Y948">
        <v>1.07</v>
      </c>
      <c r="AA948">
        <v>77</v>
      </c>
      <c r="AB948" s="9">
        <f t="shared" si="29"/>
        <v>77.011100418194218</v>
      </c>
      <c r="AD948" t="s">
        <v>73</v>
      </c>
      <c r="AF948" t="s">
        <v>73</v>
      </c>
      <c r="AH948" t="s">
        <v>3463</v>
      </c>
      <c r="AI948" t="s">
        <v>3463</v>
      </c>
      <c r="AJ948" t="s">
        <v>3463</v>
      </c>
      <c r="AK948" t="s">
        <v>3463</v>
      </c>
      <c r="AL948" t="s">
        <v>3463</v>
      </c>
      <c r="AP948" t="s">
        <v>3463</v>
      </c>
      <c r="AV948" t="s">
        <v>126</v>
      </c>
      <c r="AW948" t="s">
        <v>126</v>
      </c>
      <c r="BF948" t="s">
        <v>3921</v>
      </c>
      <c r="BH948" t="s">
        <v>4020</v>
      </c>
      <c r="BP948" t="s">
        <v>4260</v>
      </c>
      <c r="BQ948" t="s">
        <v>3463</v>
      </c>
      <c r="BR948" t="s">
        <v>3465</v>
      </c>
      <c r="BS948" t="s">
        <v>3463</v>
      </c>
      <c r="BT948" t="s">
        <v>3463</v>
      </c>
      <c r="BU948" t="s">
        <v>3463</v>
      </c>
      <c r="BV948" t="s">
        <v>3463</v>
      </c>
      <c r="BW948" t="s">
        <v>3463</v>
      </c>
      <c r="BX948" t="s">
        <v>79</v>
      </c>
      <c r="BY948" t="s">
        <v>79</v>
      </c>
      <c r="BZ948" t="s">
        <v>79</v>
      </c>
      <c r="CA948" s="10">
        <v>45911</v>
      </c>
    </row>
    <row r="949" spans="1:79">
      <c r="A949">
        <v>956</v>
      </c>
      <c r="B949">
        <v>286</v>
      </c>
      <c r="C949">
        <v>47</v>
      </c>
      <c r="D949" t="s">
        <v>3462</v>
      </c>
      <c r="F949" t="s">
        <v>380</v>
      </c>
      <c r="G949" s="12" t="s">
        <v>3463</v>
      </c>
      <c r="H949" s="12"/>
      <c r="I949">
        <v>70</v>
      </c>
      <c r="K949">
        <v>133</v>
      </c>
      <c r="L949">
        <v>80</v>
      </c>
      <c r="M949" t="s">
        <v>82</v>
      </c>
      <c r="P949" t="s">
        <v>83</v>
      </c>
      <c r="Q949" t="s">
        <v>82</v>
      </c>
      <c r="R949">
        <v>77.599999999999994</v>
      </c>
      <c r="S949">
        <v>167</v>
      </c>
      <c r="T949" s="8">
        <f t="shared" si="28"/>
        <v>27.824590340277524</v>
      </c>
      <c r="U949" s="13" t="str" cm="1">
        <f t="array" ref="U949">IF(T949="","",_xlfn.IFS(T949&lt;18.5,"Bajo peso",T949&lt;25,"Peso normal",T949&lt;30,"Sobrepeso",T949&lt;35,"Obesidad clase I",T949&lt;40,"Obesidad clase II",T949&gt;=40,"Obesidad clase III"))</f>
        <v>Sobrepeso</v>
      </c>
      <c r="V949">
        <v>146</v>
      </c>
      <c r="X949" t="s">
        <v>3463</v>
      </c>
      <c r="Y949">
        <v>0.98</v>
      </c>
      <c r="AA949">
        <v>90</v>
      </c>
      <c r="AB949" s="9">
        <f t="shared" si="29"/>
        <v>95.710747510555663</v>
      </c>
      <c r="AD949" t="s">
        <v>73</v>
      </c>
      <c r="AF949" t="s">
        <v>73</v>
      </c>
      <c r="AH949" t="s">
        <v>3463</v>
      </c>
      <c r="AI949" t="s">
        <v>3463</v>
      </c>
      <c r="AJ949" t="s">
        <v>3463</v>
      </c>
      <c r="AK949" t="s">
        <v>3463</v>
      </c>
      <c r="AL949" t="s">
        <v>3463</v>
      </c>
      <c r="AP949" t="s">
        <v>3463</v>
      </c>
      <c r="AQ949" t="s">
        <v>2297</v>
      </c>
      <c r="AR949" t="s">
        <v>3512</v>
      </c>
      <c r="AV949" t="s">
        <v>74</v>
      </c>
      <c r="AW949" t="s">
        <v>3915</v>
      </c>
      <c r="BF949" t="s">
        <v>3921</v>
      </c>
      <c r="BH949" t="s">
        <v>4020</v>
      </c>
      <c r="BP949" t="s">
        <v>4260</v>
      </c>
      <c r="BQ949" t="s">
        <v>3465</v>
      </c>
      <c r="BR949" t="s">
        <v>3463</v>
      </c>
      <c r="BS949" t="s">
        <v>3463</v>
      </c>
      <c r="BT949" t="s">
        <v>3463</v>
      </c>
      <c r="BU949" t="s">
        <v>3463</v>
      </c>
      <c r="BV949" t="s">
        <v>3463</v>
      </c>
      <c r="BW949" t="s">
        <v>3463</v>
      </c>
      <c r="BX949" t="s">
        <v>79</v>
      </c>
      <c r="BY949" t="s">
        <v>87</v>
      </c>
      <c r="BZ949" t="s">
        <v>95</v>
      </c>
      <c r="CA949" s="10">
        <v>45911</v>
      </c>
    </row>
    <row r="950" spans="1:79">
      <c r="A950">
        <v>957</v>
      </c>
      <c r="B950">
        <v>287</v>
      </c>
      <c r="C950">
        <v>50</v>
      </c>
      <c r="D950" t="s">
        <v>3462</v>
      </c>
      <c r="E950" t="s">
        <v>1966</v>
      </c>
      <c r="F950" t="s">
        <v>380</v>
      </c>
      <c r="G950" s="12" t="s">
        <v>3463</v>
      </c>
      <c r="H950" s="12"/>
      <c r="I950">
        <v>72</v>
      </c>
      <c r="K950">
        <v>130</v>
      </c>
      <c r="L950">
        <v>83</v>
      </c>
      <c r="M950" t="s">
        <v>82</v>
      </c>
      <c r="P950" t="s">
        <v>83</v>
      </c>
      <c r="Q950" t="s">
        <v>82</v>
      </c>
      <c r="R950">
        <v>86.3</v>
      </c>
      <c r="S950">
        <v>163.5</v>
      </c>
      <c r="T950" s="8">
        <f t="shared" si="28"/>
        <v>32.283103741735168</v>
      </c>
      <c r="U950" s="13" t="str" cm="1">
        <f t="array" ref="U950">IF(T950="","",_xlfn.IFS(T950&lt;18.5,"Bajo peso",T950&lt;25,"Peso normal",T950&lt;30,"Sobrepeso",T950&lt;35,"Obesidad clase I",T950&lt;40,"Obesidad clase II",T950&gt;=40,"Obesidad clase III"))</f>
        <v>Obesidad clase I</v>
      </c>
      <c r="V950">
        <v>89</v>
      </c>
      <c r="X950" t="s">
        <v>3463</v>
      </c>
      <c r="Y950">
        <v>0.97</v>
      </c>
      <c r="AA950">
        <v>90</v>
      </c>
      <c r="AB950" s="9">
        <f t="shared" si="29"/>
        <v>95.104900395907748</v>
      </c>
      <c r="AD950" t="s">
        <v>73</v>
      </c>
      <c r="AF950" t="s">
        <v>73</v>
      </c>
      <c r="AH950" t="s">
        <v>3463</v>
      </c>
      <c r="AI950" t="s">
        <v>3463</v>
      </c>
      <c r="AJ950" t="s">
        <v>3463</v>
      </c>
      <c r="AK950" t="s">
        <v>3463</v>
      </c>
      <c r="AL950" t="s">
        <v>3463</v>
      </c>
      <c r="AP950" t="s">
        <v>3463</v>
      </c>
      <c r="AQ950" t="s">
        <v>2298</v>
      </c>
      <c r="AR950" t="s">
        <v>3488</v>
      </c>
      <c r="AV950" t="s">
        <v>178</v>
      </c>
      <c r="AW950" t="s">
        <v>3918</v>
      </c>
      <c r="BF950" t="s">
        <v>3921</v>
      </c>
      <c r="BH950" t="s">
        <v>4020</v>
      </c>
      <c r="BP950" t="s">
        <v>4260</v>
      </c>
      <c r="BQ950" t="s">
        <v>3465</v>
      </c>
      <c r="BR950" t="s">
        <v>3465</v>
      </c>
      <c r="BS950" t="s">
        <v>3463</v>
      </c>
      <c r="BT950" t="s">
        <v>3465</v>
      </c>
      <c r="BU950" t="s">
        <v>3463</v>
      </c>
      <c r="BV950" t="s">
        <v>3463</v>
      </c>
      <c r="BW950" t="s">
        <v>3463</v>
      </c>
      <c r="BX950" t="s">
        <v>79</v>
      </c>
      <c r="BY950" t="s">
        <v>79</v>
      </c>
      <c r="BZ950" t="s">
        <v>79</v>
      </c>
      <c r="CA950" s="10">
        <v>45911</v>
      </c>
    </row>
    <row r="951" spans="1:79">
      <c r="A951">
        <v>958</v>
      </c>
      <c r="B951">
        <v>288</v>
      </c>
      <c r="C951">
        <v>24</v>
      </c>
      <c r="D951" t="s">
        <v>3466</v>
      </c>
      <c r="E951" t="s">
        <v>1657</v>
      </c>
      <c r="F951" t="s">
        <v>150</v>
      </c>
      <c r="G951" s="12" t="s">
        <v>3463</v>
      </c>
      <c r="H951" s="12"/>
      <c r="I951">
        <v>85</v>
      </c>
      <c r="J951">
        <v>87</v>
      </c>
      <c r="K951">
        <v>138</v>
      </c>
      <c r="L951">
        <v>97</v>
      </c>
      <c r="M951" t="s">
        <v>72</v>
      </c>
      <c r="N951">
        <v>133</v>
      </c>
      <c r="O951">
        <v>90</v>
      </c>
      <c r="P951" t="s">
        <v>72</v>
      </c>
      <c r="Q951" t="s">
        <v>72</v>
      </c>
      <c r="R951">
        <v>92</v>
      </c>
      <c r="S951">
        <v>158</v>
      </c>
      <c r="T951" s="8">
        <f t="shared" si="28"/>
        <v>36.853068418522675</v>
      </c>
      <c r="U951" s="13" t="str" cm="1">
        <f t="array" ref="U951">IF(T951="","",_xlfn.IFS(T951&lt;18.5,"Bajo peso",T951&lt;25,"Peso normal",T951&lt;30,"Sobrepeso",T951&lt;35,"Obesidad clase I",T951&lt;40,"Obesidad clase II",T951&gt;=40,"Obesidad clase III"))</f>
        <v>Obesidad clase II</v>
      </c>
      <c r="V951">
        <v>84</v>
      </c>
      <c r="X951" t="s">
        <v>3463</v>
      </c>
      <c r="Y951">
        <v>0.99</v>
      </c>
      <c r="AA951">
        <v>82</v>
      </c>
      <c r="AB951" s="9">
        <f t="shared" si="29"/>
        <v>81.658253910556368</v>
      </c>
      <c r="AD951" t="s">
        <v>73</v>
      </c>
      <c r="AF951" t="s">
        <v>73</v>
      </c>
      <c r="AH951" t="s">
        <v>3463</v>
      </c>
      <c r="AI951" t="s">
        <v>3463</v>
      </c>
      <c r="AJ951" t="s">
        <v>3463</v>
      </c>
      <c r="AK951" t="s">
        <v>3463</v>
      </c>
      <c r="AL951" t="s">
        <v>3463</v>
      </c>
      <c r="AO951" t="s">
        <v>3465</v>
      </c>
      <c r="AP951" t="s">
        <v>3465</v>
      </c>
      <c r="AQ951" t="s">
        <v>2299</v>
      </c>
      <c r="AR951" t="s">
        <v>3583</v>
      </c>
      <c r="AT951" t="s">
        <v>3463</v>
      </c>
      <c r="AV951" t="s">
        <v>74</v>
      </c>
      <c r="AW951" t="s">
        <v>3915</v>
      </c>
      <c r="AX951" t="s">
        <v>3463</v>
      </c>
      <c r="AY951" t="s">
        <v>3463</v>
      </c>
      <c r="BF951" t="s">
        <v>3921</v>
      </c>
      <c r="BH951" t="s">
        <v>4020</v>
      </c>
      <c r="BP951" t="s">
        <v>4260</v>
      </c>
      <c r="BQ951" t="s">
        <v>3463</v>
      </c>
      <c r="BR951" t="s">
        <v>3465</v>
      </c>
      <c r="BS951" t="s">
        <v>3463</v>
      </c>
      <c r="BT951" t="s">
        <v>3463</v>
      </c>
      <c r="BU951" t="s">
        <v>3463</v>
      </c>
      <c r="BV951" t="s">
        <v>3463</v>
      </c>
      <c r="BW951" t="s">
        <v>3463</v>
      </c>
      <c r="BX951" t="s">
        <v>79</v>
      </c>
      <c r="BY951" t="s">
        <v>79</v>
      </c>
      <c r="BZ951" t="s">
        <v>79</v>
      </c>
      <c r="CA951" s="10">
        <v>45911</v>
      </c>
    </row>
    <row r="952" spans="1:79">
      <c r="A952">
        <v>959</v>
      </c>
      <c r="B952">
        <v>289</v>
      </c>
      <c r="C952">
        <v>67</v>
      </c>
      <c r="D952" t="s">
        <v>3466</v>
      </c>
      <c r="E952" t="s">
        <v>1966</v>
      </c>
      <c r="F952" t="s">
        <v>150</v>
      </c>
      <c r="G952" s="12" t="s">
        <v>3463</v>
      </c>
      <c r="I952">
        <v>84</v>
      </c>
      <c r="J952">
        <v>83</v>
      </c>
      <c r="K952">
        <v>151</v>
      </c>
      <c r="L952">
        <v>72</v>
      </c>
      <c r="M952" t="s">
        <v>72</v>
      </c>
      <c r="N952">
        <v>137</v>
      </c>
      <c r="O952">
        <v>69</v>
      </c>
      <c r="P952" t="s">
        <v>82</v>
      </c>
      <c r="Q952" t="s">
        <v>82</v>
      </c>
      <c r="R952">
        <v>70.599999999999994</v>
      </c>
      <c r="S952">
        <v>159</v>
      </c>
      <c r="T952" s="8">
        <f t="shared" si="28"/>
        <v>27.926110517780149</v>
      </c>
      <c r="U952" s="13" t="str" cm="1">
        <f t="array" ref="U952">IF(T952="","",_xlfn.IFS(T952&lt;18.5,"Bajo peso",T952&lt;25,"Peso normal",T952&lt;30,"Sobrepeso",T952&lt;35,"Obesidad clase I",T952&lt;40,"Obesidad clase II",T952&gt;=40,"Obesidad clase III"))</f>
        <v>Sobrepeso</v>
      </c>
      <c r="V952">
        <v>103</v>
      </c>
      <c r="X952" t="s">
        <v>3463</v>
      </c>
      <c r="Y952">
        <v>0.73</v>
      </c>
      <c r="AA952">
        <v>90</v>
      </c>
      <c r="AB952" s="9">
        <f t="shared" si="29"/>
        <v>90.080660975584635</v>
      </c>
      <c r="AD952" t="s">
        <v>73</v>
      </c>
      <c r="AF952" t="s">
        <v>73</v>
      </c>
      <c r="AH952" t="s">
        <v>3463</v>
      </c>
      <c r="AI952" t="s">
        <v>3463</v>
      </c>
      <c r="AJ952" t="s">
        <v>3463</v>
      </c>
      <c r="AK952" t="s">
        <v>3463</v>
      </c>
      <c r="AL952" t="s">
        <v>3465</v>
      </c>
      <c r="AM952" t="s">
        <v>2300</v>
      </c>
      <c r="AN952" t="s">
        <v>3825</v>
      </c>
      <c r="AP952" t="s">
        <v>3464</v>
      </c>
      <c r="AQ952" t="s">
        <v>2301</v>
      </c>
      <c r="AR952" t="s">
        <v>3504</v>
      </c>
      <c r="AT952" t="s">
        <v>3465</v>
      </c>
      <c r="AU952" t="s">
        <v>80</v>
      </c>
      <c r="AV952" t="s">
        <v>74</v>
      </c>
      <c r="AW952" t="s">
        <v>3915</v>
      </c>
      <c r="AY952" t="s">
        <v>3465</v>
      </c>
      <c r="AZ952" t="s">
        <v>665</v>
      </c>
      <c r="BF952" t="s">
        <v>3921</v>
      </c>
      <c r="BH952" t="s">
        <v>4020</v>
      </c>
      <c r="BP952" t="s">
        <v>4260</v>
      </c>
      <c r="BQ952" t="s">
        <v>3463</v>
      </c>
      <c r="BR952" t="s">
        <v>3463</v>
      </c>
      <c r="BS952" t="s">
        <v>3463</v>
      </c>
      <c r="BT952" t="s">
        <v>3463</v>
      </c>
      <c r="BU952" t="s">
        <v>3463</v>
      </c>
      <c r="BV952" t="s">
        <v>3463</v>
      </c>
      <c r="BW952" t="s">
        <v>3463</v>
      </c>
      <c r="BX952" t="s">
        <v>79</v>
      </c>
      <c r="BY952" t="s">
        <v>79</v>
      </c>
      <c r="BZ952" t="s">
        <v>79</v>
      </c>
      <c r="CA952" s="10">
        <v>45911</v>
      </c>
    </row>
    <row r="953" spans="1:79">
      <c r="A953">
        <v>960</v>
      </c>
      <c r="B953">
        <v>290</v>
      </c>
      <c r="C953">
        <v>66</v>
      </c>
      <c r="D953" t="s">
        <v>3462</v>
      </c>
      <c r="F953" t="s">
        <v>380</v>
      </c>
      <c r="G953" s="12" t="s">
        <v>3465</v>
      </c>
      <c r="H953" t="s">
        <v>88</v>
      </c>
      <c r="I953">
        <v>65</v>
      </c>
      <c r="K953">
        <v>126</v>
      </c>
      <c r="L953">
        <v>78</v>
      </c>
      <c r="M953" t="s">
        <v>118</v>
      </c>
      <c r="P953" t="s">
        <v>83</v>
      </c>
      <c r="Q953" t="s">
        <v>118</v>
      </c>
      <c r="R953">
        <v>79.8</v>
      </c>
      <c r="S953">
        <v>153</v>
      </c>
      <c r="T953" s="8">
        <f t="shared" si="28"/>
        <v>34.089452774573886</v>
      </c>
      <c r="U953" s="13" t="str" cm="1">
        <f t="array" ref="U953">IF(T953="","",_xlfn.IFS(T953&lt;18.5,"Bajo peso",T953&lt;25,"Peso normal",T953&lt;30,"Sobrepeso",T953&lt;35,"Obesidad clase I",T953&lt;40,"Obesidad clase II",T953&gt;=40,"Obesidad clase III"))</f>
        <v>Obesidad clase I</v>
      </c>
      <c r="V953">
        <v>166</v>
      </c>
      <c r="X953" t="s">
        <v>3463</v>
      </c>
      <c r="Y953">
        <v>1.49</v>
      </c>
      <c r="AA953">
        <v>51</v>
      </c>
      <c r="AB953" s="9">
        <f t="shared" si="29"/>
        <v>51.438622826382847</v>
      </c>
      <c r="AD953" t="s">
        <v>158</v>
      </c>
      <c r="AF953" t="s">
        <v>158</v>
      </c>
      <c r="AH953" t="s">
        <v>3463</v>
      </c>
      <c r="AI953" t="s">
        <v>3465</v>
      </c>
      <c r="AJ953" t="s">
        <v>3463</v>
      </c>
      <c r="AK953" t="s">
        <v>3465</v>
      </c>
      <c r="AL953" t="s">
        <v>3463</v>
      </c>
      <c r="AP953" t="s">
        <v>3463</v>
      </c>
      <c r="AQ953" t="s">
        <v>2302</v>
      </c>
      <c r="AR953" t="s">
        <v>3512</v>
      </c>
      <c r="AS953" t="s">
        <v>3465</v>
      </c>
      <c r="AV953" t="s">
        <v>126</v>
      </c>
      <c r="AW953" t="s">
        <v>126</v>
      </c>
      <c r="BF953" t="s">
        <v>3921</v>
      </c>
      <c r="BH953" t="s">
        <v>4020</v>
      </c>
      <c r="BP953" t="s">
        <v>4260</v>
      </c>
      <c r="BQ953" t="s">
        <v>3463</v>
      </c>
      <c r="BR953" t="s">
        <v>3463</v>
      </c>
      <c r="BS953" t="s">
        <v>3463</v>
      </c>
      <c r="BT953" t="s">
        <v>3463</v>
      </c>
      <c r="BU953" t="s">
        <v>3463</v>
      </c>
      <c r="BV953" t="s">
        <v>3463</v>
      </c>
      <c r="BW953" t="s">
        <v>3463</v>
      </c>
      <c r="BX953" t="s">
        <v>79</v>
      </c>
      <c r="BY953" t="s">
        <v>87</v>
      </c>
      <c r="BZ953" t="s">
        <v>95</v>
      </c>
      <c r="CA953" s="10">
        <v>45911</v>
      </c>
    </row>
    <row r="954" spans="1:79">
      <c r="A954">
        <v>961</v>
      </c>
      <c r="B954">
        <v>291</v>
      </c>
      <c r="C954">
        <v>36</v>
      </c>
      <c r="D954" t="s">
        <v>3462</v>
      </c>
      <c r="E954" t="s">
        <v>2303</v>
      </c>
      <c r="F954" t="s">
        <v>380</v>
      </c>
      <c r="G954" s="12" t="s">
        <v>3463</v>
      </c>
      <c r="H954" s="12"/>
      <c r="I954">
        <v>53</v>
      </c>
      <c r="J954">
        <v>53</v>
      </c>
      <c r="K954">
        <v>161</v>
      </c>
      <c r="L954">
        <v>88</v>
      </c>
      <c r="M954" t="s">
        <v>72</v>
      </c>
      <c r="N954">
        <v>167</v>
      </c>
      <c r="O954">
        <v>93</v>
      </c>
      <c r="P954" t="s">
        <v>72</v>
      </c>
      <c r="Q954" t="s">
        <v>72</v>
      </c>
      <c r="R954">
        <v>113</v>
      </c>
      <c r="S954">
        <v>174.5</v>
      </c>
      <c r="T954" s="8">
        <f t="shared" si="28"/>
        <v>37.109711742924937</v>
      </c>
      <c r="U954" s="13" t="str" cm="1">
        <f t="array" ref="U954">IF(T954="","",_xlfn.IFS(T954&lt;18.5,"Bajo peso",T954&lt;25,"Peso normal",T954&lt;30,"Sobrepeso",T954&lt;35,"Obesidad clase I",T954&lt;40,"Obesidad clase II",T954&gt;=40,"Obesidad clase III"))</f>
        <v>Obesidad clase II</v>
      </c>
      <c r="V954">
        <v>120</v>
      </c>
      <c r="X954" t="s">
        <v>3463</v>
      </c>
      <c r="Y954">
        <v>1.04</v>
      </c>
      <c r="AA954">
        <v>90</v>
      </c>
      <c r="AB954" s="9">
        <f t="shared" si="29"/>
        <v>95.433988608617398</v>
      </c>
      <c r="AD954" t="s">
        <v>73</v>
      </c>
      <c r="AF954" t="s">
        <v>73</v>
      </c>
      <c r="AH954" t="s">
        <v>3463</v>
      </c>
      <c r="AI954" t="s">
        <v>3463</v>
      </c>
      <c r="AJ954" t="s">
        <v>3463</v>
      </c>
      <c r="AK954" t="s">
        <v>3463</v>
      </c>
      <c r="AL954" t="s">
        <v>3463</v>
      </c>
      <c r="AP954" t="s">
        <v>3463</v>
      </c>
      <c r="AV954" t="s">
        <v>126</v>
      </c>
      <c r="AW954" t="s">
        <v>126</v>
      </c>
      <c r="BF954" t="s">
        <v>3921</v>
      </c>
      <c r="BH954" t="s">
        <v>4020</v>
      </c>
      <c r="BP954" t="s">
        <v>4260</v>
      </c>
      <c r="BQ954" t="s">
        <v>3465</v>
      </c>
      <c r="BR954" t="s">
        <v>3465</v>
      </c>
      <c r="BS954" t="s">
        <v>3463</v>
      </c>
      <c r="BT954" t="s">
        <v>3463</v>
      </c>
      <c r="BU954" t="s">
        <v>3463</v>
      </c>
      <c r="BV954" t="s">
        <v>3463</v>
      </c>
      <c r="BW954" t="s">
        <v>3463</v>
      </c>
      <c r="BX954" t="s">
        <v>79</v>
      </c>
      <c r="BY954" t="s">
        <v>79</v>
      </c>
      <c r="BZ954" t="s">
        <v>79</v>
      </c>
      <c r="CA954" s="10">
        <v>45911</v>
      </c>
    </row>
    <row r="955" spans="1:79">
      <c r="A955">
        <v>962</v>
      </c>
      <c r="B955">
        <v>292</v>
      </c>
      <c r="C955">
        <v>61</v>
      </c>
      <c r="D955" t="s">
        <v>3466</v>
      </c>
      <c r="E955" t="s">
        <v>1966</v>
      </c>
      <c r="F955" t="s">
        <v>150</v>
      </c>
      <c r="G955" s="12" t="s">
        <v>3465</v>
      </c>
      <c r="H955" s="12" t="s">
        <v>88</v>
      </c>
      <c r="I955">
        <v>66</v>
      </c>
      <c r="J955">
        <v>68</v>
      </c>
      <c r="K955">
        <v>151</v>
      </c>
      <c r="L955">
        <v>85</v>
      </c>
      <c r="M955" t="s">
        <v>72</v>
      </c>
      <c r="N955">
        <v>151</v>
      </c>
      <c r="O955">
        <v>90</v>
      </c>
      <c r="P955" t="s">
        <v>72</v>
      </c>
      <c r="Q955" t="s">
        <v>72</v>
      </c>
      <c r="R955">
        <v>81.45</v>
      </c>
      <c r="S955">
        <v>154</v>
      </c>
      <c r="T955" s="8">
        <f t="shared" si="28"/>
        <v>34.343902850396361</v>
      </c>
      <c r="U955" s="13" t="str" cm="1">
        <f t="array" ref="U955">IF(T955="","",_xlfn.IFS(T955&lt;18.5,"Bajo peso",T955&lt;25,"Peso normal",T955&lt;30,"Sobrepeso",T955&lt;35,"Obesidad clase I",T955&lt;40,"Obesidad clase II",T955&gt;=40,"Obesidad clase III"))</f>
        <v>Obesidad clase I</v>
      </c>
      <c r="V955">
        <v>96</v>
      </c>
      <c r="X955" t="s">
        <v>3463</v>
      </c>
      <c r="Y955">
        <v>1.49</v>
      </c>
      <c r="Z955">
        <v>1.37</v>
      </c>
      <c r="AA955">
        <v>40</v>
      </c>
      <c r="AB955" s="9">
        <f t="shared" si="29"/>
        <v>39.719293942177742</v>
      </c>
      <c r="AC955">
        <v>44</v>
      </c>
      <c r="AD955" t="s">
        <v>218</v>
      </c>
      <c r="AE955" t="s">
        <v>218</v>
      </c>
      <c r="AF955" t="s">
        <v>218</v>
      </c>
      <c r="AH955" t="s">
        <v>3463</v>
      </c>
      <c r="AI955" t="s">
        <v>3465</v>
      </c>
      <c r="AJ955" t="s">
        <v>3463</v>
      </c>
      <c r="AK955" t="s">
        <v>3463</v>
      </c>
      <c r="AL955" t="s">
        <v>3465</v>
      </c>
      <c r="AM955" t="s">
        <v>2304</v>
      </c>
      <c r="AN955" t="s">
        <v>3616</v>
      </c>
      <c r="AO955" t="s">
        <v>3463</v>
      </c>
      <c r="AP955" t="s">
        <v>3465</v>
      </c>
      <c r="AQ955" t="s">
        <v>2305</v>
      </c>
      <c r="AR955" t="s">
        <v>3508</v>
      </c>
      <c r="AS955" t="s">
        <v>3465</v>
      </c>
      <c r="AT955" t="s">
        <v>3465</v>
      </c>
      <c r="AU955" t="s">
        <v>80</v>
      </c>
      <c r="AV955" t="s">
        <v>178</v>
      </c>
      <c r="AW955" t="s">
        <v>3918</v>
      </c>
      <c r="AX955" t="s">
        <v>3463</v>
      </c>
      <c r="AY955" t="s">
        <v>3465</v>
      </c>
      <c r="BA955" t="s">
        <v>3920</v>
      </c>
      <c r="BB955" t="s">
        <v>3485</v>
      </c>
      <c r="BE955" t="s">
        <v>2306</v>
      </c>
      <c r="BF955" t="s">
        <v>2306</v>
      </c>
      <c r="BH955" t="s">
        <v>4029</v>
      </c>
      <c r="BI955" t="s">
        <v>411</v>
      </c>
      <c r="BL955" t="s">
        <v>1374</v>
      </c>
      <c r="BP955" t="s">
        <v>4320</v>
      </c>
      <c r="BQ955" t="s">
        <v>3463</v>
      </c>
      <c r="BR955" t="s">
        <v>3463</v>
      </c>
      <c r="BS955" t="s">
        <v>3463</v>
      </c>
      <c r="BT955" t="s">
        <v>3463</v>
      </c>
      <c r="BU955" t="s">
        <v>3463</v>
      </c>
      <c r="BV955" t="s">
        <v>3463</v>
      </c>
      <c r="BW955" t="s">
        <v>3463</v>
      </c>
      <c r="BX955" t="s">
        <v>79</v>
      </c>
      <c r="BY955" t="s">
        <v>79</v>
      </c>
      <c r="BZ955" t="s">
        <v>79</v>
      </c>
      <c r="CA955" s="10">
        <v>45911</v>
      </c>
    </row>
    <row r="956" spans="1:79">
      <c r="A956">
        <v>963</v>
      </c>
      <c r="B956">
        <v>293</v>
      </c>
      <c r="C956">
        <v>44</v>
      </c>
      <c r="D956" t="s">
        <v>3462</v>
      </c>
      <c r="F956" t="s">
        <v>380</v>
      </c>
      <c r="G956" s="12" t="s">
        <v>3463</v>
      </c>
      <c r="I956">
        <v>72</v>
      </c>
      <c r="K956">
        <v>140</v>
      </c>
      <c r="L956">
        <v>80</v>
      </c>
      <c r="M956" t="s">
        <v>72</v>
      </c>
      <c r="P956" t="s">
        <v>83</v>
      </c>
      <c r="Q956" t="s">
        <v>72</v>
      </c>
      <c r="R956">
        <v>101.2</v>
      </c>
      <c r="S956">
        <v>182</v>
      </c>
      <c r="T956" s="8">
        <f t="shared" si="28"/>
        <v>30.551865716700881</v>
      </c>
      <c r="U956" s="13" t="str" cm="1">
        <f t="array" ref="U956">IF(T956="","",_xlfn.IFS(T956&lt;18.5,"Bajo peso",T956&lt;25,"Peso normal",T956&lt;30,"Sobrepeso",T956&lt;35,"Obesidad clase I",T956&lt;40,"Obesidad clase II",T956&gt;=40,"Obesidad clase III"))</f>
        <v>Obesidad clase I</v>
      </c>
      <c r="V956">
        <v>142</v>
      </c>
      <c r="X956" t="s">
        <v>3463</v>
      </c>
      <c r="Y956">
        <v>1.1100000000000001</v>
      </c>
      <c r="AA956">
        <v>84</v>
      </c>
      <c r="AB956" s="9">
        <f t="shared" si="29"/>
        <v>83.974503970551879</v>
      </c>
      <c r="AD956" t="s">
        <v>73</v>
      </c>
      <c r="AF956" t="s">
        <v>73</v>
      </c>
      <c r="AH956" t="s">
        <v>3463</v>
      </c>
      <c r="AI956" t="s">
        <v>3463</v>
      </c>
      <c r="AJ956" t="s">
        <v>3463</v>
      </c>
      <c r="AK956" t="s">
        <v>3463</v>
      </c>
      <c r="AL956" t="s">
        <v>3463</v>
      </c>
      <c r="AP956" t="s">
        <v>3463</v>
      </c>
      <c r="AQ956" t="s">
        <v>1971</v>
      </c>
      <c r="AR956" t="s">
        <v>3599</v>
      </c>
      <c r="AV956" t="s">
        <v>126</v>
      </c>
      <c r="AW956" t="s">
        <v>126</v>
      </c>
      <c r="BF956" t="s">
        <v>3921</v>
      </c>
      <c r="BH956" t="s">
        <v>4020</v>
      </c>
      <c r="BP956" t="s">
        <v>4260</v>
      </c>
      <c r="BQ956" t="s">
        <v>3463</v>
      </c>
      <c r="BR956" t="s">
        <v>3465</v>
      </c>
      <c r="BS956" t="s">
        <v>3463</v>
      </c>
      <c r="BT956" t="s">
        <v>3463</v>
      </c>
      <c r="BU956" t="s">
        <v>3463</v>
      </c>
      <c r="BV956" t="s">
        <v>3463</v>
      </c>
      <c r="BW956" t="s">
        <v>3463</v>
      </c>
      <c r="BX956" t="s">
        <v>79</v>
      </c>
      <c r="BY956" t="s">
        <v>87</v>
      </c>
      <c r="BZ956" t="s">
        <v>79</v>
      </c>
      <c r="CA956" s="10">
        <v>45911</v>
      </c>
    </row>
    <row r="957" spans="1:79">
      <c r="A957">
        <v>964</v>
      </c>
      <c r="B957">
        <v>294</v>
      </c>
      <c r="C957">
        <v>36</v>
      </c>
      <c r="D957" t="s">
        <v>3462</v>
      </c>
      <c r="F957" t="s">
        <v>380</v>
      </c>
      <c r="G957" s="12" t="s">
        <v>3463</v>
      </c>
      <c r="I957">
        <v>65</v>
      </c>
      <c r="J957">
        <v>60</v>
      </c>
      <c r="K957">
        <v>154</v>
      </c>
      <c r="L957">
        <v>94</v>
      </c>
      <c r="M957" t="s">
        <v>72</v>
      </c>
      <c r="N957">
        <v>124</v>
      </c>
      <c r="O957">
        <v>76</v>
      </c>
      <c r="P957" t="s">
        <v>118</v>
      </c>
      <c r="Q957" t="s">
        <v>118</v>
      </c>
      <c r="R957">
        <v>95</v>
      </c>
      <c r="S957">
        <v>172</v>
      </c>
      <c r="T957" s="8">
        <f t="shared" si="28"/>
        <v>32.11195240670633</v>
      </c>
      <c r="U957" s="13" t="str" cm="1">
        <f t="array" ref="U957">IF(T957="","",_xlfn.IFS(T957&lt;18.5,"Bajo peso",T957&lt;25,"Peso normal",T957&lt;30,"Sobrepeso",T957&lt;35,"Obesidad clase I",T957&lt;40,"Obesidad clase II",T957&gt;=40,"Obesidad clase III"))</f>
        <v>Obesidad clase I</v>
      </c>
      <c r="V957">
        <v>104</v>
      </c>
      <c r="X957" t="s">
        <v>3463</v>
      </c>
      <c r="Y957">
        <v>0.7</v>
      </c>
      <c r="AA957">
        <v>90</v>
      </c>
      <c r="AB957" s="9">
        <f t="shared" si="29"/>
        <v>122.46548334166704</v>
      </c>
      <c r="AD957" t="s">
        <v>73</v>
      </c>
      <c r="AF957" t="s">
        <v>73</v>
      </c>
      <c r="AH957" t="s">
        <v>3463</v>
      </c>
      <c r="AI957" t="s">
        <v>3463</v>
      </c>
      <c r="AJ957" t="s">
        <v>3463</v>
      </c>
      <c r="AK957" t="s">
        <v>3463</v>
      </c>
      <c r="AL957" t="s">
        <v>3463</v>
      </c>
      <c r="AP957" t="s">
        <v>3463</v>
      </c>
      <c r="AQ957" t="s">
        <v>143</v>
      </c>
      <c r="AR957" t="s">
        <v>3493</v>
      </c>
      <c r="AV957" t="s">
        <v>126</v>
      </c>
      <c r="AW957" t="s">
        <v>126</v>
      </c>
      <c r="BF957" t="s">
        <v>3921</v>
      </c>
      <c r="BH957" t="s">
        <v>4020</v>
      </c>
      <c r="BP957" t="s">
        <v>4260</v>
      </c>
      <c r="BQ957" t="s">
        <v>3465</v>
      </c>
      <c r="BR957" t="s">
        <v>3465</v>
      </c>
      <c r="BS957" t="s">
        <v>3463</v>
      </c>
      <c r="BT957" t="s">
        <v>3463</v>
      </c>
      <c r="BU957" t="s">
        <v>3463</v>
      </c>
      <c r="BV957" t="s">
        <v>3463</v>
      </c>
      <c r="BW957" t="s">
        <v>3463</v>
      </c>
      <c r="BX957" t="s">
        <v>79</v>
      </c>
      <c r="BY957" t="s">
        <v>87</v>
      </c>
      <c r="BZ957" t="s">
        <v>563</v>
      </c>
      <c r="CA957" s="10">
        <v>45911</v>
      </c>
    </row>
    <row r="958" spans="1:79">
      <c r="A958">
        <v>965</v>
      </c>
      <c r="B958">
        <v>295</v>
      </c>
      <c r="C958">
        <v>49</v>
      </c>
      <c r="D958" t="s">
        <v>3462</v>
      </c>
      <c r="E958" t="s">
        <v>2307</v>
      </c>
      <c r="F958" t="s">
        <v>150</v>
      </c>
      <c r="G958" s="12" t="s">
        <v>3465</v>
      </c>
      <c r="H958" t="s">
        <v>88</v>
      </c>
      <c r="I958">
        <v>76</v>
      </c>
      <c r="K958">
        <v>137</v>
      </c>
      <c r="L958">
        <v>81</v>
      </c>
      <c r="M958" t="s">
        <v>82</v>
      </c>
      <c r="P958" t="s">
        <v>83</v>
      </c>
      <c r="Q958" t="s">
        <v>82</v>
      </c>
      <c r="R958">
        <v>88.75</v>
      </c>
      <c r="S958">
        <v>165</v>
      </c>
      <c r="T958" s="8">
        <f t="shared" si="28"/>
        <v>32.598714416896236</v>
      </c>
      <c r="U958" s="13" t="str" cm="1">
        <f t="array" ref="U958">IF(T958="","",_xlfn.IFS(T958&lt;18.5,"Bajo peso",T958&lt;25,"Peso normal",T958&lt;30,"Sobrepeso",T958&lt;35,"Obesidad clase I",T958&lt;40,"Obesidad clase II",T958&gt;=40,"Obesidad clase III"))</f>
        <v>Obesidad clase I</v>
      </c>
      <c r="V958">
        <v>110</v>
      </c>
      <c r="X958" t="s">
        <v>3463</v>
      </c>
      <c r="Y958">
        <v>1.1599999999999999</v>
      </c>
      <c r="AA958">
        <v>77</v>
      </c>
      <c r="AB958" s="9">
        <f t="shared" si="29"/>
        <v>77.211216798057521</v>
      </c>
      <c r="AD958" t="s">
        <v>73</v>
      </c>
      <c r="AF958" t="s">
        <v>73</v>
      </c>
      <c r="AH958" t="s">
        <v>3463</v>
      </c>
      <c r="AI958" t="s">
        <v>3463</v>
      </c>
      <c r="AJ958" t="s">
        <v>3463</v>
      </c>
      <c r="AK958" t="s">
        <v>3463</v>
      </c>
      <c r="AL958" t="s">
        <v>3463</v>
      </c>
      <c r="AP958" t="s">
        <v>3463</v>
      </c>
      <c r="AV958" t="s">
        <v>126</v>
      </c>
      <c r="AW958" t="s">
        <v>126</v>
      </c>
      <c r="BF958" t="s">
        <v>3921</v>
      </c>
      <c r="BH958" t="s">
        <v>4020</v>
      </c>
      <c r="BP958" t="s">
        <v>4260</v>
      </c>
      <c r="BQ958" t="s">
        <v>3465</v>
      </c>
      <c r="BR958" t="s">
        <v>3465</v>
      </c>
      <c r="BS958" t="s">
        <v>3463</v>
      </c>
      <c r="BT958" t="s">
        <v>3465</v>
      </c>
      <c r="BU958" t="s">
        <v>3463</v>
      </c>
      <c r="BV958" t="s">
        <v>3463</v>
      </c>
      <c r="BW958" t="s">
        <v>3463</v>
      </c>
      <c r="BX958" t="s">
        <v>79</v>
      </c>
      <c r="BY958" t="s">
        <v>79</v>
      </c>
      <c r="BZ958" t="s">
        <v>79</v>
      </c>
      <c r="CA958" s="10">
        <v>45911</v>
      </c>
    </row>
    <row r="959" spans="1:79">
      <c r="A959">
        <v>966</v>
      </c>
      <c r="B959">
        <v>296</v>
      </c>
      <c r="C959">
        <v>59</v>
      </c>
      <c r="D959" t="s">
        <v>3466</v>
      </c>
      <c r="F959" t="s">
        <v>168</v>
      </c>
      <c r="G959" s="12" t="s">
        <v>3463</v>
      </c>
      <c r="I959">
        <v>80</v>
      </c>
      <c r="K959">
        <v>141</v>
      </c>
      <c r="L959">
        <v>71</v>
      </c>
      <c r="M959" t="s">
        <v>72</v>
      </c>
      <c r="P959" t="s">
        <v>83</v>
      </c>
      <c r="Q959" t="s">
        <v>72</v>
      </c>
      <c r="R959">
        <v>75.2</v>
      </c>
      <c r="S959">
        <v>155</v>
      </c>
      <c r="T959" s="8">
        <f t="shared" si="28"/>
        <v>31.30072840790843</v>
      </c>
      <c r="U959" s="13" t="str" cm="1">
        <f t="array" ref="U959">IF(T959="","",_xlfn.IFS(T959&lt;18.5,"Bajo peso",T959&lt;25,"Peso normal",T959&lt;30,"Sobrepeso",T959&lt;35,"Obesidad clase I",T959&lt;40,"Obesidad clase II",T959&gt;=40,"Obesidad clase III"))</f>
        <v>Obesidad clase I</v>
      </c>
      <c r="V959">
        <v>128</v>
      </c>
      <c r="X959" t="s">
        <v>3463</v>
      </c>
      <c r="Y959">
        <v>1.1299999999999999</v>
      </c>
      <c r="AA959">
        <v>56</v>
      </c>
      <c r="AB959" s="9">
        <f t="shared" si="29"/>
        <v>56.044490439876398</v>
      </c>
      <c r="AD959" t="s">
        <v>158</v>
      </c>
      <c r="AF959" t="s">
        <v>158</v>
      </c>
      <c r="AH959" t="s">
        <v>3463</v>
      </c>
      <c r="AI959" t="s">
        <v>3465</v>
      </c>
      <c r="AJ959" t="s">
        <v>3463</v>
      </c>
      <c r="AK959" t="s">
        <v>3465</v>
      </c>
      <c r="AL959" t="s">
        <v>3465</v>
      </c>
      <c r="AM959" t="s">
        <v>2308</v>
      </c>
      <c r="AN959" t="s">
        <v>1511</v>
      </c>
      <c r="AP959" t="s">
        <v>3464</v>
      </c>
      <c r="AQ959" t="s">
        <v>2309</v>
      </c>
      <c r="AR959" t="s">
        <v>3516</v>
      </c>
      <c r="AS959" t="s">
        <v>3465</v>
      </c>
      <c r="AT959" t="s">
        <v>3463</v>
      </c>
      <c r="AV959" t="s">
        <v>1346</v>
      </c>
      <c r="AW959" t="s">
        <v>3919</v>
      </c>
      <c r="AX959" t="s">
        <v>3463</v>
      </c>
      <c r="AY959" t="s">
        <v>3463</v>
      </c>
      <c r="BA959" t="s">
        <v>3920</v>
      </c>
      <c r="BF959" t="s">
        <v>3921</v>
      </c>
      <c r="BG959" t="s">
        <v>2310</v>
      </c>
      <c r="BH959" t="s">
        <v>4206</v>
      </c>
      <c r="BL959" t="s">
        <v>2311</v>
      </c>
      <c r="BP959" t="s">
        <v>4338</v>
      </c>
      <c r="BQ959" t="s">
        <v>3465</v>
      </c>
      <c r="BR959" t="s">
        <v>3465</v>
      </c>
      <c r="BS959" t="s">
        <v>3463</v>
      </c>
      <c r="BT959" t="s">
        <v>3463</v>
      </c>
      <c r="BU959" t="s">
        <v>3463</v>
      </c>
      <c r="BV959" t="s">
        <v>3463</v>
      </c>
      <c r="BW959" t="s">
        <v>3463</v>
      </c>
      <c r="BX959" t="s">
        <v>79</v>
      </c>
      <c r="BY959" t="s">
        <v>79</v>
      </c>
      <c r="BZ959" t="s">
        <v>79</v>
      </c>
      <c r="CA959" s="10">
        <v>45911</v>
      </c>
    </row>
    <row r="960" spans="1:79">
      <c r="A960">
        <v>967</v>
      </c>
      <c r="B960">
        <v>297</v>
      </c>
      <c r="C960">
        <v>61</v>
      </c>
      <c r="D960" t="s">
        <v>3466</v>
      </c>
      <c r="E960" t="s">
        <v>2312</v>
      </c>
      <c r="F960" t="s">
        <v>168</v>
      </c>
      <c r="G960" s="12" t="s">
        <v>3463</v>
      </c>
      <c r="I960">
        <v>87</v>
      </c>
      <c r="K960">
        <v>122</v>
      </c>
      <c r="L960">
        <v>70</v>
      </c>
      <c r="M960" t="s">
        <v>118</v>
      </c>
      <c r="P960" t="s">
        <v>83</v>
      </c>
      <c r="Q960" t="s">
        <v>118</v>
      </c>
      <c r="R960">
        <v>63.3</v>
      </c>
      <c r="S960">
        <v>154</v>
      </c>
      <c r="T960" s="8">
        <f t="shared" si="28"/>
        <v>26.690841625906561</v>
      </c>
      <c r="U960" s="13" t="str" cm="1">
        <f t="array" ref="U960">IF(T960="","",_xlfn.IFS(T960&lt;18.5,"Bajo peso",T960&lt;25,"Peso normal",T960&lt;30,"Sobrepeso",T960&lt;35,"Obesidad clase I",T960&lt;40,"Obesidad clase II",T960&gt;=40,"Obesidad clase III"))</f>
        <v>Sobrepeso</v>
      </c>
      <c r="V960">
        <v>105</v>
      </c>
      <c r="X960" t="s">
        <v>3463</v>
      </c>
      <c r="Y960">
        <v>0.94</v>
      </c>
      <c r="AA960">
        <v>69</v>
      </c>
      <c r="AB960" s="9">
        <f t="shared" si="29"/>
        <v>69.035363759125246</v>
      </c>
      <c r="AD960" t="s">
        <v>73</v>
      </c>
      <c r="AF960" t="s">
        <v>73</v>
      </c>
      <c r="AH960" t="s">
        <v>3463</v>
      </c>
      <c r="AI960" t="s">
        <v>3463</v>
      </c>
      <c r="AJ960" t="s">
        <v>3465</v>
      </c>
      <c r="AK960" t="s">
        <v>3463</v>
      </c>
      <c r="AL960" t="s">
        <v>3463</v>
      </c>
      <c r="AP960" t="s">
        <v>3463</v>
      </c>
      <c r="AQ960" t="s">
        <v>2313</v>
      </c>
      <c r="AR960" t="s">
        <v>3560</v>
      </c>
      <c r="AT960" t="s">
        <v>3465</v>
      </c>
      <c r="AU960" t="s">
        <v>80</v>
      </c>
      <c r="AV960" t="s">
        <v>74</v>
      </c>
      <c r="AW960" t="s">
        <v>3915</v>
      </c>
      <c r="AY960" t="s">
        <v>3465</v>
      </c>
      <c r="AZ960" t="s">
        <v>665</v>
      </c>
      <c r="BF960" t="s">
        <v>3921</v>
      </c>
      <c r="BH960" t="s">
        <v>4020</v>
      </c>
      <c r="BP960" t="s">
        <v>4260</v>
      </c>
      <c r="BQ960" t="s">
        <v>3465</v>
      </c>
      <c r="BR960" t="s">
        <v>3465</v>
      </c>
      <c r="BS960" t="s">
        <v>3463</v>
      </c>
      <c r="BT960" t="s">
        <v>3463</v>
      </c>
      <c r="BU960" t="s">
        <v>3463</v>
      </c>
      <c r="BV960" t="s">
        <v>3463</v>
      </c>
      <c r="BW960" t="s">
        <v>3463</v>
      </c>
      <c r="BX960" t="s">
        <v>79</v>
      </c>
      <c r="BY960" t="s">
        <v>79</v>
      </c>
      <c r="BZ960" t="s">
        <v>79</v>
      </c>
      <c r="CA960" s="10">
        <v>45911</v>
      </c>
    </row>
    <row r="961" spans="1:79">
      <c r="A961">
        <v>968</v>
      </c>
      <c r="B961">
        <v>298</v>
      </c>
      <c r="C961">
        <v>59</v>
      </c>
      <c r="D961" t="s">
        <v>3466</v>
      </c>
      <c r="E961" t="s">
        <v>2314</v>
      </c>
      <c r="F961" t="s">
        <v>150</v>
      </c>
      <c r="G961" s="12" t="s">
        <v>3463</v>
      </c>
      <c r="H961" s="12"/>
      <c r="I961">
        <v>92</v>
      </c>
      <c r="K961">
        <v>131</v>
      </c>
      <c r="L961">
        <v>75</v>
      </c>
      <c r="M961" t="s">
        <v>82</v>
      </c>
      <c r="P961" t="s">
        <v>83</v>
      </c>
      <c r="Q961" t="s">
        <v>82</v>
      </c>
      <c r="R961">
        <v>53</v>
      </c>
      <c r="S961">
        <v>152</v>
      </c>
      <c r="T961" s="8">
        <f t="shared" si="28"/>
        <v>22.939750692520779</v>
      </c>
      <c r="U961" s="13" t="str" cm="1">
        <f t="array" ref="U961">IF(T961="","",_xlfn.IFS(T961&lt;18.5,"Bajo peso",T961&lt;25,"Peso normal",T961&lt;30,"Sobrepeso",T961&lt;35,"Obesidad clase I",T961&lt;40,"Obesidad clase II",T961&gt;=40,"Obesidad clase III"))</f>
        <v>Peso normal</v>
      </c>
      <c r="V961">
        <v>80</v>
      </c>
      <c r="X961" t="s">
        <v>3463</v>
      </c>
      <c r="Y961">
        <v>1.32</v>
      </c>
      <c r="AA961">
        <v>47</v>
      </c>
      <c r="AB961" s="9">
        <f t="shared" si="29"/>
        <v>46.509143273459742</v>
      </c>
      <c r="AD961" t="s">
        <v>158</v>
      </c>
      <c r="AF961" t="s">
        <v>158</v>
      </c>
      <c r="AH961" t="s">
        <v>3463</v>
      </c>
      <c r="AI961" t="s">
        <v>3463</v>
      </c>
      <c r="AJ961" t="s">
        <v>3463</v>
      </c>
      <c r="AK961" t="s">
        <v>3463</v>
      </c>
      <c r="AL961" t="s">
        <v>3465</v>
      </c>
      <c r="AM961" t="s">
        <v>1815</v>
      </c>
      <c r="AN961" t="s">
        <v>1815</v>
      </c>
      <c r="AP961" t="s">
        <v>3463</v>
      </c>
      <c r="AQ961" t="s">
        <v>120</v>
      </c>
      <c r="AR961" t="s">
        <v>3491</v>
      </c>
      <c r="AT961" t="s">
        <v>3465</v>
      </c>
      <c r="AU961" t="s">
        <v>80</v>
      </c>
      <c r="AV961" t="s">
        <v>74</v>
      </c>
      <c r="AW961" t="s">
        <v>3915</v>
      </c>
      <c r="AY961" t="s">
        <v>3465</v>
      </c>
      <c r="AZ961" t="s">
        <v>2315</v>
      </c>
      <c r="BF961" t="s">
        <v>3921</v>
      </c>
      <c r="BG961" t="s">
        <v>2316</v>
      </c>
      <c r="BH961" t="s">
        <v>4129</v>
      </c>
      <c r="BK961" t="s">
        <v>2317</v>
      </c>
      <c r="BL961" t="s">
        <v>2318</v>
      </c>
      <c r="BP961" t="s">
        <v>4513</v>
      </c>
      <c r="BQ961" t="s">
        <v>3463</v>
      </c>
      <c r="BR961" t="s">
        <v>3463</v>
      </c>
      <c r="BS961" t="s">
        <v>3463</v>
      </c>
      <c r="BT961" t="s">
        <v>3465</v>
      </c>
      <c r="BU961" t="s">
        <v>3463</v>
      </c>
      <c r="BV961" t="s">
        <v>3463</v>
      </c>
      <c r="BW961" t="s">
        <v>3463</v>
      </c>
      <c r="BX961" t="s">
        <v>79</v>
      </c>
      <c r="BY961" t="s">
        <v>79</v>
      </c>
      <c r="BZ961" t="s">
        <v>79</v>
      </c>
      <c r="CA961" s="10">
        <v>45911</v>
      </c>
    </row>
    <row r="962" spans="1:79">
      <c r="A962">
        <v>969</v>
      </c>
      <c r="B962">
        <v>299</v>
      </c>
      <c r="C962">
        <v>38</v>
      </c>
      <c r="D962" t="s">
        <v>3462</v>
      </c>
      <c r="F962" t="s">
        <v>150</v>
      </c>
      <c r="G962" s="12" t="s">
        <v>3463</v>
      </c>
      <c r="I962">
        <v>95</v>
      </c>
      <c r="J962">
        <v>98</v>
      </c>
      <c r="K962">
        <v>164</v>
      </c>
      <c r="L962">
        <v>66</v>
      </c>
      <c r="M962" t="s">
        <v>72</v>
      </c>
      <c r="N962">
        <v>151</v>
      </c>
      <c r="O962">
        <v>83</v>
      </c>
      <c r="P962" t="s">
        <v>72</v>
      </c>
      <c r="Q962" t="s">
        <v>72</v>
      </c>
      <c r="R962">
        <v>97.6</v>
      </c>
      <c r="S962">
        <v>168</v>
      </c>
      <c r="T962" s="8">
        <f t="shared" ref="T962:T1025" si="30">IFERROR(R962/(S962^2)*10000,"")</f>
        <v>34.580498866213148</v>
      </c>
      <c r="U962" s="13" t="str" cm="1">
        <f t="array" ref="U962">IF(T962="","",_xlfn.IFS(T962&lt;18.5,"Bajo peso",T962&lt;25,"Peso normal",T962&lt;30,"Sobrepeso",T962&lt;35,"Obesidad clase I",T962&lt;40,"Obesidad clase II",T962&gt;=40,"Obesidad clase III"))</f>
        <v>Obesidad clase I</v>
      </c>
      <c r="V962">
        <v>140</v>
      </c>
      <c r="X962" t="s">
        <v>3463</v>
      </c>
      <c r="Y962">
        <v>0.84</v>
      </c>
      <c r="AA962">
        <v>90</v>
      </c>
      <c r="AB962" s="9">
        <f t="shared" ref="AB962:AB1025" si="31">IF(OR(C962="",D962="",Y962=""),"",142*POWER(MIN(Y962/IF(D962="Mujer",0.7,0.9),1),IF(D962="Mujer",-0.241,-0.302))*POWER(MAX(Y962/IF(D962="Mujer",0.7,0.9),1),-1.2)*POWER(0.9938,C962)*IF(D962="Mujer",1.012,1))</f>
        <v>114.47191532017582</v>
      </c>
      <c r="AD962" t="s">
        <v>73</v>
      </c>
      <c r="AF962" t="s">
        <v>73</v>
      </c>
      <c r="AH962" t="s">
        <v>3463</v>
      </c>
      <c r="AI962" t="s">
        <v>3465</v>
      </c>
      <c r="AJ962" t="s">
        <v>3463</v>
      </c>
      <c r="AK962" t="s">
        <v>3463</v>
      </c>
      <c r="AL962" t="s">
        <v>3465</v>
      </c>
      <c r="AM962" t="s">
        <v>120</v>
      </c>
      <c r="AN962" t="s">
        <v>3801</v>
      </c>
      <c r="AP962" t="s">
        <v>3463</v>
      </c>
      <c r="AQ962" t="s">
        <v>2319</v>
      </c>
      <c r="AR962" t="s">
        <v>3506</v>
      </c>
      <c r="AS962" t="s">
        <v>3465</v>
      </c>
      <c r="AV962" t="s">
        <v>178</v>
      </c>
      <c r="AW962" t="s">
        <v>3918</v>
      </c>
      <c r="BF962" t="s">
        <v>3921</v>
      </c>
      <c r="BH962" t="s">
        <v>4020</v>
      </c>
      <c r="BP962" t="s">
        <v>4260</v>
      </c>
      <c r="BQ962" t="s">
        <v>3463</v>
      </c>
      <c r="BR962" t="s">
        <v>3465</v>
      </c>
      <c r="BS962" t="s">
        <v>3463</v>
      </c>
      <c r="BT962" t="s">
        <v>3463</v>
      </c>
      <c r="BU962" t="s">
        <v>3463</v>
      </c>
      <c r="BV962" t="s">
        <v>3463</v>
      </c>
      <c r="BW962" t="s">
        <v>3463</v>
      </c>
      <c r="BX962" t="s">
        <v>79</v>
      </c>
      <c r="BY962" t="s">
        <v>87</v>
      </c>
      <c r="BZ962" t="s">
        <v>95</v>
      </c>
      <c r="CA962" s="10">
        <v>45911</v>
      </c>
    </row>
    <row r="963" spans="1:79">
      <c r="A963">
        <v>970</v>
      </c>
      <c r="B963">
        <v>301</v>
      </c>
      <c r="C963">
        <v>66</v>
      </c>
      <c r="D963" t="s">
        <v>3462</v>
      </c>
      <c r="E963" t="s">
        <v>1966</v>
      </c>
      <c r="F963" t="s">
        <v>150</v>
      </c>
      <c r="G963" s="12" t="s">
        <v>3463</v>
      </c>
      <c r="H963" s="12"/>
      <c r="I963">
        <v>72</v>
      </c>
      <c r="K963">
        <v>127</v>
      </c>
      <c r="L963">
        <v>52</v>
      </c>
      <c r="M963" t="s">
        <v>118</v>
      </c>
      <c r="P963" t="s">
        <v>83</v>
      </c>
      <c r="Q963" t="s">
        <v>118</v>
      </c>
      <c r="R963">
        <v>66.95</v>
      </c>
      <c r="S963">
        <v>155.4</v>
      </c>
      <c r="T963" s="8">
        <f t="shared" si="30"/>
        <v>27.72353158453544</v>
      </c>
      <c r="U963" s="13" t="str" cm="1">
        <f t="array" ref="U963">IF(T963="","",_xlfn.IFS(T963&lt;18.5,"Bajo peso",T963&lt;25,"Peso normal",T963&lt;30,"Sobrepeso",T963&lt;35,"Obesidad clase I",T963&lt;40,"Obesidad clase II",T963&gt;=40,"Obesidad clase III"))</f>
        <v>Sobrepeso</v>
      </c>
      <c r="V963">
        <v>88</v>
      </c>
      <c r="X963" t="s">
        <v>3463</v>
      </c>
      <c r="Y963">
        <v>1.1000000000000001</v>
      </c>
      <c r="AA963">
        <v>74</v>
      </c>
      <c r="AB963" s="9">
        <f t="shared" si="31"/>
        <v>74.0357759624941</v>
      </c>
      <c r="AD963" t="s">
        <v>73</v>
      </c>
      <c r="AF963" t="s">
        <v>73</v>
      </c>
      <c r="AH963" t="s">
        <v>3463</v>
      </c>
      <c r="AI963" t="s">
        <v>3463</v>
      </c>
      <c r="AJ963" t="s">
        <v>3463</v>
      </c>
      <c r="AK963" t="s">
        <v>3463</v>
      </c>
      <c r="AL963" t="s">
        <v>3463</v>
      </c>
      <c r="AP963" t="s">
        <v>3463</v>
      </c>
      <c r="AQ963" t="s">
        <v>2320</v>
      </c>
      <c r="AR963" t="s">
        <v>3508</v>
      </c>
      <c r="AV963" t="s">
        <v>74</v>
      </c>
      <c r="AW963" t="s">
        <v>3915</v>
      </c>
      <c r="BF963" t="s">
        <v>3921</v>
      </c>
      <c r="BH963" t="s">
        <v>4020</v>
      </c>
      <c r="BP963" t="s">
        <v>4260</v>
      </c>
      <c r="BQ963" t="s">
        <v>3463</v>
      </c>
      <c r="BR963" t="s">
        <v>3463</v>
      </c>
      <c r="BS963" t="s">
        <v>3463</v>
      </c>
      <c r="BT963" t="s">
        <v>3463</v>
      </c>
      <c r="BU963" t="s">
        <v>3463</v>
      </c>
      <c r="BV963" t="s">
        <v>3463</v>
      </c>
      <c r="BW963" t="s">
        <v>3463</v>
      </c>
      <c r="BX963" t="s">
        <v>79</v>
      </c>
      <c r="BY963" t="s">
        <v>79</v>
      </c>
      <c r="BZ963" t="s">
        <v>79</v>
      </c>
      <c r="CA963" s="10">
        <v>45911</v>
      </c>
    </row>
    <row r="964" spans="1:79">
      <c r="A964">
        <v>971</v>
      </c>
      <c r="B964">
        <v>302</v>
      </c>
      <c r="C964">
        <v>23</v>
      </c>
      <c r="D964" t="s">
        <v>3462</v>
      </c>
      <c r="F964" t="s">
        <v>150</v>
      </c>
      <c r="G964" s="12" t="s">
        <v>3463</v>
      </c>
      <c r="I964">
        <v>77</v>
      </c>
      <c r="K964">
        <v>145</v>
      </c>
      <c r="L964">
        <v>71</v>
      </c>
      <c r="M964" t="s">
        <v>72</v>
      </c>
      <c r="P964" t="s">
        <v>83</v>
      </c>
      <c r="Q964" t="s">
        <v>72</v>
      </c>
      <c r="R964">
        <v>98.3</v>
      </c>
      <c r="S964">
        <v>183</v>
      </c>
      <c r="T964" s="8">
        <f t="shared" si="30"/>
        <v>29.352921854937438</v>
      </c>
      <c r="U964" s="13" t="str" cm="1">
        <f t="array" ref="U964">IF(T964="","",_xlfn.IFS(T964&lt;18.5,"Bajo peso",T964&lt;25,"Peso normal",T964&lt;30,"Sobrepeso",T964&lt;35,"Obesidad clase I",T964&lt;40,"Obesidad clase II",T964&gt;=40,"Obesidad clase III"))</f>
        <v>Sobrepeso</v>
      </c>
      <c r="V964">
        <v>108</v>
      </c>
      <c r="X964" t="s">
        <v>3463</v>
      </c>
      <c r="Y964">
        <v>0.85</v>
      </c>
      <c r="AA964">
        <v>90</v>
      </c>
      <c r="AB964" s="9">
        <f t="shared" si="31"/>
        <v>125.216595632997</v>
      </c>
      <c r="AD964" t="s">
        <v>73</v>
      </c>
      <c r="AF964" t="s">
        <v>73</v>
      </c>
      <c r="AH964" t="s">
        <v>3463</v>
      </c>
      <c r="AI964" t="s">
        <v>3463</v>
      </c>
      <c r="AJ964" t="s">
        <v>3463</v>
      </c>
      <c r="AK964" t="s">
        <v>3463</v>
      </c>
      <c r="AL964" t="s">
        <v>3463</v>
      </c>
      <c r="AP964" t="s">
        <v>3463</v>
      </c>
      <c r="AV964" t="s">
        <v>126</v>
      </c>
      <c r="AW964" t="s">
        <v>126</v>
      </c>
      <c r="BF964" t="s">
        <v>3921</v>
      </c>
      <c r="BH964" t="s">
        <v>4020</v>
      </c>
      <c r="BP964" t="s">
        <v>4260</v>
      </c>
      <c r="BQ964" t="s">
        <v>3463</v>
      </c>
      <c r="BR964" t="s">
        <v>3465</v>
      </c>
      <c r="BS964" t="s">
        <v>3463</v>
      </c>
      <c r="BT964" t="s">
        <v>3465</v>
      </c>
      <c r="BU964" t="s">
        <v>3463</v>
      </c>
      <c r="BV964" t="s">
        <v>3463</v>
      </c>
      <c r="BW964" t="s">
        <v>3463</v>
      </c>
      <c r="BX964" t="s">
        <v>79</v>
      </c>
      <c r="BY964" t="s">
        <v>79</v>
      </c>
      <c r="BZ964" t="s">
        <v>95</v>
      </c>
      <c r="CA964" s="10">
        <v>45911</v>
      </c>
    </row>
    <row r="965" spans="1:79">
      <c r="A965">
        <v>972</v>
      </c>
      <c r="B965">
        <v>303</v>
      </c>
      <c r="C965">
        <v>23</v>
      </c>
      <c r="D965" t="s">
        <v>3466</v>
      </c>
      <c r="F965" t="s">
        <v>380</v>
      </c>
      <c r="G965" s="12" t="s">
        <v>3463</v>
      </c>
      <c r="I965">
        <v>69</v>
      </c>
      <c r="K965">
        <v>117</v>
      </c>
      <c r="L965">
        <v>68</v>
      </c>
      <c r="M965" t="s">
        <v>80</v>
      </c>
      <c r="P965" t="s">
        <v>83</v>
      </c>
      <c r="Q965" t="s">
        <v>80</v>
      </c>
      <c r="R965">
        <v>70.7</v>
      </c>
      <c r="S965">
        <v>159</v>
      </c>
      <c r="T965" s="8">
        <f t="shared" si="30"/>
        <v>27.965665915114119</v>
      </c>
      <c r="U965" s="13" t="str" cm="1">
        <f t="array" ref="U965">IF(T965="","",_xlfn.IFS(T965&lt;18.5,"Bajo peso",T965&lt;25,"Peso normal",T965&lt;30,"Sobrepeso",T965&lt;35,"Obesidad clase I",T965&lt;40,"Obesidad clase II",T965&gt;=40,"Obesidad clase III"))</f>
        <v>Sobrepeso</v>
      </c>
      <c r="V965">
        <v>86</v>
      </c>
      <c r="X965" t="s">
        <v>3463</v>
      </c>
      <c r="Y965">
        <v>0.89</v>
      </c>
      <c r="AA965">
        <v>90</v>
      </c>
      <c r="AB965" s="9">
        <f t="shared" si="31"/>
        <v>93.367412289229492</v>
      </c>
      <c r="AD965" t="s">
        <v>73</v>
      </c>
      <c r="AF965" t="s">
        <v>73</v>
      </c>
      <c r="AH965" t="s">
        <v>3463</v>
      </c>
      <c r="AI965" t="s">
        <v>3463</v>
      </c>
      <c r="AJ965" t="s">
        <v>3463</v>
      </c>
      <c r="AK965" t="s">
        <v>3463</v>
      </c>
      <c r="AL965" t="s">
        <v>3463</v>
      </c>
      <c r="AP965" t="s">
        <v>3463</v>
      </c>
      <c r="AQ965" t="s">
        <v>143</v>
      </c>
      <c r="AR965" t="s">
        <v>3493</v>
      </c>
      <c r="AT965" t="s">
        <v>3463</v>
      </c>
      <c r="AV965" t="s">
        <v>126</v>
      </c>
      <c r="AW965" t="s">
        <v>126</v>
      </c>
      <c r="AX965" t="s">
        <v>3463</v>
      </c>
      <c r="AY965" t="s">
        <v>3465</v>
      </c>
      <c r="AZ965" t="s">
        <v>247</v>
      </c>
      <c r="BF965" t="s">
        <v>3921</v>
      </c>
      <c r="BH965" t="s">
        <v>4020</v>
      </c>
      <c r="BP965" t="s">
        <v>4260</v>
      </c>
      <c r="BQ965" t="s">
        <v>3465</v>
      </c>
      <c r="BR965" t="s">
        <v>3465</v>
      </c>
      <c r="BS965" t="s">
        <v>3463</v>
      </c>
      <c r="BT965" t="s">
        <v>3465</v>
      </c>
      <c r="BU965" t="s">
        <v>3463</v>
      </c>
      <c r="BV965" t="s">
        <v>3463</v>
      </c>
      <c r="BW965" t="s">
        <v>3463</v>
      </c>
      <c r="BX965" t="s">
        <v>79</v>
      </c>
      <c r="BY965" t="s">
        <v>87</v>
      </c>
      <c r="BZ965" t="s">
        <v>95</v>
      </c>
      <c r="CA965" s="10">
        <v>45911</v>
      </c>
    </row>
    <row r="966" spans="1:79">
      <c r="A966">
        <v>973</v>
      </c>
      <c r="B966">
        <v>304</v>
      </c>
      <c r="C966">
        <v>73</v>
      </c>
      <c r="D966" t="s">
        <v>3466</v>
      </c>
      <c r="E966" t="s">
        <v>1966</v>
      </c>
      <c r="F966" t="s">
        <v>150</v>
      </c>
      <c r="G966" s="12" t="s">
        <v>3463</v>
      </c>
      <c r="H966" s="12"/>
      <c r="I966">
        <v>74</v>
      </c>
      <c r="J966">
        <v>72</v>
      </c>
      <c r="K966">
        <v>147</v>
      </c>
      <c r="L966">
        <v>77</v>
      </c>
      <c r="M966" t="s">
        <v>72</v>
      </c>
      <c r="N966">
        <v>161</v>
      </c>
      <c r="O966">
        <v>63</v>
      </c>
      <c r="P966" t="s">
        <v>72</v>
      </c>
      <c r="Q966" t="s">
        <v>72</v>
      </c>
      <c r="R966">
        <v>60</v>
      </c>
      <c r="S966">
        <v>148</v>
      </c>
      <c r="T966" s="8">
        <f t="shared" si="30"/>
        <v>27.392257121986852</v>
      </c>
      <c r="U966" s="13" t="str" cm="1">
        <f t="array" ref="U966">IF(T966="","",_xlfn.IFS(T966&lt;18.5,"Bajo peso",T966&lt;25,"Peso normal",T966&lt;30,"Sobrepeso",T966&lt;35,"Obesidad clase I",T966&lt;40,"Obesidad clase II",T966&gt;=40,"Obesidad clase III"))</f>
        <v>Sobrepeso</v>
      </c>
      <c r="V966">
        <v>113</v>
      </c>
      <c r="X966" t="s">
        <v>3463</v>
      </c>
      <c r="Y966">
        <v>0.7</v>
      </c>
      <c r="AA966">
        <v>90</v>
      </c>
      <c r="AB966" s="9">
        <f t="shared" si="31"/>
        <v>91.263118092742886</v>
      </c>
      <c r="AD966" t="s">
        <v>73</v>
      </c>
      <c r="AF966" t="s">
        <v>73</v>
      </c>
      <c r="AH966" t="s">
        <v>3463</v>
      </c>
      <c r="AI966" t="s">
        <v>3463</v>
      </c>
      <c r="AJ966" t="s">
        <v>3463</v>
      </c>
      <c r="AK966" t="s">
        <v>3463</v>
      </c>
      <c r="AL966" t="s">
        <v>3465</v>
      </c>
      <c r="AM966" t="s">
        <v>1635</v>
      </c>
      <c r="AN966" t="s">
        <v>3617</v>
      </c>
      <c r="AP966" t="s">
        <v>3463</v>
      </c>
      <c r="AQ966" t="s">
        <v>2321</v>
      </c>
      <c r="AR966" t="s">
        <v>3490</v>
      </c>
      <c r="AT966" t="s">
        <v>3465</v>
      </c>
      <c r="AU966" t="s">
        <v>80</v>
      </c>
      <c r="AV966" t="s">
        <v>74</v>
      </c>
      <c r="AW966" t="s">
        <v>3915</v>
      </c>
      <c r="AX966" t="s">
        <v>3463</v>
      </c>
      <c r="AY966" t="s">
        <v>3465</v>
      </c>
      <c r="AZ966" t="s">
        <v>90</v>
      </c>
      <c r="BF966" t="s">
        <v>3921</v>
      </c>
      <c r="BG966" t="s">
        <v>472</v>
      </c>
      <c r="BH966" t="s">
        <v>4142</v>
      </c>
      <c r="BI966" t="s">
        <v>76</v>
      </c>
      <c r="BK966" t="s">
        <v>2322</v>
      </c>
      <c r="BL966" t="s">
        <v>2323</v>
      </c>
      <c r="BP966" t="s">
        <v>4430</v>
      </c>
      <c r="BQ966" t="s">
        <v>3463</v>
      </c>
      <c r="BR966" t="s">
        <v>3465</v>
      </c>
      <c r="BS966" t="s">
        <v>3463</v>
      </c>
      <c r="BT966" t="s">
        <v>3463</v>
      </c>
      <c r="BU966" t="s">
        <v>3465</v>
      </c>
      <c r="BV966" t="s">
        <v>3465</v>
      </c>
      <c r="BW966" t="s">
        <v>3465</v>
      </c>
      <c r="BX966" t="s">
        <v>79</v>
      </c>
      <c r="BY966" t="s">
        <v>87</v>
      </c>
      <c r="BZ966" t="s">
        <v>95</v>
      </c>
      <c r="CA966" s="10">
        <v>45911</v>
      </c>
    </row>
    <row r="967" spans="1:79">
      <c r="A967">
        <v>974</v>
      </c>
      <c r="B967">
        <v>305</v>
      </c>
      <c r="C967">
        <v>41</v>
      </c>
      <c r="D967" t="s">
        <v>3466</v>
      </c>
      <c r="E967" t="s">
        <v>1966</v>
      </c>
      <c r="F967" t="s">
        <v>150</v>
      </c>
      <c r="G967" s="12" t="s">
        <v>3465</v>
      </c>
      <c r="H967" t="s">
        <v>88</v>
      </c>
      <c r="I967">
        <v>61</v>
      </c>
      <c r="K967">
        <v>109</v>
      </c>
      <c r="L967">
        <v>68</v>
      </c>
      <c r="M967" t="s">
        <v>80</v>
      </c>
      <c r="P967" t="s">
        <v>83</v>
      </c>
      <c r="Q967" t="s">
        <v>80</v>
      </c>
      <c r="R967">
        <v>82.3</v>
      </c>
      <c r="S967">
        <v>152</v>
      </c>
      <c r="T967" s="8">
        <f t="shared" si="30"/>
        <v>35.62153739612188</v>
      </c>
      <c r="U967" s="13" t="str" cm="1">
        <f t="array" ref="U967">IF(T967="","",_xlfn.IFS(T967&lt;18.5,"Bajo peso",T967&lt;25,"Peso normal",T967&lt;30,"Sobrepeso",T967&lt;35,"Obesidad clase I",T967&lt;40,"Obesidad clase II",T967&gt;=40,"Obesidad clase III"))</f>
        <v>Obesidad clase II</v>
      </c>
      <c r="V967">
        <v>103</v>
      </c>
      <c r="X967" t="s">
        <v>3463</v>
      </c>
      <c r="Y967">
        <v>0.81</v>
      </c>
      <c r="AA967">
        <v>90</v>
      </c>
      <c r="AB967" s="9">
        <f t="shared" si="31"/>
        <v>93.468047596014713</v>
      </c>
      <c r="AD967" t="s">
        <v>73</v>
      </c>
      <c r="AF967" t="s">
        <v>73</v>
      </c>
      <c r="AH967" t="s">
        <v>3463</v>
      </c>
      <c r="AI967" t="s">
        <v>3463</v>
      </c>
      <c r="AJ967" t="s">
        <v>3465</v>
      </c>
      <c r="AK967" t="s">
        <v>3463</v>
      </c>
      <c r="AL967" t="s">
        <v>3463</v>
      </c>
      <c r="AP967" t="s">
        <v>3463</v>
      </c>
      <c r="AQ967" t="s">
        <v>2324</v>
      </c>
      <c r="AR967" t="s">
        <v>3491</v>
      </c>
      <c r="AT967" t="s">
        <v>3463</v>
      </c>
      <c r="AV967" t="s">
        <v>126</v>
      </c>
      <c r="AW967" t="s">
        <v>126</v>
      </c>
      <c r="AY967" t="s">
        <v>3463</v>
      </c>
      <c r="BF967" t="s">
        <v>3921</v>
      </c>
      <c r="BH967" t="s">
        <v>4020</v>
      </c>
      <c r="BP967" t="s">
        <v>4260</v>
      </c>
      <c r="BQ967" t="s">
        <v>3463</v>
      </c>
      <c r="BR967" t="s">
        <v>3465</v>
      </c>
      <c r="BS967" t="s">
        <v>3463</v>
      </c>
      <c r="BT967" t="s">
        <v>3463</v>
      </c>
      <c r="BU967" t="s">
        <v>3463</v>
      </c>
      <c r="BV967" t="s">
        <v>3463</v>
      </c>
      <c r="BW967" t="s">
        <v>3463</v>
      </c>
      <c r="BX967" t="s">
        <v>121</v>
      </c>
      <c r="BY967" t="s">
        <v>79</v>
      </c>
      <c r="BZ967" t="s">
        <v>79</v>
      </c>
      <c r="CA967" s="10">
        <v>45911</v>
      </c>
    </row>
    <row r="968" spans="1:79">
      <c r="A968">
        <v>975</v>
      </c>
      <c r="B968">
        <v>306</v>
      </c>
      <c r="C968">
        <v>73</v>
      </c>
      <c r="D968" t="s">
        <v>3466</v>
      </c>
      <c r="E968" t="s">
        <v>2111</v>
      </c>
      <c r="G968" s="12" t="s">
        <v>3463</v>
      </c>
      <c r="I968">
        <v>90</v>
      </c>
      <c r="K968">
        <v>134</v>
      </c>
      <c r="L968">
        <v>87</v>
      </c>
      <c r="M968" t="s">
        <v>82</v>
      </c>
      <c r="P968" t="s">
        <v>83</v>
      </c>
      <c r="Q968" t="s">
        <v>82</v>
      </c>
      <c r="R968">
        <v>75.2</v>
      </c>
      <c r="S968">
        <v>154</v>
      </c>
      <c r="T968" s="8">
        <f t="shared" si="30"/>
        <v>31.708551189070672</v>
      </c>
      <c r="U968" s="13" t="str" cm="1">
        <f t="array" ref="U968">IF(T968="","",_xlfn.IFS(T968&lt;18.5,"Bajo peso",T968&lt;25,"Peso normal",T968&lt;30,"Sobrepeso",T968&lt;35,"Obesidad clase I",T968&lt;40,"Obesidad clase II",T968&gt;=40,"Obesidad clase III"))</f>
        <v>Obesidad clase I</v>
      </c>
      <c r="V968">
        <v>129</v>
      </c>
      <c r="X968" t="s">
        <v>3463</v>
      </c>
      <c r="Y968">
        <v>0.89</v>
      </c>
      <c r="AA968">
        <v>68</v>
      </c>
      <c r="AB968" s="9">
        <f t="shared" si="31"/>
        <v>68.413993622717243</v>
      </c>
      <c r="AD968" t="s">
        <v>73</v>
      </c>
      <c r="AF968" t="s">
        <v>73</v>
      </c>
      <c r="AG968" t="s">
        <v>3464</v>
      </c>
      <c r="AH968" t="s">
        <v>3465</v>
      </c>
      <c r="AI968" t="s">
        <v>3464</v>
      </c>
      <c r="AJ968" t="s">
        <v>3463</v>
      </c>
      <c r="AK968" t="s">
        <v>3463</v>
      </c>
      <c r="AL968" t="s">
        <v>3465</v>
      </c>
      <c r="AM968" t="s">
        <v>2325</v>
      </c>
      <c r="AN968" t="s">
        <v>3826</v>
      </c>
      <c r="AP968" t="s">
        <v>3463</v>
      </c>
      <c r="AT968" t="s">
        <v>3463</v>
      </c>
      <c r="AV968" t="s">
        <v>112</v>
      </c>
      <c r="AW968" t="s">
        <v>3917</v>
      </c>
      <c r="AX968" t="s">
        <v>3463</v>
      </c>
      <c r="AY968" t="s">
        <v>3463</v>
      </c>
      <c r="BF968" t="s">
        <v>3921</v>
      </c>
      <c r="BH968" t="s">
        <v>4020</v>
      </c>
      <c r="BP968" t="s">
        <v>4260</v>
      </c>
      <c r="BQ968" t="s">
        <v>3463</v>
      </c>
      <c r="BR968" t="s">
        <v>3463</v>
      </c>
      <c r="BS968" t="s">
        <v>3463</v>
      </c>
      <c r="BT968" t="s">
        <v>3463</v>
      </c>
      <c r="BU968" t="s">
        <v>3463</v>
      </c>
      <c r="BV968" t="s">
        <v>3463</v>
      </c>
      <c r="BW968" t="s">
        <v>3463</v>
      </c>
      <c r="BX968" t="s">
        <v>79</v>
      </c>
      <c r="BY968" t="s">
        <v>79</v>
      </c>
      <c r="BZ968" t="s">
        <v>79</v>
      </c>
      <c r="CA968" s="10">
        <v>45911</v>
      </c>
    </row>
    <row r="969" spans="1:79">
      <c r="A969">
        <v>976</v>
      </c>
      <c r="B969">
        <v>308</v>
      </c>
      <c r="C969">
        <v>56</v>
      </c>
      <c r="D969" t="s">
        <v>3462</v>
      </c>
      <c r="F969" t="s">
        <v>150</v>
      </c>
      <c r="G969" s="12" t="s">
        <v>3463</v>
      </c>
      <c r="I969">
        <v>84</v>
      </c>
      <c r="J969">
        <v>87</v>
      </c>
      <c r="K969">
        <v>186</v>
      </c>
      <c r="L969">
        <v>101</v>
      </c>
      <c r="M969" t="s">
        <v>96</v>
      </c>
      <c r="N969">
        <v>176</v>
      </c>
      <c r="O969">
        <v>97</v>
      </c>
      <c r="P969" t="s">
        <v>72</v>
      </c>
      <c r="Q969" t="s">
        <v>72</v>
      </c>
      <c r="R969">
        <v>82.8</v>
      </c>
      <c r="S969">
        <v>164</v>
      </c>
      <c r="T969" s="8">
        <f t="shared" si="30"/>
        <v>30.785246876859013</v>
      </c>
      <c r="U969" s="13" t="str" cm="1">
        <f t="array" ref="U969">IF(T969="","",_xlfn.IFS(T969&lt;18.5,"Bajo peso",T969&lt;25,"Peso normal",T969&lt;30,"Sobrepeso",T969&lt;35,"Obesidad clase I",T969&lt;40,"Obesidad clase II",T969&gt;=40,"Obesidad clase III"))</f>
        <v>Obesidad clase I</v>
      </c>
      <c r="V969">
        <v>23</v>
      </c>
      <c r="X969" t="s">
        <v>3463</v>
      </c>
      <c r="Y969">
        <v>1.1499999999999999</v>
      </c>
      <c r="AA969">
        <v>74</v>
      </c>
      <c r="AB969" s="9">
        <f t="shared" si="31"/>
        <v>74.693966444073922</v>
      </c>
      <c r="AD969" t="s">
        <v>73</v>
      </c>
      <c r="AF969" t="s">
        <v>73</v>
      </c>
      <c r="AH969" t="s">
        <v>3463</v>
      </c>
      <c r="AI969" t="s">
        <v>3463</v>
      </c>
      <c r="AJ969" t="s">
        <v>3463</v>
      </c>
      <c r="AK969" t="s">
        <v>3463</v>
      </c>
      <c r="AL969" t="s">
        <v>3463</v>
      </c>
      <c r="AO969" t="s">
        <v>3463</v>
      </c>
      <c r="AP969" t="s">
        <v>3465</v>
      </c>
      <c r="AQ969" t="s">
        <v>172</v>
      </c>
      <c r="AR969" t="s">
        <v>3488</v>
      </c>
      <c r="AV969" t="s">
        <v>74</v>
      </c>
      <c r="AW969" t="s">
        <v>3915</v>
      </c>
      <c r="BF969" t="s">
        <v>3921</v>
      </c>
      <c r="BH969" t="s">
        <v>4020</v>
      </c>
      <c r="BP969" t="s">
        <v>4260</v>
      </c>
      <c r="BQ969" t="s">
        <v>3463</v>
      </c>
      <c r="BR969" t="s">
        <v>3465</v>
      </c>
      <c r="BS969" t="s">
        <v>3463</v>
      </c>
      <c r="BT969" t="s">
        <v>3463</v>
      </c>
      <c r="BU969" t="s">
        <v>3463</v>
      </c>
      <c r="BV969" t="s">
        <v>3463</v>
      </c>
      <c r="BW969" t="s">
        <v>3463</v>
      </c>
      <c r="BX969" t="s">
        <v>79</v>
      </c>
      <c r="BY969" t="s">
        <v>487</v>
      </c>
      <c r="BZ969" t="s">
        <v>95</v>
      </c>
      <c r="CA969" s="10">
        <v>45911</v>
      </c>
    </row>
    <row r="970" spans="1:79">
      <c r="A970">
        <v>977</v>
      </c>
      <c r="B970">
        <v>309</v>
      </c>
      <c r="C970">
        <v>32</v>
      </c>
      <c r="D970" t="s">
        <v>3462</v>
      </c>
      <c r="E970" t="s">
        <v>2307</v>
      </c>
      <c r="F970" t="s">
        <v>150</v>
      </c>
      <c r="G970" s="12" t="s">
        <v>3463</v>
      </c>
      <c r="I970">
        <v>96</v>
      </c>
      <c r="J970">
        <v>98</v>
      </c>
      <c r="K970">
        <v>155</v>
      </c>
      <c r="L970">
        <v>93</v>
      </c>
      <c r="M970" t="s">
        <v>72</v>
      </c>
      <c r="N970">
        <v>143</v>
      </c>
      <c r="O970">
        <v>81</v>
      </c>
      <c r="P970" t="s">
        <v>72</v>
      </c>
      <c r="Q970" t="s">
        <v>72</v>
      </c>
      <c r="R970">
        <v>92.075000000000003</v>
      </c>
      <c r="S970">
        <v>175</v>
      </c>
      <c r="T970" s="8">
        <f t="shared" si="30"/>
        <v>30.06530612244898</v>
      </c>
      <c r="U970" s="13" t="str" cm="1">
        <f t="array" ref="U970">IF(T970="","",_xlfn.IFS(T970&lt;18.5,"Bajo peso",T970&lt;25,"Peso normal",T970&lt;30,"Sobrepeso",T970&lt;35,"Obesidad clase I",T970&lt;40,"Obesidad clase II",T970&gt;=40,"Obesidad clase III"))</f>
        <v>Obesidad clase I</v>
      </c>
      <c r="V970">
        <v>158</v>
      </c>
      <c r="X970" t="s">
        <v>3463</v>
      </c>
      <c r="Y970">
        <v>0.79</v>
      </c>
      <c r="AA970">
        <v>90</v>
      </c>
      <c r="AB970" s="9">
        <f t="shared" si="31"/>
        <v>121.04697973929042</v>
      </c>
      <c r="AD970" t="s">
        <v>73</v>
      </c>
      <c r="AF970" t="s">
        <v>73</v>
      </c>
      <c r="AH970" t="s">
        <v>3463</v>
      </c>
      <c r="AI970" t="s">
        <v>3463</v>
      </c>
      <c r="AJ970" t="s">
        <v>3465</v>
      </c>
      <c r="AK970" t="s">
        <v>3463</v>
      </c>
      <c r="AL970" t="s">
        <v>3463</v>
      </c>
      <c r="AP970" t="s">
        <v>3463</v>
      </c>
      <c r="AQ970" t="s">
        <v>2326</v>
      </c>
      <c r="AR970" t="s">
        <v>3493</v>
      </c>
      <c r="AV970" t="s">
        <v>126</v>
      </c>
      <c r="AW970" t="s">
        <v>126</v>
      </c>
      <c r="BF970" t="s">
        <v>3921</v>
      </c>
      <c r="BH970" t="s">
        <v>4020</v>
      </c>
      <c r="BP970" t="s">
        <v>4260</v>
      </c>
      <c r="BQ970" t="s">
        <v>3463</v>
      </c>
      <c r="BR970" t="s">
        <v>3463</v>
      </c>
      <c r="BS970" t="s">
        <v>3463</v>
      </c>
      <c r="BT970" t="s">
        <v>3463</v>
      </c>
      <c r="BU970" t="s">
        <v>3463</v>
      </c>
      <c r="BV970" t="s">
        <v>3463</v>
      </c>
      <c r="BW970" t="s">
        <v>3463</v>
      </c>
      <c r="BX970" t="s">
        <v>79</v>
      </c>
      <c r="BY970" t="s">
        <v>79</v>
      </c>
      <c r="BZ970" t="s">
        <v>79</v>
      </c>
      <c r="CA970" s="10">
        <v>45911</v>
      </c>
    </row>
    <row r="971" spans="1:79">
      <c r="A971">
        <v>978</v>
      </c>
      <c r="B971">
        <v>310</v>
      </c>
      <c r="C971">
        <v>28</v>
      </c>
      <c r="D971" t="s">
        <v>3462</v>
      </c>
      <c r="F971" t="s">
        <v>150</v>
      </c>
      <c r="G971" s="12" t="s">
        <v>3463</v>
      </c>
      <c r="I971">
        <v>67</v>
      </c>
      <c r="J971">
        <v>66</v>
      </c>
      <c r="K971">
        <v>154</v>
      </c>
      <c r="L971">
        <v>91</v>
      </c>
      <c r="M971" t="s">
        <v>72</v>
      </c>
      <c r="N971">
        <v>153</v>
      </c>
      <c r="O971">
        <v>90</v>
      </c>
      <c r="P971" t="s">
        <v>72</v>
      </c>
      <c r="Q971" t="s">
        <v>72</v>
      </c>
      <c r="R971">
        <v>101</v>
      </c>
      <c r="S971">
        <v>172</v>
      </c>
      <c r="T971" s="8">
        <f t="shared" si="30"/>
        <v>34.140075716603569</v>
      </c>
      <c r="U971" s="13" t="str" cm="1">
        <f t="array" ref="U971">IF(T971="","",_xlfn.IFS(T971&lt;18.5,"Bajo peso",T971&lt;25,"Peso normal",T971&lt;30,"Sobrepeso",T971&lt;35,"Obesidad clase I",T971&lt;40,"Obesidad clase II",T971&gt;=40,"Obesidad clase III"))</f>
        <v>Obesidad clase I</v>
      </c>
      <c r="V971">
        <v>118</v>
      </c>
      <c r="X971" t="s">
        <v>3463</v>
      </c>
      <c r="Y971">
        <v>0.86</v>
      </c>
      <c r="AA971">
        <v>90</v>
      </c>
      <c r="AB971" s="9">
        <f t="shared" si="31"/>
        <v>120.95472472907817</v>
      </c>
      <c r="AD971" t="s">
        <v>73</v>
      </c>
      <c r="AF971" t="s">
        <v>73</v>
      </c>
      <c r="AH971" t="s">
        <v>3463</v>
      </c>
      <c r="AI971" t="s">
        <v>3463</v>
      </c>
      <c r="AJ971" t="s">
        <v>3463</v>
      </c>
      <c r="AK971" t="s">
        <v>3463</v>
      </c>
      <c r="AL971" t="s">
        <v>3463</v>
      </c>
      <c r="AP971" t="s">
        <v>3463</v>
      </c>
      <c r="AQ971" t="s">
        <v>2327</v>
      </c>
      <c r="AR971" t="s">
        <v>3488</v>
      </c>
      <c r="AV971" t="s">
        <v>74</v>
      </c>
      <c r="AW971" t="s">
        <v>3915</v>
      </c>
      <c r="BF971" t="s">
        <v>3921</v>
      </c>
      <c r="BH971" t="s">
        <v>4020</v>
      </c>
      <c r="BP971" t="s">
        <v>4260</v>
      </c>
      <c r="BQ971" t="s">
        <v>3463</v>
      </c>
      <c r="BR971" t="s">
        <v>3465</v>
      </c>
      <c r="BS971" t="s">
        <v>3463</v>
      </c>
      <c r="BT971" t="s">
        <v>3465</v>
      </c>
      <c r="BU971" t="s">
        <v>3463</v>
      </c>
      <c r="BV971" t="s">
        <v>3463</v>
      </c>
      <c r="BW971" t="s">
        <v>3463</v>
      </c>
      <c r="BX971" t="s">
        <v>79</v>
      </c>
      <c r="BY971" t="s">
        <v>87</v>
      </c>
      <c r="BZ971" t="s">
        <v>79</v>
      </c>
      <c r="CA971" s="10">
        <v>45911</v>
      </c>
    </row>
    <row r="972" spans="1:79">
      <c r="A972">
        <v>979</v>
      </c>
      <c r="B972">
        <v>311</v>
      </c>
      <c r="C972">
        <v>57</v>
      </c>
      <c r="D972" t="s">
        <v>3462</v>
      </c>
      <c r="E972" t="s">
        <v>2008</v>
      </c>
      <c r="F972" t="s">
        <v>150</v>
      </c>
      <c r="G972" s="12" t="s">
        <v>3463</v>
      </c>
      <c r="I972">
        <v>83</v>
      </c>
      <c r="J972">
        <v>87</v>
      </c>
      <c r="K972">
        <v>144</v>
      </c>
      <c r="L972">
        <v>91</v>
      </c>
      <c r="M972" t="s">
        <v>72</v>
      </c>
      <c r="N972">
        <v>154</v>
      </c>
      <c r="O972">
        <v>94</v>
      </c>
      <c r="P972" t="s">
        <v>72</v>
      </c>
      <c r="Q972" t="s">
        <v>72</v>
      </c>
      <c r="R972">
        <v>64.8</v>
      </c>
      <c r="S972">
        <v>164</v>
      </c>
      <c r="T972" s="8">
        <f t="shared" si="30"/>
        <v>24.092801903628793</v>
      </c>
      <c r="U972" s="13" t="str" cm="1">
        <f t="array" ref="U972">IF(T972="","",_xlfn.IFS(T972&lt;18.5,"Bajo peso",T972&lt;25,"Peso normal",T972&lt;30,"Sobrepeso",T972&lt;35,"Obesidad clase I",T972&lt;40,"Obesidad clase II",T972&gt;=40,"Obesidad clase III"))</f>
        <v>Peso normal</v>
      </c>
      <c r="V972">
        <v>175</v>
      </c>
      <c r="X972" t="s">
        <v>3463</v>
      </c>
      <c r="Y972">
        <v>1.39</v>
      </c>
      <c r="AA972">
        <v>59</v>
      </c>
      <c r="AB972" s="9">
        <f t="shared" si="31"/>
        <v>59.129494027626933</v>
      </c>
      <c r="AD972" t="s">
        <v>158</v>
      </c>
      <c r="AF972" t="s">
        <v>158</v>
      </c>
      <c r="AG972" t="s">
        <v>3465</v>
      </c>
      <c r="AH972" t="s">
        <v>3465</v>
      </c>
      <c r="AI972" t="s">
        <v>3463</v>
      </c>
      <c r="AJ972" t="s">
        <v>3463</v>
      </c>
      <c r="AK972" t="s">
        <v>3463</v>
      </c>
      <c r="AL972" t="s">
        <v>3463</v>
      </c>
      <c r="AP972" t="s">
        <v>3463</v>
      </c>
      <c r="AQ972" t="s">
        <v>177</v>
      </c>
      <c r="AR972" t="s">
        <v>3488</v>
      </c>
      <c r="AV972" t="s">
        <v>74</v>
      </c>
      <c r="AW972" t="s">
        <v>3915</v>
      </c>
      <c r="BA972" t="s">
        <v>3920</v>
      </c>
      <c r="BB972" t="s">
        <v>3485</v>
      </c>
      <c r="BF972" t="s">
        <v>3921</v>
      </c>
      <c r="BH972" t="s">
        <v>4029</v>
      </c>
      <c r="BL972" t="s">
        <v>2328</v>
      </c>
      <c r="BP972" t="s">
        <v>4260</v>
      </c>
      <c r="BQ972" t="s">
        <v>3463</v>
      </c>
      <c r="BR972" t="s">
        <v>3463</v>
      </c>
      <c r="BS972" t="s">
        <v>3463</v>
      </c>
      <c r="BT972" t="s">
        <v>3463</v>
      </c>
      <c r="BU972" t="s">
        <v>3463</v>
      </c>
      <c r="BV972" t="s">
        <v>3463</v>
      </c>
      <c r="BW972" t="s">
        <v>3463</v>
      </c>
      <c r="BX972" t="s">
        <v>79</v>
      </c>
      <c r="BY972" t="s">
        <v>487</v>
      </c>
      <c r="BZ972" t="s">
        <v>79</v>
      </c>
      <c r="CA972" s="10">
        <v>45911</v>
      </c>
    </row>
    <row r="973" spans="1:79">
      <c r="A973">
        <v>980</v>
      </c>
      <c r="B973">
        <v>312</v>
      </c>
      <c r="C973">
        <v>62</v>
      </c>
      <c r="D973" t="s">
        <v>3466</v>
      </c>
      <c r="E973" t="s">
        <v>2329</v>
      </c>
      <c r="F973" t="s">
        <v>150</v>
      </c>
      <c r="G973" s="12" t="s">
        <v>3465</v>
      </c>
      <c r="H973" t="s">
        <v>88</v>
      </c>
      <c r="I973">
        <v>78</v>
      </c>
      <c r="K973">
        <v>120</v>
      </c>
      <c r="L973">
        <v>68</v>
      </c>
      <c r="M973" t="s">
        <v>118</v>
      </c>
      <c r="P973" t="s">
        <v>83</v>
      </c>
      <c r="Q973" t="s">
        <v>118</v>
      </c>
      <c r="R973">
        <v>51.8</v>
      </c>
      <c r="S973">
        <v>144</v>
      </c>
      <c r="T973" s="8">
        <f t="shared" si="30"/>
        <v>24.980709876543209</v>
      </c>
      <c r="U973" s="13" t="str" cm="1">
        <f t="array" ref="U973">IF(T973="","",_xlfn.IFS(T973&lt;18.5,"Bajo peso",T973&lt;25,"Peso normal",T973&lt;30,"Sobrepeso",T973&lt;35,"Obesidad clase I",T973&lt;40,"Obesidad clase II",T973&gt;=40,"Obesidad clase III"))</f>
        <v>Peso normal</v>
      </c>
      <c r="V973">
        <v>106</v>
      </c>
      <c r="W973">
        <v>111</v>
      </c>
      <c r="X973" t="s">
        <v>3463</v>
      </c>
      <c r="Y973">
        <v>1.42</v>
      </c>
      <c r="Z973">
        <v>1.47</v>
      </c>
      <c r="AA973">
        <v>42</v>
      </c>
      <c r="AB973" s="9">
        <f t="shared" si="31"/>
        <v>41.819421522198219</v>
      </c>
      <c r="AC973">
        <v>40</v>
      </c>
      <c r="AD973" t="s">
        <v>218</v>
      </c>
      <c r="AE973" t="s">
        <v>218</v>
      </c>
      <c r="AF973" t="s">
        <v>218</v>
      </c>
      <c r="AI973" t="s">
        <v>3463</v>
      </c>
      <c r="AJ973" t="s">
        <v>3463</v>
      </c>
      <c r="AK973" t="s">
        <v>3465</v>
      </c>
      <c r="AO973" t="s">
        <v>3465</v>
      </c>
      <c r="AP973" t="s">
        <v>3465</v>
      </c>
      <c r="AQ973" t="s">
        <v>2330</v>
      </c>
      <c r="AR973" t="s">
        <v>3489</v>
      </c>
      <c r="AT973" t="s">
        <v>3463</v>
      </c>
      <c r="AV973" t="s">
        <v>112</v>
      </c>
      <c r="AW973" t="s">
        <v>3917</v>
      </c>
      <c r="AX973" t="s">
        <v>3465</v>
      </c>
      <c r="AY973" t="s">
        <v>3465</v>
      </c>
      <c r="AZ973" t="s">
        <v>253</v>
      </c>
      <c r="BF973" t="s">
        <v>3921</v>
      </c>
      <c r="BH973" t="s">
        <v>4053</v>
      </c>
      <c r="BI973" t="s">
        <v>411</v>
      </c>
      <c r="BK973" t="s">
        <v>1648</v>
      </c>
      <c r="BP973" t="s">
        <v>4301</v>
      </c>
      <c r="BQ973" t="s">
        <v>3463</v>
      </c>
      <c r="BR973" t="s">
        <v>3463</v>
      </c>
      <c r="BU973" t="s">
        <v>3463</v>
      </c>
      <c r="BV973" t="s">
        <v>3463</v>
      </c>
      <c r="BW973" t="s">
        <v>3463</v>
      </c>
      <c r="BX973" t="s">
        <v>79</v>
      </c>
      <c r="BY973" t="s">
        <v>79</v>
      </c>
      <c r="BZ973" t="s">
        <v>79</v>
      </c>
      <c r="CA973" s="10">
        <v>45911</v>
      </c>
    </row>
    <row r="974" spans="1:79">
      <c r="A974">
        <v>981</v>
      </c>
      <c r="B974">
        <v>313</v>
      </c>
      <c r="C974">
        <v>49</v>
      </c>
      <c r="D974" t="s">
        <v>3462</v>
      </c>
      <c r="F974" t="s">
        <v>380</v>
      </c>
      <c r="G974" s="12" t="s">
        <v>3463</v>
      </c>
      <c r="I974">
        <v>74</v>
      </c>
      <c r="K974">
        <v>122</v>
      </c>
      <c r="L974">
        <v>72</v>
      </c>
      <c r="M974" t="s">
        <v>118</v>
      </c>
      <c r="P974" t="s">
        <v>83</v>
      </c>
      <c r="Q974" t="s">
        <v>118</v>
      </c>
      <c r="R974">
        <v>51.5</v>
      </c>
      <c r="S974">
        <v>152</v>
      </c>
      <c r="T974" s="8">
        <f t="shared" si="30"/>
        <v>22.290512465373961</v>
      </c>
      <c r="U974" s="13" t="str" cm="1">
        <f t="array" ref="U974">IF(T974="","",_xlfn.IFS(T974&lt;18.5,"Bajo peso",T974&lt;25,"Peso normal",T974&lt;30,"Sobrepeso",T974&lt;35,"Obesidad clase I",T974&lt;40,"Obesidad clase II",T974&gt;=40,"Obesidad clase III"))</f>
        <v>Peso normal</v>
      </c>
      <c r="V974">
        <v>120</v>
      </c>
      <c r="X974" t="s">
        <v>3463</v>
      </c>
      <c r="Y974">
        <v>0.78</v>
      </c>
      <c r="AA974">
        <v>90</v>
      </c>
      <c r="AB974" s="9">
        <f t="shared" si="31"/>
        <v>109.32201811381366</v>
      </c>
      <c r="AD974" t="s">
        <v>73</v>
      </c>
      <c r="AF974" t="s">
        <v>73</v>
      </c>
      <c r="AH974" t="s">
        <v>3463</v>
      </c>
      <c r="AI974" t="s">
        <v>3463</v>
      </c>
      <c r="AJ974" t="s">
        <v>3463</v>
      </c>
      <c r="AK974" t="s">
        <v>3463</v>
      </c>
      <c r="AL974" t="s">
        <v>3463</v>
      </c>
      <c r="AP974" t="s">
        <v>3463</v>
      </c>
      <c r="AQ974" t="s">
        <v>1860</v>
      </c>
      <c r="AR974" t="s">
        <v>3491</v>
      </c>
      <c r="AV974" t="s">
        <v>126</v>
      </c>
      <c r="AW974" t="s">
        <v>126</v>
      </c>
      <c r="BF974" t="s">
        <v>3921</v>
      </c>
      <c r="BH974" t="s">
        <v>4020</v>
      </c>
      <c r="BP974" t="s">
        <v>4260</v>
      </c>
      <c r="BQ974" t="s">
        <v>3465</v>
      </c>
      <c r="BR974" t="s">
        <v>3465</v>
      </c>
      <c r="BS974" t="s">
        <v>3463</v>
      </c>
      <c r="BT974" t="s">
        <v>3463</v>
      </c>
      <c r="BU974" t="s">
        <v>3463</v>
      </c>
      <c r="BV974" t="s">
        <v>3463</v>
      </c>
      <c r="BW974" t="s">
        <v>3463</v>
      </c>
      <c r="BX974" t="s">
        <v>79</v>
      </c>
      <c r="BY974" t="s">
        <v>87</v>
      </c>
      <c r="BZ974" t="s">
        <v>79</v>
      </c>
      <c r="CA974" s="10">
        <v>45911</v>
      </c>
    </row>
    <row r="975" spans="1:79">
      <c r="A975">
        <v>982</v>
      </c>
      <c r="B975">
        <v>314</v>
      </c>
      <c r="C975">
        <v>44</v>
      </c>
      <c r="D975" t="s">
        <v>3462</v>
      </c>
      <c r="E975" t="s">
        <v>1659</v>
      </c>
      <c r="F975" t="s">
        <v>150</v>
      </c>
      <c r="G975" s="12" t="s">
        <v>3465</v>
      </c>
      <c r="H975" s="12" t="s">
        <v>88</v>
      </c>
      <c r="I975">
        <v>72</v>
      </c>
      <c r="K975">
        <v>137</v>
      </c>
      <c r="L975">
        <v>87</v>
      </c>
      <c r="M975" t="s">
        <v>82</v>
      </c>
      <c r="P975" t="s">
        <v>83</v>
      </c>
      <c r="Q975" t="s">
        <v>82</v>
      </c>
      <c r="R975">
        <v>79.349999999999994</v>
      </c>
      <c r="S975">
        <v>181</v>
      </c>
      <c r="T975" s="8">
        <f t="shared" si="30"/>
        <v>24.220872378743017</v>
      </c>
      <c r="U975" s="13" t="str" cm="1">
        <f t="array" ref="U975">IF(T975="","",_xlfn.IFS(T975&lt;18.5,"Bajo peso",T975&lt;25,"Peso normal",T975&lt;30,"Sobrepeso",T975&lt;35,"Obesidad clase I",T975&lt;40,"Obesidad clase II",T975&gt;=40,"Obesidad clase III"))</f>
        <v>Peso normal</v>
      </c>
      <c r="V975">
        <v>89</v>
      </c>
      <c r="X975" t="s">
        <v>3463</v>
      </c>
      <c r="Y975">
        <v>1.07</v>
      </c>
      <c r="AA975">
        <v>88</v>
      </c>
      <c r="AB975" s="9">
        <f t="shared" si="31"/>
        <v>87.755528993235885</v>
      </c>
      <c r="AD975" t="s">
        <v>73</v>
      </c>
      <c r="AF975" t="s">
        <v>73</v>
      </c>
      <c r="AH975" t="s">
        <v>3463</v>
      </c>
      <c r="AI975" t="s">
        <v>3463</v>
      </c>
      <c r="AJ975" t="s">
        <v>3463</v>
      </c>
      <c r="AK975" t="s">
        <v>3463</v>
      </c>
      <c r="AL975" t="s">
        <v>3465</v>
      </c>
      <c r="AM975" t="s">
        <v>2331</v>
      </c>
      <c r="AN975" t="s">
        <v>3627</v>
      </c>
      <c r="AP975" t="s">
        <v>3463</v>
      </c>
      <c r="AQ975" t="s">
        <v>2332</v>
      </c>
      <c r="AR975" t="s">
        <v>3560</v>
      </c>
      <c r="AV975" t="s">
        <v>74</v>
      </c>
      <c r="AW975" t="s">
        <v>3915</v>
      </c>
      <c r="BF975" t="s">
        <v>3921</v>
      </c>
      <c r="BH975" t="s">
        <v>4020</v>
      </c>
      <c r="BP975" t="s">
        <v>4260</v>
      </c>
      <c r="BQ975" t="s">
        <v>3463</v>
      </c>
      <c r="BR975" t="s">
        <v>3465</v>
      </c>
      <c r="BS975" t="s">
        <v>3463</v>
      </c>
      <c r="BT975" t="s">
        <v>3463</v>
      </c>
      <c r="BU975" t="s">
        <v>3463</v>
      </c>
      <c r="BV975" t="s">
        <v>3463</v>
      </c>
      <c r="BW975" t="s">
        <v>3463</v>
      </c>
      <c r="BX975" t="s">
        <v>79</v>
      </c>
      <c r="BY975" t="s">
        <v>79</v>
      </c>
      <c r="BZ975" t="s">
        <v>79</v>
      </c>
      <c r="CA975" s="10">
        <v>45911</v>
      </c>
    </row>
    <row r="976" spans="1:79">
      <c r="A976">
        <v>983</v>
      </c>
      <c r="B976">
        <v>315</v>
      </c>
      <c r="C976">
        <v>35</v>
      </c>
      <c r="D976" t="s">
        <v>3462</v>
      </c>
      <c r="E976" t="s">
        <v>2169</v>
      </c>
      <c r="F976" t="s">
        <v>150</v>
      </c>
      <c r="G976" s="12" t="s">
        <v>3463</v>
      </c>
      <c r="I976">
        <v>77</v>
      </c>
      <c r="J976">
        <v>74</v>
      </c>
      <c r="K976">
        <v>147</v>
      </c>
      <c r="L976">
        <v>82</v>
      </c>
      <c r="M976" t="s">
        <v>72</v>
      </c>
      <c r="N976">
        <v>167</v>
      </c>
      <c r="O976">
        <v>93</v>
      </c>
      <c r="P976" t="s">
        <v>72</v>
      </c>
      <c r="Q976" t="s">
        <v>72</v>
      </c>
      <c r="R976">
        <v>112</v>
      </c>
      <c r="S976">
        <v>179</v>
      </c>
      <c r="T976" s="8">
        <f t="shared" si="30"/>
        <v>34.955213632533315</v>
      </c>
      <c r="U976" s="13" t="str" cm="1">
        <f t="array" ref="U976">IF(T976="","",_xlfn.IFS(T976&lt;18.5,"Bajo peso",T976&lt;25,"Peso normal",T976&lt;30,"Sobrepeso",T976&lt;35,"Obesidad clase I",T976&lt;40,"Obesidad clase II",T976&gt;=40,"Obesidad clase III"))</f>
        <v>Obesidad clase I</v>
      </c>
      <c r="V976">
        <v>108</v>
      </c>
      <c r="X976" t="s">
        <v>3463</v>
      </c>
      <c r="Y976">
        <v>0.99</v>
      </c>
      <c r="AA976">
        <v>90</v>
      </c>
      <c r="AB976" s="9">
        <f t="shared" si="31"/>
        <v>101.87833918999648</v>
      </c>
      <c r="AD976" t="s">
        <v>73</v>
      </c>
      <c r="AF976" t="s">
        <v>73</v>
      </c>
      <c r="AH976" t="s">
        <v>3463</v>
      </c>
      <c r="AI976" t="s">
        <v>3463</v>
      </c>
      <c r="AJ976" t="s">
        <v>3463</v>
      </c>
      <c r="AK976" t="s">
        <v>3463</v>
      </c>
      <c r="AL976" t="s">
        <v>3463</v>
      </c>
      <c r="AP976" t="s">
        <v>3463</v>
      </c>
      <c r="AQ976" t="s">
        <v>120</v>
      </c>
      <c r="AR976" t="s">
        <v>3491</v>
      </c>
      <c r="AV976" t="s">
        <v>126</v>
      </c>
      <c r="AW976" t="s">
        <v>126</v>
      </c>
      <c r="BA976" t="s">
        <v>3920</v>
      </c>
      <c r="BF976" t="s">
        <v>3921</v>
      </c>
      <c r="BG976" t="s">
        <v>2333</v>
      </c>
      <c r="BH976" t="s">
        <v>4025</v>
      </c>
      <c r="BI976" t="s">
        <v>76</v>
      </c>
      <c r="BL976" t="s">
        <v>2334</v>
      </c>
      <c r="BP976" t="s">
        <v>4261</v>
      </c>
      <c r="BQ976" t="s">
        <v>3463</v>
      </c>
      <c r="BR976" t="s">
        <v>3463</v>
      </c>
      <c r="BS976" t="s">
        <v>3463</v>
      </c>
      <c r="BT976" t="s">
        <v>3463</v>
      </c>
      <c r="BU976" t="s">
        <v>3463</v>
      </c>
      <c r="BV976" t="s">
        <v>3463</v>
      </c>
      <c r="BW976" t="s">
        <v>3463</v>
      </c>
      <c r="BX976" t="s">
        <v>79</v>
      </c>
      <c r="BY976" t="s">
        <v>79</v>
      </c>
      <c r="BZ976" t="s">
        <v>79</v>
      </c>
      <c r="CA976" s="10">
        <v>45911</v>
      </c>
    </row>
    <row r="977" spans="1:79">
      <c r="A977">
        <v>984</v>
      </c>
      <c r="B977">
        <v>317</v>
      </c>
      <c r="C977">
        <v>43</v>
      </c>
      <c r="D977" t="s">
        <v>3462</v>
      </c>
      <c r="F977" t="s">
        <v>380</v>
      </c>
      <c r="G977" s="12" t="s">
        <v>3463</v>
      </c>
      <c r="I977">
        <v>65</v>
      </c>
      <c r="K977">
        <v>137</v>
      </c>
      <c r="L977">
        <v>75</v>
      </c>
      <c r="M977" t="s">
        <v>82</v>
      </c>
      <c r="P977" t="s">
        <v>83</v>
      </c>
      <c r="Q977" t="s">
        <v>82</v>
      </c>
      <c r="R977">
        <v>69.5</v>
      </c>
      <c r="S977">
        <v>165</v>
      </c>
      <c r="T977" s="8">
        <f t="shared" si="30"/>
        <v>25.528007346189167</v>
      </c>
      <c r="U977" s="13" t="str" cm="1">
        <f t="array" ref="U977">IF(T977="","",_xlfn.IFS(T977&lt;18.5,"Bajo peso",T977&lt;25,"Peso normal",T977&lt;30,"Sobrepeso",T977&lt;35,"Obesidad clase I",T977&lt;40,"Obesidad clase II",T977&gt;=40,"Obesidad clase III"))</f>
        <v>Sobrepeso</v>
      </c>
      <c r="V977">
        <v>104</v>
      </c>
      <c r="X977" t="s">
        <v>3463</v>
      </c>
      <c r="Y977">
        <v>0.61</v>
      </c>
      <c r="AA977">
        <v>90</v>
      </c>
      <c r="AB977" s="9">
        <f t="shared" si="31"/>
        <v>122.22404305502884</v>
      </c>
      <c r="AD977" t="s">
        <v>73</v>
      </c>
      <c r="AF977" t="s">
        <v>73</v>
      </c>
      <c r="AH977" t="s">
        <v>3463</v>
      </c>
      <c r="AI977" t="s">
        <v>3463</v>
      </c>
      <c r="AJ977" t="s">
        <v>3463</v>
      </c>
      <c r="AK977" t="s">
        <v>3463</v>
      </c>
      <c r="AL977" t="s">
        <v>3463</v>
      </c>
      <c r="AP977" t="s">
        <v>3463</v>
      </c>
      <c r="AV977" t="s">
        <v>126</v>
      </c>
      <c r="AW977" t="s">
        <v>126</v>
      </c>
      <c r="BF977" t="s">
        <v>3921</v>
      </c>
      <c r="BH977" t="s">
        <v>4020</v>
      </c>
      <c r="BP977" t="s">
        <v>4260</v>
      </c>
      <c r="BQ977" t="s">
        <v>3465</v>
      </c>
      <c r="BR977" t="s">
        <v>3463</v>
      </c>
      <c r="BS977" t="s">
        <v>3463</v>
      </c>
      <c r="BT977" t="s">
        <v>3465</v>
      </c>
      <c r="BU977" t="s">
        <v>3463</v>
      </c>
      <c r="BV977" t="s">
        <v>3463</v>
      </c>
      <c r="BW977" t="s">
        <v>3463</v>
      </c>
      <c r="BX977" t="s">
        <v>79</v>
      </c>
      <c r="BY977" t="s">
        <v>87</v>
      </c>
      <c r="BZ977" t="s">
        <v>95</v>
      </c>
      <c r="CA977" s="10">
        <v>45911</v>
      </c>
    </row>
    <row r="978" spans="1:79">
      <c r="A978">
        <v>985</v>
      </c>
      <c r="B978">
        <v>318</v>
      </c>
      <c r="C978">
        <v>84</v>
      </c>
      <c r="D978" t="s">
        <v>3462</v>
      </c>
      <c r="E978" t="s">
        <v>1659</v>
      </c>
      <c r="F978" t="s">
        <v>150</v>
      </c>
      <c r="G978" s="12" t="s">
        <v>3463</v>
      </c>
      <c r="I978">
        <v>72</v>
      </c>
      <c r="K978">
        <v>122</v>
      </c>
      <c r="L978">
        <v>63</v>
      </c>
      <c r="M978" t="s">
        <v>118</v>
      </c>
      <c r="P978" t="s">
        <v>83</v>
      </c>
      <c r="Q978" t="s">
        <v>118</v>
      </c>
      <c r="R978">
        <v>65.099999999999994</v>
      </c>
      <c r="S978">
        <v>165.5</v>
      </c>
      <c r="T978" s="8">
        <f t="shared" si="30"/>
        <v>23.767581529923966</v>
      </c>
      <c r="U978" s="13" t="str" cm="1">
        <f t="array" ref="U978">IF(T978="","",_xlfn.IFS(T978&lt;18.5,"Bajo peso",T978&lt;25,"Peso normal",T978&lt;30,"Sobrepeso",T978&lt;35,"Obesidad clase I",T978&lt;40,"Obesidad clase II",T978&gt;=40,"Obesidad clase III"))</f>
        <v>Peso normal</v>
      </c>
      <c r="V978">
        <v>106</v>
      </c>
      <c r="X978" t="s">
        <v>3463</v>
      </c>
      <c r="Y978">
        <v>1.06</v>
      </c>
      <c r="AA978">
        <v>70</v>
      </c>
      <c r="AB978" s="9">
        <f t="shared" si="31"/>
        <v>69.203439468749337</v>
      </c>
      <c r="AD978" t="s">
        <v>73</v>
      </c>
      <c r="AF978" t="s">
        <v>73</v>
      </c>
      <c r="AH978" t="s">
        <v>3463</v>
      </c>
      <c r="AI978" t="s">
        <v>3463</v>
      </c>
      <c r="AJ978" t="s">
        <v>3463</v>
      </c>
      <c r="AK978" t="s">
        <v>3463</v>
      </c>
      <c r="AL978" t="s">
        <v>3465</v>
      </c>
      <c r="AM978" t="s">
        <v>2335</v>
      </c>
      <c r="AN978" t="s">
        <v>3713</v>
      </c>
      <c r="AP978" t="s">
        <v>3463</v>
      </c>
      <c r="AV978" t="s">
        <v>178</v>
      </c>
      <c r="AW978" t="s">
        <v>3918</v>
      </c>
      <c r="BF978" t="s">
        <v>3921</v>
      </c>
      <c r="BH978" t="s">
        <v>4020</v>
      </c>
      <c r="BP978" t="s">
        <v>4260</v>
      </c>
      <c r="BQ978" t="s">
        <v>3463</v>
      </c>
      <c r="BR978" t="s">
        <v>3463</v>
      </c>
      <c r="BS978" t="s">
        <v>3463</v>
      </c>
      <c r="BT978" t="s">
        <v>3463</v>
      </c>
      <c r="BU978" t="s">
        <v>3463</v>
      </c>
      <c r="BV978" t="s">
        <v>3463</v>
      </c>
      <c r="BW978" t="s">
        <v>3463</v>
      </c>
      <c r="BX978" t="s">
        <v>79</v>
      </c>
      <c r="BY978" t="s">
        <v>87</v>
      </c>
      <c r="BZ978" t="s">
        <v>79</v>
      </c>
      <c r="CA978" s="10">
        <v>45911</v>
      </c>
    </row>
    <row r="979" spans="1:79">
      <c r="A979">
        <v>986</v>
      </c>
      <c r="B979">
        <v>319</v>
      </c>
      <c r="C979">
        <v>53</v>
      </c>
      <c r="D979" t="s">
        <v>3466</v>
      </c>
      <c r="F979" t="s">
        <v>150</v>
      </c>
      <c r="G979" s="12" t="s">
        <v>3463</v>
      </c>
      <c r="I979">
        <v>97</v>
      </c>
      <c r="J979">
        <v>93</v>
      </c>
      <c r="K979">
        <v>195</v>
      </c>
      <c r="L979">
        <v>95</v>
      </c>
      <c r="M979" t="s">
        <v>96</v>
      </c>
      <c r="N979">
        <v>179</v>
      </c>
      <c r="O979">
        <v>96</v>
      </c>
      <c r="P979" t="s">
        <v>72</v>
      </c>
      <c r="Q979" t="s">
        <v>72</v>
      </c>
      <c r="R979">
        <v>83.5</v>
      </c>
      <c r="S979">
        <v>160</v>
      </c>
      <c r="T979" s="8">
        <f t="shared" si="30"/>
        <v>32.6171875</v>
      </c>
      <c r="U979" s="13" t="str" cm="1">
        <f t="array" ref="U979">IF(T979="","",_xlfn.IFS(T979&lt;18.5,"Bajo peso",T979&lt;25,"Peso normal",T979&lt;30,"Sobrepeso",T979&lt;35,"Obesidad clase I",T979&lt;40,"Obesidad clase II",T979&gt;=40,"Obesidad clase III"))</f>
        <v>Obesidad clase I</v>
      </c>
      <c r="V979">
        <v>115</v>
      </c>
      <c r="X979" t="s">
        <v>3463</v>
      </c>
      <c r="Y979">
        <v>0.73</v>
      </c>
      <c r="AA979">
        <v>90</v>
      </c>
      <c r="AB979" s="9">
        <f t="shared" si="31"/>
        <v>98.275592413527121</v>
      </c>
      <c r="AD979" t="s">
        <v>73</v>
      </c>
      <c r="AF979" t="s">
        <v>73</v>
      </c>
      <c r="AH979" t="s">
        <v>3463</v>
      </c>
      <c r="AI979" t="s">
        <v>3463</v>
      </c>
      <c r="AJ979" t="s">
        <v>3463</v>
      </c>
      <c r="AK979" t="s">
        <v>3463</v>
      </c>
      <c r="AL979" t="s">
        <v>3463</v>
      </c>
      <c r="AP979" t="s">
        <v>3463</v>
      </c>
      <c r="AQ979" t="s">
        <v>143</v>
      </c>
      <c r="AR979" t="s">
        <v>3493</v>
      </c>
      <c r="AT979" t="s">
        <v>3465</v>
      </c>
      <c r="AU979" t="s">
        <v>80</v>
      </c>
      <c r="AV979" t="s">
        <v>126</v>
      </c>
      <c r="AW979" t="s">
        <v>126</v>
      </c>
      <c r="AX979" t="s">
        <v>3465</v>
      </c>
      <c r="AY979" t="s">
        <v>3465</v>
      </c>
      <c r="AZ979" t="s">
        <v>2336</v>
      </c>
      <c r="BF979" t="s">
        <v>3921</v>
      </c>
      <c r="BH979" t="s">
        <v>4020</v>
      </c>
      <c r="BP979" t="s">
        <v>4260</v>
      </c>
      <c r="BQ979" t="s">
        <v>3465</v>
      </c>
      <c r="BR979" t="s">
        <v>3465</v>
      </c>
      <c r="BS979" t="s">
        <v>3465</v>
      </c>
      <c r="BT979" t="s">
        <v>3465</v>
      </c>
      <c r="BU979" t="s">
        <v>3463</v>
      </c>
      <c r="BV979" t="s">
        <v>3463</v>
      </c>
      <c r="BW979" t="s">
        <v>3463</v>
      </c>
      <c r="BX979" t="s">
        <v>79</v>
      </c>
      <c r="BY979" t="s">
        <v>87</v>
      </c>
      <c r="BZ979" t="s">
        <v>79</v>
      </c>
      <c r="CA979" s="10">
        <v>45911</v>
      </c>
    </row>
    <row r="980" spans="1:79">
      <c r="A980">
        <v>987</v>
      </c>
      <c r="B980">
        <v>320</v>
      </c>
      <c r="C980">
        <v>26</v>
      </c>
      <c r="D980" t="s">
        <v>3462</v>
      </c>
      <c r="E980" t="s">
        <v>1657</v>
      </c>
      <c r="F980" t="s">
        <v>150</v>
      </c>
      <c r="G980" s="12" t="s">
        <v>3463</v>
      </c>
      <c r="I980">
        <v>69</v>
      </c>
      <c r="K980">
        <v>120</v>
      </c>
      <c r="L980">
        <v>71</v>
      </c>
      <c r="M980" t="s">
        <v>118</v>
      </c>
      <c r="P980" t="s">
        <v>83</v>
      </c>
      <c r="Q980" t="s">
        <v>118</v>
      </c>
      <c r="R980">
        <v>73.900000000000006</v>
      </c>
      <c r="S980">
        <v>173.5</v>
      </c>
      <c r="T980" s="8">
        <f t="shared" si="30"/>
        <v>24.549659909143006</v>
      </c>
      <c r="U980" s="13" t="str" cm="1">
        <f t="array" ref="U980">IF(T980="","",_xlfn.IFS(T980&lt;18.5,"Bajo peso",T980&lt;25,"Peso normal",T980&lt;30,"Sobrepeso",T980&lt;35,"Obesidad clase I",T980&lt;40,"Obesidad clase II",T980&gt;=40,"Obesidad clase III"))</f>
        <v>Peso normal</v>
      </c>
      <c r="V980">
        <v>82</v>
      </c>
      <c r="X980" t="s">
        <v>3463</v>
      </c>
      <c r="Y980">
        <v>1.48</v>
      </c>
      <c r="AA980">
        <v>66</v>
      </c>
      <c r="AB980" s="9">
        <f t="shared" si="31"/>
        <v>66.502672732399176</v>
      </c>
      <c r="AD980" t="s">
        <v>73</v>
      </c>
      <c r="AF980" t="s">
        <v>73</v>
      </c>
      <c r="AH980" t="s">
        <v>3463</v>
      </c>
      <c r="AI980" t="s">
        <v>3463</v>
      </c>
      <c r="AJ980" t="s">
        <v>3463</v>
      </c>
      <c r="AK980" t="s">
        <v>3463</v>
      </c>
      <c r="AL980" t="s">
        <v>3463</v>
      </c>
      <c r="AP980" t="s">
        <v>3463</v>
      </c>
      <c r="AQ980" t="s">
        <v>169</v>
      </c>
      <c r="AR980" t="s">
        <v>3493</v>
      </c>
      <c r="AV980" t="s">
        <v>126</v>
      </c>
      <c r="AW980" t="s">
        <v>126</v>
      </c>
      <c r="BF980" t="s">
        <v>3921</v>
      </c>
      <c r="BG980" t="s">
        <v>2337</v>
      </c>
      <c r="BH980" t="s">
        <v>4053</v>
      </c>
      <c r="BK980" t="s">
        <v>2338</v>
      </c>
      <c r="BL980" t="s">
        <v>1416</v>
      </c>
      <c r="BP980" t="s">
        <v>4325</v>
      </c>
      <c r="BQ980" t="s">
        <v>3463</v>
      </c>
      <c r="BR980" t="s">
        <v>3463</v>
      </c>
      <c r="BS980" t="s">
        <v>3463</v>
      </c>
      <c r="BT980" t="s">
        <v>3465</v>
      </c>
      <c r="BU980" t="s">
        <v>3463</v>
      </c>
      <c r="BV980" t="s">
        <v>3463</v>
      </c>
      <c r="BW980" t="s">
        <v>3463</v>
      </c>
      <c r="BX980" t="s">
        <v>79</v>
      </c>
      <c r="BY980" t="s">
        <v>79</v>
      </c>
      <c r="BZ980" t="s">
        <v>79</v>
      </c>
      <c r="CA980" s="10">
        <v>45911</v>
      </c>
    </row>
    <row r="981" spans="1:79">
      <c r="A981">
        <v>988</v>
      </c>
      <c r="B981">
        <v>321</v>
      </c>
      <c r="C981">
        <v>68</v>
      </c>
      <c r="D981" t="s">
        <v>3466</v>
      </c>
      <c r="F981" t="s">
        <v>150</v>
      </c>
      <c r="G981" s="12" t="s">
        <v>3465</v>
      </c>
      <c r="H981" s="12" t="s">
        <v>88</v>
      </c>
      <c r="I981">
        <v>74</v>
      </c>
      <c r="K981">
        <v>122</v>
      </c>
      <c r="L981">
        <v>70</v>
      </c>
      <c r="M981" t="s">
        <v>118</v>
      </c>
      <c r="P981" t="s">
        <v>83</v>
      </c>
      <c r="Q981" t="s">
        <v>118</v>
      </c>
      <c r="R981">
        <v>68</v>
      </c>
      <c r="S981">
        <v>155</v>
      </c>
      <c r="T981" s="8">
        <f t="shared" si="30"/>
        <v>28.303850156087407</v>
      </c>
      <c r="U981" s="13" t="str" cm="1">
        <f t="array" ref="U981">IF(T981="","",_xlfn.IFS(T981&lt;18.5,"Bajo peso",T981&lt;25,"Peso normal",T981&lt;30,"Sobrepeso",T981&lt;35,"Obesidad clase I",T981&lt;40,"Obesidad clase II",T981&gt;=40,"Obesidad clase III"))</f>
        <v>Sobrepeso</v>
      </c>
      <c r="V981">
        <v>98</v>
      </c>
      <c r="X981" t="s">
        <v>3463</v>
      </c>
      <c r="Y981">
        <v>1.04</v>
      </c>
      <c r="AA981">
        <v>59</v>
      </c>
      <c r="AB981" s="9">
        <f t="shared" si="31"/>
        <v>58.543405449645526</v>
      </c>
      <c r="AD981" t="s">
        <v>158</v>
      </c>
      <c r="AF981" t="s">
        <v>158</v>
      </c>
      <c r="AH981" t="s">
        <v>3464</v>
      </c>
      <c r="AI981" t="s">
        <v>3464</v>
      </c>
      <c r="AJ981" t="s">
        <v>3463</v>
      </c>
      <c r="AK981" t="s">
        <v>3463</v>
      </c>
      <c r="AL981" t="s">
        <v>3463</v>
      </c>
      <c r="AO981" t="s">
        <v>3465</v>
      </c>
      <c r="AP981" t="s">
        <v>3465</v>
      </c>
      <c r="AQ981" t="s">
        <v>2339</v>
      </c>
      <c r="AR981" t="s">
        <v>3509</v>
      </c>
      <c r="AT981" t="s">
        <v>3465</v>
      </c>
      <c r="AU981" t="s">
        <v>80</v>
      </c>
      <c r="AV981" t="s">
        <v>74</v>
      </c>
      <c r="AW981" t="s">
        <v>3915</v>
      </c>
      <c r="AX981" t="s">
        <v>3463</v>
      </c>
      <c r="AY981" t="s">
        <v>3463</v>
      </c>
      <c r="BF981" t="s">
        <v>3921</v>
      </c>
      <c r="BH981" t="s">
        <v>4053</v>
      </c>
      <c r="BK981" t="s">
        <v>2340</v>
      </c>
      <c r="BL981" t="s">
        <v>2328</v>
      </c>
      <c r="BP981" t="s">
        <v>4260</v>
      </c>
      <c r="BQ981" t="s">
        <v>3463</v>
      </c>
      <c r="BR981" t="s">
        <v>3463</v>
      </c>
      <c r="BS981" t="s">
        <v>3463</v>
      </c>
      <c r="BT981" t="s">
        <v>3463</v>
      </c>
      <c r="BU981" t="s">
        <v>3463</v>
      </c>
      <c r="BV981" t="s">
        <v>3463</v>
      </c>
      <c r="BW981" t="s">
        <v>3463</v>
      </c>
      <c r="BX981" t="s">
        <v>79</v>
      </c>
      <c r="BY981" t="s">
        <v>79</v>
      </c>
      <c r="BZ981" t="s">
        <v>79</v>
      </c>
      <c r="CA981" s="10">
        <v>45911</v>
      </c>
    </row>
    <row r="982" spans="1:79">
      <c r="A982">
        <v>989</v>
      </c>
      <c r="B982">
        <v>322</v>
      </c>
      <c r="C982">
        <v>71</v>
      </c>
      <c r="D982" t="s">
        <v>3462</v>
      </c>
      <c r="F982" t="s">
        <v>150</v>
      </c>
      <c r="G982" s="12" t="s">
        <v>3465</v>
      </c>
      <c r="H982" t="s">
        <v>88</v>
      </c>
      <c r="I982">
        <v>64</v>
      </c>
      <c r="J982">
        <v>63</v>
      </c>
      <c r="K982">
        <v>178</v>
      </c>
      <c r="L982">
        <v>90</v>
      </c>
      <c r="M982" t="s">
        <v>72</v>
      </c>
      <c r="N982">
        <v>175</v>
      </c>
      <c r="O982">
        <v>85</v>
      </c>
      <c r="P982" t="s">
        <v>72</v>
      </c>
      <c r="Q982" t="s">
        <v>72</v>
      </c>
      <c r="R982">
        <v>77</v>
      </c>
      <c r="S982">
        <v>160</v>
      </c>
      <c r="T982" s="8">
        <f t="shared" si="30"/>
        <v>30.078125</v>
      </c>
      <c r="U982" s="13" t="str" cm="1">
        <f t="array" ref="U982">IF(T982="","",_xlfn.IFS(T982&lt;18.5,"Bajo peso",T982&lt;25,"Peso normal",T982&lt;30,"Sobrepeso",T982&lt;35,"Obesidad clase I",T982&lt;40,"Obesidad clase II",T982&gt;=40,"Obesidad clase III"))</f>
        <v>Obesidad clase I</v>
      </c>
      <c r="V982">
        <v>120</v>
      </c>
      <c r="X982" t="s">
        <v>3463</v>
      </c>
      <c r="Y982">
        <v>1.05</v>
      </c>
      <c r="AA982">
        <v>76</v>
      </c>
      <c r="AB982" s="9">
        <f t="shared" si="31"/>
        <v>75.889319391527522</v>
      </c>
      <c r="AD982" t="s">
        <v>73</v>
      </c>
      <c r="AF982" t="s">
        <v>73</v>
      </c>
      <c r="AH982" t="s">
        <v>3463</v>
      </c>
      <c r="AI982" t="s">
        <v>3463</v>
      </c>
      <c r="AJ982" t="s">
        <v>3463</v>
      </c>
      <c r="AK982" t="s">
        <v>3463</v>
      </c>
      <c r="AL982" t="s">
        <v>3463</v>
      </c>
      <c r="AP982" t="s">
        <v>3463</v>
      </c>
      <c r="AQ982" t="s">
        <v>2341</v>
      </c>
      <c r="AR982" t="s">
        <v>3584</v>
      </c>
      <c r="AV982" t="s">
        <v>126</v>
      </c>
      <c r="AW982" t="s">
        <v>126</v>
      </c>
      <c r="BF982" t="s">
        <v>3921</v>
      </c>
      <c r="BH982" t="s">
        <v>4020</v>
      </c>
      <c r="BP982" t="s">
        <v>4260</v>
      </c>
      <c r="BQ982" t="s">
        <v>3465</v>
      </c>
      <c r="BR982" t="s">
        <v>3465</v>
      </c>
      <c r="BS982" t="s">
        <v>3465</v>
      </c>
      <c r="BT982" t="s">
        <v>3463</v>
      </c>
      <c r="BU982" t="s">
        <v>3463</v>
      </c>
      <c r="BV982" t="s">
        <v>3463</v>
      </c>
      <c r="BW982" t="s">
        <v>3463</v>
      </c>
      <c r="BX982" t="s">
        <v>79</v>
      </c>
      <c r="BY982" t="s">
        <v>87</v>
      </c>
      <c r="BZ982" t="s">
        <v>79</v>
      </c>
      <c r="CA982" s="10">
        <v>45911</v>
      </c>
    </row>
    <row r="983" spans="1:79">
      <c r="A983">
        <v>990</v>
      </c>
      <c r="B983">
        <v>323</v>
      </c>
      <c r="C983">
        <v>26</v>
      </c>
      <c r="D983" t="s">
        <v>3462</v>
      </c>
      <c r="E983" t="s">
        <v>450</v>
      </c>
      <c r="F983" t="s">
        <v>150</v>
      </c>
      <c r="G983" s="12" t="s">
        <v>3465</v>
      </c>
      <c r="H983" s="12" t="s">
        <v>88</v>
      </c>
      <c r="I983">
        <v>60</v>
      </c>
      <c r="K983">
        <v>130</v>
      </c>
      <c r="L983">
        <v>70</v>
      </c>
      <c r="M983" t="s">
        <v>82</v>
      </c>
      <c r="P983" t="s">
        <v>83</v>
      </c>
      <c r="Q983" t="s">
        <v>82</v>
      </c>
      <c r="R983">
        <v>61.6</v>
      </c>
      <c r="S983">
        <v>175</v>
      </c>
      <c r="T983" s="8">
        <f t="shared" si="30"/>
        <v>20.114285714285714</v>
      </c>
      <c r="U983" s="13" t="str" cm="1">
        <f t="array" ref="U983">IF(T983="","",_xlfn.IFS(T983&lt;18.5,"Bajo peso",T983&lt;25,"Peso normal",T983&lt;30,"Sobrepeso",T983&lt;35,"Obesidad clase I",T983&lt;40,"Obesidad clase II",T983&gt;=40,"Obesidad clase III"))</f>
        <v>Peso normal</v>
      </c>
      <c r="V983">
        <v>86</v>
      </c>
      <c r="X983" t="s">
        <v>3463</v>
      </c>
      <c r="Y983">
        <v>0.92</v>
      </c>
      <c r="AA983">
        <v>90</v>
      </c>
      <c r="AB983" s="9">
        <f t="shared" si="31"/>
        <v>117.65428950348965</v>
      </c>
      <c r="AD983" t="s">
        <v>73</v>
      </c>
      <c r="AF983" t="s">
        <v>73</v>
      </c>
      <c r="AH983" t="s">
        <v>3463</v>
      </c>
      <c r="AI983" t="s">
        <v>3463</v>
      </c>
      <c r="AJ983" t="s">
        <v>3463</v>
      </c>
      <c r="AK983" t="s">
        <v>3463</v>
      </c>
      <c r="AL983" t="s">
        <v>3465</v>
      </c>
      <c r="AM983" t="s">
        <v>2342</v>
      </c>
      <c r="AN983" t="s">
        <v>3791</v>
      </c>
      <c r="AP983" t="s">
        <v>3463</v>
      </c>
      <c r="AQ983" t="s">
        <v>169</v>
      </c>
      <c r="AR983" t="s">
        <v>3493</v>
      </c>
      <c r="AV983" t="s">
        <v>74</v>
      </c>
      <c r="AW983" t="s">
        <v>3915</v>
      </c>
      <c r="BF983" t="s">
        <v>3921</v>
      </c>
      <c r="BH983" t="s">
        <v>4020</v>
      </c>
      <c r="BP983" t="s">
        <v>4260</v>
      </c>
      <c r="BQ983" t="s">
        <v>3465</v>
      </c>
      <c r="BR983" t="s">
        <v>3463</v>
      </c>
      <c r="BS983" t="s">
        <v>3463</v>
      </c>
      <c r="BT983" t="s">
        <v>3465</v>
      </c>
      <c r="BU983" t="s">
        <v>3463</v>
      </c>
      <c r="BV983" t="s">
        <v>3463</v>
      </c>
      <c r="BW983" t="s">
        <v>3463</v>
      </c>
      <c r="BX983" t="s">
        <v>79</v>
      </c>
      <c r="BY983" t="s">
        <v>79</v>
      </c>
      <c r="BZ983" t="s">
        <v>79</v>
      </c>
      <c r="CA983" s="10">
        <v>45911</v>
      </c>
    </row>
    <row r="984" spans="1:79">
      <c r="A984">
        <v>991</v>
      </c>
      <c r="B984">
        <v>324</v>
      </c>
      <c r="C984">
        <v>39</v>
      </c>
      <c r="D984" t="s">
        <v>3466</v>
      </c>
      <c r="E984" t="s">
        <v>2169</v>
      </c>
      <c r="F984" t="s">
        <v>150</v>
      </c>
      <c r="G984" s="12" t="s">
        <v>3465</v>
      </c>
      <c r="H984" t="s">
        <v>88</v>
      </c>
      <c r="I984">
        <v>75</v>
      </c>
      <c r="K984">
        <v>131</v>
      </c>
      <c r="L984">
        <v>88</v>
      </c>
      <c r="M984" t="s">
        <v>82</v>
      </c>
      <c r="P984" t="s">
        <v>83</v>
      </c>
      <c r="Q984" t="s">
        <v>82</v>
      </c>
      <c r="R984">
        <v>60</v>
      </c>
      <c r="S984">
        <v>156</v>
      </c>
      <c r="T984" s="8">
        <f t="shared" si="30"/>
        <v>24.65483234714004</v>
      </c>
      <c r="U984" s="13" t="str" cm="1">
        <f t="array" ref="U984">IF(T984="","",_xlfn.IFS(T984&lt;18.5,"Bajo peso",T984&lt;25,"Peso normal",T984&lt;30,"Sobrepeso",T984&lt;35,"Obesidad clase I",T984&lt;40,"Obesidad clase II",T984&gt;=40,"Obesidad clase III"))</f>
        <v>Peso normal</v>
      </c>
      <c r="V984">
        <v>84</v>
      </c>
      <c r="X984" t="s">
        <v>3463</v>
      </c>
      <c r="Y984">
        <v>0.83</v>
      </c>
      <c r="AA984">
        <v>90</v>
      </c>
      <c r="AB984" s="9">
        <f t="shared" si="31"/>
        <v>91.908038611628115</v>
      </c>
      <c r="AD984" t="s">
        <v>73</v>
      </c>
      <c r="AF984" t="s">
        <v>73</v>
      </c>
      <c r="AH984" t="s">
        <v>3463</v>
      </c>
      <c r="AI984" t="s">
        <v>3463</v>
      </c>
      <c r="AJ984" t="s">
        <v>3463</v>
      </c>
      <c r="AK984" t="s">
        <v>3465</v>
      </c>
      <c r="AL984" t="s">
        <v>3463</v>
      </c>
      <c r="AP984" t="s">
        <v>3464</v>
      </c>
      <c r="AQ984" t="s">
        <v>399</v>
      </c>
      <c r="AR984" t="s">
        <v>3505</v>
      </c>
      <c r="AT984" t="s">
        <v>3463</v>
      </c>
      <c r="AV984" t="s">
        <v>126</v>
      </c>
      <c r="AW984" t="s">
        <v>126</v>
      </c>
      <c r="AX984" t="s">
        <v>3463</v>
      </c>
      <c r="AY984" t="s">
        <v>3465</v>
      </c>
      <c r="AZ984" t="s">
        <v>90</v>
      </c>
      <c r="BF984" t="s">
        <v>3921</v>
      </c>
      <c r="BH984" t="s">
        <v>4020</v>
      </c>
      <c r="BP984" t="s">
        <v>4260</v>
      </c>
      <c r="BQ984" t="s">
        <v>3465</v>
      </c>
      <c r="BR984" t="s">
        <v>3463</v>
      </c>
      <c r="BS984" t="s">
        <v>3465</v>
      </c>
      <c r="BT984" t="s">
        <v>3465</v>
      </c>
      <c r="BU984" t="s">
        <v>3463</v>
      </c>
      <c r="BV984" t="s">
        <v>3463</v>
      </c>
      <c r="BW984" t="s">
        <v>3463</v>
      </c>
      <c r="BX984" t="s">
        <v>121</v>
      </c>
      <c r="BY984" t="s">
        <v>79</v>
      </c>
      <c r="BZ984" t="s">
        <v>79</v>
      </c>
      <c r="CA984" s="10">
        <v>45911</v>
      </c>
    </row>
    <row r="985" spans="1:79">
      <c r="A985">
        <v>992</v>
      </c>
      <c r="B985">
        <v>325</v>
      </c>
      <c r="C985">
        <v>33</v>
      </c>
      <c r="D985" t="s">
        <v>3462</v>
      </c>
      <c r="F985" t="s">
        <v>150</v>
      </c>
      <c r="G985" s="12" t="s">
        <v>3465</v>
      </c>
      <c r="H985" t="s">
        <v>88</v>
      </c>
      <c r="I985">
        <v>61</v>
      </c>
      <c r="J985">
        <v>57</v>
      </c>
      <c r="K985">
        <v>152</v>
      </c>
      <c r="L985">
        <v>89</v>
      </c>
      <c r="M985" t="s">
        <v>72</v>
      </c>
      <c r="N985">
        <v>168</v>
      </c>
      <c r="O985">
        <v>108</v>
      </c>
      <c r="P985" t="s">
        <v>72</v>
      </c>
      <c r="Q985" t="s">
        <v>72</v>
      </c>
      <c r="R985">
        <v>94.4</v>
      </c>
      <c r="S985">
        <v>165</v>
      </c>
      <c r="T985" s="8">
        <f t="shared" si="30"/>
        <v>34.674012855831037</v>
      </c>
      <c r="U985" s="13" t="str" cm="1">
        <f t="array" ref="U985">IF(T985="","",_xlfn.IFS(T985&lt;18.5,"Bajo peso",T985&lt;25,"Peso normal",T985&lt;30,"Sobrepeso",T985&lt;35,"Obesidad clase I",T985&lt;40,"Obesidad clase II",T985&gt;=40,"Obesidad clase III"))</f>
        <v>Obesidad clase I</v>
      </c>
      <c r="V985">
        <v>117</v>
      </c>
      <c r="X985" t="s">
        <v>3463</v>
      </c>
      <c r="Y985">
        <v>1.01</v>
      </c>
      <c r="AA985">
        <v>90</v>
      </c>
      <c r="AB985" s="9">
        <f t="shared" si="31"/>
        <v>100.70718502048857</v>
      </c>
      <c r="AD985" t="s">
        <v>73</v>
      </c>
      <c r="AF985" t="s">
        <v>73</v>
      </c>
      <c r="AH985" t="s">
        <v>3463</v>
      </c>
      <c r="AI985" t="s">
        <v>3463</v>
      </c>
      <c r="AJ985" t="s">
        <v>3463</v>
      </c>
      <c r="AK985" t="s">
        <v>3463</v>
      </c>
      <c r="AL985" t="s">
        <v>3463</v>
      </c>
      <c r="AP985" t="s">
        <v>3463</v>
      </c>
      <c r="AQ985" t="s">
        <v>143</v>
      </c>
      <c r="AR985" t="s">
        <v>3493</v>
      </c>
      <c r="AV985" t="s">
        <v>74</v>
      </c>
      <c r="AW985" t="s">
        <v>3915</v>
      </c>
      <c r="BF985" t="s">
        <v>3921</v>
      </c>
      <c r="BH985" t="s">
        <v>4020</v>
      </c>
      <c r="BP985" t="s">
        <v>4260</v>
      </c>
      <c r="BQ985" t="s">
        <v>3465</v>
      </c>
      <c r="BR985" t="s">
        <v>3465</v>
      </c>
      <c r="BT985" t="s">
        <v>3463</v>
      </c>
      <c r="BU985" t="s">
        <v>3463</v>
      </c>
      <c r="BV985" t="s">
        <v>3463</v>
      </c>
      <c r="BW985" t="s">
        <v>3463</v>
      </c>
      <c r="BX985" t="s">
        <v>79</v>
      </c>
      <c r="BY985" t="s">
        <v>87</v>
      </c>
      <c r="BZ985" t="s">
        <v>95</v>
      </c>
      <c r="CA985" s="10">
        <v>45911</v>
      </c>
    </row>
    <row r="986" spans="1:79">
      <c r="A986">
        <v>993</v>
      </c>
      <c r="B986">
        <v>326</v>
      </c>
      <c r="C986">
        <v>26</v>
      </c>
      <c r="D986" t="s">
        <v>3462</v>
      </c>
      <c r="G986" s="12" t="s">
        <v>3463</v>
      </c>
      <c r="I986">
        <v>70</v>
      </c>
      <c r="J986">
        <v>56</v>
      </c>
      <c r="K986">
        <v>175</v>
      </c>
      <c r="L986">
        <v>108</v>
      </c>
      <c r="M986" t="s">
        <v>72</v>
      </c>
      <c r="N986">
        <v>157</v>
      </c>
      <c r="O986">
        <v>96</v>
      </c>
      <c r="P986" t="s">
        <v>72</v>
      </c>
      <c r="Q986" t="s">
        <v>72</v>
      </c>
      <c r="R986">
        <v>86.3</v>
      </c>
      <c r="S986">
        <v>181</v>
      </c>
      <c r="T986" s="8">
        <f t="shared" si="30"/>
        <v>26.342297243673876</v>
      </c>
      <c r="U986" s="13" t="str" cm="1">
        <f t="array" ref="U986">IF(T986="","",_xlfn.IFS(T986&lt;18.5,"Bajo peso",T986&lt;25,"Peso normal",T986&lt;30,"Sobrepeso",T986&lt;35,"Obesidad clase I",T986&lt;40,"Obesidad clase II",T986&gt;=40,"Obesidad clase III"))</f>
        <v>Sobrepeso</v>
      </c>
      <c r="V986">
        <v>112</v>
      </c>
      <c r="X986" t="s">
        <v>3463</v>
      </c>
      <c r="Y986">
        <v>0.91</v>
      </c>
      <c r="AA986">
        <v>90</v>
      </c>
      <c r="AB986" s="9">
        <f t="shared" si="31"/>
        <v>119.20747459694766</v>
      </c>
      <c r="AD986" t="s">
        <v>73</v>
      </c>
      <c r="AF986" t="s">
        <v>73</v>
      </c>
      <c r="AG986" t="s">
        <v>3463</v>
      </c>
      <c r="AH986" t="s">
        <v>3465</v>
      </c>
      <c r="AI986" t="s">
        <v>3463</v>
      </c>
      <c r="AJ986" t="s">
        <v>3463</v>
      </c>
      <c r="AK986" t="s">
        <v>3463</v>
      </c>
      <c r="AL986" t="s">
        <v>3463</v>
      </c>
      <c r="AP986" t="s">
        <v>3463</v>
      </c>
      <c r="AV986" t="s">
        <v>74</v>
      </c>
      <c r="AW986" t="s">
        <v>3915</v>
      </c>
      <c r="BF986" t="s">
        <v>3921</v>
      </c>
      <c r="BH986" t="s">
        <v>4020</v>
      </c>
      <c r="BP986" t="s">
        <v>4260</v>
      </c>
      <c r="BQ986" t="s">
        <v>3463</v>
      </c>
      <c r="BR986" t="s">
        <v>3465</v>
      </c>
      <c r="BS986" t="s">
        <v>3463</v>
      </c>
      <c r="BT986" t="s">
        <v>3463</v>
      </c>
      <c r="BU986" t="s">
        <v>3463</v>
      </c>
      <c r="BV986" t="s">
        <v>3463</v>
      </c>
      <c r="BW986" t="s">
        <v>3463</v>
      </c>
      <c r="BX986" t="s">
        <v>79</v>
      </c>
      <c r="BY986" t="s">
        <v>87</v>
      </c>
      <c r="BZ986" t="s">
        <v>79</v>
      </c>
      <c r="CA986" s="10">
        <v>45911</v>
      </c>
    </row>
    <row r="987" spans="1:79">
      <c r="A987">
        <v>994</v>
      </c>
      <c r="B987">
        <v>327</v>
      </c>
      <c r="C987">
        <v>44</v>
      </c>
      <c r="D987" t="s">
        <v>3466</v>
      </c>
      <c r="E987" t="s">
        <v>2343</v>
      </c>
      <c r="F987" t="s">
        <v>380</v>
      </c>
      <c r="G987" s="12" t="s">
        <v>3465</v>
      </c>
      <c r="H987" t="s">
        <v>88</v>
      </c>
      <c r="I987">
        <v>78</v>
      </c>
      <c r="J987">
        <v>94</v>
      </c>
      <c r="K987">
        <v>150</v>
      </c>
      <c r="L987">
        <v>97</v>
      </c>
      <c r="M987" t="s">
        <v>72</v>
      </c>
      <c r="N987">
        <v>135</v>
      </c>
      <c r="O987">
        <v>85</v>
      </c>
      <c r="P987" t="s">
        <v>82</v>
      </c>
      <c r="Q987" t="s">
        <v>82</v>
      </c>
      <c r="R987">
        <v>113</v>
      </c>
      <c r="S987">
        <v>172</v>
      </c>
      <c r="T987" s="8">
        <f t="shared" si="30"/>
        <v>38.196322336398055</v>
      </c>
      <c r="U987" s="13" t="str" cm="1">
        <f t="array" ref="U987">IF(T987="","",_xlfn.IFS(T987&lt;18.5,"Bajo peso",T987&lt;25,"Peso normal",T987&lt;30,"Sobrepeso",T987&lt;35,"Obesidad clase I",T987&lt;40,"Obesidad clase II",T987&gt;=40,"Obesidad clase III"))</f>
        <v>Obesidad clase II</v>
      </c>
      <c r="V987">
        <v>101</v>
      </c>
      <c r="X987" t="s">
        <v>3463</v>
      </c>
      <c r="Y987">
        <v>1.1200000000000001</v>
      </c>
      <c r="AA987">
        <v>83</v>
      </c>
      <c r="AB987" s="9">
        <f t="shared" si="31"/>
        <v>62.184270478066672</v>
      </c>
      <c r="AD987" t="s">
        <v>73</v>
      </c>
      <c r="AF987" t="s">
        <v>73</v>
      </c>
      <c r="AH987" t="s">
        <v>3463</v>
      </c>
      <c r="AI987" t="s">
        <v>3463</v>
      </c>
      <c r="AJ987" t="s">
        <v>3465</v>
      </c>
      <c r="AK987" t="s">
        <v>3463</v>
      </c>
      <c r="AL987" t="s">
        <v>3463</v>
      </c>
      <c r="AP987" t="s">
        <v>3463</v>
      </c>
      <c r="AW987" t="s">
        <v>3916</v>
      </c>
      <c r="BF987" t="s">
        <v>3921</v>
      </c>
      <c r="BH987" t="s">
        <v>4020</v>
      </c>
      <c r="BP987" t="s">
        <v>4260</v>
      </c>
      <c r="BQ987" t="s">
        <v>3463</v>
      </c>
      <c r="BR987" t="s">
        <v>3465</v>
      </c>
      <c r="BS987" t="s">
        <v>3463</v>
      </c>
      <c r="BT987" t="s">
        <v>3463</v>
      </c>
      <c r="BU987" t="s">
        <v>3463</v>
      </c>
      <c r="BV987" t="s">
        <v>3463</v>
      </c>
      <c r="BW987" t="s">
        <v>3463</v>
      </c>
      <c r="BX987" t="s">
        <v>79</v>
      </c>
      <c r="BY987" t="s">
        <v>79</v>
      </c>
      <c r="BZ987" t="s">
        <v>79</v>
      </c>
      <c r="CA987" s="10">
        <v>45911</v>
      </c>
    </row>
    <row r="988" spans="1:79">
      <c r="A988">
        <v>995</v>
      </c>
      <c r="B988">
        <v>328</v>
      </c>
      <c r="C988">
        <v>45</v>
      </c>
      <c r="D988" t="s">
        <v>3462</v>
      </c>
      <c r="E988" t="s">
        <v>449</v>
      </c>
      <c r="F988" t="s">
        <v>380</v>
      </c>
      <c r="G988" s="12" t="s">
        <v>3463</v>
      </c>
      <c r="I988">
        <v>70</v>
      </c>
      <c r="K988">
        <v>123</v>
      </c>
      <c r="L988">
        <v>76</v>
      </c>
      <c r="M988" t="s">
        <v>118</v>
      </c>
      <c r="P988" t="s">
        <v>83</v>
      </c>
      <c r="Q988" t="s">
        <v>118</v>
      </c>
      <c r="R988">
        <v>80.8</v>
      </c>
      <c r="S988">
        <v>173</v>
      </c>
      <c r="T988" s="8">
        <f t="shared" si="30"/>
        <v>26.997226770022383</v>
      </c>
      <c r="U988" s="13" t="str" cm="1">
        <f t="array" ref="U988">IF(T988="","",_xlfn.IFS(T988&lt;18.5,"Bajo peso",T988&lt;25,"Peso normal",T988&lt;30,"Sobrepeso",T988&lt;35,"Obesidad clase I",T988&lt;40,"Obesidad clase II",T988&gt;=40,"Obesidad clase III"))</f>
        <v>Sobrepeso</v>
      </c>
      <c r="V988">
        <v>105</v>
      </c>
      <c r="X988" t="s">
        <v>3463</v>
      </c>
      <c r="Y988">
        <v>1.46</v>
      </c>
      <c r="AA988">
        <v>60</v>
      </c>
      <c r="AB988" s="9">
        <f t="shared" si="31"/>
        <v>60.063493297261076</v>
      </c>
      <c r="AD988" t="s">
        <v>73</v>
      </c>
      <c r="AF988" t="s">
        <v>73</v>
      </c>
      <c r="AH988" t="s">
        <v>3463</v>
      </c>
      <c r="AI988" t="s">
        <v>3463</v>
      </c>
      <c r="AJ988" t="s">
        <v>3463</v>
      </c>
      <c r="AK988" t="s">
        <v>3463</v>
      </c>
      <c r="AL988" t="s">
        <v>3463</v>
      </c>
      <c r="AP988" t="s">
        <v>3463</v>
      </c>
      <c r="AV988" t="s">
        <v>178</v>
      </c>
      <c r="AW988" t="s">
        <v>3918</v>
      </c>
      <c r="BF988" t="s">
        <v>3921</v>
      </c>
      <c r="BH988" t="s">
        <v>4020</v>
      </c>
      <c r="BP988" t="s">
        <v>4260</v>
      </c>
      <c r="BQ988" t="s">
        <v>3463</v>
      </c>
      <c r="BR988" t="s">
        <v>3463</v>
      </c>
      <c r="BS988" t="s">
        <v>3463</v>
      </c>
      <c r="BT988" t="s">
        <v>3463</v>
      </c>
      <c r="BU988" t="s">
        <v>3463</v>
      </c>
      <c r="BV988" t="s">
        <v>3463</v>
      </c>
      <c r="BW988" t="s">
        <v>3463</v>
      </c>
      <c r="BX988" t="s">
        <v>79</v>
      </c>
      <c r="BY988" t="s">
        <v>79</v>
      </c>
      <c r="BZ988" t="s">
        <v>79</v>
      </c>
      <c r="CA988" s="10">
        <v>45911</v>
      </c>
    </row>
    <row r="989" spans="1:79">
      <c r="A989">
        <v>996</v>
      </c>
      <c r="B989">
        <v>329</v>
      </c>
      <c r="C989">
        <v>40</v>
      </c>
      <c r="D989" t="s">
        <v>3462</v>
      </c>
      <c r="E989" t="s">
        <v>1659</v>
      </c>
      <c r="F989" t="s">
        <v>150</v>
      </c>
      <c r="G989" s="12" t="s">
        <v>3465</v>
      </c>
      <c r="H989" s="12" t="s">
        <v>88</v>
      </c>
      <c r="I989">
        <v>78</v>
      </c>
      <c r="J989">
        <v>73</v>
      </c>
      <c r="K989">
        <v>155</v>
      </c>
      <c r="L989">
        <v>96</v>
      </c>
      <c r="M989" t="s">
        <v>72</v>
      </c>
      <c r="N989">
        <v>142</v>
      </c>
      <c r="O989">
        <v>91</v>
      </c>
      <c r="P989" t="s">
        <v>72</v>
      </c>
      <c r="Q989" t="s">
        <v>72</v>
      </c>
      <c r="R989">
        <v>74.7</v>
      </c>
      <c r="S989">
        <v>167</v>
      </c>
      <c r="T989" s="8">
        <f t="shared" si="30"/>
        <v>26.784753845602211</v>
      </c>
      <c r="U989" s="13" t="str" cm="1">
        <f t="array" ref="U989">IF(T989="","",_xlfn.IFS(T989&lt;18.5,"Bajo peso",T989&lt;25,"Peso normal",T989&lt;30,"Sobrepeso",T989&lt;35,"Obesidad clase I",T989&lt;40,"Obesidad clase II",T989&gt;=40,"Obesidad clase III"))</f>
        <v>Sobrepeso</v>
      </c>
      <c r="AB989" s="9" t="str">
        <f t="shared" si="31"/>
        <v/>
      </c>
      <c r="AH989" t="s">
        <v>3463</v>
      </c>
      <c r="AI989" t="s">
        <v>3463</v>
      </c>
      <c r="AJ989" t="s">
        <v>3463</v>
      </c>
      <c r="AK989" t="s">
        <v>3463</v>
      </c>
      <c r="AL989" t="s">
        <v>3463</v>
      </c>
      <c r="AP989" t="s">
        <v>3463</v>
      </c>
      <c r="AQ989" t="s">
        <v>399</v>
      </c>
      <c r="AR989" t="s">
        <v>3505</v>
      </c>
      <c r="AV989" t="s">
        <v>126</v>
      </c>
      <c r="AW989" t="s">
        <v>126</v>
      </c>
      <c r="BF989" t="s">
        <v>3921</v>
      </c>
      <c r="BH989" t="s">
        <v>4020</v>
      </c>
      <c r="BP989" t="s">
        <v>4260</v>
      </c>
      <c r="BQ989" t="s">
        <v>3465</v>
      </c>
      <c r="BR989" t="s">
        <v>3465</v>
      </c>
      <c r="BS989" t="s">
        <v>3463</v>
      </c>
      <c r="BT989" t="s">
        <v>3463</v>
      </c>
      <c r="BU989" t="s">
        <v>3463</v>
      </c>
      <c r="BV989" t="s">
        <v>3463</v>
      </c>
      <c r="BW989" t="s">
        <v>3463</v>
      </c>
      <c r="BX989" t="s">
        <v>79</v>
      </c>
      <c r="BY989" t="s">
        <v>87</v>
      </c>
      <c r="BZ989" t="s">
        <v>79</v>
      </c>
      <c r="CA989" s="10">
        <v>45911</v>
      </c>
    </row>
    <row r="990" spans="1:79">
      <c r="A990">
        <v>997</v>
      </c>
      <c r="B990">
        <v>330</v>
      </c>
      <c r="C990">
        <v>58</v>
      </c>
      <c r="D990" t="s">
        <v>3462</v>
      </c>
      <c r="E990" t="s">
        <v>1966</v>
      </c>
      <c r="F990" t="s">
        <v>150</v>
      </c>
      <c r="G990" s="12" t="s">
        <v>3463</v>
      </c>
      <c r="H990" s="12"/>
      <c r="I990">
        <v>54</v>
      </c>
      <c r="J990">
        <v>53</v>
      </c>
      <c r="K990">
        <v>157</v>
      </c>
      <c r="L990">
        <v>90</v>
      </c>
      <c r="M990" t="s">
        <v>72</v>
      </c>
      <c r="N990">
        <v>186</v>
      </c>
      <c r="O990">
        <v>95</v>
      </c>
      <c r="P990" t="s">
        <v>96</v>
      </c>
      <c r="Q990" t="s">
        <v>72</v>
      </c>
      <c r="R990">
        <v>72.400000000000006</v>
      </c>
      <c r="S990">
        <v>166</v>
      </c>
      <c r="T990" s="8">
        <f t="shared" si="30"/>
        <v>26.273769777906811</v>
      </c>
      <c r="U990" s="13" t="str" cm="1">
        <f t="array" ref="U990">IF(T990="","",_xlfn.IFS(T990&lt;18.5,"Bajo peso",T990&lt;25,"Peso normal",T990&lt;30,"Sobrepeso",T990&lt;35,"Obesidad clase I",T990&lt;40,"Obesidad clase II",T990&gt;=40,"Obesidad clase III"))</f>
        <v>Sobrepeso</v>
      </c>
      <c r="V990">
        <v>97</v>
      </c>
      <c r="X990" t="s">
        <v>3463</v>
      </c>
      <c r="Y990">
        <v>0.78</v>
      </c>
      <c r="AA990">
        <v>90</v>
      </c>
      <c r="AB990" s="9">
        <f t="shared" si="31"/>
        <v>103.37096533488371</v>
      </c>
      <c r="AD990" t="s">
        <v>73</v>
      </c>
      <c r="AF990" t="s">
        <v>73</v>
      </c>
      <c r="AH990" t="s">
        <v>3463</v>
      </c>
      <c r="AI990" t="s">
        <v>3465</v>
      </c>
      <c r="AJ990" t="s">
        <v>3463</v>
      </c>
      <c r="AK990" t="s">
        <v>3463</v>
      </c>
      <c r="AL990" t="s">
        <v>3463</v>
      </c>
      <c r="AP990" t="s">
        <v>3463</v>
      </c>
      <c r="AS990" t="s">
        <v>3465</v>
      </c>
      <c r="AV990" t="s">
        <v>126</v>
      </c>
      <c r="AW990" t="s">
        <v>126</v>
      </c>
      <c r="BF990" t="s">
        <v>3921</v>
      </c>
      <c r="BH990" t="s">
        <v>4020</v>
      </c>
      <c r="BP990" t="s">
        <v>4260</v>
      </c>
      <c r="BQ990" t="s">
        <v>3465</v>
      </c>
      <c r="BR990" t="s">
        <v>3465</v>
      </c>
      <c r="BS990" t="s">
        <v>3463</v>
      </c>
      <c r="BT990" t="s">
        <v>3463</v>
      </c>
      <c r="BU990" t="s">
        <v>3463</v>
      </c>
      <c r="BV990" t="s">
        <v>3463</v>
      </c>
      <c r="BW990" t="s">
        <v>3463</v>
      </c>
      <c r="BX990" t="s">
        <v>79</v>
      </c>
      <c r="BY990" t="s">
        <v>87</v>
      </c>
      <c r="BZ990" t="s">
        <v>79</v>
      </c>
      <c r="CA990" s="10">
        <v>45911</v>
      </c>
    </row>
    <row r="991" spans="1:79">
      <c r="A991">
        <v>998</v>
      </c>
      <c r="B991">
        <v>331</v>
      </c>
      <c r="C991">
        <v>48</v>
      </c>
      <c r="D991" t="s">
        <v>3462</v>
      </c>
      <c r="E991" t="s">
        <v>1966</v>
      </c>
      <c r="F991" t="s">
        <v>380</v>
      </c>
      <c r="G991" s="12" t="s">
        <v>3465</v>
      </c>
      <c r="H991" s="12" t="s">
        <v>88</v>
      </c>
      <c r="I991">
        <v>62</v>
      </c>
      <c r="K991">
        <v>138</v>
      </c>
      <c r="L991">
        <v>83</v>
      </c>
      <c r="M991" t="s">
        <v>82</v>
      </c>
      <c r="P991" t="s">
        <v>83</v>
      </c>
      <c r="Q991" t="s">
        <v>82</v>
      </c>
      <c r="R991">
        <v>92.8</v>
      </c>
      <c r="S991">
        <v>169</v>
      </c>
      <c r="T991" s="8">
        <f t="shared" si="30"/>
        <v>32.491859528727986</v>
      </c>
      <c r="U991" s="13" t="str" cm="1">
        <f t="array" ref="U991">IF(T991="","",_xlfn.IFS(T991&lt;18.5,"Bajo peso",T991&lt;25,"Peso normal",T991&lt;30,"Sobrepeso",T991&lt;35,"Obesidad clase I",T991&lt;40,"Obesidad clase II",T991&gt;=40,"Obesidad clase III"))</f>
        <v>Obesidad clase I</v>
      </c>
      <c r="V991">
        <v>97</v>
      </c>
      <c r="X991" t="s">
        <v>3463</v>
      </c>
      <c r="Y991">
        <v>0.89</v>
      </c>
      <c r="AA991">
        <v>90</v>
      </c>
      <c r="AB991" s="9">
        <f t="shared" si="31"/>
        <v>105.70741093305301</v>
      </c>
      <c r="AD991" t="s">
        <v>73</v>
      </c>
      <c r="AF991" t="s">
        <v>73</v>
      </c>
      <c r="AH991" t="s">
        <v>3463</v>
      </c>
      <c r="AI991" t="s">
        <v>3463</v>
      </c>
      <c r="AJ991" t="s">
        <v>3463</v>
      </c>
      <c r="AK991" t="s">
        <v>3463</v>
      </c>
      <c r="AL991" t="s">
        <v>3463</v>
      </c>
      <c r="AP991" t="s">
        <v>3463</v>
      </c>
      <c r="AQ991" t="s">
        <v>148</v>
      </c>
      <c r="AR991" t="s">
        <v>3491</v>
      </c>
      <c r="AV991" t="s">
        <v>126</v>
      </c>
      <c r="AW991" t="s">
        <v>126</v>
      </c>
      <c r="BF991" t="s">
        <v>3921</v>
      </c>
      <c r="BH991" t="s">
        <v>4020</v>
      </c>
      <c r="BP991" t="s">
        <v>4260</v>
      </c>
      <c r="BQ991" t="s">
        <v>3465</v>
      </c>
      <c r="BR991" t="s">
        <v>3465</v>
      </c>
      <c r="BS991" t="s">
        <v>3463</v>
      </c>
      <c r="BT991" t="s">
        <v>3465</v>
      </c>
      <c r="BU991" t="s">
        <v>3463</v>
      </c>
      <c r="BV991" t="s">
        <v>3463</v>
      </c>
      <c r="BW991" t="s">
        <v>3463</v>
      </c>
      <c r="BX991" t="s">
        <v>79</v>
      </c>
      <c r="BY991" t="s">
        <v>79</v>
      </c>
      <c r="BZ991" t="s">
        <v>79</v>
      </c>
      <c r="CA991" s="10">
        <v>45911</v>
      </c>
    </row>
    <row r="992" spans="1:79">
      <c r="A992">
        <v>999</v>
      </c>
      <c r="B992">
        <v>332</v>
      </c>
      <c r="C992">
        <v>44</v>
      </c>
      <c r="D992" t="s">
        <v>3462</v>
      </c>
      <c r="F992" t="s">
        <v>150</v>
      </c>
      <c r="G992" s="12" t="s">
        <v>3465</v>
      </c>
      <c r="H992" s="12" t="s">
        <v>88</v>
      </c>
      <c r="I992">
        <v>70</v>
      </c>
      <c r="K992">
        <v>123</v>
      </c>
      <c r="L992">
        <v>81</v>
      </c>
      <c r="M992" t="s">
        <v>82</v>
      </c>
      <c r="P992" t="s">
        <v>83</v>
      </c>
      <c r="Q992" t="s">
        <v>82</v>
      </c>
      <c r="R992">
        <v>69</v>
      </c>
      <c r="S992">
        <v>159</v>
      </c>
      <c r="T992" s="8">
        <f t="shared" si="30"/>
        <v>27.293224160436694</v>
      </c>
      <c r="U992" s="13" t="str" cm="1">
        <f t="array" ref="U992">IF(T992="","",_xlfn.IFS(T992&lt;18.5,"Bajo peso",T992&lt;25,"Peso normal",T992&lt;30,"Sobrepeso",T992&lt;35,"Obesidad clase I",T992&lt;40,"Obesidad clase II",T992&gt;=40,"Obesidad clase III"))</f>
        <v>Sobrepeso</v>
      </c>
      <c r="V992">
        <v>93</v>
      </c>
      <c r="X992" t="s">
        <v>3463</v>
      </c>
      <c r="Y992">
        <v>1.1000000000000001</v>
      </c>
      <c r="AA992">
        <v>85</v>
      </c>
      <c r="AB992" s="9">
        <f t="shared" si="31"/>
        <v>84.891420262706703</v>
      </c>
      <c r="AD992" t="s">
        <v>73</v>
      </c>
      <c r="AF992" t="s">
        <v>73</v>
      </c>
      <c r="AH992" t="s">
        <v>3463</v>
      </c>
      <c r="AI992" t="s">
        <v>3463</v>
      </c>
      <c r="AJ992" t="s">
        <v>3463</v>
      </c>
      <c r="AK992" t="s">
        <v>3463</v>
      </c>
      <c r="AL992" t="s">
        <v>3463</v>
      </c>
      <c r="AP992" t="s">
        <v>3463</v>
      </c>
      <c r="AQ992" t="s">
        <v>177</v>
      </c>
      <c r="AR992" t="s">
        <v>3488</v>
      </c>
      <c r="AV992" t="s">
        <v>126</v>
      </c>
      <c r="AW992" t="s">
        <v>126</v>
      </c>
      <c r="BF992" t="s">
        <v>3921</v>
      </c>
      <c r="BH992" t="s">
        <v>4020</v>
      </c>
      <c r="BP992" t="s">
        <v>4260</v>
      </c>
      <c r="BQ992" t="s">
        <v>3465</v>
      </c>
      <c r="BR992" t="s">
        <v>3465</v>
      </c>
      <c r="BS992" t="s">
        <v>3463</v>
      </c>
      <c r="BT992" t="s">
        <v>3465</v>
      </c>
      <c r="BU992" t="s">
        <v>3463</v>
      </c>
      <c r="BX992" t="s">
        <v>79</v>
      </c>
      <c r="BY992" t="s">
        <v>79</v>
      </c>
      <c r="BZ992" t="s">
        <v>79</v>
      </c>
      <c r="CA992" s="10">
        <v>45911</v>
      </c>
    </row>
    <row r="993" spans="1:79">
      <c r="A993">
        <v>1000</v>
      </c>
      <c r="B993">
        <v>333</v>
      </c>
      <c r="C993">
        <v>48</v>
      </c>
      <c r="D993" t="s">
        <v>3462</v>
      </c>
      <c r="E993" t="s">
        <v>1657</v>
      </c>
      <c r="F993" t="s">
        <v>168</v>
      </c>
      <c r="G993" s="12" t="s">
        <v>3463</v>
      </c>
      <c r="H993" s="12"/>
      <c r="I993">
        <v>66</v>
      </c>
      <c r="J993">
        <v>67</v>
      </c>
      <c r="K993">
        <v>179</v>
      </c>
      <c r="L993">
        <v>91</v>
      </c>
      <c r="M993" t="s">
        <v>72</v>
      </c>
      <c r="N993">
        <v>174</v>
      </c>
      <c r="O993">
        <v>95</v>
      </c>
      <c r="P993" t="s">
        <v>72</v>
      </c>
      <c r="Q993" t="s">
        <v>72</v>
      </c>
      <c r="R993">
        <v>93.4</v>
      </c>
      <c r="S993">
        <v>171</v>
      </c>
      <c r="T993" s="8">
        <f t="shared" si="30"/>
        <v>31.941452070722619</v>
      </c>
      <c r="U993" s="13" t="str" cm="1">
        <f t="array" ref="U993">IF(T993="","",_xlfn.IFS(T993&lt;18.5,"Bajo peso",T993&lt;25,"Peso normal",T993&lt;30,"Sobrepeso",T993&lt;35,"Obesidad clase I",T993&lt;40,"Obesidad clase II",T993&gt;=40,"Obesidad clase III"))</f>
        <v>Obesidad clase I</v>
      </c>
      <c r="V993">
        <v>73</v>
      </c>
      <c r="X993" t="s">
        <v>3463</v>
      </c>
      <c r="Y993">
        <v>1.29</v>
      </c>
      <c r="AA993">
        <v>68</v>
      </c>
      <c r="AB993" s="9">
        <f t="shared" si="31"/>
        <v>68.394840171615201</v>
      </c>
      <c r="AD993" t="s">
        <v>73</v>
      </c>
      <c r="AF993" t="s">
        <v>73</v>
      </c>
      <c r="AH993" t="s">
        <v>3463</v>
      </c>
      <c r="AI993" t="s">
        <v>3463</v>
      </c>
      <c r="AJ993" t="s">
        <v>3463</v>
      </c>
      <c r="AK993" t="s">
        <v>3463</v>
      </c>
      <c r="AL993" t="s">
        <v>3463</v>
      </c>
      <c r="AP993" t="s">
        <v>3463</v>
      </c>
      <c r="AQ993" t="s">
        <v>2344</v>
      </c>
      <c r="AR993" t="s">
        <v>3493</v>
      </c>
      <c r="AV993" t="s">
        <v>126</v>
      </c>
      <c r="AW993" t="s">
        <v>126</v>
      </c>
      <c r="BF993" t="s">
        <v>3921</v>
      </c>
      <c r="BH993" t="s">
        <v>4020</v>
      </c>
      <c r="BP993" t="s">
        <v>4260</v>
      </c>
      <c r="BQ993" t="s">
        <v>3463</v>
      </c>
      <c r="BR993" t="s">
        <v>3465</v>
      </c>
      <c r="BS993" t="s">
        <v>3465</v>
      </c>
      <c r="BT993" t="s">
        <v>3465</v>
      </c>
      <c r="BU993" t="s">
        <v>3463</v>
      </c>
      <c r="BV993" t="s">
        <v>3463</v>
      </c>
      <c r="BW993" t="s">
        <v>3463</v>
      </c>
      <c r="BX993" t="s">
        <v>79</v>
      </c>
      <c r="BY993" t="s">
        <v>87</v>
      </c>
      <c r="BZ993" t="s">
        <v>79</v>
      </c>
      <c r="CA993" s="10">
        <v>45911</v>
      </c>
    </row>
    <row r="994" spans="1:79">
      <c r="A994">
        <v>1001</v>
      </c>
      <c r="B994">
        <v>334</v>
      </c>
      <c r="C994">
        <v>50</v>
      </c>
      <c r="D994" t="s">
        <v>3462</v>
      </c>
      <c r="E994" t="s">
        <v>1966</v>
      </c>
      <c r="F994" t="s">
        <v>150</v>
      </c>
      <c r="G994" s="12" t="s">
        <v>3463</v>
      </c>
      <c r="I994">
        <v>51</v>
      </c>
      <c r="K994">
        <v>133</v>
      </c>
      <c r="L994">
        <v>77</v>
      </c>
      <c r="M994" t="s">
        <v>82</v>
      </c>
      <c r="P994" t="s">
        <v>83</v>
      </c>
      <c r="Q994" t="s">
        <v>82</v>
      </c>
      <c r="R994">
        <v>83.2</v>
      </c>
      <c r="S994">
        <v>156</v>
      </c>
      <c r="T994" s="8">
        <f t="shared" si="30"/>
        <v>34.188034188034187</v>
      </c>
      <c r="U994" s="13" t="str" cm="1">
        <f t="array" ref="U994">IF(T994="","",_xlfn.IFS(T994&lt;18.5,"Bajo peso",T994&lt;25,"Peso normal",T994&lt;30,"Sobrepeso",T994&lt;35,"Obesidad clase I",T994&lt;40,"Obesidad clase II",T994&gt;=40,"Obesidad clase III"))</f>
        <v>Obesidad clase I</v>
      </c>
      <c r="V994">
        <v>121</v>
      </c>
      <c r="X994" t="s">
        <v>3463</v>
      </c>
      <c r="Y994">
        <v>1.04</v>
      </c>
      <c r="AA994">
        <v>87</v>
      </c>
      <c r="AB994" s="9">
        <f t="shared" si="31"/>
        <v>87.47601069884135</v>
      </c>
      <c r="AD994" t="s">
        <v>73</v>
      </c>
      <c r="AF994" t="s">
        <v>73</v>
      </c>
      <c r="AH994" t="s">
        <v>3463</v>
      </c>
      <c r="AI994" t="s">
        <v>3465</v>
      </c>
      <c r="AJ994" t="s">
        <v>3463</v>
      </c>
      <c r="AK994" t="s">
        <v>3463</v>
      </c>
      <c r="AL994" t="s">
        <v>3463</v>
      </c>
      <c r="AP994" t="s">
        <v>3463</v>
      </c>
      <c r="AQ994" t="s">
        <v>2345</v>
      </c>
      <c r="AR994" t="s">
        <v>3585</v>
      </c>
      <c r="AS994" t="s">
        <v>3465</v>
      </c>
      <c r="AV994" t="s">
        <v>126</v>
      </c>
      <c r="AW994" t="s">
        <v>126</v>
      </c>
      <c r="BF994" t="s">
        <v>3921</v>
      </c>
      <c r="BH994" t="s">
        <v>4020</v>
      </c>
      <c r="BP994" t="s">
        <v>4260</v>
      </c>
      <c r="BQ994" t="s">
        <v>3463</v>
      </c>
      <c r="BR994" t="s">
        <v>3463</v>
      </c>
      <c r="BS994" t="s">
        <v>3463</v>
      </c>
      <c r="BT994" t="s">
        <v>3463</v>
      </c>
      <c r="BU994" t="s">
        <v>3463</v>
      </c>
      <c r="BV994" t="s">
        <v>3463</v>
      </c>
      <c r="BW994" t="s">
        <v>3463</v>
      </c>
      <c r="BX994" t="s">
        <v>79</v>
      </c>
      <c r="BY994" t="s">
        <v>79</v>
      </c>
      <c r="BZ994" t="s">
        <v>79</v>
      </c>
      <c r="CA994" s="10">
        <v>45911</v>
      </c>
    </row>
    <row r="995" spans="1:79">
      <c r="A995">
        <v>1002</v>
      </c>
      <c r="B995">
        <v>334</v>
      </c>
      <c r="C995">
        <v>55</v>
      </c>
      <c r="D995" t="s">
        <v>3462</v>
      </c>
      <c r="F995" t="s">
        <v>150</v>
      </c>
      <c r="G995" s="12" t="s">
        <v>3463</v>
      </c>
      <c r="H995" s="12"/>
      <c r="I995">
        <v>64</v>
      </c>
      <c r="K995">
        <v>748</v>
      </c>
      <c r="L995">
        <v>79</v>
      </c>
      <c r="M995" t="s">
        <v>96</v>
      </c>
      <c r="P995" t="s">
        <v>83</v>
      </c>
      <c r="Q995" t="s">
        <v>96</v>
      </c>
      <c r="R995">
        <v>77.75</v>
      </c>
      <c r="S995">
        <v>157</v>
      </c>
      <c r="T995" s="8">
        <f t="shared" si="30"/>
        <v>31.54286177938253</v>
      </c>
      <c r="U995" s="13" t="str" cm="1">
        <f t="array" ref="U995">IF(T995="","",_xlfn.IFS(T995&lt;18.5,"Bajo peso",T995&lt;25,"Peso normal",T995&lt;30,"Sobrepeso",T995&lt;35,"Obesidad clase I",T995&lt;40,"Obesidad clase II",T995&gt;=40,"Obesidad clase III"))</f>
        <v>Obesidad clase I</v>
      </c>
      <c r="V995">
        <v>85</v>
      </c>
      <c r="X995" t="s">
        <v>3463</v>
      </c>
      <c r="Y995">
        <v>1.2</v>
      </c>
      <c r="AA995">
        <v>72</v>
      </c>
      <c r="AB995" s="9">
        <f t="shared" si="31"/>
        <v>71.41779592192097</v>
      </c>
      <c r="AD995" t="s">
        <v>73</v>
      </c>
      <c r="AF995" t="s">
        <v>73</v>
      </c>
      <c r="AH995" t="s">
        <v>3463</v>
      </c>
      <c r="AI995" t="s">
        <v>3463</v>
      </c>
      <c r="AJ995" t="s">
        <v>3463</v>
      </c>
      <c r="AK995" t="s">
        <v>3463</v>
      </c>
      <c r="AL995" t="s">
        <v>3463</v>
      </c>
      <c r="AP995" t="s">
        <v>3463</v>
      </c>
      <c r="AW995" t="s">
        <v>3916</v>
      </c>
      <c r="BF995" t="s">
        <v>3921</v>
      </c>
      <c r="BH995" t="s">
        <v>4020</v>
      </c>
      <c r="BP995" t="s">
        <v>4260</v>
      </c>
      <c r="BQ995" t="s">
        <v>3465</v>
      </c>
      <c r="BR995" t="s">
        <v>3465</v>
      </c>
      <c r="BS995" t="s">
        <v>3465</v>
      </c>
      <c r="BT995" t="s">
        <v>3465</v>
      </c>
      <c r="BU995" t="s">
        <v>3463</v>
      </c>
      <c r="BV995" t="s">
        <v>3463</v>
      </c>
      <c r="BW995" t="s">
        <v>3463</v>
      </c>
      <c r="BX995" t="s">
        <v>79</v>
      </c>
      <c r="BY995" t="s">
        <v>87</v>
      </c>
      <c r="BZ995" t="s">
        <v>79</v>
      </c>
      <c r="CA995" s="10">
        <v>45911</v>
      </c>
    </row>
    <row r="996" spans="1:79">
      <c r="A996">
        <v>1003</v>
      </c>
      <c r="B996">
        <v>336</v>
      </c>
      <c r="C996">
        <v>52</v>
      </c>
      <c r="D996" t="s">
        <v>3466</v>
      </c>
      <c r="E996" t="s">
        <v>2346</v>
      </c>
      <c r="G996" s="12" t="s">
        <v>3463</v>
      </c>
      <c r="I996">
        <v>63</v>
      </c>
      <c r="K996">
        <v>120</v>
      </c>
      <c r="L996">
        <v>72</v>
      </c>
      <c r="M996" t="s">
        <v>118</v>
      </c>
      <c r="P996" t="s">
        <v>83</v>
      </c>
      <c r="Q996" t="s">
        <v>118</v>
      </c>
      <c r="R996">
        <v>79.099999999999994</v>
      </c>
      <c r="S996">
        <v>159</v>
      </c>
      <c r="T996" s="8">
        <f t="shared" si="30"/>
        <v>31.28831929116728</v>
      </c>
      <c r="U996" s="13" t="str" cm="1">
        <f t="array" ref="U996">IF(T996="","",_xlfn.IFS(T996&lt;18.5,"Bajo peso",T996&lt;25,"Peso normal",T996&lt;30,"Sobrepeso",T996&lt;35,"Obesidad clase I",T996&lt;40,"Obesidad clase II",T996&gt;=40,"Obesidad clase III"))</f>
        <v>Obesidad clase I</v>
      </c>
      <c r="V996">
        <v>76</v>
      </c>
      <c r="X996" t="s">
        <v>3463</v>
      </c>
      <c r="Y996">
        <v>1.0900000000000001</v>
      </c>
      <c r="AA996">
        <v>61</v>
      </c>
      <c r="AB996" s="9">
        <f t="shared" si="31"/>
        <v>61.125484242241484</v>
      </c>
      <c r="AD996" t="s">
        <v>73</v>
      </c>
      <c r="AF996" t="s">
        <v>73</v>
      </c>
      <c r="AH996" t="s">
        <v>3463</v>
      </c>
      <c r="AI996" t="s">
        <v>3463</v>
      </c>
      <c r="AJ996" t="s">
        <v>3463</v>
      </c>
      <c r="AK996" t="s">
        <v>3463</v>
      </c>
      <c r="AL996" t="s">
        <v>3465</v>
      </c>
      <c r="AM996" t="s">
        <v>116</v>
      </c>
      <c r="AN996" t="s">
        <v>116</v>
      </c>
      <c r="AP996" t="s">
        <v>3463</v>
      </c>
      <c r="AQ996" t="s">
        <v>270</v>
      </c>
      <c r="AR996" t="s">
        <v>3488</v>
      </c>
      <c r="AT996" t="s">
        <v>3465</v>
      </c>
      <c r="AU996" t="s">
        <v>80</v>
      </c>
      <c r="AV996" t="s">
        <v>126</v>
      </c>
      <c r="AW996" t="s">
        <v>126</v>
      </c>
      <c r="AX996" t="s">
        <v>3463</v>
      </c>
      <c r="AY996" t="s">
        <v>3465</v>
      </c>
      <c r="AZ996" t="s">
        <v>247</v>
      </c>
      <c r="BF996" t="s">
        <v>3921</v>
      </c>
      <c r="BH996" t="s">
        <v>4020</v>
      </c>
      <c r="BP996" t="s">
        <v>4260</v>
      </c>
      <c r="BQ996" t="s">
        <v>3463</v>
      </c>
      <c r="BR996" t="s">
        <v>3465</v>
      </c>
      <c r="BS996" t="s">
        <v>3465</v>
      </c>
      <c r="BT996" t="s">
        <v>3465</v>
      </c>
      <c r="BU996" t="s">
        <v>3463</v>
      </c>
      <c r="BV996" t="s">
        <v>3463</v>
      </c>
      <c r="BW996" t="s">
        <v>3463</v>
      </c>
      <c r="BX996" t="s">
        <v>79</v>
      </c>
      <c r="BY996" t="s">
        <v>87</v>
      </c>
      <c r="BZ996" t="s">
        <v>79</v>
      </c>
      <c r="CA996" s="10">
        <v>45911</v>
      </c>
    </row>
    <row r="997" spans="1:79">
      <c r="A997">
        <v>1004</v>
      </c>
      <c r="B997">
        <v>337</v>
      </c>
      <c r="C997">
        <v>48</v>
      </c>
      <c r="D997" t="s">
        <v>3462</v>
      </c>
      <c r="F997" t="s">
        <v>150</v>
      </c>
      <c r="G997" s="12" t="s">
        <v>3463</v>
      </c>
      <c r="H997" s="12"/>
      <c r="I997">
        <v>65</v>
      </c>
      <c r="K997">
        <v>139</v>
      </c>
      <c r="L997">
        <v>89</v>
      </c>
      <c r="M997" t="s">
        <v>82</v>
      </c>
      <c r="P997" t="s">
        <v>83</v>
      </c>
      <c r="Q997" t="s">
        <v>82</v>
      </c>
      <c r="R997">
        <v>99.5</v>
      </c>
      <c r="S997">
        <v>175</v>
      </c>
      <c r="T997" s="8">
        <f t="shared" si="30"/>
        <v>32.489795918367342</v>
      </c>
      <c r="U997" s="13" t="str" cm="1">
        <f t="array" ref="U997">IF(T997="","",_xlfn.IFS(T997&lt;18.5,"Bajo peso",T997&lt;25,"Peso normal",T997&lt;30,"Sobrepeso",T997&lt;35,"Obesidad clase I",T997&lt;40,"Obesidad clase II",T997&gt;=40,"Obesidad clase III"))</f>
        <v>Obesidad clase I</v>
      </c>
      <c r="V997">
        <v>81</v>
      </c>
      <c r="X997" t="s">
        <v>3463</v>
      </c>
      <c r="Y997">
        <v>1.35</v>
      </c>
      <c r="AA997">
        <v>65</v>
      </c>
      <c r="AB997" s="9">
        <f t="shared" si="31"/>
        <v>64.763523557546705</v>
      </c>
      <c r="AD997" t="s">
        <v>73</v>
      </c>
      <c r="AF997" t="s">
        <v>73</v>
      </c>
      <c r="AH997" t="s">
        <v>3463</v>
      </c>
      <c r="AI997" t="s">
        <v>3463</v>
      </c>
      <c r="AJ997" t="s">
        <v>3463</v>
      </c>
      <c r="AK997" t="s">
        <v>3463</v>
      </c>
      <c r="AL997" t="s">
        <v>3463</v>
      </c>
      <c r="AP997" t="s">
        <v>3463</v>
      </c>
      <c r="AW997" t="s">
        <v>3916</v>
      </c>
      <c r="BF997" t="s">
        <v>3921</v>
      </c>
      <c r="BH997" t="s">
        <v>4020</v>
      </c>
      <c r="BP997" t="s">
        <v>4260</v>
      </c>
      <c r="BQ997" t="s">
        <v>3463</v>
      </c>
      <c r="BR997" t="s">
        <v>3463</v>
      </c>
      <c r="BS997" t="s">
        <v>3463</v>
      </c>
      <c r="BT997" t="s">
        <v>3463</v>
      </c>
      <c r="BU997" t="s">
        <v>3463</v>
      </c>
      <c r="BV997" t="s">
        <v>3463</v>
      </c>
      <c r="BW997" t="s">
        <v>3463</v>
      </c>
      <c r="BX997" t="s">
        <v>79</v>
      </c>
      <c r="BY997" t="s">
        <v>79</v>
      </c>
      <c r="BZ997" t="s">
        <v>79</v>
      </c>
      <c r="CA997" s="10">
        <v>45911</v>
      </c>
    </row>
    <row r="998" spans="1:79">
      <c r="A998">
        <v>1005</v>
      </c>
      <c r="B998">
        <v>338</v>
      </c>
      <c r="C998">
        <v>21</v>
      </c>
      <c r="D998" t="s">
        <v>3462</v>
      </c>
      <c r="E998" t="s">
        <v>1966</v>
      </c>
      <c r="F998" t="s">
        <v>380</v>
      </c>
      <c r="G998" s="12" t="s">
        <v>3465</v>
      </c>
      <c r="H998" t="s">
        <v>88</v>
      </c>
      <c r="I998">
        <v>40</v>
      </c>
      <c r="K998">
        <v>126</v>
      </c>
      <c r="L998">
        <v>61</v>
      </c>
      <c r="M998" t="s">
        <v>118</v>
      </c>
      <c r="P998" t="s">
        <v>83</v>
      </c>
      <c r="Q998" t="s">
        <v>118</v>
      </c>
      <c r="R998">
        <v>74</v>
      </c>
      <c r="S998">
        <v>172</v>
      </c>
      <c r="T998" s="8">
        <f t="shared" si="30"/>
        <v>25.013520822065981</v>
      </c>
      <c r="U998" s="13" t="str" cm="1">
        <f t="array" ref="U998">IF(T998="","",_xlfn.IFS(T998&lt;18.5,"Bajo peso",T998&lt;25,"Peso normal",T998&lt;30,"Sobrepeso",T998&lt;35,"Obesidad clase I",T998&lt;40,"Obesidad clase II",T998&gt;=40,"Obesidad clase III"))</f>
        <v>Sobrepeso</v>
      </c>
      <c r="V998">
        <v>107</v>
      </c>
      <c r="X998" t="s">
        <v>3463</v>
      </c>
      <c r="Y998">
        <v>1.0900000000000001</v>
      </c>
      <c r="AA998">
        <v>90</v>
      </c>
      <c r="AB998" s="9">
        <f t="shared" si="31"/>
        <v>99.025352898236676</v>
      </c>
      <c r="AD998" t="s">
        <v>73</v>
      </c>
      <c r="AF998" t="s">
        <v>73</v>
      </c>
      <c r="AH998" t="s">
        <v>3463</v>
      </c>
      <c r="AI998" t="s">
        <v>3463</v>
      </c>
      <c r="AJ998" t="s">
        <v>3463</v>
      </c>
      <c r="AL998" t="s">
        <v>3463</v>
      </c>
      <c r="AP998" t="s">
        <v>3463</v>
      </c>
      <c r="AQ998" t="s">
        <v>2347</v>
      </c>
      <c r="AR998" t="s">
        <v>3495</v>
      </c>
      <c r="AW998" t="s">
        <v>3916</v>
      </c>
      <c r="BF998" t="s">
        <v>3921</v>
      </c>
      <c r="BH998" t="s">
        <v>4020</v>
      </c>
      <c r="BP998" t="s">
        <v>4260</v>
      </c>
      <c r="BQ998" t="s">
        <v>3465</v>
      </c>
      <c r="BR998" t="s">
        <v>3465</v>
      </c>
      <c r="BS998" t="s">
        <v>3463</v>
      </c>
      <c r="BT998" t="s">
        <v>3463</v>
      </c>
      <c r="BU998" t="s">
        <v>3463</v>
      </c>
      <c r="BV998" t="s">
        <v>3463</v>
      </c>
      <c r="BW998" t="s">
        <v>3463</v>
      </c>
      <c r="BX998" t="s">
        <v>79</v>
      </c>
      <c r="BY998" t="s">
        <v>87</v>
      </c>
      <c r="BZ998" t="s">
        <v>79</v>
      </c>
      <c r="CA998" s="10">
        <v>45911</v>
      </c>
    </row>
    <row r="999" spans="1:79">
      <c r="A999">
        <v>1006</v>
      </c>
      <c r="B999">
        <v>339</v>
      </c>
      <c r="C999">
        <v>24</v>
      </c>
      <c r="D999" t="s">
        <v>3466</v>
      </c>
      <c r="E999" t="s">
        <v>2348</v>
      </c>
      <c r="F999" t="s">
        <v>150</v>
      </c>
      <c r="G999" s="12" t="s">
        <v>3463</v>
      </c>
      <c r="H999" s="12"/>
      <c r="I999">
        <v>55</v>
      </c>
      <c r="K999">
        <v>144</v>
      </c>
      <c r="L999">
        <v>81</v>
      </c>
      <c r="M999" t="s">
        <v>72</v>
      </c>
      <c r="P999" t="s">
        <v>83</v>
      </c>
      <c r="Q999" t="s">
        <v>72</v>
      </c>
      <c r="R999">
        <v>64.900000000000006</v>
      </c>
      <c r="S999">
        <v>165</v>
      </c>
      <c r="T999" s="8">
        <f t="shared" si="30"/>
        <v>23.838383838383841</v>
      </c>
      <c r="U999" s="13" t="str" cm="1">
        <f t="array" ref="U999">IF(T999="","",_xlfn.IFS(T999&lt;18.5,"Bajo peso",T999&lt;25,"Peso normal",T999&lt;30,"Sobrepeso",T999&lt;35,"Obesidad clase I",T999&lt;40,"Obesidad clase II",T999&gt;=40,"Obesidad clase III"))</f>
        <v>Peso normal</v>
      </c>
      <c r="V999">
        <v>88</v>
      </c>
      <c r="X999" t="s">
        <v>3463</v>
      </c>
      <c r="Y999">
        <v>0.81</v>
      </c>
      <c r="AA999">
        <v>90</v>
      </c>
      <c r="AB999" s="9">
        <f t="shared" si="31"/>
        <v>103.89156778490114</v>
      </c>
      <c r="AD999" t="s">
        <v>73</v>
      </c>
      <c r="AF999" t="s">
        <v>73</v>
      </c>
      <c r="AH999" t="s">
        <v>3463</v>
      </c>
      <c r="AI999" t="s">
        <v>3463</v>
      </c>
      <c r="AJ999" t="s">
        <v>3463</v>
      </c>
      <c r="AK999" t="s">
        <v>3463</v>
      </c>
      <c r="AL999" t="s">
        <v>3463</v>
      </c>
      <c r="AP999" t="s">
        <v>3463</v>
      </c>
      <c r="AQ999" t="s">
        <v>2349</v>
      </c>
      <c r="AR999" t="s">
        <v>3512</v>
      </c>
      <c r="AV999" t="s">
        <v>126</v>
      </c>
      <c r="AW999" t="s">
        <v>126</v>
      </c>
      <c r="AY999" t="s">
        <v>3463</v>
      </c>
      <c r="BF999" t="s">
        <v>3921</v>
      </c>
      <c r="BH999" t="s">
        <v>4020</v>
      </c>
      <c r="BP999" t="s">
        <v>4260</v>
      </c>
      <c r="BQ999" t="s">
        <v>3463</v>
      </c>
      <c r="BR999" t="s">
        <v>3463</v>
      </c>
      <c r="BS999" t="s">
        <v>3465</v>
      </c>
      <c r="BT999" t="s">
        <v>3465</v>
      </c>
      <c r="BU999" t="s">
        <v>3463</v>
      </c>
      <c r="BV999" t="s">
        <v>3463</v>
      </c>
      <c r="BW999" t="s">
        <v>3463</v>
      </c>
      <c r="BX999" t="s">
        <v>79</v>
      </c>
      <c r="BY999" t="s">
        <v>87</v>
      </c>
      <c r="BZ999" t="s">
        <v>79</v>
      </c>
      <c r="CA999" s="10">
        <v>45911</v>
      </c>
    </row>
    <row r="1000" spans="1:79">
      <c r="A1000">
        <v>1007</v>
      </c>
      <c r="B1000">
        <v>340</v>
      </c>
      <c r="C1000">
        <v>27</v>
      </c>
      <c r="D1000" t="s">
        <v>3462</v>
      </c>
      <c r="E1000" t="s">
        <v>2350</v>
      </c>
      <c r="F1000" t="s">
        <v>150</v>
      </c>
      <c r="G1000" s="12" t="s">
        <v>3463</v>
      </c>
      <c r="H1000" s="12"/>
      <c r="I1000">
        <v>68</v>
      </c>
      <c r="K1000">
        <v>138</v>
      </c>
      <c r="L1000">
        <v>59</v>
      </c>
      <c r="M1000" t="s">
        <v>82</v>
      </c>
      <c r="P1000" t="s">
        <v>83</v>
      </c>
      <c r="Q1000" t="s">
        <v>82</v>
      </c>
      <c r="R1000">
        <v>82.6</v>
      </c>
      <c r="S1000">
        <v>173</v>
      </c>
      <c r="T1000" s="8">
        <f t="shared" si="30"/>
        <v>27.598650138661498</v>
      </c>
      <c r="U1000" s="13" t="str" cm="1">
        <f t="array" ref="U1000">IF(T1000="","",_xlfn.IFS(T1000&lt;18.5,"Bajo peso",T1000&lt;25,"Peso normal",T1000&lt;30,"Sobrepeso",T1000&lt;35,"Obesidad clase I",T1000&lt;40,"Obesidad clase II",T1000&gt;=40,"Obesidad clase III"))</f>
        <v>Sobrepeso</v>
      </c>
      <c r="V1000">
        <v>121</v>
      </c>
      <c r="X1000" t="s">
        <v>3463</v>
      </c>
      <c r="Y1000">
        <v>0.8</v>
      </c>
      <c r="AA1000">
        <v>90</v>
      </c>
      <c r="AB1000" s="9">
        <f t="shared" si="31"/>
        <v>124.39679787184161</v>
      </c>
      <c r="AD1000" t="s">
        <v>73</v>
      </c>
      <c r="AF1000" t="s">
        <v>73</v>
      </c>
      <c r="AH1000" t="s">
        <v>3463</v>
      </c>
      <c r="AI1000" t="s">
        <v>3463</v>
      </c>
      <c r="AJ1000" t="s">
        <v>3463</v>
      </c>
      <c r="AK1000" t="s">
        <v>3463</v>
      </c>
      <c r="AL1000" t="s">
        <v>3463</v>
      </c>
      <c r="AP1000" t="s">
        <v>3463</v>
      </c>
      <c r="AQ1000" t="s">
        <v>2351</v>
      </c>
      <c r="AR1000" t="s">
        <v>3586</v>
      </c>
      <c r="AV1000" t="s">
        <v>126</v>
      </c>
      <c r="AW1000" t="s">
        <v>126</v>
      </c>
      <c r="BF1000" t="s">
        <v>3921</v>
      </c>
      <c r="BH1000" t="s">
        <v>4020</v>
      </c>
      <c r="BP1000" t="s">
        <v>4260</v>
      </c>
      <c r="BQ1000" t="s">
        <v>3463</v>
      </c>
      <c r="BR1000" t="s">
        <v>3463</v>
      </c>
      <c r="BS1000" t="s">
        <v>3463</v>
      </c>
      <c r="BT1000" t="s">
        <v>3465</v>
      </c>
      <c r="BU1000" t="s">
        <v>3463</v>
      </c>
      <c r="BV1000" t="s">
        <v>3463</v>
      </c>
      <c r="BW1000" t="s">
        <v>3463</v>
      </c>
      <c r="BX1000" t="s">
        <v>79</v>
      </c>
      <c r="BY1000" t="s">
        <v>79</v>
      </c>
      <c r="BZ1000" t="s">
        <v>79</v>
      </c>
      <c r="CA1000" s="10">
        <v>45911</v>
      </c>
    </row>
    <row r="1001" spans="1:79">
      <c r="A1001">
        <v>1008</v>
      </c>
      <c r="B1001">
        <v>341</v>
      </c>
      <c r="C1001">
        <v>30</v>
      </c>
      <c r="D1001" t="s">
        <v>3466</v>
      </c>
      <c r="F1001" t="s">
        <v>168</v>
      </c>
      <c r="G1001" s="12" t="s">
        <v>3463</v>
      </c>
      <c r="I1001">
        <v>88</v>
      </c>
      <c r="K1001">
        <v>130</v>
      </c>
      <c r="L1001">
        <v>79</v>
      </c>
      <c r="M1001" t="s">
        <v>82</v>
      </c>
      <c r="P1001" t="s">
        <v>83</v>
      </c>
      <c r="Q1001" t="s">
        <v>82</v>
      </c>
      <c r="T1001" s="8" t="str">
        <f t="shared" si="30"/>
        <v/>
      </c>
      <c r="U1001" s="13" t="str" cm="1">
        <f t="array" ref="U1001">IF(T1001="","",_xlfn.IFS(T1001&lt;18.5,"Bajo peso",T1001&lt;25,"Peso normal",T1001&lt;30,"Sobrepeso",T1001&lt;35,"Obesidad clase I",T1001&lt;40,"Obesidad clase II",T1001&gt;=40,"Obesidad clase III"))</f>
        <v/>
      </c>
      <c r="V1001">
        <v>101</v>
      </c>
      <c r="X1001" t="s">
        <v>3463</v>
      </c>
      <c r="Y1001">
        <v>1.18</v>
      </c>
      <c r="AA1001">
        <v>64</v>
      </c>
      <c r="AB1001" s="9">
        <f t="shared" si="31"/>
        <v>63.723242800169693</v>
      </c>
      <c r="AD1001" t="s">
        <v>73</v>
      </c>
      <c r="AF1001" t="s">
        <v>73</v>
      </c>
      <c r="AH1001" t="s">
        <v>3463</v>
      </c>
      <c r="AI1001" t="s">
        <v>3463</v>
      </c>
      <c r="AJ1001" t="s">
        <v>3463</v>
      </c>
      <c r="AK1001" t="s">
        <v>3463</v>
      </c>
      <c r="AL1001" t="s">
        <v>3465</v>
      </c>
      <c r="AM1001" t="s">
        <v>2352</v>
      </c>
      <c r="AN1001" t="s">
        <v>3827</v>
      </c>
      <c r="AP1001" t="s">
        <v>3463</v>
      </c>
      <c r="AQ1001" t="s">
        <v>2353</v>
      </c>
      <c r="AR1001" t="s">
        <v>3488</v>
      </c>
      <c r="AT1001" t="s">
        <v>3463</v>
      </c>
      <c r="AV1001" t="s">
        <v>178</v>
      </c>
      <c r="AW1001" t="s">
        <v>3918</v>
      </c>
      <c r="AX1001" t="s">
        <v>3463</v>
      </c>
      <c r="AY1001" t="s">
        <v>3465</v>
      </c>
      <c r="AZ1001" t="s">
        <v>490</v>
      </c>
      <c r="BF1001" t="s">
        <v>3921</v>
      </c>
      <c r="BH1001" t="s">
        <v>4020</v>
      </c>
      <c r="BP1001" t="s">
        <v>4260</v>
      </c>
      <c r="BQ1001" t="s">
        <v>3465</v>
      </c>
      <c r="BR1001" t="s">
        <v>3465</v>
      </c>
      <c r="BS1001" t="s">
        <v>3465</v>
      </c>
      <c r="BT1001" t="s">
        <v>3465</v>
      </c>
      <c r="BU1001" t="s">
        <v>3463</v>
      </c>
      <c r="BV1001" t="s">
        <v>3463</v>
      </c>
      <c r="BW1001" t="s">
        <v>3463</v>
      </c>
      <c r="BX1001" t="s">
        <v>79</v>
      </c>
      <c r="BY1001" t="s">
        <v>87</v>
      </c>
      <c r="BZ1001" t="s">
        <v>79</v>
      </c>
      <c r="CA1001" s="10">
        <v>45911</v>
      </c>
    </row>
    <row r="1002" spans="1:79">
      <c r="A1002">
        <v>1009</v>
      </c>
      <c r="B1002">
        <v>342</v>
      </c>
      <c r="C1002">
        <v>48</v>
      </c>
      <c r="D1002" t="s">
        <v>3462</v>
      </c>
      <c r="E1002" t="s">
        <v>1657</v>
      </c>
      <c r="F1002" t="s">
        <v>380</v>
      </c>
      <c r="G1002" s="12" t="s">
        <v>3465</v>
      </c>
      <c r="H1002" t="s">
        <v>88</v>
      </c>
      <c r="I1002">
        <v>62</v>
      </c>
      <c r="K1002">
        <v>126</v>
      </c>
      <c r="L1002">
        <v>84</v>
      </c>
      <c r="M1002" t="s">
        <v>82</v>
      </c>
      <c r="P1002" t="s">
        <v>83</v>
      </c>
      <c r="Q1002" t="s">
        <v>82</v>
      </c>
      <c r="R1002">
        <v>87</v>
      </c>
      <c r="S1002">
        <v>163</v>
      </c>
      <c r="T1002" s="8">
        <f t="shared" si="30"/>
        <v>32.744928299898376</v>
      </c>
      <c r="U1002" s="13" t="str" cm="1">
        <f t="array" ref="U1002">IF(T1002="","",_xlfn.IFS(T1002&lt;18.5,"Bajo peso",T1002&lt;25,"Peso normal",T1002&lt;30,"Sobrepeso",T1002&lt;35,"Obesidad clase I",T1002&lt;40,"Obesidad clase II",T1002&gt;=40,"Obesidad clase III"))</f>
        <v>Obesidad clase I</v>
      </c>
      <c r="V1002">
        <v>116</v>
      </c>
      <c r="X1002" t="s">
        <v>3463</v>
      </c>
      <c r="Y1002">
        <v>0.78</v>
      </c>
      <c r="AA1002">
        <v>90</v>
      </c>
      <c r="AB1002" s="9">
        <f t="shared" si="31"/>
        <v>110.00404318153922</v>
      </c>
      <c r="AD1002" t="s">
        <v>73</v>
      </c>
      <c r="AF1002" t="s">
        <v>73</v>
      </c>
      <c r="AH1002" t="s">
        <v>3463</v>
      </c>
      <c r="AI1002" t="s">
        <v>3463</v>
      </c>
      <c r="AJ1002" t="s">
        <v>3463</v>
      </c>
      <c r="AK1002" t="s">
        <v>3465</v>
      </c>
      <c r="AL1002" t="s">
        <v>3463</v>
      </c>
      <c r="AP1002" t="s">
        <v>3463</v>
      </c>
      <c r="AQ1002" t="s">
        <v>169</v>
      </c>
      <c r="AR1002" t="s">
        <v>3493</v>
      </c>
      <c r="AW1002" t="s">
        <v>3916</v>
      </c>
      <c r="BF1002" t="s">
        <v>3921</v>
      </c>
      <c r="BH1002" t="s">
        <v>4020</v>
      </c>
      <c r="BP1002" t="s">
        <v>4260</v>
      </c>
      <c r="BQ1002" t="s">
        <v>3463</v>
      </c>
      <c r="BR1002" t="s">
        <v>3463</v>
      </c>
      <c r="BS1002" t="s">
        <v>3463</v>
      </c>
      <c r="BT1002" t="s">
        <v>3465</v>
      </c>
      <c r="BU1002" t="s">
        <v>3463</v>
      </c>
      <c r="BV1002" t="s">
        <v>3463</v>
      </c>
      <c r="BW1002" t="s">
        <v>3463</v>
      </c>
      <c r="BX1002" t="s">
        <v>79</v>
      </c>
      <c r="BY1002" t="s">
        <v>79</v>
      </c>
      <c r="BZ1002" t="s">
        <v>79</v>
      </c>
      <c r="CA1002" s="10">
        <v>45911</v>
      </c>
    </row>
    <row r="1003" spans="1:79">
      <c r="A1003">
        <v>1010</v>
      </c>
      <c r="B1003">
        <v>343</v>
      </c>
      <c r="C1003">
        <v>60</v>
      </c>
      <c r="D1003" t="s">
        <v>3462</v>
      </c>
      <c r="E1003" t="s">
        <v>1966</v>
      </c>
      <c r="F1003" t="s">
        <v>150</v>
      </c>
      <c r="G1003" s="12" t="s">
        <v>3463</v>
      </c>
      <c r="I1003">
        <v>62</v>
      </c>
      <c r="J1003">
        <v>62</v>
      </c>
      <c r="K1003">
        <v>175</v>
      </c>
      <c r="L1003">
        <v>76</v>
      </c>
      <c r="M1003" t="s">
        <v>72</v>
      </c>
      <c r="N1003">
        <v>175</v>
      </c>
      <c r="O1003">
        <v>84</v>
      </c>
      <c r="P1003" t="s">
        <v>72</v>
      </c>
      <c r="Q1003" t="s">
        <v>72</v>
      </c>
      <c r="R1003">
        <v>89.5</v>
      </c>
      <c r="S1003">
        <v>170</v>
      </c>
      <c r="T1003" s="8">
        <f t="shared" si="30"/>
        <v>30.968858131487888</v>
      </c>
      <c r="U1003" s="13" t="str" cm="1">
        <f t="array" ref="U1003">IF(T1003="","",_xlfn.IFS(T1003&lt;18.5,"Bajo peso",T1003&lt;25,"Peso normal",T1003&lt;30,"Sobrepeso",T1003&lt;35,"Obesidad clase I",T1003&lt;40,"Obesidad clase II",T1003&gt;=40,"Obesidad clase III"))</f>
        <v>Obesidad clase I</v>
      </c>
      <c r="V1003">
        <v>101</v>
      </c>
      <c r="X1003" t="s">
        <v>3463</v>
      </c>
      <c r="Y1003">
        <v>0.86</v>
      </c>
      <c r="AA1003">
        <v>90</v>
      </c>
      <c r="AB1003" s="9">
        <f t="shared" si="31"/>
        <v>99.126687695049284</v>
      </c>
      <c r="AD1003" t="s">
        <v>73</v>
      </c>
      <c r="AF1003" t="s">
        <v>73</v>
      </c>
      <c r="AH1003" t="s">
        <v>3463</v>
      </c>
      <c r="AI1003" t="s">
        <v>3465</v>
      </c>
      <c r="AJ1003" t="s">
        <v>3463</v>
      </c>
      <c r="AK1003" t="s">
        <v>3463</v>
      </c>
      <c r="AL1003" t="s">
        <v>3463</v>
      </c>
      <c r="AO1003" t="s">
        <v>3463</v>
      </c>
      <c r="AP1003" t="s">
        <v>3465</v>
      </c>
      <c r="AQ1003" t="s">
        <v>2354</v>
      </c>
      <c r="AR1003" t="s">
        <v>3520</v>
      </c>
      <c r="AS1003" t="s">
        <v>3465</v>
      </c>
      <c r="AV1003" t="s">
        <v>178</v>
      </c>
      <c r="AW1003" t="s">
        <v>3918</v>
      </c>
      <c r="BF1003" t="s">
        <v>3921</v>
      </c>
      <c r="BH1003" t="s">
        <v>4020</v>
      </c>
      <c r="BP1003" t="s">
        <v>4260</v>
      </c>
      <c r="BQ1003" t="s">
        <v>3463</v>
      </c>
      <c r="BR1003" t="s">
        <v>3465</v>
      </c>
      <c r="BS1003" t="s">
        <v>3463</v>
      </c>
      <c r="BT1003" t="s">
        <v>3463</v>
      </c>
      <c r="BU1003" t="s">
        <v>3463</v>
      </c>
      <c r="BV1003" t="s">
        <v>3463</v>
      </c>
      <c r="BW1003" t="s">
        <v>3463</v>
      </c>
      <c r="BX1003" t="s">
        <v>79</v>
      </c>
      <c r="BY1003" t="s">
        <v>87</v>
      </c>
      <c r="BZ1003" t="s">
        <v>79</v>
      </c>
      <c r="CA1003" s="10">
        <v>45911</v>
      </c>
    </row>
    <row r="1004" spans="1:79">
      <c r="A1004">
        <v>1011</v>
      </c>
      <c r="B1004">
        <v>344</v>
      </c>
      <c r="C1004">
        <v>31</v>
      </c>
      <c r="D1004" t="s">
        <v>3462</v>
      </c>
      <c r="F1004" t="s">
        <v>1631</v>
      </c>
      <c r="G1004" s="12" t="s">
        <v>3465</v>
      </c>
      <c r="H1004" t="s">
        <v>88</v>
      </c>
      <c r="I1004">
        <v>52</v>
      </c>
      <c r="K1004">
        <v>123</v>
      </c>
      <c r="L1004">
        <v>76</v>
      </c>
      <c r="M1004" t="s">
        <v>118</v>
      </c>
      <c r="P1004" t="s">
        <v>83</v>
      </c>
      <c r="Q1004" t="s">
        <v>118</v>
      </c>
      <c r="R1004">
        <v>66.8</v>
      </c>
      <c r="S1004">
        <v>166</v>
      </c>
      <c r="T1004" s="8">
        <f t="shared" si="30"/>
        <v>24.241544491217883</v>
      </c>
      <c r="U1004" s="13" t="str" cm="1">
        <f t="array" ref="U1004">IF(T1004="","",_xlfn.IFS(T1004&lt;18.5,"Bajo peso",T1004&lt;25,"Peso normal",T1004&lt;30,"Sobrepeso",T1004&lt;35,"Obesidad clase I",T1004&lt;40,"Obesidad clase II",T1004&gt;=40,"Obesidad clase III"))</f>
        <v>Peso normal</v>
      </c>
      <c r="V1004">
        <v>85</v>
      </c>
      <c r="X1004" t="s">
        <v>3463</v>
      </c>
      <c r="Y1004">
        <v>1.05</v>
      </c>
      <c r="AA1004">
        <v>90</v>
      </c>
      <c r="AB1004" s="9">
        <f t="shared" si="31"/>
        <v>97.324226666467666</v>
      </c>
      <c r="AD1004" t="s">
        <v>73</v>
      </c>
      <c r="AF1004" t="s">
        <v>73</v>
      </c>
      <c r="AH1004" t="s">
        <v>3463</v>
      </c>
      <c r="AI1004" t="s">
        <v>3463</v>
      </c>
      <c r="AJ1004" t="s">
        <v>3463</v>
      </c>
      <c r="AK1004" t="s">
        <v>3463</v>
      </c>
      <c r="AL1004" t="s">
        <v>3463</v>
      </c>
      <c r="AP1004" t="s">
        <v>3463</v>
      </c>
      <c r="AQ1004" t="s">
        <v>169</v>
      </c>
      <c r="AR1004" t="s">
        <v>3493</v>
      </c>
      <c r="AV1004" t="s">
        <v>126</v>
      </c>
      <c r="AW1004" t="s">
        <v>126</v>
      </c>
      <c r="BF1004" t="s">
        <v>3921</v>
      </c>
      <c r="BH1004" t="s">
        <v>4020</v>
      </c>
      <c r="BP1004" t="s">
        <v>4260</v>
      </c>
      <c r="BQ1004" t="s">
        <v>3463</v>
      </c>
      <c r="BR1004" t="s">
        <v>3463</v>
      </c>
      <c r="BS1004" t="s">
        <v>3463</v>
      </c>
      <c r="BT1004" t="s">
        <v>3463</v>
      </c>
      <c r="BX1004" t="s">
        <v>79</v>
      </c>
      <c r="BY1004" t="s">
        <v>79</v>
      </c>
      <c r="BZ1004" t="s">
        <v>79</v>
      </c>
      <c r="CA1004" s="10">
        <v>45911</v>
      </c>
    </row>
    <row r="1005" spans="1:79">
      <c r="A1005">
        <v>1012</v>
      </c>
      <c r="B1005">
        <v>345</v>
      </c>
      <c r="C1005">
        <v>33</v>
      </c>
      <c r="D1005" t="s">
        <v>3462</v>
      </c>
      <c r="F1005" t="s">
        <v>150</v>
      </c>
      <c r="G1005" s="12" t="s">
        <v>3463</v>
      </c>
      <c r="I1005">
        <v>69</v>
      </c>
      <c r="J1005">
        <v>65</v>
      </c>
      <c r="K1005">
        <v>166</v>
      </c>
      <c r="L1005">
        <v>68</v>
      </c>
      <c r="M1005" t="s">
        <v>72</v>
      </c>
      <c r="N1005">
        <v>162</v>
      </c>
      <c r="O1005">
        <v>61</v>
      </c>
      <c r="P1005" t="s">
        <v>72</v>
      </c>
      <c r="Q1005" t="s">
        <v>72</v>
      </c>
      <c r="R1005">
        <v>97.8</v>
      </c>
      <c r="S1005">
        <v>170</v>
      </c>
      <c r="T1005" s="8">
        <f t="shared" si="30"/>
        <v>33.840830449826989</v>
      </c>
      <c r="U1005" s="13" t="str" cm="1">
        <f t="array" ref="U1005">IF(T1005="","",_xlfn.IFS(T1005&lt;18.5,"Bajo peso",T1005&lt;25,"Peso normal",T1005&lt;30,"Sobrepeso",T1005&lt;35,"Obesidad clase I",T1005&lt;40,"Obesidad clase II",T1005&gt;=40,"Obesidad clase III"))</f>
        <v>Obesidad clase I</v>
      </c>
      <c r="V1005">
        <v>77</v>
      </c>
      <c r="X1005" t="s">
        <v>3463</v>
      </c>
      <c r="Y1005">
        <v>1.08</v>
      </c>
      <c r="AA1005">
        <v>90</v>
      </c>
      <c r="AB1005" s="9">
        <f t="shared" si="31"/>
        <v>92.926076022527099</v>
      </c>
      <c r="AD1005" t="s">
        <v>73</v>
      </c>
      <c r="AF1005" t="s">
        <v>73</v>
      </c>
      <c r="AH1005" t="s">
        <v>3463</v>
      </c>
      <c r="AI1005" t="s">
        <v>3463</v>
      </c>
      <c r="AJ1005" t="s">
        <v>3463</v>
      </c>
      <c r="AK1005" t="s">
        <v>3463</v>
      </c>
      <c r="AL1005" t="s">
        <v>3463</v>
      </c>
      <c r="AP1005" t="s">
        <v>3463</v>
      </c>
      <c r="AV1005" t="s">
        <v>126</v>
      </c>
      <c r="AW1005" t="s">
        <v>126</v>
      </c>
      <c r="BF1005" t="s">
        <v>3921</v>
      </c>
      <c r="BH1005" t="s">
        <v>4020</v>
      </c>
      <c r="BP1005" t="s">
        <v>4260</v>
      </c>
      <c r="BQ1005" t="s">
        <v>3465</v>
      </c>
      <c r="BR1005" t="s">
        <v>3465</v>
      </c>
      <c r="BS1005" t="s">
        <v>3463</v>
      </c>
      <c r="BT1005" t="s">
        <v>3463</v>
      </c>
      <c r="BU1005" t="s">
        <v>3463</v>
      </c>
      <c r="BV1005" t="s">
        <v>3463</v>
      </c>
      <c r="BW1005" t="s">
        <v>3463</v>
      </c>
      <c r="BX1005" t="s">
        <v>79</v>
      </c>
      <c r="BY1005" t="s">
        <v>79</v>
      </c>
      <c r="BZ1005" t="s">
        <v>79</v>
      </c>
      <c r="CA1005" s="10">
        <v>45911</v>
      </c>
    </row>
    <row r="1006" spans="1:79">
      <c r="A1006">
        <v>1013</v>
      </c>
      <c r="B1006">
        <v>346</v>
      </c>
      <c r="C1006">
        <v>33</v>
      </c>
      <c r="D1006" t="s">
        <v>3462</v>
      </c>
      <c r="E1006" t="s">
        <v>1659</v>
      </c>
      <c r="F1006" t="s">
        <v>150</v>
      </c>
      <c r="G1006" s="12" t="s">
        <v>4576</v>
      </c>
      <c r="H1006" s="12" t="s">
        <v>88</v>
      </c>
      <c r="I1006">
        <v>61</v>
      </c>
      <c r="K1006">
        <v>119</v>
      </c>
      <c r="L1006">
        <v>73</v>
      </c>
      <c r="M1006" t="s">
        <v>80</v>
      </c>
      <c r="P1006" t="s">
        <v>83</v>
      </c>
      <c r="Q1006" t="s">
        <v>80</v>
      </c>
      <c r="R1006">
        <v>87.7</v>
      </c>
      <c r="S1006">
        <v>167</v>
      </c>
      <c r="T1006" s="8">
        <f t="shared" si="30"/>
        <v>31.446089856215714</v>
      </c>
      <c r="U1006" s="13" t="str" cm="1">
        <f t="array" ref="U1006">IF(T1006="","",_xlfn.IFS(T1006&lt;18.5,"Bajo peso",T1006&lt;25,"Peso normal",T1006&lt;30,"Sobrepeso",T1006&lt;35,"Obesidad clase I",T1006&lt;40,"Obesidad clase II",T1006&gt;=40,"Obesidad clase III"))</f>
        <v>Obesidad clase I</v>
      </c>
      <c r="V1006">
        <v>89</v>
      </c>
      <c r="X1006" t="s">
        <v>3463</v>
      </c>
      <c r="Y1006">
        <v>0.93</v>
      </c>
      <c r="AA1006">
        <v>90</v>
      </c>
      <c r="AB1006" s="9">
        <f t="shared" si="31"/>
        <v>111.19021422322538</v>
      </c>
      <c r="AD1006" t="s">
        <v>73</v>
      </c>
      <c r="AF1006" t="s">
        <v>73</v>
      </c>
      <c r="AH1006" t="s">
        <v>3463</v>
      </c>
      <c r="AI1006" t="s">
        <v>3463</v>
      </c>
      <c r="AJ1006" t="s">
        <v>3463</v>
      </c>
      <c r="AK1006" t="s">
        <v>3463</v>
      </c>
      <c r="AL1006" t="s">
        <v>3465</v>
      </c>
      <c r="AP1006" t="s">
        <v>3463</v>
      </c>
      <c r="AQ1006" t="s">
        <v>399</v>
      </c>
      <c r="AR1006" t="s">
        <v>3505</v>
      </c>
      <c r="AW1006" t="s">
        <v>3916</v>
      </c>
      <c r="BF1006" t="s">
        <v>3921</v>
      </c>
      <c r="BH1006" t="s">
        <v>4020</v>
      </c>
      <c r="BP1006" t="s">
        <v>4260</v>
      </c>
      <c r="BQ1006" t="s">
        <v>3463</v>
      </c>
      <c r="BR1006" t="s">
        <v>3463</v>
      </c>
      <c r="BS1006" t="s">
        <v>3463</v>
      </c>
      <c r="BT1006" t="s">
        <v>3465</v>
      </c>
      <c r="BU1006" t="s">
        <v>3463</v>
      </c>
      <c r="BV1006" t="s">
        <v>3463</v>
      </c>
      <c r="BW1006" t="s">
        <v>3463</v>
      </c>
      <c r="BX1006" t="s">
        <v>79</v>
      </c>
      <c r="BY1006" t="s">
        <v>87</v>
      </c>
      <c r="BZ1006" t="s">
        <v>79</v>
      </c>
      <c r="CA1006" s="10">
        <v>45911</v>
      </c>
    </row>
    <row r="1007" spans="1:79">
      <c r="A1007">
        <v>1014</v>
      </c>
      <c r="B1007">
        <v>347</v>
      </c>
      <c r="C1007">
        <v>57</v>
      </c>
      <c r="D1007" t="s">
        <v>3462</v>
      </c>
      <c r="F1007" t="s">
        <v>150</v>
      </c>
      <c r="G1007" s="12" t="s">
        <v>3465</v>
      </c>
      <c r="H1007" t="s">
        <v>88</v>
      </c>
      <c r="I1007">
        <v>62</v>
      </c>
      <c r="K1007">
        <v>114</v>
      </c>
      <c r="L1007">
        <v>74</v>
      </c>
      <c r="M1007" t="s">
        <v>80</v>
      </c>
      <c r="P1007" t="s">
        <v>83</v>
      </c>
      <c r="Q1007" t="s">
        <v>80</v>
      </c>
      <c r="R1007">
        <v>75.3</v>
      </c>
      <c r="S1007">
        <v>169</v>
      </c>
      <c r="T1007" s="8">
        <f t="shared" si="30"/>
        <v>26.36462308742691</v>
      </c>
      <c r="U1007" s="13" t="str" cm="1">
        <f t="array" ref="U1007">IF(T1007="","",_xlfn.IFS(T1007&lt;18.5,"Bajo peso",T1007&lt;25,"Peso normal",T1007&lt;30,"Sobrepeso",T1007&lt;35,"Obesidad clase I",T1007&lt;40,"Obesidad clase II",T1007&gt;=40,"Obesidad clase III"))</f>
        <v>Sobrepeso</v>
      </c>
      <c r="V1007">
        <v>110</v>
      </c>
      <c r="X1007" t="s">
        <v>3463</v>
      </c>
      <c r="Y1007">
        <v>1.52</v>
      </c>
      <c r="AA1007">
        <v>53</v>
      </c>
      <c r="AB1007" s="9">
        <f t="shared" si="31"/>
        <v>53.114074391912084</v>
      </c>
      <c r="AD1007" t="s">
        <v>158</v>
      </c>
      <c r="AF1007" t="s">
        <v>158</v>
      </c>
      <c r="AH1007" t="s">
        <v>3463</v>
      </c>
      <c r="AI1007" t="s">
        <v>3463</v>
      </c>
      <c r="AJ1007" t="s">
        <v>3463</v>
      </c>
      <c r="AK1007" t="s">
        <v>3463</v>
      </c>
      <c r="AL1007" t="s">
        <v>3463</v>
      </c>
      <c r="AP1007" t="s">
        <v>3463</v>
      </c>
      <c r="AV1007" t="s">
        <v>178</v>
      </c>
      <c r="AW1007" t="s">
        <v>3918</v>
      </c>
      <c r="BF1007" t="s">
        <v>3921</v>
      </c>
      <c r="BH1007" t="s">
        <v>4020</v>
      </c>
      <c r="BP1007" t="s">
        <v>4260</v>
      </c>
      <c r="BQ1007" t="s">
        <v>3463</v>
      </c>
      <c r="BR1007" t="s">
        <v>3463</v>
      </c>
      <c r="BS1007" t="s">
        <v>3463</v>
      </c>
      <c r="BT1007" t="s">
        <v>3463</v>
      </c>
      <c r="BU1007" t="s">
        <v>3465</v>
      </c>
      <c r="BV1007" t="s">
        <v>3463</v>
      </c>
      <c r="BW1007" t="s">
        <v>3463</v>
      </c>
      <c r="BX1007" t="s">
        <v>79</v>
      </c>
      <c r="BY1007" t="s">
        <v>87</v>
      </c>
      <c r="BZ1007" t="s">
        <v>79</v>
      </c>
      <c r="CA1007" s="10">
        <v>45911</v>
      </c>
    </row>
    <row r="1008" spans="1:79">
      <c r="A1008">
        <v>1015</v>
      </c>
      <c r="B1008">
        <v>348</v>
      </c>
      <c r="C1008">
        <v>35</v>
      </c>
      <c r="D1008" t="s">
        <v>3462</v>
      </c>
      <c r="E1008" t="s">
        <v>2348</v>
      </c>
      <c r="F1008" t="s">
        <v>1799</v>
      </c>
      <c r="G1008" s="12" t="s">
        <v>3465</v>
      </c>
      <c r="H1008" t="s">
        <v>88</v>
      </c>
      <c r="I1008">
        <v>54</v>
      </c>
      <c r="J1008">
        <v>60</v>
      </c>
      <c r="K1008">
        <v>161</v>
      </c>
      <c r="L1008">
        <v>96</v>
      </c>
      <c r="M1008" t="s">
        <v>72</v>
      </c>
      <c r="N1008">
        <v>159</v>
      </c>
      <c r="O1008">
        <v>97</v>
      </c>
      <c r="P1008" t="s">
        <v>72</v>
      </c>
      <c r="Q1008" t="s">
        <v>72</v>
      </c>
      <c r="R1008">
        <v>87.9</v>
      </c>
      <c r="S1008">
        <v>172</v>
      </c>
      <c r="T1008" s="8">
        <f t="shared" si="30"/>
        <v>29.712006489994593</v>
      </c>
      <c r="U1008" s="13" t="str" cm="1">
        <f t="array" ref="U1008">IF(T1008="","",_xlfn.IFS(T1008&lt;18.5,"Bajo peso",T1008&lt;25,"Peso normal",T1008&lt;30,"Sobrepeso",T1008&lt;35,"Obesidad clase I",T1008&lt;40,"Obesidad clase II",T1008&gt;=40,"Obesidad clase III"))</f>
        <v>Sobrepeso</v>
      </c>
      <c r="V1008">
        <v>86</v>
      </c>
      <c r="X1008" t="s">
        <v>3463</v>
      </c>
      <c r="Y1008">
        <v>0.95</v>
      </c>
      <c r="AA1008">
        <v>90</v>
      </c>
      <c r="AB1008" s="9">
        <f t="shared" si="31"/>
        <v>107.04731131823674</v>
      </c>
      <c r="AD1008" t="s">
        <v>73</v>
      </c>
      <c r="AF1008" t="s">
        <v>73</v>
      </c>
      <c r="AH1008" t="s">
        <v>3463</v>
      </c>
      <c r="AI1008" t="s">
        <v>3463</v>
      </c>
      <c r="AJ1008" t="s">
        <v>3463</v>
      </c>
      <c r="AK1008" t="s">
        <v>3463</v>
      </c>
      <c r="AL1008" t="s">
        <v>3463</v>
      </c>
      <c r="AP1008" t="s">
        <v>3463</v>
      </c>
      <c r="AQ1008" t="s">
        <v>148</v>
      </c>
      <c r="AR1008" t="s">
        <v>3491</v>
      </c>
      <c r="AV1008" t="s">
        <v>126</v>
      </c>
      <c r="AW1008" t="s">
        <v>126</v>
      </c>
      <c r="BA1008" t="s">
        <v>3920</v>
      </c>
      <c r="BF1008" t="s">
        <v>3921</v>
      </c>
      <c r="BH1008" t="s">
        <v>4021</v>
      </c>
      <c r="BK1008" t="s">
        <v>911</v>
      </c>
      <c r="BL1008" t="s">
        <v>2355</v>
      </c>
      <c r="BP1008" t="s">
        <v>4261</v>
      </c>
      <c r="BQ1008" t="s">
        <v>3463</v>
      </c>
      <c r="BR1008" t="s">
        <v>3465</v>
      </c>
      <c r="BS1008" t="s">
        <v>3463</v>
      </c>
      <c r="BT1008" t="s">
        <v>3463</v>
      </c>
      <c r="BU1008" t="s">
        <v>3463</v>
      </c>
      <c r="BV1008" t="s">
        <v>3463</v>
      </c>
      <c r="BW1008" t="s">
        <v>3463</v>
      </c>
      <c r="BX1008" t="s">
        <v>79</v>
      </c>
      <c r="BY1008" t="s">
        <v>87</v>
      </c>
      <c r="BZ1008" t="s">
        <v>79</v>
      </c>
      <c r="CA1008" s="10">
        <v>45911</v>
      </c>
    </row>
    <row r="1009" spans="1:79">
      <c r="A1009">
        <v>1016</v>
      </c>
      <c r="B1009">
        <v>349</v>
      </c>
      <c r="C1009">
        <v>21</v>
      </c>
      <c r="D1009" t="s">
        <v>3462</v>
      </c>
      <c r="E1009" t="s">
        <v>1657</v>
      </c>
      <c r="F1009" t="s">
        <v>150</v>
      </c>
      <c r="G1009" s="12" t="s">
        <v>3463</v>
      </c>
      <c r="I1009">
        <v>62</v>
      </c>
      <c r="K1009">
        <v>126</v>
      </c>
      <c r="L1009">
        <v>74</v>
      </c>
      <c r="M1009" t="s">
        <v>118</v>
      </c>
      <c r="P1009" t="s">
        <v>83</v>
      </c>
      <c r="Q1009" t="s">
        <v>118</v>
      </c>
      <c r="R1009">
        <v>64.5</v>
      </c>
      <c r="S1009">
        <v>164</v>
      </c>
      <c r="T1009" s="8">
        <f t="shared" si="30"/>
        <v>23.981261154074957</v>
      </c>
      <c r="U1009" s="13" t="str" cm="1">
        <f t="array" ref="U1009">IF(T1009="","",_xlfn.IFS(T1009&lt;18.5,"Bajo peso",T1009&lt;25,"Peso normal",T1009&lt;30,"Sobrepeso",T1009&lt;35,"Obesidad clase I",T1009&lt;40,"Obesidad clase II",T1009&gt;=40,"Obesidad clase III"))</f>
        <v>Peso normal</v>
      </c>
      <c r="V1009">
        <v>104</v>
      </c>
      <c r="X1009" t="s">
        <v>3463</v>
      </c>
      <c r="Y1009">
        <v>0.84</v>
      </c>
      <c r="AA1009">
        <v>90</v>
      </c>
      <c r="AB1009" s="9">
        <f t="shared" si="31"/>
        <v>127.23777864020118</v>
      </c>
      <c r="AD1009" t="s">
        <v>73</v>
      </c>
      <c r="AF1009" t="s">
        <v>73</v>
      </c>
      <c r="AH1009" t="s">
        <v>3463</v>
      </c>
      <c r="AI1009" t="s">
        <v>3463</v>
      </c>
      <c r="AJ1009" t="s">
        <v>3463</v>
      </c>
      <c r="AK1009" t="s">
        <v>3463</v>
      </c>
      <c r="AL1009" t="s">
        <v>3463</v>
      </c>
      <c r="AP1009" t="s">
        <v>3463</v>
      </c>
      <c r="AQ1009" t="s">
        <v>2356</v>
      </c>
      <c r="AR1009" t="s">
        <v>3488</v>
      </c>
      <c r="AV1009" t="s">
        <v>178</v>
      </c>
      <c r="AW1009" t="s">
        <v>3918</v>
      </c>
      <c r="BF1009" t="s">
        <v>3921</v>
      </c>
      <c r="BH1009" t="s">
        <v>4020</v>
      </c>
      <c r="BP1009" t="s">
        <v>4260</v>
      </c>
      <c r="BQ1009" t="s">
        <v>3463</v>
      </c>
      <c r="BR1009" t="s">
        <v>3463</v>
      </c>
      <c r="BS1009" t="s">
        <v>3465</v>
      </c>
      <c r="BT1009" t="s">
        <v>3465</v>
      </c>
      <c r="BU1009" t="s">
        <v>3463</v>
      </c>
      <c r="BV1009" t="s">
        <v>3463</v>
      </c>
      <c r="BW1009" t="s">
        <v>3463</v>
      </c>
      <c r="BX1009" t="s">
        <v>79</v>
      </c>
      <c r="BY1009" t="s">
        <v>79</v>
      </c>
      <c r="BZ1009" t="s">
        <v>95</v>
      </c>
      <c r="CA1009" s="10">
        <v>45911</v>
      </c>
    </row>
    <row r="1010" spans="1:79">
      <c r="A1010">
        <v>1017</v>
      </c>
      <c r="B1010">
        <v>350</v>
      </c>
      <c r="C1010">
        <v>33</v>
      </c>
      <c r="D1010" t="s">
        <v>3466</v>
      </c>
      <c r="E1010" t="s">
        <v>2348</v>
      </c>
      <c r="F1010" t="s">
        <v>1804</v>
      </c>
      <c r="G1010" s="12" t="s">
        <v>3465</v>
      </c>
      <c r="H1010" s="12" t="s">
        <v>88</v>
      </c>
      <c r="I1010">
        <v>104</v>
      </c>
      <c r="J1010">
        <v>102</v>
      </c>
      <c r="K1010">
        <v>154</v>
      </c>
      <c r="L1010">
        <v>97</v>
      </c>
      <c r="M1010" t="s">
        <v>72</v>
      </c>
      <c r="N1010">
        <v>154</v>
      </c>
      <c r="O1010">
        <v>95</v>
      </c>
      <c r="P1010" t="s">
        <v>72</v>
      </c>
      <c r="Q1010" t="s">
        <v>72</v>
      </c>
      <c r="R1010">
        <v>96.3</v>
      </c>
      <c r="S1010">
        <v>160</v>
      </c>
      <c r="T1010" s="8">
        <f t="shared" si="30"/>
        <v>37.6171875</v>
      </c>
      <c r="U1010" s="13" t="str" cm="1">
        <f t="array" ref="U1010">IF(T1010="","",_xlfn.IFS(T1010&lt;18.5,"Bajo peso",T1010&lt;25,"Peso normal",T1010&lt;30,"Sobrepeso",T1010&lt;35,"Obesidad clase I",T1010&lt;40,"Obesidad clase II",T1010&gt;=40,"Obesidad clase III"))</f>
        <v>Obesidad clase II</v>
      </c>
      <c r="V1010">
        <v>91</v>
      </c>
      <c r="X1010" t="s">
        <v>3463</v>
      </c>
      <c r="Y1010">
        <v>0.88</v>
      </c>
      <c r="AA1010">
        <v>89</v>
      </c>
      <c r="AB1010" s="9">
        <f t="shared" si="31"/>
        <v>88.935274086105693</v>
      </c>
      <c r="AD1010" t="s">
        <v>73</v>
      </c>
      <c r="AF1010" t="s">
        <v>73</v>
      </c>
      <c r="AH1010" t="s">
        <v>3463</v>
      </c>
      <c r="AI1010" t="s">
        <v>3463</v>
      </c>
      <c r="AJ1010" t="s">
        <v>3463</v>
      </c>
      <c r="AK1010" t="s">
        <v>3463</v>
      </c>
      <c r="AL1010" t="s">
        <v>3463</v>
      </c>
      <c r="AP1010" t="s">
        <v>3463</v>
      </c>
      <c r="AQ1010" t="s">
        <v>2357</v>
      </c>
      <c r="AR1010" t="s">
        <v>3490</v>
      </c>
      <c r="AT1010" t="s">
        <v>3463</v>
      </c>
      <c r="AV1010" t="s">
        <v>126</v>
      </c>
      <c r="AW1010" t="s">
        <v>126</v>
      </c>
      <c r="AX1010" t="s">
        <v>3463</v>
      </c>
      <c r="AY1010" t="s">
        <v>3463</v>
      </c>
      <c r="BA1010" t="s">
        <v>3920</v>
      </c>
      <c r="BF1010" t="s">
        <v>3921</v>
      </c>
      <c r="BG1010" t="s">
        <v>1677</v>
      </c>
      <c r="BH1010" t="s">
        <v>4021</v>
      </c>
      <c r="BI1010" t="s">
        <v>76</v>
      </c>
      <c r="BL1010" t="s">
        <v>2358</v>
      </c>
      <c r="BP1010" t="s">
        <v>4270</v>
      </c>
      <c r="BQ1010" t="s">
        <v>3463</v>
      </c>
      <c r="BR1010" t="s">
        <v>3463</v>
      </c>
      <c r="BS1010" t="s">
        <v>3463</v>
      </c>
      <c r="BT1010" t="s">
        <v>3465</v>
      </c>
      <c r="BU1010" t="s">
        <v>3463</v>
      </c>
      <c r="BV1010" t="s">
        <v>3463</v>
      </c>
      <c r="BW1010" t="s">
        <v>3463</v>
      </c>
      <c r="BX1010" t="s">
        <v>79</v>
      </c>
      <c r="BY1010" t="s">
        <v>87</v>
      </c>
      <c r="BZ1010" t="s">
        <v>79</v>
      </c>
      <c r="CA1010" s="10">
        <v>45911</v>
      </c>
    </row>
    <row r="1011" spans="1:79">
      <c r="A1011">
        <v>1018</v>
      </c>
      <c r="B1011">
        <v>351</v>
      </c>
      <c r="D1011" t="s">
        <v>3462</v>
      </c>
      <c r="E1011" t="s">
        <v>2348</v>
      </c>
      <c r="F1011" t="s">
        <v>150</v>
      </c>
      <c r="G1011" s="12" t="s">
        <v>3465</v>
      </c>
      <c r="H1011" t="s">
        <v>88</v>
      </c>
      <c r="I1011">
        <v>75</v>
      </c>
      <c r="J1011">
        <v>71</v>
      </c>
      <c r="K1011">
        <v>148</v>
      </c>
      <c r="L1011">
        <v>92</v>
      </c>
      <c r="M1011" t="s">
        <v>72</v>
      </c>
      <c r="N1011">
        <v>129</v>
      </c>
      <c r="O1011">
        <v>91</v>
      </c>
      <c r="P1011" t="s">
        <v>72</v>
      </c>
      <c r="Q1011" t="s">
        <v>72</v>
      </c>
      <c r="R1011">
        <v>77.5</v>
      </c>
      <c r="S1011">
        <v>165</v>
      </c>
      <c r="T1011" s="8">
        <f t="shared" si="30"/>
        <v>28.466483011937559</v>
      </c>
      <c r="U1011" s="13" t="str" cm="1">
        <f t="array" ref="U1011">IF(T1011="","",_xlfn.IFS(T1011&lt;18.5,"Bajo peso",T1011&lt;25,"Peso normal",T1011&lt;30,"Sobrepeso",T1011&lt;35,"Obesidad clase I",T1011&lt;40,"Obesidad clase II",T1011&gt;=40,"Obesidad clase III"))</f>
        <v>Sobrepeso</v>
      </c>
      <c r="V1011">
        <v>112</v>
      </c>
      <c r="X1011" t="s">
        <v>3463</v>
      </c>
      <c r="Y1011">
        <v>0.94</v>
      </c>
      <c r="AA1011">
        <v>90</v>
      </c>
      <c r="AB1011" s="9" t="str">
        <f t="shared" si="31"/>
        <v/>
      </c>
      <c r="AD1011" t="s">
        <v>73</v>
      </c>
      <c r="AF1011" t="s">
        <v>73</v>
      </c>
      <c r="AH1011" t="s">
        <v>3463</v>
      </c>
      <c r="AI1011" t="s">
        <v>3465</v>
      </c>
      <c r="AJ1011" t="s">
        <v>3463</v>
      </c>
      <c r="AK1011" t="s">
        <v>3463</v>
      </c>
      <c r="AL1011" t="s">
        <v>3463</v>
      </c>
      <c r="AP1011" t="s">
        <v>3463</v>
      </c>
      <c r="AQ1011" t="s">
        <v>159</v>
      </c>
      <c r="AR1011" t="s">
        <v>3491</v>
      </c>
      <c r="AS1011" t="s">
        <v>3465</v>
      </c>
      <c r="AW1011" t="s">
        <v>3916</v>
      </c>
      <c r="BF1011" t="s">
        <v>3921</v>
      </c>
      <c r="BH1011" t="s">
        <v>4020</v>
      </c>
      <c r="BP1011" t="s">
        <v>4260</v>
      </c>
      <c r="BQ1011" t="s">
        <v>3463</v>
      </c>
      <c r="BR1011" t="s">
        <v>3465</v>
      </c>
      <c r="BS1011" t="s">
        <v>3463</v>
      </c>
      <c r="BT1011" t="s">
        <v>3463</v>
      </c>
      <c r="BU1011" t="s">
        <v>3463</v>
      </c>
      <c r="BV1011" t="s">
        <v>3463</v>
      </c>
      <c r="BW1011" t="s">
        <v>3463</v>
      </c>
      <c r="BX1011" t="s">
        <v>79</v>
      </c>
      <c r="BY1011" t="s">
        <v>87</v>
      </c>
      <c r="BZ1011" t="s">
        <v>79</v>
      </c>
      <c r="CA1011" s="10">
        <v>45911</v>
      </c>
    </row>
    <row r="1012" spans="1:79">
      <c r="A1012">
        <v>1019</v>
      </c>
      <c r="B1012">
        <v>352</v>
      </c>
      <c r="C1012">
        <v>27</v>
      </c>
      <c r="D1012" t="s">
        <v>3462</v>
      </c>
      <c r="E1012" t="s">
        <v>2348</v>
      </c>
      <c r="F1012" t="s">
        <v>168</v>
      </c>
      <c r="G1012" s="12" t="s">
        <v>3463</v>
      </c>
      <c r="H1012" s="12"/>
      <c r="I1012">
        <v>77</v>
      </c>
      <c r="K1012">
        <v>141</v>
      </c>
      <c r="L1012">
        <v>80</v>
      </c>
      <c r="M1012" t="s">
        <v>72</v>
      </c>
      <c r="P1012" t="s">
        <v>83</v>
      </c>
      <c r="Q1012" t="s">
        <v>72</v>
      </c>
      <c r="R1012">
        <v>81.3</v>
      </c>
      <c r="S1012">
        <v>183.5</v>
      </c>
      <c r="T1012" s="8">
        <f t="shared" si="30"/>
        <v>24.144510687583988</v>
      </c>
      <c r="U1012" s="13" t="str" cm="1">
        <f t="array" ref="U1012">IF(T1012="","",_xlfn.IFS(T1012&lt;18.5,"Bajo peso",T1012&lt;25,"Peso normal",T1012&lt;30,"Sobrepeso",T1012&lt;35,"Obesidad clase I",T1012&lt;40,"Obesidad clase II",T1012&gt;=40,"Obesidad clase III"))</f>
        <v>Peso normal</v>
      </c>
      <c r="V1012">
        <v>100</v>
      </c>
      <c r="X1012" t="s">
        <v>3463</v>
      </c>
      <c r="Y1012">
        <v>0.83</v>
      </c>
      <c r="AA1012">
        <v>90</v>
      </c>
      <c r="AB1012" s="9">
        <f t="shared" si="31"/>
        <v>123.02143635674531</v>
      </c>
      <c r="AD1012" t="s">
        <v>73</v>
      </c>
      <c r="AF1012" t="s">
        <v>73</v>
      </c>
      <c r="AH1012" t="s">
        <v>3464</v>
      </c>
      <c r="AI1012" t="s">
        <v>3463</v>
      </c>
      <c r="AJ1012" t="s">
        <v>3463</v>
      </c>
      <c r="AK1012" t="s">
        <v>3463</v>
      </c>
      <c r="AL1012" t="s">
        <v>3463</v>
      </c>
      <c r="AP1012" t="s">
        <v>3463</v>
      </c>
      <c r="AQ1012" t="s">
        <v>2359</v>
      </c>
      <c r="AR1012" t="s">
        <v>3512</v>
      </c>
      <c r="AV1012" t="s">
        <v>126</v>
      </c>
      <c r="AW1012" t="s">
        <v>126</v>
      </c>
      <c r="BF1012" t="s">
        <v>3921</v>
      </c>
      <c r="BH1012" t="s">
        <v>4020</v>
      </c>
      <c r="BP1012" t="s">
        <v>4260</v>
      </c>
      <c r="BQ1012" t="s">
        <v>3465</v>
      </c>
      <c r="BR1012" t="s">
        <v>3465</v>
      </c>
      <c r="BS1012" t="s">
        <v>3463</v>
      </c>
      <c r="BT1012" t="s">
        <v>3465</v>
      </c>
      <c r="BU1012" t="s">
        <v>3463</v>
      </c>
      <c r="BV1012" t="s">
        <v>3463</v>
      </c>
      <c r="BW1012" t="s">
        <v>3463</v>
      </c>
      <c r="BX1012" t="s">
        <v>79</v>
      </c>
      <c r="BY1012" t="s">
        <v>79</v>
      </c>
      <c r="BZ1012" t="s">
        <v>79</v>
      </c>
      <c r="CA1012" s="10">
        <v>45911</v>
      </c>
    </row>
    <row r="1013" spans="1:79">
      <c r="A1013">
        <v>1021</v>
      </c>
      <c r="B1013">
        <v>354</v>
      </c>
      <c r="C1013">
        <v>61</v>
      </c>
      <c r="D1013" t="s">
        <v>3462</v>
      </c>
      <c r="E1013" t="s">
        <v>2307</v>
      </c>
      <c r="F1013" t="s">
        <v>150</v>
      </c>
      <c r="G1013" s="12" t="s">
        <v>3463</v>
      </c>
      <c r="I1013">
        <v>94</v>
      </c>
      <c r="J1013">
        <v>69</v>
      </c>
      <c r="K1013">
        <v>153</v>
      </c>
      <c r="L1013">
        <v>98</v>
      </c>
      <c r="M1013" t="s">
        <v>72</v>
      </c>
      <c r="N1013">
        <v>167</v>
      </c>
      <c r="O1013">
        <v>102</v>
      </c>
      <c r="P1013" t="s">
        <v>72</v>
      </c>
      <c r="Q1013" t="s">
        <v>72</v>
      </c>
      <c r="R1013">
        <v>77.5</v>
      </c>
      <c r="S1013">
        <v>153</v>
      </c>
      <c r="T1013" s="8">
        <f t="shared" si="30"/>
        <v>33.106924687086163</v>
      </c>
      <c r="U1013" s="13" t="str" cm="1">
        <f t="array" ref="U1013">IF(T1013="","",_xlfn.IFS(T1013&lt;18.5,"Bajo peso",T1013&lt;25,"Peso normal",T1013&lt;30,"Sobrepeso",T1013&lt;35,"Obesidad clase I",T1013&lt;40,"Obesidad clase II",T1013&gt;=40,"Obesidad clase III"))</f>
        <v>Obesidad clase I</v>
      </c>
      <c r="V1013">
        <v>105</v>
      </c>
      <c r="X1013" t="s">
        <v>3463</v>
      </c>
      <c r="Y1013">
        <v>1.19</v>
      </c>
      <c r="AA1013">
        <v>69</v>
      </c>
      <c r="AB1013" s="9">
        <f t="shared" si="31"/>
        <v>69.496276918288174</v>
      </c>
      <c r="AD1013" t="s">
        <v>73</v>
      </c>
      <c r="AF1013" t="s">
        <v>73</v>
      </c>
      <c r="AH1013" t="s">
        <v>3463</v>
      </c>
      <c r="AI1013" t="s">
        <v>3465</v>
      </c>
      <c r="AJ1013" t="s">
        <v>3463</v>
      </c>
      <c r="AK1013" t="s">
        <v>3463</v>
      </c>
      <c r="AL1013" t="s">
        <v>3465</v>
      </c>
      <c r="AM1013" t="s">
        <v>472</v>
      </c>
      <c r="AN1013" t="s">
        <v>3617</v>
      </c>
      <c r="AP1013" t="s">
        <v>3463</v>
      </c>
      <c r="AQ1013" t="s">
        <v>2141</v>
      </c>
      <c r="AR1013" t="s">
        <v>3578</v>
      </c>
      <c r="AS1013" t="s">
        <v>3465</v>
      </c>
      <c r="AV1013" t="s">
        <v>74</v>
      </c>
      <c r="AW1013" t="s">
        <v>3915</v>
      </c>
      <c r="BF1013" t="s">
        <v>3921</v>
      </c>
      <c r="BH1013" t="s">
        <v>4020</v>
      </c>
      <c r="BP1013" t="s">
        <v>4260</v>
      </c>
      <c r="BQ1013" t="s">
        <v>3463</v>
      </c>
      <c r="BR1013" t="s">
        <v>3465</v>
      </c>
      <c r="BS1013" t="s">
        <v>3463</v>
      </c>
      <c r="BT1013" t="s">
        <v>3465</v>
      </c>
      <c r="BU1013" t="s">
        <v>3463</v>
      </c>
      <c r="BV1013" t="s">
        <v>3463</v>
      </c>
      <c r="BW1013" t="s">
        <v>3463</v>
      </c>
      <c r="BX1013" t="s">
        <v>79</v>
      </c>
      <c r="BY1013" t="s">
        <v>87</v>
      </c>
      <c r="BZ1013" t="s">
        <v>79</v>
      </c>
      <c r="CA1013" s="10">
        <v>45911</v>
      </c>
    </row>
    <row r="1014" spans="1:79">
      <c r="A1014">
        <v>1022</v>
      </c>
      <c r="B1014">
        <v>355</v>
      </c>
      <c r="C1014">
        <v>23</v>
      </c>
      <c r="D1014" t="s">
        <v>3462</v>
      </c>
      <c r="F1014" t="s">
        <v>150</v>
      </c>
      <c r="G1014" s="12" t="s">
        <v>3465</v>
      </c>
      <c r="H1014" t="s">
        <v>88</v>
      </c>
      <c r="I1014">
        <v>80</v>
      </c>
      <c r="K1014">
        <v>120</v>
      </c>
      <c r="L1014">
        <v>43</v>
      </c>
      <c r="M1014" t="s">
        <v>118</v>
      </c>
      <c r="P1014" t="s">
        <v>83</v>
      </c>
      <c r="Q1014" t="s">
        <v>118</v>
      </c>
      <c r="R1014">
        <v>68.5</v>
      </c>
      <c r="S1014">
        <v>175</v>
      </c>
      <c r="T1014" s="8">
        <f t="shared" si="30"/>
        <v>22.367346938775512</v>
      </c>
      <c r="U1014" s="13" t="str" cm="1">
        <f t="array" ref="U1014">IF(T1014="","",_xlfn.IFS(T1014&lt;18.5,"Bajo peso",T1014&lt;25,"Peso normal",T1014&lt;30,"Sobrepeso",T1014&lt;35,"Obesidad clase I",T1014&lt;40,"Obesidad clase II",T1014&gt;=40,"Obesidad clase III"))</f>
        <v>Peso normal</v>
      </c>
      <c r="V1014">
        <v>112</v>
      </c>
      <c r="X1014" t="s">
        <v>3463</v>
      </c>
      <c r="Y1014">
        <v>1.05</v>
      </c>
      <c r="AA1014">
        <v>90</v>
      </c>
      <c r="AB1014" s="9">
        <f t="shared" si="31"/>
        <v>102.28902105046794</v>
      </c>
      <c r="AD1014" t="s">
        <v>73</v>
      </c>
      <c r="AF1014" t="s">
        <v>73</v>
      </c>
      <c r="AH1014" t="s">
        <v>3463</v>
      </c>
      <c r="AI1014" t="s">
        <v>3463</v>
      </c>
      <c r="AJ1014" t="s">
        <v>3463</v>
      </c>
      <c r="AK1014" t="s">
        <v>3463</v>
      </c>
      <c r="AL1014" t="s">
        <v>3463</v>
      </c>
      <c r="AP1014" t="s">
        <v>3463</v>
      </c>
      <c r="AQ1014" t="s">
        <v>89</v>
      </c>
      <c r="AR1014" t="s">
        <v>3488</v>
      </c>
      <c r="AV1014" t="s">
        <v>126</v>
      </c>
      <c r="AW1014" t="s">
        <v>126</v>
      </c>
      <c r="BF1014" t="s">
        <v>3921</v>
      </c>
      <c r="BH1014" t="s">
        <v>4020</v>
      </c>
      <c r="BP1014" t="s">
        <v>4260</v>
      </c>
      <c r="BQ1014" t="s">
        <v>3463</v>
      </c>
      <c r="BR1014" t="s">
        <v>3463</v>
      </c>
      <c r="BS1014" t="s">
        <v>3465</v>
      </c>
      <c r="BT1014" t="s">
        <v>3465</v>
      </c>
      <c r="BU1014" t="s">
        <v>3463</v>
      </c>
      <c r="BV1014" t="s">
        <v>3463</v>
      </c>
      <c r="BW1014" t="s">
        <v>3463</v>
      </c>
      <c r="BX1014" t="s">
        <v>79</v>
      </c>
      <c r="BY1014" t="s">
        <v>87</v>
      </c>
      <c r="BZ1014" t="s">
        <v>79</v>
      </c>
      <c r="CA1014" s="10">
        <v>45911</v>
      </c>
    </row>
    <row r="1015" spans="1:79">
      <c r="A1015">
        <v>1023</v>
      </c>
      <c r="B1015">
        <v>356</v>
      </c>
      <c r="C1015">
        <v>31</v>
      </c>
      <c r="D1015" t="s">
        <v>3462</v>
      </c>
      <c r="E1015" t="s">
        <v>1657</v>
      </c>
      <c r="F1015" t="s">
        <v>150</v>
      </c>
      <c r="G1015" s="12" t="s">
        <v>3463</v>
      </c>
      <c r="H1015" s="12"/>
      <c r="I1015">
        <v>79</v>
      </c>
      <c r="K1015">
        <v>133</v>
      </c>
      <c r="L1015">
        <v>69</v>
      </c>
      <c r="M1015" t="s">
        <v>82</v>
      </c>
      <c r="P1015" t="s">
        <v>83</v>
      </c>
      <c r="Q1015" t="s">
        <v>82</v>
      </c>
      <c r="R1015">
        <v>90.65</v>
      </c>
      <c r="S1015">
        <v>170</v>
      </c>
      <c r="T1015" s="8">
        <f t="shared" si="30"/>
        <v>31.36678200692042</v>
      </c>
      <c r="U1015" s="13" t="str" cm="1">
        <f t="array" ref="U1015">IF(T1015="","",_xlfn.IFS(T1015&lt;18.5,"Bajo peso",T1015&lt;25,"Peso normal",T1015&lt;30,"Sobrepeso",T1015&lt;35,"Obesidad clase I",T1015&lt;40,"Obesidad clase II",T1015&gt;=40,"Obesidad clase III"))</f>
        <v>Obesidad clase I</v>
      </c>
      <c r="V1015">
        <v>95</v>
      </c>
      <c r="X1015" t="s">
        <v>3463</v>
      </c>
      <c r="Y1015">
        <v>1.0900000000000001</v>
      </c>
      <c r="AA1015">
        <v>90</v>
      </c>
      <c r="AB1015" s="9">
        <f t="shared" si="31"/>
        <v>93.054273512703986</v>
      </c>
      <c r="AD1015" t="s">
        <v>73</v>
      </c>
      <c r="AF1015" t="s">
        <v>73</v>
      </c>
      <c r="AH1015" t="s">
        <v>3463</v>
      </c>
      <c r="AI1015" t="s">
        <v>3463</v>
      </c>
      <c r="AJ1015" t="s">
        <v>3463</v>
      </c>
      <c r="AK1015" t="s">
        <v>3463</v>
      </c>
      <c r="AL1015" t="s">
        <v>3463</v>
      </c>
      <c r="AP1015" t="s">
        <v>3463</v>
      </c>
      <c r="AV1015" t="s">
        <v>126</v>
      </c>
      <c r="AW1015" t="s">
        <v>126</v>
      </c>
      <c r="BF1015" t="s">
        <v>3921</v>
      </c>
      <c r="BH1015" t="s">
        <v>4020</v>
      </c>
      <c r="BP1015" t="s">
        <v>4260</v>
      </c>
      <c r="BQ1015" t="s">
        <v>3463</v>
      </c>
      <c r="BR1015" t="s">
        <v>3465</v>
      </c>
      <c r="BS1015" t="s">
        <v>3463</v>
      </c>
      <c r="BT1015" t="s">
        <v>3463</v>
      </c>
      <c r="BU1015" t="s">
        <v>3463</v>
      </c>
      <c r="BV1015" t="s">
        <v>3463</v>
      </c>
      <c r="BW1015" t="s">
        <v>3465</v>
      </c>
      <c r="BX1015" t="s">
        <v>79</v>
      </c>
      <c r="BY1015" t="s">
        <v>87</v>
      </c>
      <c r="BZ1015" t="s">
        <v>79</v>
      </c>
      <c r="CA1015" s="10">
        <v>45911</v>
      </c>
    </row>
    <row r="1016" spans="1:79">
      <c r="A1016">
        <v>1024</v>
      </c>
      <c r="B1016">
        <v>357</v>
      </c>
      <c r="C1016">
        <v>26</v>
      </c>
      <c r="D1016" t="s">
        <v>3462</v>
      </c>
      <c r="E1016" t="s">
        <v>2348</v>
      </c>
      <c r="F1016" t="s">
        <v>380</v>
      </c>
      <c r="G1016" s="12" t="s">
        <v>3463</v>
      </c>
      <c r="H1016" s="12"/>
      <c r="I1016">
        <v>89</v>
      </c>
      <c r="K1016">
        <v>136</v>
      </c>
      <c r="L1016">
        <v>78</v>
      </c>
      <c r="M1016" t="s">
        <v>82</v>
      </c>
      <c r="P1016" t="s">
        <v>83</v>
      </c>
      <c r="Q1016" t="s">
        <v>82</v>
      </c>
      <c r="R1016">
        <v>96.2</v>
      </c>
      <c r="S1016">
        <v>177</v>
      </c>
      <c r="T1016" s="8">
        <f t="shared" si="30"/>
        <v>30.706374285805484</v>
      </c>
      <c r="U1016" s="13" t="str" cm="1">
        <f t="array" ref="U1016">IF(T1016="","",_xlfn.IFS(T1016&lt;18.5,"Bajo peso",T1016&lt;25,"Peso normal",T1016&lt;30,"Sobrepeso",T1016&lt;35,"Obesidad clase I",T1016&lt;40,"Obesidad clase II",T1016&gt;=40,"Obesidad clase III"))</f>
        <v>Obesidad clase I</v>
      </c>
      <c r="V1016">
        <v>118</v>
      </c>
      <c r="X1016" t="s">
        <v>3463</v>
      </c>
      <c r="Y1016">
        <v>0.73</v>
      </c>
      <c r="AA1016">
        <v>90</v>
      </c>
      <c r="AB1016" s="9">
        <f t="shared" si="31"/>
        <v>128.68261599853696</v>
      </c>
      <c r="AD1016" t="s">
        <v>73</v>
      </c>
      <c r="AF1016" t="s">
        <v>73</v>
      </c>
      <c r="AH1016" t="s">
        <v>3463</v>
      </c>
      <c r="AI1016" t="s">
        <v>3463</v>
      </c>
      <c r="AJ1016" t="s">
        <v>3463</v>
      </c>
      <c r="AK1016" t="s">
        <v>3463</v>
      </c>
      <c r="AL1016" t="s">
        <v>3465</v>
      </c>
      <c r="AM1016" t="s">
        <v>2360</v>
      </c>
      <c r="AN1016" t="s">
        <v>3828</v>
      </c>
      <c r="AP1016" t="s">
        <v>3463</v>
      </c>
      <c r="AQ1016" s="11" t="s">
        <v>159</v>
      </c>
      <c r="AR1016" t="s">
        <v>3491</v>
      </c>
      <c r="AV1016" t="s">
        <v>126</v>
      </c>
      <c r="AW1016" t="s">
        <v>126</v>
      </c>
      <c r="BF1016" t="s">
        <v>3921</v>
      </c>
      <c r="BH1016" t="s">
        <v>4020</v>
      </c>
      <c r="BP1016" t="s">
        <v>4260</v>
      </c>
      <c r="BQ1016" t="s">
        <v>3463</v>
      </c>
      <c r="BR1016" t="s">
        <v>3463</v>
      </c>
      <c r="BS1016" t="s">
        <v>3465</v>
      </c>
      <c r="BT1016" t="s">
        <v>3465</v>
      </c>
      <c r="BU1016" t="s">
        <v>3463</v>
      </c>
      <c r="BV1016" t="s">
        <v>3463</v>
      </c>
      <c r="BW1016" t="s">
        <v>3463</v>
      </c>
      <c r="CA1016" s="10">
        <v>45911</v>
      </c>
    </row>
    <row r="1017" spans="1:79">
      <c r="A1017">
        <v>1025</v>
      </c>
      <c r="B1017">
        <v>358</v>
      </c>
      <c r="C1017">
        <v>57</v>
      </c>
      <c r="D1017" t="s">
        <v>3462</v>
      </c>
      <c r="E1017" t="s">
        <v>1966</v>
      </c>
      <c r="F1017" t="s">
        <v>150</v>
      </c>
      <c r="G1017" s="12" t="s">
        <v>3465</v>
      </c>
      <c r="H1017" t="s">
        <v>88</v>
      </c>
      <c r="I1017">
        <v>70</v>
      </c>
      <c r="K1017">
        <v>144</v>
      </c>
      <c r="L1017">
        <v>89</v>
      </c>
      <c r="M1017" t="s">
        <v>72</v>
      </c>
      <c r="P1017" t="s">
        <v>83</v>
      </c>
      <c r="Q1017" t="s">
        <v>72</v>
      </c>
      <c r="R1017">
        <v>87.6</v>
      </c>
      <c r="S1017">
        <v>161</v>
      </c>
      <c r="T1017" s="8">
        <f t="shared" si="30"/>
        <v>33.794992477142081</v>
      </c>
      <c r="U1017" s="13" t="str" cm="1">
        <f t="array" ref="U1017">IF(T1017="","",_xlfn.IFS(T1017&lt;18.5,"Bajo peso",T1017&lt;25,"Peso normal",T1017&lt;30,"Sobrepeso",T1017&lt;35,"Obesidad clase I",T1017&lt;40,"Obesidad clase II",T1017&gt;=40,"Obesidad clase III"))</f>
        <v>Obesidad clase I</v>
      </c>
      <c r="V1017">
        <v>233</v>
      </c>
      <c r="X1017" t="s">
        <v>3465</v>
      </c>
      <c r="Y1017">
        <v>1.24</v>
      </c>
      <c r="AA1017">
        <v>68</v>
      </c>
      <c r="AB1017" s="9">
        <f t="shared" si="31"/>
        <v>67.813459563394716</v>
      </c>
      <c r="AD1017" t="s">
        <v>73</v>
      </c>
      <c r="AF1017" t="s">
        <v>73</v>
      </c>
      <c r="AH1017" t="s">
        <v>3463</v>
      </c>
      <c r="AI1017" t="s">
        <v>3465</v>
      </c>
      <c r="AJ1017" t="s">
        <v>3463</v>
      </c>
      <c r="AK1017" t="s">
        <v>3463</v>
      </c>
      <c r="AL1017" t="s">
        <v>3465</v>
      </c>
      <c r="AM1017" t="s">
        <v>2361</v>
      </c>
      <c r="AN1017" t="s">
        <v>3829</v>
      </c>
      <c r="AP1017" t="s">
        <v>3463</v>
      </c>
      <c r="AS1017" t="s">
        <v>3465</v>
      </c>
      <c r="AW1017" t="s">
        <v>3916</v>
      </c>
      <c r="BF1017" t="s">
        <v>3921</v>
      </c>
      <c r="BH1017" t="s">
        <v>4020</v>
      </c>
      <c r="BP1017" t="s">
        <v>4260</v>
      </c>
      <c r="BQ1017" t="s">
        <v>3463</v>
      </c>
      <c r="BR1017" t="s">
        <v>3465</v>
      </c>
      <c r="BS1017" t="s">
        <v>3463</v>
      </c>
      <c r="BT1017" t="s">
        <v>3463</v>
      </c>
      <c r="BU1017" t="s">
        <v>3463</v>
      </c>
      <c r="BV1017" t="s">
        <v>3463</v>
      </c>
      <c r="BW1017" t="s">
        <v>3463</v>
      </c>
      <c r="BX1017" t="s">
        <v>79</v>
      </c>
      <c r="BY1017" t="s">
        <v>87</v>
      </c>
      <c r="BZ1017" t="s">
        <v>79</v>
      </c>
      <c r="CA1017" s="10">
        <v>45911</v>
      </c>
    </row>
    <row r="1018" spans="1:79">
      <c r="A1018">
        <v>1026</v>
      </c>
      <c r="B1018">
        <v>359</v>
      </c>
      <c r="C1018">
        <v>50</v>
      </c>
      <c r="D1018" t="s">
        <v>3462</v>
      </c>
      <c r="E1018" t="s">
        <v>1966</v>
      </c>
      <c r="F1018" t="s">
        <v>150</v>
      </c>
      <c r="G1018" s="12" t="s">
        <v>3465</v>
      </c>
      <c r="H1018" s="12" t="s">
        <v>88</v>
      </c>
      <c r="I1018">
        <v>66</v>
      </c>
      <c r="J1018">
        <v>68</v>
      </c>
      <c r="K1018">
        <v>178</v>
      </c>
      <c r="L1018">
        <v>115</v>
      </c>
      <c r="M1018" t="s">
        <v>72</v>
      </c>
      <c r="N1018">
        <v>174</v>
      </c>
      <c r="O1018">
        <v>121</v>
      </c>
      <c r="P1018" t="s">
        <v>96</v>
      </c>
      <c r="Q1018" t="s">
        <v>72</v>
      </c>
      <c r="R1018">
        <v>70.3</v>
      </c>
      <c r="S1018">
        <v>165</v>
      </c>
      <c r="T1018" s="8">
        <f t="shared" si="30"/>
        <v>25.821854912764</v>
      </c>
      <c r="U1018" s="13" t="str" cm="1">
        <f t="array" ref="U1018">IF(T1018="","",_xlfn.IFS(T1018&lt;18.5,"Bajo peso",T1018&lt;25,"Peso normal",T1018&lt;30,"Sobrepeso",T1018&lt;35,"Obesidad clase I",T1018&lt;40,"Obesidad clase II",T1018&gt;=40,"Obesidad clase III"))</f>
        <v>Sobrepeso</v>
      </c>
      <c r="V1018">
        <v>113</v>
      </c>
      <c r="X1018" t="s">
        <v>3463</v>
      </c>
      <c r="Y1018">
        <v>1</v>
      </c>
      <c r="AA1018">
        <v>90</v>
      </c>
      <c r="AB1018" s="9">
        <f t="shared" si="31"/>
        <v>91.691478609833169</v>
      </c>
      <c r="AD1018" t="s">
        <v>73</v>
      </c>
      <c r="AF1018" t="s">
        <v>73</v>
      </c>
      <c r="AH1018" t="s">
        <v>3463</v>
      </c>
      <c r="AI1018" t="s">
        <v>3465</v>
      </c>
      <c r="AJ1018" t="s">
        <v>3465</v>
      </c>
      <c r="AK1018" t="s">
        <v>3463</v>
      </c>
      <c r="AL1018" t="s">
        <v>3463</v>
      </c>
      <c r="AP1018" t="s">
        <v>3463</v>
      </c>
      <c r="AQ1018" t="s">
        <v>2362</v>
      </c>
      <c r="AR1018" t="s">
        <v>3493</v>
      </c>
      <c r="AS1018" t="s">
        <v>3465</v>
      </c>
      <c r="AW1018" t="s">
        <v>3916</v>
      </c>
      <c r="BF1018" t="s">
        <v>3921</v>
      </c>
      <c r="BH1018" t="s">
        <v>4020</v>
      </c>
      <c r="BP1018" t="s">
        <v>4260</v>
      </c>
      <c r="BQ1018" t="s">
        <v>3465</v>
      </c>
      <c r="BR1018" t="s">
        <v>3465</v>
      </c>
      <c r="BS1018" t="s">
        <v>3463</v>
      </c>
      <c r="BT1018" t="s">
        <v>3463</v>
      </c>
      <c r="BU1018" t="s">
        <v>3465</v>
      </c>
      <c r="BV1018" t="s">
        <v>3463</v>
      </c>
      <c r="BW1018" t="s">
        <v>3463</v>
      </c>
      <c r="BX1018" t="s">
        <v>79</v>
      </c>
      <c r="BY1018" t="s">
        <v>79</v>
      </c>
      <c r="BZ1018" t="s">
        <v>79</v>
      </c>
      <c r="CA1018" s="10">
        <v>45911</v>
      </c>
    </row>
    <row r="1019" spans="1:79">
      <c r="A1019">
        <v>1027</v>
      </c>
      <c r="B1019">
        <v>360</v>
      </c>
      <c r="C1019">
        <v>40</v>
      </c>
      <c r="D1019" t="s">
        <v>3466</v>
      </c>
      <c r="E1019" t="s">
        <v>2363</v>
      </c>
      <c r="F1019" t="s">
        <v>168</v>
      </c>
      <c r="G1019" s="12" t="s">
        <v>3463</v>
      </c>
      <c r="H1019" s="12"/>
      <c r="I1019">
        <v>93</v>
      </c>
      <c r="J1019">
        <v>91</v>
      </c>
      <c r="K1019">
        <v>167</v>
      </c>
      <c r="L1019">
        <v>89</v>
      </c>
      <c r="M1019" t="s">
        <v>72</v>
      </c>
      <c r="N1019">
        <v>161</v>
      </c>
      <c r="O1019">
        <v>86</v>
      </c>
      <c r="P1019" t="s">
        <v>72</v>
      </c>
      <c r="Q1019" t="s">
        <v>72</v>
      </c>
      <c r="R1019">
        <v>73</v>
      </c>
      <c r="S1019">
        <v>176</v>
      </c>
      <c r="T1019" s="8">
        <f t="shared" si="30"/>
        <v>23.566632231404959</v>
      </c>
      <c r="U1019" s="13" t="str" cm="1">
        <f t="array" ref="U1019">IF(T1019="","",_xlfn.IFS(T1019&lt;18.5,"Bajo peso",T1019&lt;25,"Peso normal",T1019&lt;30,"Sobrepeso",T1019&lt;35,"Obesidad clase I",T1019&lt;40,"Obesidad clase II",T1019&gt;=40,"Obesidad clase III"))</f>
        <v>Peso normal</v>
      </c>
      <c r="V1019">
        <v>103</v>
      </c>
      <c r="X1019" t="s">
        <v>3463</v>
      </c>
      <c r="Y1019">
        <v>1.33</v>
      </c>
      <c r="AA1019">
        <v>50</v>
      </c>
      <c r="AB1019" s="9">
        <f t="shared" si="31"/>
        <v>51.870953594090551</v>
      </c>
      <c r="AD1019" t="s">
        <v>158</v>
      </c>
      <c r="AF1019" t="s">
        <v>158</v>
      </c>
      <c r="AH1019" t="s">
        <v>3463</v>
      </c>
      <c r="AI1019" t="s">
        <v>3463</v>
      </c>
      <c r="AJ1019" t="s">
        <v>3463</v>
      </c>
      <c r="AK1019" t="s">
        <v>3463</v>
      </c>
      <c r="AL1019" t="s">
        <v>3465</v>
      </c>
      <c r="AM1019" t="s">
        <v>116</v>
      </c>
      <c r="AN1019" t="s">
        <v>116</v>
      </c>
      <c r="AP1019" t="s">
        <v>3463</v>
      </c>
      <c r="AQ1019" t="s">
        <v>458</v>
      </c>
      <c r="AR1019" t="s">
        <v>3488</v>
      </c>
      <c r="AT1019" t="s">
        <v>3463</v>
      </c>
      <c r="AV1019" t="s">
        <v>126</v>
      </c>
      <c r="AW1019" t="s">
        <v>126</v>
      </c>
      <c r="AX1019" t="s">
        <v>3463</v>
      </c>
      <c r="AY1019" t="s">
        <v>3465</v>
      </c>
      <c r="AZ1019" t="s">
        <v>854</v>
      </c>
      <c r="BA1019" t="s">
        <v>3920</v>
      </c>
      <c r="BD1019" t="s">
        <v>105</v>
      </c>
      <c r="BF1019" t="s">
        <v>3921</v>
      </c>
      <c r="BH1019" t="s">
        <v>4021</v>
      </c>
      <c r="BI1019" t="s">
        <v>2364</v>
      </c>
      <c r="BP1019" t="s">
        <v>4270</v>
      </c>
      <c r="BQ1019" t="s">
        <v>3465</v>
      </c>
      <c r="BR1019" t="s">
        <v>3465</v>
      </c>
      <c r="BS1019" t="s">
        <v>3465</v>
      </c>
      <c r="BT1019" t="s">
        <v>3465</v>
      </c>
      <c r="BU1019" t="s">
        <v>3463</v>
      </c>
      <c r="BV1019" t="s">
        <v>3463</v>
      </c>
      <c r="BW1019" t="s">
        <v>3463</v>
      </c>
      <c r="BX1019" t="s">
        <v>79</v>
      </c>
      <c r="BY1019" t="s">
        <v>87</v>
      </c>
      <c r="BZ1019" t="s">
        <v>79</v>
      </c>
      <c r="CA1019" s="10">
        <v>45911</v>
      </c>
    </row>
    <row r="1020" spans="1:79">
      <c r="A1020">
        <v>1028</v>
      </c>
      <c r="B1020">
        <v>361</v>
      </c>
      <c r="C1020">
        <v>25</v>
      </c>
      <c r="D1020" t="s">
        <v>3462</v>
      </c>
      <c r="F1020" t="s">
        <v>168</v>
      </c>
      <c r="G1020" s="12" t="s">
        <v>3463</v>
      </c>
      <c r="I1020">
        <v>81</v>
      </c>
      <c r="K1020">
        <v>132</v>
      </c>
      <c r="L1020">
        <v>80</v>
      </c>
      <c r="M1020" t="s">
        <v>82</v>
      </c>
      <c r="P1020" t="s">
        <v>83</v>
      </c>
      <c r="Q1020" t="s">
        <v>82</v>
      </c>
      <c r="R1020">
        <v>75.599999999999994</v>
      </c>
      <c r="S1020">
        <v>163</v>
      </c>
      <c r="T1020" s="8">
        <f t="shared" si="30"/>
        <v>28.454213557153068</v>
      </c>
      <c r="U1020" s="13" t="str" cm="1">
        <f t="array" ref="U1020">IF(T1020="","",_xlfn.IFS(T1020&lt;18.5,"Bajo peso",T1020&lt;25,"Peso normal",T1020&lt;30,"Sobrepeso",T1020&lt;35,"Obesidad clase I",T1020&lt;40,"Obesidad clase II",T1020&gt;=40,"Obesidad clase III"))</f>
        <v>Sobrepeso</v>
      </c>
      <c r="V1020">
        <v>101</v>
      </c>
      <c r="X1020" t="s">
        <v>3463</v>
      </c>
      <c r="Y1020">
        <v>1</v>
      </c>
      <c r="AA1020">
        <v>90</v>
      </c>
      <c r="AB1020" s="9">
        <f t="shared" si="31"/>
        <v>107.11595544807741</v>
      </c>
      <c r="AD1020" t="s">
        <v>73</v>
      </c>
      <c r="AF1020" t="s">
        <v>73</v>
      </c>
      <c r="AH1020" t="s">
        <v>3463</v>
      </c>
      <c r="AI1020" t="s">
        <v>3463</v>
      </c>
      <c r="AJ1020" t="s">
        <v>3463</v>
      </c>
      <c r="AK1020" t="s">
        <v>3463</v>
      </c>
      <c r="AL1020" t="s">
        <v>3465</v>
      </c>
      <c r="AM1020" t="s">
        <v>697</v>
      </c>
      <c r="AN1020" t="s">
        <v>697</v>
      </c>
      <c r="AP1020" t="s">
        <v>3463</v>
      </c>
      <c r="AQ1020" t="s">
        <v>2365</v>
      </c>
      <c r="AR1020" t="s">
        <v>3490</v>
      </c>
      <c r="AV1020" t="s">
        <v>126</v>
      </c>
      <c r="AW1020" t="s">
        <v>126</v>
      </c>
      <c r="BF1020" t="s">
        <v>3921</v>
      </c>
      <c r="BH1020" t="s">
        <v>4020</v>
      </c>
      <c r="BP1020" t="s">
        <v>4260</v>
      </c>
      <c r="BQ1020" t="s">
        <v>3463</v>
      </c>
      <c r="BR1020" t="s">
        <v>3465</v>
      </c>
      <c r="BS1020" t="s">
        <v>3465</v>
      </c>
      <c r="BT1020" t="s">
        <v>3465</v>
      </c>
      <c r="BU1020" t="s">
        <v>3463</v>
      </c>
      <c r="BV1020" t="s">
        <v>3463</v>
      </c>
      <c r="BW1020" t="s">
        <v>3463</v>
      </c>
      <c r="BX1020" t="s">
        <v>79</v>
      </c>
      <c r="BY1020" t="s">
        <v>87</v>
      </c>
      <c r="BZ1020" t="s">
        <v>79</v>
      </c>
      <c r="CA1020" s="10">
        <v>45911</v>
      </c>
    </row>
    <row r="1021" spans="1:79">
      <c r="A1021">
        <v>1029</v>
      </c>
      <c r="B1021">
        <v>362</v>
      </c>
      <c r="C1021">
        <v>23</v>
      </c>
      <c r="D1021" t="s">
        <v>3462</v>
      </c>
      <c r="E1021" t="s">
        <v>2348</v>
      </c>
      <c r="F1021" t="s">
        <v>380</v>
      </c>
      <c r="G1021" s="12" t="s">
        <v>3463</v>
      </c>
      <c r="K1021">
        <v>126</v>
      </c>
      <c r="L1021">
        <v>78</v>
      </c>
      <c r="M1021" t="s">
        <v>118</v>
      </c>
      <c r="P1021" t="s">
        <v>83</v>
      </c>
      <c r="Q1021" t="s">
        <v>118</v>
      </c>
      <c r="R1021">
        <v>65</v>
      </c>
      <c r="S1021">
        <v>175</v>
      </c>
      <c r="T1021" s="8">
        <f t="shared" si="30"/>
        <v>21.224489795918366</v>
      </c>
      <c r="U1021" s="13" t="str" cm="1">
        <f t="array" ref="U1021">IF(T1021="","",_xlfn.IFS(T1021&lt;18.5,"Bajo peso",T1021&lt;25,"Peso normal",T1021&lt;30,"Sobrepeso",T1021&lt;35,"Obesidad clase I",T1021&lt;40,"Obesidad clase II",T1021&gt;=40,"Obesidad clase III"))</f>
        <v>Peso normal</v>
      </c>
      <c r="V1021">
        <v>103</v>
      </c>
      <c r="X1021" t="s">
        <v>3463</v>
      </c>
      <c r="Y1021">
        <v>0.8</v>
      </c>
      <c r="AA1021">
        <v>90</v>
      </c>
      <c r="AB1021" s="9">
        <f t="shared" si="31"/>
        <v>127.53025603083583</v>
      </c>
      <c r="AD1021" t="s">
        <v>73</v>
      </c>
      <c r="AF1021" t="s">
        <v>73</v>
      </c>
      <c r="AH1021" t="s">
        <v>3463</v>
      </c>
      <c r="AI1021" t="s">
        <v>3463</v>
      </c>
      <c r="AJ1021" t="s">
        <v>3463</v>
      </c>
      <c r="AK1021" t="s">
        <v>3463</v>
      </c>
      <c r="AL1021" t="s">
        <v>3463</v>
      </c>
      <c r="AP1021" t="s">
        <v>3463</v>
      </c>
      <c r="AW1021" t="s">
        <v>3916</v>
      </c>
      <c r="BF1021" t="s">
        <v>3921</v>
      </c>
      <c r="BH1021" t="s">
        <v>4020</v>
      </c>
      <c r="BP1021" t="s">
        <v>4260</v>
      </c>
      <c r="BQ1021" t="s">
        <v>3463</v>
      </c>
      <c r="BR1021" t="s">
        <v>3465</v>
      </c>
      <c r="BS1021" t="s">
        <v>3463</v>
      </c>
      <c r="BT1021" t="s">
        <v>3463</v>
      </c>
      <c r="BU1021" t="s">
        <v>3463</v>
      </c>
      <c r="BV1021" t="s">
        <v>3463</v>
      </c>
      <c r="BW1021" t="s">
        <v>3463</v>
      </c>
      <c r="BX1021" t="s">
        <v>79</v>
      </c>
      <c r="BY1021" t="s">
        <v>87</v>
      </c>
      <c r="BZ1021" t="s">
        <v>79</v>
      </c>
      <c r="CA1021" s="10">
        <v>45911</v>
      </c>
    </row>
    <row r="1022" spans="1:79">
      <c r="A1022">
        <v>1030</v>
      </c>
      <c r="B1022">
        <v>363</v>
      </c>
      <c r="C1022">
        <v>51</v>
      </c>
      <c r="D1022" t="s">
        <v>3466</v>
      </c>
      <c r="F1022" t="s">
        <v>380</v>
      </c>
      <c r="G1022" s="12" t="s">
        <v>3463</v>
      </c>
      <c r="I1022">
        <v>70</v>
      </c>
      <c r="J1022">
        <v>64</v>
      </c>
      <c r="K1022">
        <v>159</v>
      </c>
      <c r="L1022">
        <v>87</v>
      </c>
      <c r="M1022" t="s">
        <v>72</v>
      </c>
      <c r="N1022">
        <v>139</v>
      </c>
      <c r="O1022">
        <v>83</v>
      </c>
      <c r="P1022" t="s">
        <v>82</v>
      </c>
      <c r="Q1022" t="s">
        <v>82</v>
      </c>
      <c r="R1022">
        <v>74.5</v>
      </c>
      <c r="S1022">
        <v>158</v>
      </c>
      <c r="T1022" s="8">
        <f t="shared" si="30"/>
        <v>29.842973882390641</v>
      </c>
      <c r="U1022" s="13" t="str" cm="1">
        <f t="array" ref="U1022">IF(T1022="","",_xlfn.IFS(T1022&lt;18.5,"Bajo peso",T1022&lt;25,"Peso normal",T1022&lt;30,"Sobrepeso",T1022&lt;35,"Obesidad clase I",T1022&lt;40,"Obesidad clase II",T1022&gt;=40,"Obesidad clase III"))</f>
        <v>Sobrepeso</v>
      </c>
      <c r="V1022">
        <v>109</v>
      </c>
      <c r="X1022" t="s">
        <v>3463</v>
      </c>
      <c r="Y1022">
        <v>1.34</v>
      </c>
      <c r="AA1022">
        <v>64</v>
      </c>
      <c r="AB1022" s="9">
        <f t="shared" si="31"/>
        <v>48.007529753750987</v>
      </c>
      <c r="AD1022" t="s">
        <v>73</v>
      </c>
      <c r="AF1022" t="s">
        <v>73</v>
      </c>
      <c r="AH1022" t="s">
        <v>3463</v>
      </c>
      <c r="AI1022" t="s">
        <v>3463</v>
      </c>
      <c r="AJ1022" t="s">
        <v>3463</v>
      </c>
      <c r="AK1022" t="s">
        <v>3463</v>
      </c>
      <c r="AL1022" t="s">
        <v>3463</v>
      </c>
      <c r="AP1022" t="s">
        <v>3463</v>
      </c>
      <c r="AQ1022" t="s">
        <v>2366</v>
      </c>
      <c r="AR1022" t="s">
        <v>3488</v>
      </c>
      <c r="AV1022" t="s">
        <v>74</v>
      </c>
      <c r="AW1022" t="s">
        <v>3915</v>
      </c>
      <c r="AX1022" t="s">
        <v>3465</v>
      </c>
      <c r="AY1022" t="s">
        <v>3465</v>
      </c>
      <c r="BF1022" t="s">
        <v>3921</v>
      </c>
      <c r="BH1022" t="s">
        <v>4020</v>
      </c>
      <c r="BP1022" t="s">
        <v>4260</v>
      </c>
      <c r="BQ1022" t="s">
        <v>3465</v>
      </c>
      <c r="BR1022" t="s">
        <v>3465</v>
      </c>
      <c r="BT1022" t="s">
        <v>3465</v>
      </c>
      <c r="BU1022" t="s">
        <v>3463</v>
      </c>
      <c r="BV1022" t="s">
        <v>3463</v>
      </c>
      <c r="BW1022" t="s">
        <v>3463</v>
      </c>
      <c r="BX1022" t="s">
        <v>79</v>
      </c>
      <c r="BY1022" t="s">
        <v>79</v>
      </c>
      <c r="BZ1022" t="s">
        <v>79</v>
      </c>
      <c r="CA1022" s="10">
        <v>45911</v>
      </c>
    </row>
    <row r="1023" spans="1:79">
      <c r="A1023">
        <v>1031</v>
      </c>
      <c r="B1023">
        <v>364</v>
      </c>
      <c r="C1023">
        <v>25</v>
      </c>
      <c r="D1023" t="s">
        <v>3462</v>
      </c>
      <c r="E1023" t="s">
        <v>2348</v>
      </c>
      <c r="F1023" t="s">
        <v>1799</v>
      </c>
      <c r="G1023" s="12" t="s">
        <v>3465</v>
      </c>
      <c r="H1023" s="12" t="s">
        <v>88</v>
      </c>
      <c r="I1023">
        <v>62</v>
      </c>
      <c r="K1023">
        <v>132</v>
      </c>
      <c r="L1023">
        <v>76</v>
      </c>
      <c r="M1023" t="s">
        <v>82</v>
      </c>
      <c r="P1023" t="s">
        <v>83</v>
      </c>
      <c r="Q1023" t="s">
        <v>82</v>
      </c>
      <c r="R1023">
        <v>86.5</v>
      </c>
      <c r="S1023">
        <v>181</v>
      </c>
      <c r="T1023" s="8">
        <f t="shared" si="30"/>
        <v>26.403345441225849</v>
      </c>
      <c r="U1023" s="13" t="str" cm="1">
        <f t="array" ref="U1023">IF(T1023="","",_xlfn.IFS(T1023&lt;18.5,"Bajo peso",T1023&lt;25,"Peso normal",T1023&lt;30,"Sobrepeso",T1023&lt;35,"Obesidad clase I",T1023&lt;40,"Obesidad clase II",T1023&gt;=40,"Obesidad clase III"))</f>
        <v>Sobrepeso</v>
      </c>
      <c r="V1023">
        <v>113</v>
      </c>
      <c r="X1023" t="s">
        <v>3463</v>
      </c>
      <c r="Y1023">
        <v>0.81</v>
      </c>
      <c r="AA1023">
        <v>90</v>
      </c>
      <c r="AB1023" s="9">
        <f t="shared" si="31"/>
        <v>125.482140036926</v>
      </c>
      <c r="AD1023" t="s">
        <v>73</v>
      </c>
      <c r="AF1023" t="s">
        <v>73</v>
      </c>
      <c r="AH1023" t="s">
        <v>3463</v>
      </c>
      <c r="AI1023" t="s">
        <v>3463</v>
      </c>
      <c r="AJ1023" t="s">
        <v>3463</v>
      </c>
      <c r="AK1023" t="s">
        <v>3463</v>
      </c>
      <c r="AL1023" t="s">
        <v>3463</v>
      </c>
      <c r="AP1023" t="s">
        <v>3463</v>
      </c>
      <c r="AQ1023" t="s">
        <v>2367</v>
      </c>
      <c r="AR1023" t="s">
        <v>3530</v>
      </c>
      <c r="AV1023" t="s">
        <v>126</v>
      </c>
      <c r="AW1023" t="s">
        <v>126</v>
      </c>
      <c r="BF1023" t="s">
        <v>3921</v>
      </c>
      <c r="BH1023" t="s">
        <v>4020</v>
      </c>
      <c r="BP1023" t="s">
        <v>4260</v>
      </c>
      <c r="BQ1023" t="s">
        <v>3465</v>
      </c>
      <c r="BR1023" t="s">
        <v>3465</v>
      </c>
      <c r="BS1023" t="s">
        <v>3463</v>
      </c>
      <c r="BT1023" t="s">
        <v>3463</v>
      </c>
      <c r="BU1023" t="s">
        <v>3463</v>
      </c>
      <c r="BV1023" t="s">
        <v>3463</v>
      </c>
      <c r="BW1023" t="s">
        <v>3463</v>
      </c>
      <c r="BX1023" t="s">
        <v>79</v>
      </c>
      <c r="BY1023" t="s">
        <v>87</v>
      </c>
      <c r="BZ1023" t="s">
        <v>79</v>
      </c>
      <c r="CA1023" s="10">
        <v>45911</v>
      </c>
    </row>
    <row r="1024" spans="1:79">
      <c r="A1024">
        <v>1033</v>
      </c>
      <c r="B1024">
        <v>366</v>
      </c>
      <c r="C1024">
        <v>68</v>
      </c>
      <c r="D1024" t="s">
        <v>3462</v>
      </c>
      <c r="F1024" t="s">
        <v>380</v>
      </c>
      <c r="G1024" s="12" t="s">
        <v>3463</v>
      </c>
      <c r="I1024">
        <v>84</v>
      </c>
      <c r="J1024">
        <v>79</v>
      </c>
      <c r="K1024">
        <v>173</v>
      </c>
      <c r="L1024">
        <v>93</v>
      </c>
      <c r="M1024" t="s">
        <v>72</v>
      </c>
      <c r="N1024">
        <v>187</v>
      </c>
      <c r="O1024">
        <v>102</v>
      </c>
      <c r="P1024" t="s">
        <v>96</v>
      </c>
      <c r="Q1024" t="s">
        <v>72</v>
      </c>
      <c r="R1024">
        <v>73.150000000000006</v>
      </c>
      <c r="S1024">
        <v>173</v>
      </c>
      <c r="T1024" s="8">
        <f t="shared" si="30"/>
        <v>24.441177453306157</v>
      </c>
      <c r="U1024" s="13" t="str" cm="1">
        <f t="array" ref="U1024">IF(T1024="","",_xlfn.IFS(T1024&lt;18.5,"Bajo peso",T1024&lt;25,"Peso normal",T1024&lt;30,"Sobrepeso",T1024&lt;35,"Obesidad clase I",T1024&lt;40,"Obesidad clase II",T1024&gt;=40,"Obesidad clase III"))</f>
        <v>Peso normal</v>
      </c>
      <c r="V1024">
        <v>104</v>
      </c>
      <c r="X1024" t="s">
        <v>3463</v>
      </c>
      <c r="Y1024">
        <v>0.75</v>
      </c>
      <c r="AA1024">
        <v>90</v>
      </c>
      <c r="AB1024" s="9">
        <f t="shared" si="31"/>
        <v>98.295257459232687</v>
      </c>
      <c r="AD1024" t="s">
        <v>73</v>
      </c>
      <c r="AF1024" t="s">
        <v>73</v>
      </c>
      <c r="AH1024" t="s">
        <v>3463</v>
      </c>
      <c r="AI1024" t="s">
        <v>3465</v>
      </c>
      <c r="AJ1024" t="s">
        <v>3465</v>
      </c>
      <c r="AK1024" t="s">
        <v>3463</v>
      </c>
      <c r="AL1024" t="s">
        <v>3463</v>
      </c>
      <c r="AP1024" t="s">
        <v>3463</v>
      </c>
      <c r="AQ1024" t="s">
        <v>239</v>
      </c>
      <c r="AR1024" t="s">
        <v>3493</v>
      </c>
      <c r="AS1024" t="s">
        <v>3465</v>
      </c>
      <c r="AV1024" t="s">
        <v>126</v>
      </c>
      <c r="AW1024" t="s">
        <v>126</v>
      </c>
      <c r="BF1024" t="s">
        <v>3921</v>
      </c>
      <c r="BH1024" t="s">
        <v>4020</v>
      </c>
      <c r="BP1024" t="s">
        <v>4260</v>
      </c>
      <c r="BQ1024" t="s">
        <v>3465</v>
      </c>
      <c r="BR1024" t="s">
        <v>3465</v>
      </c>
      <c r="BS1024" t="s">
        <v>3463</v>
      </c>
      <c r="BT1024" t="s">
        <v>3463</v>
      </c>
      <c r="BU1024" t="s">
        <v>3463</v>
      </c>
      <c r="BV1024" t="s">
        <v>3463</v>
      </c>
      <c r="BW1024" t="s">
        <v>3463</v>
      </c>
      <c r="BX1024" t="s">
        <v>79</v>
      </c>
      <c r="BY1024" t="s">
        <v>87</v>
      </c>
      <c r="BZ1024" t="s">
        <v>79</v>
      </c>
      <c r="CA1024" s="10">
        <v>45911</v>
      </c>
    </row>
    <row r="1025" spans="1:79">
      <c r="A1025">
        <v>1034</v>
      </c>
      <c r="B1025">
        <v>367</v>
      </c>
      <c r="C1025">
        <v>63</v>
      </c>
      <c r="D1025" t="s">
        <v>3466</v>
      </c>
      <c r="E1025" t="s">
        <v>2348</v>
      </c>
      <c r="F1025" t="s">
        <v>380</v>
      </c>
      <c r="G1025" s="12" t="s">
        <v>3463</v>
      </c>
      <c r="I1025">
        <v>95</v>
      </c>
      <c r="J1025">
        <v>92</v>
      </c>
      <c r="K1025">
        <v>159</v>
      </c>
      <c r="L1025">
        <v>90</v>
      </c>
      <c r="M1025" t="s">
        <v>72</v>
      </c>
      <c r="N1025">
        <v>155</v>
      </c>
      <c r="O1025">
        <v>93</v>
      </c>
      <c r="P1025" t="s">
        <v>72</v>
      </c>
      <c r="Q1025" t="s">
        <v>72</v>
      </c>
      <c r="R1025">
        <v>108.8</v>
      </c>
      <c r="S1025">
        <v>158</v>
      </c>
      <c r="T1025" s="8">
        <f t="shared" si="30"/>
        <v>43.582759173209425</v>
      </c>
      <c r="U1025" s="13" t="str" cm="1">
        <f t="array" ref="U1025">IF(T1025="","",_xlfn.IFS(T1025&lt;18.5,"Bajo peso",T1025&lt;25,"Peso normal",T1025&lt;30,"Sobrepeso",T1025&lt;35,"Obesidad clase I",T1025&lt;40,"Obesidad clase II",T1025&gt;=40,"Obesidad clase III"))</f>
        <v>Obesidad clase III</v>
      </c>
      <c r="V1025">
        <v>99</v>
      </c>
      <c r="X1025" t="s">
        <v>3463</v>
      </c>
      <c r="Y1025">
        <v>0.93</v>
      </c>
      <c r="AA1025">
        <v>90</v>
      </c>
      <c r="AB1025" s="9">
        <f t="shared" si="31"/>
        <v>69.062689725516307</v>
      </c>
      <c r="AD1025" t="s">
        <v>73</v>
      </c>
      <c r="AF1025" t="s">
        <v>73</v>
      </c>
      <c r="AH1025" t="s">
        <v>3463</v>
      </c>
      <c r="AI1025" t="s">
        <v>3463</v>
      </c>
      <c r="AJ1025" t="s">
        <v>3463</v>
      </c>
      <c r="AK1025" t="s">
        <v>3463</v>
      </c>
      <c r="AL1025" t="s">
        <v>3463</v>
      </c>
      <c r="AP1025" t="s">
        <v>3463</v>
      </c>
      <c r="AW1025" t="s">
        <v>3916</v>
      </c>
      <c r="AX1025" t="s">
        <v>3463</v>
      </c>
      <c r="AY1025" t="s">
        <v>3463</v>
      </c>
      <c r="BF1025" t="s">
        <v>3921</v>
      </c>
      <c r="BH1025" t="s">
        <v>4020</v>
      </c>
      <c r="BP1025" t="s">
        <v>4260</v>
      </c>
      <c r="BQ1025" t="s">
        <v>3463</v>
      </c>
      <c r="BR1025" t="s">
        <v>3463</v>
      </c>
      <c r="BU1025" t="s">
        <v>3463</v>
      </c>
      <c r="BV1025" t="s">
        <v>3463</v>
      </c>
      <c r="BW1025" t="s">
        <v>3465</v>
      </c>
      <c r="BX1025" t="s">
        <v>79</v>
      </c>
      <c r="BY1025" t="s">
        <v>87</v>
      </c>
      <c r="BZ1025" t="s">
        <v>79</v>
      </c>
      <c r="CA1025" s="10">
        <v>45911</v>
      </c>
    </row>
    <row r="1026" spans="1:79">
      <c r="A1026">
        <v>1035</v>
      </c>
      <c r="B1026">
        <v>368</v>
      </c>
      <c r="C1026">
        <v>34</v>
      </c>
      <c r="D1026" t="s">
        <v>3462</v>
      </c>
      <c r="F1026" t="s">
        <v>1804</v>
      </c>
      <c r="G1026" s="12" t="s">
        <v>3463</v>
      </c>
      <c r="H1026" s="12"/>
      <c r="I1026">
        <v>86</v>
      </c>
      <c r="J1026">
        <v>90</v>
      </c>
      <c r="K1026">
        <v>144</v>
      </c>
      <c r="L1026">
        <v>94</v>
      </c>
      <c r="M1026" t="s">
        <v>72</v>
      </c>
      <c r="N1026">
        <v>122</v>
      </c>
      <c r="O1026">
        <v>88</v>
      </c>
      <c r="P1026" t="s">
        <v>82</v>
      </c>
      <c r="Q1026" t="s">
        <v>82</v>
      </c>
      <c r="R1026">
        <v>115.4</v>
      </c>
      <c r="S1026">
        <v>173</v>
      </c>
      <c r="T1026" s="8">
        <f t="shared" ref="T1026:T1075" si="32">IFERROR(R1026/(S1026^2)*10000,"")</f>
        <v>38.557920411640886</v>
      </c>
      <c r="U1026" s="13" t="str" cm="1">
        <f t="array" ref="U1026">IF(T1026="","",_xlfn.IFS(T1026&lt;18.5,"Bajo peso",T1026&lt;25,"Peso normal",T1026&lt;30,"Sobrepeso",T1026&lt;35,"Obesidad clase I",T1026&lt;40,"Obesidad clase II",T1026&gt;=40,"Obesidad clase III"))</f>
        <v>Obesidad clase II</v>
      </c>
      <c r="V1026">
        <v>119</v>
      </c>
      <c r="X1026" t="s">
        <v>3463</v>
      </c>
      <c r="Y1026">
        <v>1.31</v>
      </c>
      <c r="AA1026">
        <v>73</v>
      </c>
      <c r="AB1026" s="9">
        <f t="shared" ref="AB1026:AB1089" si="33">IF(OR(C1026="",D1026="",Y1026=""),"",142*POWER(MIN(Y1026/IF(D1026="Mujer",0.7,0.9),1),IF(D1026="Mujer",-0.241,-0.302))*POWER(MAX(Y1026/IF(D1026="Mujer",0.7,0.9),1),-1.2)*POWER(0.9938,C1026)*IF(D1026="Mujer",1.012,1))</f>
        <v>73.252009464475563</v>
      </c>
      <c r="AD1026" t="s">
        <v>73</v>
      </c>
      <c r="AF1026" t="s">
        <v>73</v>
      </c>
      <c r="AH1026" t="s">
        <v>3463</v>
      </c>
      <c r="AI1026" t="s">
        <v>3463</v>
      </c>
      <c r="AJ1026" t="s">
        <v>3463</v>
      </c>
      <c r="AK1026" t="s">
        <v>3463</v>
      </c>
      <c r="AL1026" t="s">
        <v>3463</v>
      </c>
      <c r="AP1026" t="s">
        <v>3463</v>
      </c>
      <c r="AQ1026" t="s">
        <v>239</v>
      </c>
      <c r="AR1026" t="s">
        <v>3488</v>
      </c>
      <c r="AV1026" t="s">
        <v>178</v>
      </c>
      <c r="AW1026" t="s">
        <v>3918</v>
      </c>
      <c r="BF1026" t="s">
        <v>3921</v>
      </c>
      <c r="BH1026" t="s">
        <v>4020</v>
      </c>
      <c r="BP1026" t="s">
        <v>4260</v>
      </c>
      <c r="BQ1026" t="s">
        <v>3463</v>
      </c>
      <c r="BR1026" t="s">
        <v>3465</v>
      </c>
      <c r="BS1026" t="s">
        <v>3465</v>
      </c>
      <c r="BT1026" t="s">
        <v>3465</v>
      </c>
      <c r="BU1026" t="s">
        <v>3463</v>
      </c>
      <c r="BV1026" t="s">
        <v>3463</v>
      </c>
      <c r="BW1026" t="s">
        <v>3463</v>
      </c>
      <c r="BX1026" t="s">
        <v>79</v>
      </c>
      <c r="BY1026" t="s">
        <v>87</v>
      </c>
      <c r="BZ1026" t="s">
        <v>79</v>
      </c>
      <c r="CA1026" s="10">
        <v>45911</v>
      </c>
    </row>
    <row r="1027" spans="1:79">
      <c r="A1027">
        <v>1036</v>
      </c>
      <c r="B1027">
        <v>369</v>
      </c>
      <c r="C1027">
        <v>39</v>
      </c>
      <c r="D1027" t="s">
        <v>3462</v>
      </c>
      <c r="E1027" t="s">
        <v>2307</v>
      </c>
      <c r="F1027" t="s">
        <v>150</v>
      </c>
      <c r="G1027" s="12" t="s">
        <v>3463</v>
      </c>
      <c r="H1027" s="12"/>
      <c r="I1027">
        <v>65</v>
      </c>
      <c r="K1027">
        <v>140</v>
      </c>
      <c r="L1027">
        <v>77</v>
      </c>
      <c r="M1027" t="s">
        <v>72</v>
      </c>
      <c r="P1027" t="s">
        <v>83</v>
      </c>
      <c r="Q1027" t="s">
        <v>72</v>
      </c>
      <c r="R1027">
        <v>79.849999999999994</v>
      </c>
      <c r="S1027">
        <v>165</v>
      </c>
      <c r="T1027" s="8">
        <f t="shared" si="32"/>
        <v>29.329660238751146</v>
      </c>
      <c r="U1027" s="13" t="str" cm="1">
        <f t="array" ref="U1027">IF(T1027="","",_xlfn.IFS(T1027&lt;18.5,"Bajo peso",T1027&lt;25,"Peso normal",T1027&lt;30,"Sobrepeso",T1027&lt;35,"Obesidad clase I",T1027&lt;40,"Obesidad clase II",T1027&gt;=40,"Obesidad clase III"))</f>
        <v>Sobrepeso</v>
      </c>
      <c r="V1027">
        <v>109</v>
      </c>
      <c r="X1027" t="s">
        <v>3463</v>
      </c>
      <c r="Y1027">
        <v>1.19</v>
      </c>
      <c r="AA1027">
        <v>80</v>
      </c>
      <c r="AB1027" s="9">
        <f t="shared" si="33"/>
        <v>79.686308056696149</v>
      </c>
      <c r="AD1027" t="s">
        <v>73</v>
      </c>
      <c r="AF1027" t="s">
        <v>73</v>
      </c>
      <c r="AH1027" t="s">
        <v>3463</v>
      </c>
      <c r="AI1027" t="s">
        <v>3463</v>
      </c>
      <c r="AJ1027" t="s">
        <v>3463</v>
      </c>
      <c r="AK1027" t="s">
        <v>3463</v>
      </c>
      <c r="AL1027" t="s">
        <v>3463</v>
      </c>
      <c r="AP1027" t="s">
        <v>3463</v>
      </c>
      <c r="AQ1027" t="s">
        <v>2368</v>
      </c>
      <c r="AR1027" t="s">
        <v>3587</v>
      </c>
      <c r="AV1027" t="s">
        <v>74</v>
      </c>
      <c r="AW1027" t="s">
        <v>3915</v>
      </c>
      <c r="BF1027" t="s">
        <v>3921</v>
      </c>
      <c r="BH1027" t="s">
        <v>4020</v>
      </c>
      <c r="BP1027" t="s">
        <v>4260</v>
      </c>
      <c r="BQ1027" t="s">
        <v>3463</v>
      </c>
      <c r="BR1027" t="s">
        <v>3465</v>
      </c>
      <c r="BS1027" t="s">
        <v>3465</v>
      </c>
      <c r="BT1027" t="s">
        <v>3465</v>
      </c>
      <c r="BU1027" t="s">
        <v>3463</v>
      </c>
      <c r="BV1027" t="s">
        <v>3463</v>
      </c>
      <c r="BW1027" t="s">
        <v>3463</v>
      </c>
      <c r="BX1027" t="s">
        <v>79</v>
      </c>
      <c r="BY1027" t="s">
        <v>87</v>
      </c>
      <c r="BZ1027" t="s">
        <v>79</v>
      </c>
      <c r="CA1027" s="10">
        <v>45911</v>
      </c>
    </row>
    <row r="1028" spans="1:79">
      <c r="A1028">
        <v>1037</v>
      </c>
      <c r="B1028">
        <v>370</v>
      </c>
      <c r="C1028">
        <v>40</v>
      </c>
      <c r="D1028" t="s">
        <v>3466</v>
      </c>
      <c r="E1028" t="s">
        <v>2348</v>
      </c>
      <c r="F1028" t="s">
        <v>150</v>
      </c>
      <c r="G1028" s="12" t="s">
        <v>3465</v>
      </c>
      <c r="H1028" t="s">
        <v>88</v>
      </c>
      <c r="I1028">
        <v>129</v>
      </c>
      <c r="K1028">
        <v>127</v>
      </c>
      <c r="L1028">
        <v>94</v>
      </c>
      <c r="M1028" t="s">
        <v>72</v>
      </c>
      <c r="P1028" t="s">
        <v>83</v>
      </c>
      <c r="Q1028" t="s">
        <v>72</v>
      </c>
      <c r="R1028">
        <v>74.5</v>
      </c>
      <c r="S1028">
        <v>159</v>
      </c>
      <c r="T1028" s="8">
        <f t="shared" si="32"/>
        <v>29.468771013804837</v>
      </c>
      <c r="U1028" s="13" t="str" cm="1">
        <f t="array" ref="U1028">IF(T1028="","",_xlfn.IFS(T1028&lt;18.5,"Bajo peso",T1028&lt;25,"Peso normal",T1028&lt;30,"Sobrepeso",T1028&lt;35,"Obesidad clase I",T1028&lt;40,"Obesidad clase II",T1028&gt;=40,"Obesidad clase III"))</f>
        <v>Sobrepeso</v>
      </c>
      <c r="V1028">
        <v>137</v>
      </c>
      <c r="X1028" t="s">
        <v>3463</v>
      </c>
      <c r="Y1028">
        <v>1.07</v>
      </c>
      <c r="AA1028">
        <v>68</v>
      </c>
      <c r="AB1028" s="9">
        <f t="shared" si="33"/>
        <v>67.3419469138652</v>
      </c>
      <c r="AD1028" t="s">
        <v>73</v>
      </c>
      <c r="AF1028" t="s">
        <v>73</v>
      </c>
      <c r="AH1028" t="s">
        <v>3463</v>
      </c>
      <c r="AI1028" t="s">
        <v>3465</v>
      </c>
      <c r="AJ1028" t="s">
        <v>3463</v>
      </c>
      <c r="AK1028" t="s">
        <v>3463</v>
      </c>
      <c r="AL1028" t="s">
        <v>3463</v>
      </c>
      <c r="AP1028" t="s">
        <v>3463</v>
      </c>
      <c r="AQ1028" t="s">
        <v>2369</v>
      </c>
      <c r="AR1028" t="s">
        <v>3488</v>
      </c>
      <c r="AS1028" t="s">
        <v>3465</v>
      </c>
      <c r="AT1028" t="s">
        <v>3465</v>
      </c>
      <c r="AU1028" t="s">
        <v>125</v>
      </c>
      <c r="AV1028" t="s">
        <v>126</v>
      </c>
      <c r="AW1028" t="s">
        <v>126</v>
      </c>
      <c r="AX1028" t="s">
        <v>3463</v>
      </c>
      <c r="AY1028" t="s">
        <v>3465</v>
      </c>
      <c r="AZ1028" t="s">
        <v>90</v>
      </c>
      <c r="BF1028" t="s">
        <v>3921</v>
      </c>
      <c r="BH1028" t="s">
        <v>4020</v>
      </c>
      <c r="BP1028" t="s">
        <v>4260</v>
      </c>
      <c r="BQ1028" t="s">
        <v>3463</v>
      </c>
      <c r="BR1028" t="s">
        <v>3463</v>
      </c>
      <c r="BS1028" t="s">
        <v>3465</v>
      </c>
      <c r="BT1028" t="s">
        <v>3465</v>
      </c>
      <c r="BU1028" t="s">
        <v>3463</v>
      </c>
      <c r="BV1028" t="s">
        <v>3463</v>
      </c>
      <c r="BW1028" t="s">
        <v>3463</v>
      </c>
      <c r="BX1028" t="s">
        <v>79</v>
      </c>
      <c r="BY1028" t="s">
        <v>87</v>
      </c>
      <c r="BZ1028" t="s">
        <v>79</v>
      </c>
      <c r="CA1028" s="10">
        <v>45911</v>
      </c>
    </row>
    <row r="1029" spans="1:79">
      <c r="A1029">
        <v>1038</v>
      </c>
      <c r="B1029">
        <v>371</v>
      </c>
      <c r="C1029">
        <v>32</v>
      </c>
      <c r="D1029" t="s">
        <v>3466</v>
      </c>
      <c r="E1029" t="s">
        <v>2169</v>
      </c>
      <c r="F1029" t="s">
        <v>150</v>
      </c>
      <c r="G1029" s="12" t="s">
        <v>3463</v>
      </c>
      <c r="I1029">
        <v>98</v>
      </c>
      <c r="K1029">
        <v>115</v>
      </c>
      <c r="L1029">
        <v>89</v>
      </c>
      <c r="M1029" t="s">
        <v>82</v>
      </c>
      <c r="P1029" t="s">
        <v>83</v>
      </c>
      <c r="Q1029" t="s">
        <v>82</v>
      </c>
      <c r="R1029">
        <v>86.2</v>
      </c>
      <c r="S1029">
        <v>161</v>
      </c>
      <c r="T1029" s="8">
        <f t="shared" si="32"/>
        <v>33.254889857644379</v>
      </c>
      <c r="U1029" s="13" t="str" cm="1">
        <f t="array" ref="U1029">IF(T1029="","",_xlfn.IFS(T1029&lt;18.5,"Bajo peso",T1029&lt;25,"Peso normal",T1029&lt;30,"Sobrepeso",T1029&lt;35,"Obesidad clase I",T1029&lt;40,"Obesidad clase II",T1029&gt;=40,"Obesidad clase III"))</f>
        <v>Obesidad clase I</v>
      </c>
      <c r="V1029">
        <v>94</v>
      </c>
      <c r="X1029" t="s">
        <v>3463</v>
      </c>
      <c r="Y1029">
        <v>1.17</v>
      </c>
      <c r="AA1029">
        <v>63</v>
      </c>
      <c r="AB1029" s="9">
        <f t="shared" si="33"/>
        <v>63.58156711629335</v>
      </c>
      <c r="AD1029" t="s">
        <v>73</v>
      </c>
      <c r="AF1029" t="s">
        <v>73</v>
      </c>
      <c r="AH1029" t="s">
        <v>3463</v>
      </c>
      <c r="AI1029" t="s">
        <v>3463</v>
      </c>
      <c r="AJ1029" t="s">
        <v>3463</v>
      </c>
      <c r="AK1029" t="s">
        <v>3463</v>
      </c>
      <c r="AL1029" t="s">
        <v>3465</v>
      </c>
      <c r="AM1029" t="s">
        <v>2370</v>
      </c>
      <c r="AN1029" t="s">
        <v>3830</v>
      </c>
      <c r="AP1029" t="s">
        <v>3463</v>
      </c>
      <c r="AQ1029" t="s">
        <v>2371</v>
      </c>
      <c r="AR1029" t="s">
        <v>3490</v>
      </c>
      <c r="AV1029" t="s">
        <v>126</v>
      </c>
      <c r="AW1029" t="s">
        <v>126</v>
      </c>
      <c r="AX1029" t="s">
        <v>3463</v>
      </c>
      <c r="AY1029" t="s">
        <v>3465</v>
      </c>
      <c r="AZ1029" t="s">
        <v>2372</v>
      </c>
      <c r="BD1029" t="s">
        <v>105</v>
      </c>
      <c r="BF1029" t="s">
        <v>3921</v>
      </c>
      <c r="BH1029" t="s">
        <v>4029</v>
      </c>
      <c r="BI1029" t="s">
        <v>2373</v>
      </c>
      <c r="BP1029" t="s">
        <v>4260</v>
      </c>
      <c r="BQ1029" t="s">
        <v>3463</v>
      </c>
      <c r="BR1029" t="s">
        <v>3463</v>
      </c>
      <c r="BS1029" t="s">
        <v>3465</v>
      </c>
      <c r="BT1029" t="s">
        <v>3465</v>
      </c>
      <c r="BU1029" t="s">
        <v>3463</v>
      </c>
      <c r="BV1029" t="s">
        <v>3463</v>
      </c>
      <c r="BW1029" t="s">
        <v>3463</v>
      </c>
      <c r="BX1029" t="s">
        <v>79</v>
      </c>
      <c r="BY1029" t="s">
        <v>79</v>
      </c>
      <c r="BZ1029" t="s">
        <v>79</v>
      </c>
      <c r="CA1029" s="10">
        <v>45911</v>
      </c>
    </row>
    <row r="1030" spans="1:79">
      <c r="A1030">
        <v>1039</v>
      </c>
      <c r="B1030">
        <v>372</v>
      </c>
      <c r="C1030">
        <v>31</v>
      </c>
      <c r="D1030" t="s">
        <v>3462</v>
      </c>
      <c r="F1030" t="s">
        <v>1804</v>
      </c>
      <c r="G1030" s="12" t="s">
        <v>3463</v>
      </c>
      <c r="I1030">
        <v>71</v>
      </c>
      <c r="K1030">
        <v>139</v>
      </c>
      <c r="L1030">
        <v>76</v>
      </c>
      <c r="M1030" t="s">
        <v>82</v>
      </c>
      <c r="P1030" t="s">
        <v>83</v>
      </c>
      <c r="Q1030" t="s">
        <v>82</v>
      </c>
      <c r="R1030">
        <v>97.6</v>
      </c>
      <c r="S1030">
        <v>176</v>
      </c>
      <c r="T1030" s="8">
        <f t="shared" si="32"/>
        <v>31.508264462809915</v>
      </c>
      <c r="U1030" s="13" t="str" cm="1">
        <f t="array" ref="U1030">IF(T1030="","",_xlfn.IFS(T1030&lt;18.5,"Bajo peso",T1030&lt;25,"Peso normal",T1030&lt;30,"Sobrepeso",T1030&lt;35,"Obesidad clase I",T1030&lt;40,"Obesidad clase II",T1030&gt;=40,"Obesidad clase III"))</f>
        <v>Obesidad clase I</v>
      </c>
      <c r="V1030">
        <v>124</v>
      </c>
      <c r="X1030" t="s">
        <v>3463</v>
      </c>
      <c r="Y1030">
        <v>1.2</v>
      </c>
      <c r="AA1030">
        <v>83</v>
      </c>
      <c r="AB1030" s="9">
        <f t="shared" si="33"/>
        <v>82.914526536938084</v>
      </c>
      <c r="AD1030" t="s">
        <v>73</v>
      </c>
      <c r="AF1030" t="s">
        <v>73</v>
      </c>
      <c r="AH1030" t="s">
        <v>3463</v>
      </c>
      <c r="AI1030" t="s">
        <v>3463</v>
      </c>
      <c r="AJ1030" t="s">
        <v>3463</v>
      </c>
      <c r="AK1030" t="s">
        <v>3463</v>
      </c>
      <c r="AL1030" t="s">
        <v>3463</v>
      </c>
      <c r="AP1030" t="s">
        <v>3463</v>
      </c>
      <c r="AQ1030" t="s">
        <v>2374</v>
      </c>
      <c r="AR1030" t="s">
        <v>3518</v>
      </c>
      <c r="AW1030" t="s">
        <v>3916</v>
      </c>
      <c r="BF1030" t="s">
        <v>3921</v>
      </c>
      <c r="BH1030" t="s">
        <v>4020</v>
      </c>
      <c r="BP1030" t="s">
        <v>4260</v>
      </c>
      <c r="BQ1030" t="s">
        <v>3463</v>
      </c>
      <c r="BR1030" t="s">
        <v>3465</v>
      </c>
      <c r="BS1030" t="s">
        <v>3465</v>
      </c>
      <c r="BT1030" t="s">
        <v>3465</v>
      </c>
      <c r="BU1030" t="s">
        <v>3463</v>
      </c>
      <c r="BV1030" t="s">
        <v>3463</v>
      </c>
      <c r="BW1030" t="s">
        <v>3463</v>
      </c>
      <c r="BX1030" t="s">
        <v>79</v>
      </c>
      <c r="BY1030" t="s">
        <v>87</v>
      </c>
      <c r="BZ1030" t="s">
        <v>79</v>
      </c>
      <c r="CA1030" s="10">
        <v>45911</v>
      </c>
    </row>
    <row r="1031" spans="1:79">
      <c r="A1031">
        <v>1040</v>
      </c>
      <c r="B1031">
        <v>373</v>
      </c>
      <c r="C1031">
        <v>47</v>
      </c>
      <c r="D1031" t="s">
        <v>3466</v>
      </c>
      <c r="E1031" t="s">
        <v>2348</v>
      </c>
      <c r="F1031" t="s">
        <v>380</v>
      </c>
      <c r="G1031" s="12" t="s">
        <v>3463</v>
      </c>
      <c r="I1031">
        <v>66</v>
      </c>
      <c r="K1031">
        <v>135</v>
      </c>
      <c r="L1031">
        <v>76</v>
      </c>
      <c r="M1031" t="s">
        <v>82</v>
      </c>
      <c r="P1031" t="s">
        <v>83</v>
      </c>
      <c r="Q1031" t="s">
        <v>82</v>
      </c>
      <c r="R1031">
        <v>72.2</v>
      </c>
      <c r="S1031">
        <v>156</v>
      </c>
      <c r="T1031" s="8">
        <f t="shared" si="32"/>
        <v>29.667981591058513</v>
      </c>
      <c r="U1031" s="13" t="str" cm="1">
        <f t="array" ref="U1031">IF(T1031="","",_xlfn.IFS(T1031&lt;18.5,"Bajo peso",T1031&lt;25,"Peso normal",T1031&lt;30,"Sobrepeso",T1031&lt;35,"Obesidad clase I",T1031&lt;40,"Obesidad clase II",T1031&gt;=40,"Obesidad clase III"))</f>
        <v>Sobrepeso</v>
      </c>
      <c r="V1031">
        <v>127</v>
      </c>
      <c r="X1031" t="s">
        <v>3463</v>
      </c>
      <c r="Y1031">
        <v>0.94</v>
      </c>
      <c r="AA1031">
        <v>75</v>
      </c>
      <c r="AB1031" s="9">
        <f t="shared" si="33"/>
        <v>75.315735890861603</v>
      </c>
      <c r="AD1031" t="s">
        <v>73</v>
      </c>
      <c r="AF1031" t="s">
        <v>73</v>
      </c>
      <c r="AH1031" t="s">
        <v>3463</v>
      </c>
      <c r="AI1031" t="s">
        <v>3463</v>
      </c>
      <c r="AJ1031" t="s">
        <v>3463</v>
      </c>
      <c r="AK1031" t="s">
        <v>3463</v>
      </c>
      <c r="AL1031" t="s">
        <v>3463</v>
      </c>
      <c r="AP1031" t="s">
        <v>3463</v>
      </c>
      <c r="AQ1031" t="s">
        <v>2375</v>
      </c>
      <c r="AR1031" t="s">
        <v>3588</v>
      </c>
      <c r="AW1031" t="s">
        <v>3916</v>
      </c>
      <c r="AX1031" t="s">
        <v>3465</v>
      </c>
      <c r="AY1031" t="s">
        <v>3465</v>
      </c>
      <c r="AZ1031" t="s">
        <v>104</v>
      </c>
      <c r="BF1031" t="s">
        <v>3921</v>
      </c>
      <c r="BH1031" t="s">
        <v>4020</v>
      </c>
      <c r="BP1031" t="s">
        <v>4260</v>
      </c>
      <c r="BQ1031" t="s">
        <v>3465</v>
      </c>
      <c r="BR1031" t="s">
        <v>3465</v>
      </c>
      <c r="BS1031" t="s">
        <v>3465</v>
      </c>
      <c r="BT1031" t="s">
        <v>3465</v>
      </c>
      <c r="BU1031" t="s">
        <v>3463</v>
      </c>
      <c r="BV1031" t="s">
        <v>3463</v>
      </c>
      <c r="BW1031" t="s">
        <v>3463</v>
      </c>
      <c r="BX1031" t="s">
        <v>79</v>
      </c>
      <c r="BY1031" t="s">
        <v>87</v>
      </c>
      <c r="BZ1031" t="s">
        <v>79</v>
      </c>
      <c r="CA1031" s="10">
        <v>45911</v>
      </c>
    </row>
    <row r="1032" spans="1:79">
      <c r="A1032">
        <v>1041</v>
      </c>
      <c r="B1032">
        <v>374</v>
      </c>
      <c r="C1032">
        <v>44</v>
      </c>
      <c r="D1032" t="s">
        <v>3462</v>
      </c>
      <c r="E1032" t="s">
        <v>2376</v>
      </c>
      <c r="F1032" t="s">
        <v>380</v>
      </c>
      <c r="G1032" s="12" t="s">
        <v>3463</v>
      </c>
      <c r="H1032" s="12"/>
      <c r="M1032" t="s">
        <v>83</v>
      </c>
      <c r="P1032" t="s">
        <v>83</v>
      </c>
      <c r="Q1032" t="s">
        <v>83</v>
      </c>
      <c r="T1032" s="8" t="str">
        <f t="shared" si="32"/>
        <v/>
      </c>
      <c r="U1032" s="13" t="str" cm="1">
        <f t="array" ref="U1032">IF(T1032="","",_xlfn.IFS(T1032&lt;18.5,"Bajo peso",T1032&lt;25,"Peso normal",T1032&lt;30,"Sobrepeso",T1032&lt;35,"Obesidad clase I",T1032&lt;40,"Obesidad clase II",T1032&gt;=40,"Obesidad clase III"))</f>
        <v/>
      </c>
      <c r="V1032">
        <v>115</v>
      </c>
      <c r="X1032" t="s">
        <v>3463</v>
      </c>
      <c r="Y1032">
        <v>1.27</v>
      </c>
      <c r="AA1032">
        <v>71</v>
      </c>
      <c r="AB1032" s="9">
        <f t="shared" si="33"/>
        <v>71.444788774169538</v>
      </c>
      <c r="AD1032" t="s">
        <v>73</v>
      </c>
      <c r="AF1032" t="s">
        <v>73</v>
      </c>
      <c r="AH1032" t="s">
        <v>3463</v>
      </c>
      <c r="AI1032" t="s">
        <v>3463</v>
      </c>
      <c r="AJ1032" t="s">
        <v>3463</v>
      </c>
      <c r="AK1032" t="s">
        <v>3463</v>
      </c>
      <c r="AL1032" t="s">
        <v>3463</v>
      </c>
      <c r="AO1032" t="s">
        <v>3463</v>
      </c>
      <c r="AP1032" t="s">
        <v>3465</v>
      </c>
      <c r="AQ1032" t="s">
        <v>959</v>
      </c>
      <c r="AR1032" t="s">
        <v>3522</v>
      </c>
      <c r="AV1032" t="s">
        <v>126</v>
      </c>
      <c r="AW1032" t="s">
        <v>126</v>
      </c>
      <c r="BF1032" t="s">
        <v>3921</v>
      </c>
      <c r="BH1032" t="s">
        <v>4020</v>
      </c>
      <c r="BP1032" t="s">
        <v>4260</v>
      </c>
      <c r="BQ1032" t="s">
        <v>3463</v>
      </c>
      <c r="BR1032" t="s">
        <v>3463</v>
      </c>
      <c r="BS1032" t="s">
        <v>3463</v>
      </c>
      <c r="BT1032" t="s">
        <v>3465</v>
      </c>
      <c r="BU1032" t="s">
        <v>3463</v>
      </c>
      <c r="BV1032" t="s">
        <v>3463</v>
      </c>
      <c r="BW1032" t="s">
        <v>3463</v>
      </c>
      <c r="BX1032" t="s">
        <v>79</v>
      </c>
      <c r="BY1032" t="s">
        <v>87</v>
      </c>
      <c r="BZ1032" t="s">
        <v>79</v>
      </c>
      <c r="CA1032" s="10">
        <v>45911</v>
      </c>
    </row>
    <row r="1033" spans="1:79">
      <c r="A1033">
        <v>1042</v>
      </c>
      <c r="B1033">
        <v>375</v>
      </c>
      <c r="C1033">
        <v>2</v>
      </c>
      <c r="D1033" t="s">
        <v>3462</v>
      </c>
      <c r="E1033" t="s">
        <v>1659</v>
      </c>
      <c r="F1033" t="s">
        <v>168</v>
      </c>
      <c r="G1033" s="12" t="s">
        <v>4576</v>
      </c>
      <c r="H1033" t="s">
        <v>88</v>
      </c>
      <c r="I1033">
        <v>72</v>
      </c>
      <c r="K1033">
        <v>106</v>
      </c>
      <c r="L1033">
        <v>69</v>
      </c>
      <c r="M1033" t="s">
        <v>80</v>
      </c>
      <c r="P1033" t="s">
        <v>83</v>
      </c>
      <c r="Q1033" t="s">
        <v>80</v>
      </c>
      <c r="R1033">
        <v>70.2</v>
      </c>
      <c r="S1033">
        <v>170</v>
      </c>
      <c r="T1033" s="8">
        <f t="shared" si="32"/>
        <v>24.290657439446367</v>
      </c>
      <c r="U1033" s="13" t="str" cm="1">
        <f t="array" ref="U1033">IF(T1033="","",_xlfn.IFS(T1033&lt;18.5,"Bajo peso",T1033&lt;25,"Peso normal",T1033&lt;30,"Sobrepeso",T1033&lt;35,"Obesidad clase I",T1033&lt;40,"Obesidad clase II",T1033&gt;=40,"Obesidad clase III"))</f>
        <v>Peso normal</v>
      </c>
      <c r="V1033">
        <v>120</v>
      </c>
      <c r="X1033" t="s">
        <v>3463</v>
      </c>
      <c r="Y1033">
        <v>0.87</v>
      </c>
      <c r="AA1033">
        <v>90</v>
      </c>
      <c r="AB1033" s="9">
        <f t="shared" si="33"/>
        <v>141.68789648634871</v>
      </c>
      <c r="AD1033" t="s">
        <v>73</v>
      </c>
      <c r="AF1033" t="s">
        <v>73</v>
      </c>
      <c r="AH1033" t="s">
        <v>3463</v>
      </c>
      <c r="AI1033" t="s">
        <v>3463</v>
      </c>
      <c r="AJ1033" t="s">
        <v>3463</v>
      </c>
      <c r="AK1033" t="s">
        <v>3463</v>
      </c>
      <c r="AL1033" t="s">
        <v>3463</v>
      </c>
      <c r="AP1033" t="s">
        <v>3463</v>
      </c>
      <c r="AQ1033" t="s">
        <v>2377</v>
      </c>
      <c r="AR1033" t="s">
        <v>3506</v>
      </c>
      <c r="AV1033" t="s">
        <v>126</v>
      </c>
      <c r="AW1033" t="s">
        <v>126</v>
      </c>
      <c r="BF1033" t="s">
        <v>3921</v>
      </c>
      <c r="BH1033" t="s">
        <v>4020</v>
      </c>
      <c r="BP1033" t="s">
        <v>4260</v>
      </c>
      <c r="BQ1033" t="s">
        <v>3463</v>
      </c>
      <c r="BR1033" t="s">
        <v>3465</v>
      </c>
      <c r="BS1033" t="s">
        <v>3465</v>
      </c>
      <c r="BT1033" t="s">
        <v>3465</v>
      </c>
      <c r="BU1033" t="s">
        <v>3463</v>
      </c>
      <c r="BV1033" t="s">
        <v>3463</v>
      </c>
      <c r="BW1033" t="s">
        <v>3463</v>
      </c>
      <c r="BX1033" t="s">
        <v>79</v>
      </c>
      <c r="BY1033" t="s">
        <v>87</v>
      </c>
      <c r="BZ1033" t="s">
        <v>79</v>
      </c>
      <c r="CA1033" s="10">
        <v>45911</v>
      </c>
    </row>
    <row r="1034" spans="1:79">
      <c r="A1034">
        <v>1043</v>
      </c>
      <c r="B1034">
        <v>376</v>
      </c>
      <c r="C1034">
        <v>27</v>
      </c>
      <c r="D1034" t="s">
        <v>3462</v>
      </c>
      <c r="F1034" t="s">
        <v>168</v>
      </c>
      <c r="G1034" s="12" t="s">
        <v>3463</v>
      </c>
      <c r="I1034">
        <v>59</v>
      </c>
      <c r="K1034">
        <v>126</v>
      </c>
      <c r="L1034">
        <v>70</v>
      </c>
      <c r="M1034" t="s">
        <v>118</v>
      </c>
      <c r="P1034" t="s">
        <v>83</v>
      </c>
      <c r="Q1034" t="s">
        <v>118</v>
      </c>
      <c r="R1034">
        <v>66.900000000000006</v>
      </c>
      <c r="S1034">
        <v>172</v>
      </c>
      <c r="T1034" s="8">
        <f t="shared" si="32"/>
        <v>22.613574905354245</v>
      </c>
      <c r="U1034" s="13" t="str" cm="1">
        <f t="array" ref="U1034">IF(T1034="","",_xlfn.IFS(T1034&lt;18.5,"Bajo peso",T1034&lt;25,"Peso normal",T1034&lt;30,"Sobrepeso",T1034&lt;35,"Obesidad clase I",T1034&lt;40,"Obesidad clase II",T1034&gt;=40,"Obesidad clase III"))</f>
        <v>Peso normal</v>
      </c>
      <c r="V1034">
        <v>128</v>
      </c>
      <c r="X1034" t="s">
        <v>3463</v>
      </c>
      <c r="Y1034">
        <v>1.06</v>
      </c>
      <c r="AA1034">
        <v>90</v>
      </c>
      <c r="AB1034" s="9">
        <f t="shared" si="33"/>
        <v>98.647279430201223</v>
      </c>
      <c r="AD1034" t="s">
        <v>73</v>
      </c>
      <c r="AF1034" t="s">
        <v>73</v>
      </c>
      <c r="AH1034" t="s">
        <v>3463</v>
      </c>
      <c r="AI1034" t="s">
        <v>3463</v>
      </c>
      <c r="AJ1034" t="s">
        <v>3463</v>
      </c>
      <c r="AK1034" t="s">
        <v>3463</v>
      </c>
      <c r="AL1034" t="s">
        <v>3463</v>
      </c>
      <c r="AP1034" t="s">
        <v>3463</v>
      </c>
      <c r="AV1034" t="s">
        <v>126</v>
      </c>
      <c r="AW1034" t="s">
        <v>126</v>
      </c>
      <c r="BF1034" t="s">
        <v>3921</v>
      </c>
      <c r="BH1034" t="s">
        <v>4020</v>
      </c>
      <c r="BP1034" t="s">
        <v>4260</v>
      </c>
      <c r="BQ1034" t="s">
        <v>3463</v>
      </c>
      <c r="BR1034" t="s">
        <v>3465</v>
      </c>
      <c r="BS1034" t="s">
        <v>3465</v>
      </c>
      <c r="BT1034" t="s">
        <v>3465</v>
      </c>
      <c r="BU1034" t="s">
        <v>3463</v>
      </c>
      <c r="BX1034" t="s">
        <v>79</v>
      </c>
      <c r="BY1034" t="s">
        <v>87</v>
      </c>
      <c r="BZ1034" t="s">
        <v>79</v>
      </c>
      <c r="CA1034" s="10">
        <v>45911</v>
      </c>
    </row>
    <row r="1035" spans="1:79">
      <c r="A1035">
        <v>1044</v>
      </c>
      <c r="B1035">
        <v>377</v>
      </c>
      <c r="C1035">
        <v>32</v>
      </c>
      <c r="D1035" t="s">
        <v>3466</v>
      </c>
      <c r="E1035" t="s">
        <v>2348</v>
      </c>
      <c r="F1035" t="s">
        <v>150</v>
      </c>
      <c r="G1035" s="12" t="s">
        <v>3465</v>
      </c>
      <c r="H1035" t="s">
        <v>88</v>
      </c>
      <c r="I1035">
        <v>76</v>
      </c>
      <c r="K1035">
        <v>138</v>
      </c>
      <c r="L1035">
        <v>84</v>
      </c>
      <c r="M1035" t="s">
        <v>82</v>
      </c>
      <c r="P1035" t="s">
        <v>83</v>
      </c>
      <c r="Q1035" t="s">
        <v>82</v>
      </c>
      <c r="R1035">
        <v>94</v>
      </c>
      <c r="S1035">
        <v>164</v>
      </c>
      <c r="T1035" s="8">
        <f t="shared" si="32"/>
        <v>34.94943486020226</v>
      </c>
      <c r="U1035" s="13" t="str" cm="1">
        <f t="array" ref="U1035">IF(T1035="","",_xlfn.IFS(T1035&lt;18.5,"Bajo peso",T1035&lt;25,"Peso normal",T1035&lt;30,"Sobrepeso",T1035&lt;35,"Obesidad clase I",T1035&lt;40,"Obesidad clase II",T1035&gt;=40,"Obesidad clase III"))</f>
        <v>Obesidad clase I</v>
      </c>
      <c r="V1035">
        <v>110</v>
      </c>
      <c r="X1035" t="s">
        <v>3463</v>
      </c>
      <c r="Y1035">
        <v>1.1599999999999999</v>
      </c>
      <c r="AA1035">
        <v>65</v>
      </c>
      <c r="AB1035" s="9">
        <f t="shared" si="33"/>
        <v>64.239873184858652</v>
      </c>
      <c r="AD1035" t="s">
        <v>73</v>
      </c>
      <c r="AF1035" t="s">
        <v>73</v>
      </c>
      <c r="AH1035" t="s">
        <v>3464</v>
      </c>
      <c r="AI1035" t="s">
        <v>3465</v>
      </c>
      <c r="AJ1035" t="s">
        <v>3463</v>
      </c>
      <c r="AK1035" t="s">
        <v>3463</v>
      </c>
      <c r="AL1035" t="s">
        <v>3463</v>
      </c>
      <c r="AP1035" t="s">
        <v>3463</v>
      </c>
      <c r="AQ1035" t="s">
        <v>159</v>
      </c>
      <c r="AR1035" t="s">
        <v>3491</v>
      </c>
      <c r="AS1035" t="s">
        <v>3465</v>
      </c>
      <c r="AT1035" t="s">
        <v>3463</v>
      </c>
      <c r="AV1035" t="s">
        <v>126</v>
      </c>
      <c r="AW1035" t="s">
        <v>126</v>
      </c>
      <c r="AX1035" t="s">
        <v>3463</v>
      </c>
      <c r="AY1035" t="s">
        <v>3465</v>
      </c>
      <c r="AZ1035" t="s">
        <v>1274</v>
      </c>
      <c r="BF1035" t="s">
        <v>3921</v>
      </c>
      <c r="BH1035" t="s">
        <v>4020</v>
      </c>
      <c r="BP1035" t="s">
        <v>4260</v>
      </c>
      <c r="BQ1035" t="s">
        <v>3463</v>
      </c>
      <c r="BR1035" t="s">
        <v>3463</v>
      </c>
      <c r="BS1035" t="s">
        <v>3463</v>
      </c>
      <c r="BT1035" t="s">
        <v>3465</v>
      </c>
      <c r="BU1035" t="s">
        <v>3463</v>
      </c>
      <c r="BV1035" t="s">
        <v>3463</v>
      </c>
      <c r="BW1035" t="s">
        <v>3463</v>
      </c>
      <c r="BX1035" t="s">
        <v>79</v>
      </c>
      <c r="BY1035" t="s">
        <v>87</v>
      </c>
      <c r="BZ1035" t="s">
        <v>79</v>
      </c>
      <c r="CA1035" s="10">
        <v>45911</v>
      </c>
    </row>
    <row r="1036" spans="1:79">
      <c r="A1036">
        <v>1045</v>
      </c>
      <c r="B1036">
        <v>378</v>
      </c>
      <c r="C1036">
        <v>29</v>
      </c>
      <c r="D1036" t="s">
        <v>3466</v>
      </c>
      <c r="F1036" t="s">
        <v>168</v>
      </c>
      <c r="G1036" s="12" t="s">
        <v>3463</v>
      </c>
      <c r="I1036">
        <v>72</v>
      </c>
      <c r="K1036">
        <v>148</v>
      </c>
      <c r="L1036">
        <v>83</v>
      </c>
      <c r="M1036" t="s">
        <v>72</v>
      </c>
      <c r="P1036" t="s">
        <v>83</v>
      </c>
      <c r="Q1036" t="s">
        <v>72</v>
      </c>
      <c r="R1036">
        <v>91.1</v>
      </c>
      <c r="S1036">
        <v>177</v>
      </c>
      <c r="T1036" s="8">
        <f t="shared" si="32"/>
        <v>29.078489578345941</v>
      </c>
      <c r="U1036" s="13" t="str" cm="1">
        <f t="array" ref="U1036">IF(T1036="","",_xlfn.IFS(T1036&lt;18.5,"Bajo peso",T1036&lt;25,"Peso normal",T1036&lt;30,"Sobrepeso",T1036&lt;35,"Obesidad clase I",T1036&lt;40,"Obesidad clase II",T1036&gt;=40,"Obesidad clase III"))</f>
        <v>Sobrepeso</v>
      </c>
      <c r="V1036">
        <v>105</v>
      </c>
      <c r="X1036" t="s">
        <v>3463</v>
      </c>
      <c r="Y1036">
        <v>1.35</v>
      </c>
      <c r="AA1036">
        <v>73</v>
      </c>
      <c r="AB1036" s="9">
        <f t="shared" si="33"/>
        <v>54.557789091413213</v>
      </c>
      <c r="AD1036" t="s">
        <v>73</v>
      </c>
      <c r="AF1036" t="s">
        <v>73</v>
      </c>
      <c r="AH1036" t="s">
        <v>3463</v>
      </c>
      <c r="AI1036" t="s">
        <v>3463</v>
      </c>
      <c r="AJ1036" t="s">
        <v>3463</v>
      </c>
      <c r="AK1036" t="s">
        <v>3465</v>
      </c>
      <c r="AL1036" t="s">
        <v>3463</v>
      </c>
      <c r="AP1036" t="s">
        <v>3463</v>
      </c>
      <c r="AV1036" t="s">
        <v>126</v>
      </c>
      <c r="AW1036" t="s">
        <v>126</v>
      </c>
      <c r="BF1036" t="s">
        <v>3921</v>
      </c>
      <c r="BH1036" t="s">
        <v>4020</v>
      </c>
      <c r="BP1036" t="s">
        <v>4260</v>
      </c>
      <c r="BQ1036" t="s">
        <v>3463</v>
      </c>
      <c r="BR1036" t="s">
        <v>3463</v>
      </c>
      <c r="BS1036" t="s">
        <v>3463</v>
      </c>
      <c r="BT1036" t="s">
        <v>3463</v>
      </c>
      <c r="BU1036" t="s">
        <v>3463</v>
      </c>
      <c r="BV1036" t="s">
        <v>3463</v>
      </c>
      <c r="BW1036" t="s">
        <v>3463</v>
      </c>
      <c r="BX1036" t="s">
        <v>79</v>
      </c>
      <c r="BY1036" t="s">
        <v>87</v>
      </c>
      <c r="BZ1036" t="s">
        <v>79</v>
      </c>
      <c r="CA1036" s="10">
        <v>45911</v>
      </c>
    </row>
    <row r="1037" spans="1:79">
      <c r="A1037">
        <v>1046</v>
      </c>
      <c r="B1037">
        <v>379</v>
      </c>
      <c r="C1037">
        <v>32</v>
      </c>
      <c r="D1037" t="s">
        <v>3462</v>
      </c>
      <c r="F1037" t="s">
        <v>168</v>
      </c>
      <c r="G1037" s="12" t="s">
        <v>3465</v>
      </c>
      <c r="H1037" t="s">
        <v>88</v>
      </c>
      <c r="M1037" t="s">
        <v>83</v>
      </c>
      <c r="P1037" t="s">
        <v>83</v>
      </c>
      <c r="Q1037" t="s">
        <v>83</v>
      </c>
      <c r="T1037" s="8" t="str">
        <f t="shared" si="32"/>
        <v/>
      </c>
      <c r="U1037" s="13" t="str" cm="1">
        <f t="array" ref="U1037">IF(T1037="","",_xlfn.IFS(T1037&lt;18.5,"Bajo peso",T1037&lt;25,"Peso normal",T1037&lt;30,"Sobrepeso",T1037&lt;35,"Obesidad clase I",T1037&lt;40,"Obesidad clase II",T1037&gt;=40,"Obesidad clase III"))</f>
        <v/>
      </c>
      <c r="AB1037" s="9" t="str">
        <f t="shared" si="33"/>
        <v/>
      </c>
      <c r="AH1037" t="s">
        <v>3463</v>
      </c>
      <c r="AI1037" t="s">
        <v>3463</v>
      </c>
      <c r="AJ1037" t="s">
        <v>3463</v>
      </c>
      <c r="AK1037" t="s">
        <v>3463</v>
      </c>
      <c r="AL1037" t="s">
        <v>3463</v>
      </c>
      <c r="AP1037" t="s">
        <v>3463</v>
      </c>
      <c r="AQ1037" t="s">
        <v>1574</v>
      </c>
      <c r="AR1037" t="s">
        <v>3488</v>
      </c>
      <c r="AW1037" t="s">
        <v>3916</v>
      </c>
      <c r="BF1037" t="s">
        <v>3921</v>
      </c>
      <c r="BH1037" t="s">
        <v>4020</v>
      </c>
      <c r="BP1037" t="s">
        <v>4260</v>
      </c>
      <c r="BQ1037" t="s">
        <v>3463</v>
      </c>
      <c r="BR1037" t="s">
        <v>3463</v>
      </c>
      <c r="BS1037" t="s">
        <v>3465</v>
      </c>
      <c r="BT1037" t="s">
        <v>3465</v>
      </c>
      <c r="BU1037" t="s">
        <v>3463</v>
      </c>
      <c r="BV1037" t="s">
        <v>3463</v>
      </c>
      <c r="BW1037" t="s">
        <v>3463</v>
      </c>
      <c r="BX1037" t="s">
        <v>79</v>
      </c>
      <c r="BY1037" t="s">
        <v>87</v>
      </c>
      <c r="BZ1037" t="s">
        <v>79</v>
      </c>
      <c r="CA1037" s="10">
        <v>45911</v>
      </c>
    </row>
    <row r="1038" spans="1:79">
      <c r="A1038">
        <v>1048</v>
      </c>
      <c r="B1038">
        <v>381</v>
      </c>
      <c r="C1038">
        <v>42</v>
      </c>
      <c r="D1038" t="s">
        <v>3462</v>
      </c>
      <c r="E1038" t="s">
        <v>2348</v>
      </c>
      <c r="F1038" t="s">
        <v>1540</v>
      </c>
      <c r="G1038" s="12" t="s">
        <v>3463</v>
      </c>
      <c r="H1038" s="12"/>
      <c r="I1038">
        <v>66</v>
      </c>
      <c r="J1038">
        <v>63</v>
      </c>
      <c r="K1038">
        <v>143</v>
      </c>
      <c r="L1038">
        <v>91</v>
      </c>
      <c r="M1038" t="s">
        <v>72</v>
      </c>
      <c r="N1038">
        <v>131</v>
      </c>
      <c r="O1038">
        <v>80</v>
      </c>
      <c r="P1038" t="s">
        <v>82</v>
      </c>
      <c r="Q1038" t="s">
        <v>82</v>
      </c>
      <c r="R1038">
        <v>72</v>
      </c>
      <c r="S1038">
        <v>167</v>
      </c>
      <c r="T1038" s="8">
        <f t="shared" si="32"/>
        <v>25.816630212628635</v>
      </c>
      <c r="U1038" s="13" t="str" cm="1">
        <f t="array" ref="U1038">IF(T1038="","",_xlfn.IFS(T1038&lt;18.5,"Bajo peso",T1038&lt;25,"Peso normal",T1038&lt;30,"Sobrepeso",T1038&lt;35,"Obesidad clase I",T1038&lt;40,"Obesidad clase II",T1038&gt;=40,"Obesidad clase III"))</f>
        <v>Sobrepeso</v>
      </c>
      <c r="V1038">
        <v>76</v>
      </c>
      <c r="X1038" t="s">
        <v>3463</v>
      </c>
      <c r="Y1038">
        <v>1.1200000000000001</v>
      </c>
      <c r="AA1038">
        <v>84</v>
      </c>
      <c r="AB1038" s="9">
        <f t="shared" si="33"/>
        <v>84.115379703355117</v>
      </c>
      <c r="AD1038" t="s">
        <v>73</v>
      </c>
      <c r="AF1038" t="s">
        <v>73</v>
      </c>
      <c r="AH1038" t="s">
        <v>3463</v>
      </c>
      <c r="AI1038" t="s">
        <v>3463</v>
      </c>
      <c r="AJ1038" t="s">
        <v>3463</v>
      </c>
      <c r="AK1038" t="s">
        <v>3463</v>
      </c>
      <c r="AL1038" t="s">
        <v>3465</v>
      </c>
      <c r="AM1038" t="s">
        <v>2378</v>
      </c>
      <c r="AN1038" t="s">
        <v>3641</v>
      </c>
      <c r="AP1038" t="s">
        <v>3463</v>
      </c>
      <c r="AQ1038" t="s">
        <v>2379</v>
      </c>
      <c r="AR1038" t="s">
        <v>3589</v>
      </c>
      <c r="AV1038" t="s">
        <v>126</v>
      </c>
      <c r="AW1038" t="s">
        <v>126</v>
      </c>
      <c r="BF1038" t="s">
        <v>3921</v>
      </c>
      <c r="BH1038" t="s">
        <v>4020</v>
      </c>
      <c r="BP1038" t="s">
        <v>4260</v>
      </c>
      <c r="BQ1038" t="s">
        <v>3463</v>
      </c>
      <c r="BR1038" t="s">
        <v>3465</v>
      </c>
      <c r="BS1038" t="s">
        <v>3465</v>
      </c>
      <c r="BT1038" t="s">
        <v>3465</v>
      </c>
      <c r="BU1038" t="s">
        <v>3463</v>
      </c>
      <c r="BV1038" t="s">
        <v>3463</v>
      </c>
      <c r="BW1038" t="s">
        <v>3463</v>
      </c>
      <c r="BX1038" t="s">
        <v>79</v>
      </c>
      <c r="BY1038" t="s">
        <v>87</v>
      </c>
      <c r="BZ1038" t="s">
        <v>79</v>
      </c>
      <c r="CA1038" s="10">
        <v>45911</v>
      </c>
    </row>
    <row r="1039" spans="1:79">
      <c r="A1039">
        <v>1049</v>
      </c>
      <c r="B1039">
        <v>382</v>
      </c>
      <c r="C1039">
        <v>30</v>
      </c>
      <c r="D1039" t="s">
        <v>3462</v>
      </c>
      <c r="F1039" t="s">
        <v>150</v>
      </c>
      <c r="G1039" s="12" t="s">
        <v>3465</v>
      </c>
      <c r="H1039" t="s">
        <v>88</v>
      </c>
      <c r="I1039">
        <v>77</v>
      </c>
      <c r="J1039">
        <v>73</v>
      </c>
      <c r="K1039">
        <v>144</v>
      </c>
      <c r="L1039">
        <v>86</v>
      </c>
      <c r="M1039" t="s">
        <v>72</v>
      </c>
      <c r="N1039">
        <v>139</v>
      </c>
      <c r="O1039">
        <v>89</v>
      </c>
      <c r="P1039" t="s">
        <v>82</v>
      </c>
      <c r="Q1039" t="s">
        <v>82</v>
      </c>
      <c r="R1039">
        <v>104.7</v>
      </c>
      <c r="S1039">
        <v>174</v>
      </c>
      <c r="T1039" s="8">
        <f t="shared" si="32"/>
        <v>34.581847007530719</v>
      </c>
      <c r="U1039" s="13" t="str" cm="1">
        <f t="array" ref="U1039">IF(T1039="","",_xlfn.IFS(T1039&lt;18.5,"Bajo peso",T1039&lt;25,"Peso normal",T1039&lt;30,"Sobrepeso",T1039&lt;35,"Obesidad clase I",T1039&lt;40,"Obesidad clase II",T1039&gt;=40,"Obesidad clase III"))</f>
        <v>Obesidad clase I</v>
      </c>
      <c r="V1039">
        <v>98</v>
      </c>
      <c r="X1039" t="s">
        <v>3463</v>
      </c>
      <c r="Y1039">
        <v>1.23</v>
      </c>
      <c r="AA1039">
        <v>81</v>
      </c>
      <c r="AB1039" s="9">
        <f t="shared" si="33"/>
        <v>80.995892307478087</v>
      </c>
      <c r="AD1039" t="s">
        <v>73</v>
      </c>
      <c r="AF1039" t="s">
        <v>73</v>
      </c>
      <c r="AH1039" t="s">
        <v>3463</v>
      </c>
      <c r="AI1039" t="s">
        <v>3463</v>
      </c>
      <c r="AJ1039" t="s">
        <v>3463</v>
      </c>
      <c r="AK1039" t="s">
        <v>3463</v>
      </c>
      <c r="AL1039" t="s">
        <v>3463</v>
      </c>
      <c r="AP1039" t="s">
        <v>3463</v>
      </c>
      <c r="AW1039" t="s">
        <v>3916</v>
      </c>
      <c r="BF1039" t="s">
        <v>3921</v>
      </c>
      <c r="BH1039" t="s">
        <v>4020</v>
      </c>
      <c r="BP1039" t="s">
        <v>4260</v>
      </c>
      <c r="BQ1039" t="s">
        <v>3463</v>
      </c>
      <c r="BR1039" t="s">
        <v>3463</v>
      </c>
      <c r="BS1039" t="s">
        <v>3463</v>
      </c>
      <c r="BT1039" t="s">
        <v>3463</v>
      </c>
      <c r="BU1039" t="s">
        <v>3463</v>
      </c>
      <c r="BV1039" t="s">
        <v>3463</v>
      </c>
      <c r="BW1039" t="s">
        <v>3463</v>
      </c>
      <c r="BX1039" t="s">
        <v>79</v>
      </c>
      <c r="BY1039" t="s">
        <v>87</v>
      </c>
      <c r="BZ1039" t="s">
        <v>79</v>
      </c>
      <c r="CA1039" s="10">
        <v>45911</v>
      </c>
    </row>
    <row r="1040" spans="1:79">
      <c r="A1040">
        <v>1050</v>
      </c>
      <c r="B1040">
        <v>383</v>
      </c>
      <c r="C1040">
        <v>32</v>
      </c>
      <c r="D1040" t="s">
        <v>3462</v>
      </c>
      <c r="F1040" t="s">
        <v>150</v>
      </c>
      <c r="G1040" s="12" t="s">
        <v>3463</v>
      </c>
      <c r="I1040">
        <v>68</v>
      </c>
      <c r="K1040">
        <v>136</v>
      </c>
      <c r="L1040">
        <v>78</v>
      </c>
      <c r="M1040" t="s">
        <v>82</v>
      </c>
      <c r="P1040" t="s">
        <v>83</v>
      </c>
      <c r="Q1040" t="s">
        <v>82</v>
      </c>
      <c r="R1040">
        <v>70.25</v>
      </c>
      <c r="S1040">
        <v>171</v>
      </c>
      <c r="T1040" s="8">
        <f t="shared" si="32"/>
        <v>24.024486166683769</v>
      </c>
      <c r="U1040" s="13" t="str" cm="1">
        <f t="array" ref="U1040">IF(T1040="","",_xlfn.IFS(T1040&lt;18.5,"Bajo peso",T1040&lt;25,"Peso normal",T1040&lt;30,"Sobrepeso",T1040&lt;35,"Obesidad clase I",T1040&lt;40,"Obesidad clase II",T1040&gt;=40,"Obesidad clase III"))</f>
        <v>Peso normal</v>
      </c>
      <c r="V1040">
        <v>135</v>
      </c>
      <c r="X1040" t="s">
        <v>3463</v>
      </c>
      <c r="Y1040">
        <v>1.06</v>
      </c>
      <c r="AA1040">
        <v>90</v>
      </c>
      <c r="AB1040" s="9">
        <f t="shared" si="33"/>
        <v>95.626899405908745</v>
      </c>
      <c r="AD1040" t="s">
        <v>73</v>
      </c>
      <c r="AF1040" t="s">
        <v>73</v>
      </c>
      <c r="AH1040" t="s">
        <v>3463</v>
      </c>
      <c r="AI1040" t="s">
        <v>3463</v>
      </c>
      <c r="AJ1040" t="s">
        <v>3463</v>
      </c>
      <c r="AK1040" t="s">
        <v>3463</v>
      </c>
      <c r="AL1040" t="s">
        <v>3463</v>
      </c>
      <c r="AP1040" t="s">
        <v>3463</v>
      </c>
      <c r="AQ1040" t="s">
        <v>955</v>
      </c>
      <c r="AR1040" t="s">
        <v>3512</v>
      </c>
      <c r="AV1040" t="s">
        <v>126</v>
      </c>
      <c r="AW1040" t="s">
        <v>126</v>
      </c>
      <c r="BF1040" t="s">
        <v>3921</v>
      </c>
      <c r="BH1040" t="s">
        <v>4020</v>
      </c>
      <c r="BP1040" t="s">
        <v>4260</v>
      </c>
      <c r="BQ1040" t="s">
        <v>3463</v>
      </c>
      <c r="BR1040" t="s">
        <v>3465</v>
      </c>
      <c r="BS1040" t="s">
        <v>3463</v>
      </c>
      <c r="BT1040" t="s">
        <v>3465</v>
      </c>
      <c r="BU1040" t="s">
        <v>3463</v>
      </c>
      <c r="BV1040" t="s">
        <v>3463</v>
      </c>
      <c r="BW1040" t="s">
        <v>3463</v>
      </c>
      <c r="BX1040" t="s">
        <v>79</v>
      </c>
      <c r="BY1040" t="s">
        <v>87</v>
      </c>
      <c r="BZ1040" t="s">
        <v>79</v>
      </c>
      <c r="CA1040" s="10">
        <v>45911</v>
      </c>
    </row>
    <row r="1041" spans="1:79">
      <c r="A1041">
        <v>1051</v>
      </c>
      <c r="B1041">
        <v>384</v>
      </c>
      <c r="C1041">
        <v>59</v>
      </c>
      <c r="D1041" t="s">
        <v>3462</v>
      </c>
      <c r="E1041" t="s">
        <v>2348</v>
      </c>
      <c r="F1041" t="s">
        <v>150</v>
      </c>
      <c r="G1041" s="12" t="s">
        <v>3463</v>
      </c>
      <c r="I1041">
        <v>86</v>
      </c>
      <c r="K1041">
        <v>136</v>
      </c>
      <c r="L1041">
        <v>88</v>
      </c>
      <c r="M1041" t="s">
        <v>82</v>
      </c>
      <c r="P1041" t="s">
        <v>83</v>
      </c>
      <c r="Q1041" t="s">
        <v>82</v>
      </c>
      <c r="R1041">
        <v>75.2</v>
      </c>
      <c r="S1041">
        <v>162</v>
      </c>
      <c r="T1041" s="8">
        <f t="shared" si="32"/>
        <v>28.654168571864048</v>
      </c>
      <c r="U1041" s="13" t="str" cm="1">
        <f t="array" ref="U1041">IF(T1041="","",_xlfn.IFS(T1041&lt;18.5,"Bajo peso",T1041&lt;25,"Peso normal",T1041&lt;30,"Sobrepeso",T1041&lt;35,"Obesidad clase I",T1041&lt;40,"Obesidad clase II",T1041&gt;=40,"Obesidad clase III"))</f>
        <v>Sobrepeso</v>
      </c>
      <c r="V1041">
        <v>145</v>
      </c>
      <c r="X1041" t="s">
        <v>3463</v>
      </c>
      <c r="Y1041">
        <v>1.48</v>
      </c>
      <c r="AA1041">
        <v>54</v>
      </c>
      <c r="AB1041" s="9">
        <f t="shared" si="33"/>
        <v>54.163391380911321</v>
      </c>
      <c r="AD1041" t="s">
        <v>158</v>
      </c>
      <c r="AF1041" t="s">
        <v>158</v>
      </c>
      <c r="AH1041" t="s">
        <v>3463</v>
      </c>
      <c r="AI1041" t="s">
        <v>3463</v>
      </c>
      <c r="AJ1041" t="s">
        <v>3463</v>
      </c>
      <c r="AK1041" t="s">
        <v>3463</v>
      </c>
      <c r="AL1041" t="s">
        <v>3463</v>
      </c>
      <c r="AP1041" t="s">
        <v>3463</v>
      </c>
      <c r="AV1041" t="s">
        <v>126</v>
      </c>
      <c r="AW1041" t="s">
        <v>126</v>
      </c>
      <c r="BF1041" t="s">
        <v>3921</v>
      </c>
      <c r="BH1041" t="s">
        <v>4020</v>
      </c>
      <c r="BP1041" t="s">
        <v>4260</v>
      </c>
      <c r="BQ1041" t="s">
        <v>3463</v>
      </c>
      <c r="BR1041" t="s">
        <v>3463</v>
      </c>
      <c r="BS1041" t="s">
        <v>3463</v>
      </c>
      <c r="BT1041" t="s">
        <v>3463</v>
      </c>
      <c r="BU1041" t="s">
        <v>3463</v>
      </c>
      <c r="BV1041" t="s">
        <v>3463</v>
      </c>
      <c r="BW1041" t="s">
        <v>3463</v>
      </c>
      <c r="BX1041" t="s">
        <v>79</v>
      </c>
      <c r="BY1041" t="s">
        <v>87</v>
      </c>
      <c r="BZ1041" t="s">
        <v>79</v>
      </c>
      <c r="CA1041" s="10">
        <v>45911</v>
      </c>
    </row>
    <row r="1042" spans="1:79">
      <c r="A1042">
        <v>1052</v>
      </c>
      <c r="B1042">
        <v>385</v>
      </c>
      <c r="C1042">
        <v>43</v>
      </c>
      <c r="D1042" t="s">
        <v>3462</v>
      </c>
      <c r="E1042" t="s">
        <v>2348</v>
      </c>
      <c r="F1042" t="s">
        <v>150</v>
      </c>
      <c r="G1042" s="12" t="s">
        <v>3465</v>
      </c>
      <c r="H1042" t="s">
        <v>88</v>
      </c>
      <c r="I1042">
        <v>74</v>
      </c>
      <c r="K1042">
        <v>141</v>
      </c>
      <c r="L1042">
        <v>88</v>
      </c>
      <c r="M1042" t="s">
        <v>72</v>
      </c>
      <c r="N1042">
        <v>133</v>
      </c>
      <c r="O1042">
        <v>89</v>
      </c>
      <c r="P1042" t="s">
        <v>82</v>
      </c>
      <c r="Q1042" t="s">
        <v>82</v>
      </c>
      <c r="R1042">
        <v>88.9</v>
      </c>
      <c r="S1042">
        <v>168</v>
      </c>
      <c r="T1042" s="8">
        <f t="shared" si="32"/>
        <v>31.498015873015873</v>
      </c>
      <c r="U1042" s="13" t="str" cm="1">
        <f t="array" ref="U1042">IF(T1042="","",_xlfn.IFS(T1042&lt;18.5,"Bajo peso",T1042&lt;25,"Peso normal",T1042&lt;30,"Sobrepeso",T1042&lt;35,"Obesidad clase I",T1042&lt;40,"Obesidad clase II",T1042&gt;=40,"Obesidad clase III"))</f>
        <v>Obesidad clase I</v>
      </c>
      <c r="V1042">
        <v>108</v>
      </c>
      <c r="X1042" t="s">
        <v>3463</v>
      </c>
      <c r="Y1042">
        <v>1.44</v>
      </c>
      <c r="AA1042">
        <v>62</v>
      </c>
      <c r="AB1042" s="9">
        <f t="shared" si="33"/>
        <v>61.830255169070661</v>
      </c>
      <c r="AD1042" t="s">
        <v>73</v>
      </c>
      <c r="AF1042" t="s">
        <v>73</v>
      </c>
      <c r="AH1042" t="s">
        <v>3463</v>
      </c>
      <c r="AI1042" t="s">
        <v>3463</v>
      </c>
      <c r="AJ1042" t="s">
        <v>3465</v>
      </c>
      <c r="AK1042" t="s">
        <v>3463</v>
      </c>
      <c r="AL1042" t="s">
        <v>3463</v>
      </c>
      <c r="AP1042" t="s">
        <v>3463</v>
      </c>
      <c r="AQ1042" t="s">
        <v>2380</v>
      </c>
      <c r="AR1042" t="s">
        <v>3491</v>
      </c>
      <c r="AV1042" t="s">
        <v>126</v>
      </c>
      <c r="AW1042" t="s">
        <v>126</v>
      </c>
      <c r="BF1042" t="s">
        <v>3921</v>
      </c>
      <c r="BH1042" t="s">
        <v>4020</v>
      </c>
      <c r="BP1042" t="s">
        <v>4260</v>
      </c>
      <c r="BQ1042" t="s">
        <v>3463</v>
      </c>
      <c r="BR1042" t="s">
        <v>3465</v>
      </c>
      <c r="BS1042" t="s">
        <v>3463</v>
      </c>
      <c r="BT1042" t="s">
        <v>3465</v>
      </c>
      <c r="BU1042" t="s">
        <v>3465</v>
      </c>
      <c r="BV1042" t="s">
        <v>3463</v>
      </c>
      <c r="BW1042" t="s">
        <v>3465</v>
      </c>
      <c r="BX1042" t="s">
        <v>79</v>
      </c>
      <c r="BY1042" t="s">
        <v>87</v>
      </c>
      <c r="BZ1042" t="s">
        <v>79</v>
      </c>
      <c r="CA1042" s="10">
        <v>45911</v>
      </c>
    </row>
    <row r="1043" spans="1:79">
      <c r="A1043">
        <v>1054</v>
      </c>
      <c r="B1043">
        <v>387</v>
      </c>
      <c r="C1043">
        <v>38</v>
      </c>
      <c r="D1043" t="s">
        <v>3462</v>
      </c>
      <c r="E1043" t="s">
        <v>2381</v>
      </c>
      <c r="F1043" t="s">
        <v>380</v>
      </c>
      <c r="G1043" s="12" t="s">
        <v>3465</v>
      </c>
      <c r="H1043" t="s">
        <v>2382</v>
      </c>
      <c r="I1043">
        <v>71</v>
      </c>
      <c r="K1043">
        <v>130</v>
      </c>
      <c r="L1043">
        <v>75</v>
      </c>
      <c r="M1043" t="s">
        <v>82</v>
      </c>
      <c r="P1043" t="s">
        <v>83</v>
      </c>
      <c r="Q1043" t="s">
        <v>82</v>
      </c>
      <c r="R1043">
        <v>83.4</v>
      </c>
      <c r="S1043">
        <v>169</v>
      </c>
      <c r="T1043" s="8">
        <f t="shared" si="32"/>
        <v>29.200658240257695</v>
      </c>
      <c r="U1043" s="13" t="str" cm="1">
        <f t="array" ref="U1043">IF(T1043="","",_xlfn.IFS(T1043&lt;18.5,"Bajo peso",T1043&lt;25,"Peso normal",T1043&lt;30,"Sobrepeso",T1043&lt;35,"Obesidad clase I",T1043&lt;40,"Obesidad clase II",T1043&gt;=40,"Obesidad clase III"))</f>
        <v>Sobrepeso</v>
      </c>
      <c r="V1043">
        <v>109</v>
      </c>
      <c r="X1043" t="s">
        <v>3463</v>
      </c>
      <c r="Y1043">
        <v>1.29</v>
      </c>
      <c r="AA1043">
        <v>73</v>
      </c>
      <c r="AB1043" s="9">
        <f t="shared" si="33"/>
        <v>72.783580256397883</v>
      </c>
      <c r="AD1043" t="s">
        <v>73</v>
      </c>
      <c r="AF1043" t="s">
        <v>73</v>
      </c>
      <c r="AH1043" t="s">
        <v>3463</v>
      </c>
      <c r="AI1043" t="s">
        <v>3463</v>
      </c>
      <c r="AJ1043" t="s">
        <v>3463</v>
      </c>
      <c r="AK1043" t="s">
        <v>3463</v>
      </c>
      <c r="AL1043" t="s">
        <v>3463</v>
      </c>
      <c r="AP1043" t="s">
        <v>3463</v>
      </c>
      <c r="AQ1043" t="s">
        <v>2383</v>
      </c>
      <c r="AR1043" t="s">
        <v>3512</v>
      </c>
      <c r="AV1043" t="s">
        <v>126</v>
      </c>
      <c r="AW1043" t="s">
        <v>126</v>
      </c>
      <c r="BF1043" t="s">
        <v>3921</v>
      </c>
      <c r="BH1043" t="s">
        <v>4020</v>
      </c>
      <c r="BP1043" t="s">
        <v>4260</v>
      </c>
      <c r="BQ1043" t="s">
        <v>3463</v>
      </c>
      <c r="BR1043" t="s">
        <v>3463</v>
      </c>
      <c r="BS1043" t="s">
        <v>3463</v>
      </c>
      <c r="BT1043" t="s">
        <v>3465</v>
      </c>
      <c r="BU1043" t="s">
        <v>3463</v>
      </c>
      <c r="BV1043" t="s">
        <v>3463</v>
      </c>
      <c r="BW1043" t="s">
        <v>3465</v>
      </c>
      <c r="BX1043" t="s">
        <v>79</v>
      </c>
      <c r="BY1043" t="s">
        <v>87</v>
      </c>
      <c r="BZ1043" t="s">
        <v>79</v>
      </c>
      <c r="CA1043" s="10">
        <v>45911</v>
      </c>
    </row>
    <row r="1044" spans="1:79">
      <c r="A1044">
        <v>1055</v>
      </c>
      <c r="B1044">
        <v>388</v>
      </c>
      <c r="C1044">
        <v>36</v>
      </c>
      <c r="D1044" t="s">
        <v>3462</v>
      </c>
      <c r="E1044" t="s">
        <v>2348</v>
      </c>
      <c r="F1044" t="s">
        <v>1804</v>
      </c>
      <c r="G1044" s="12" t="s">
        <v>3463</v>
      </c>
      <c r="I1044">
        <v>86</v>
      </c>
      <c r="J1044">
        <v>91</v>
      </c>
      <c r="K1044">
        <v>157</v>
      </c>
      <c r="L1044">
        <v>94</v>
      </c>
      <c r="M1044" t="s">
        <v>72</v>
      </c>
      <c r="N1044">
        <v>152</v>
      </c>
      <c r="O1044">
        <v>88</v>
      </c>
      <c r="P1044" t="s">
        <v>72</v>
      </c>
      <c r="Q1044" t="s">
        <v>72</v>
      </c>
      <c r="R1044">
        <v>69.2</v>
      </c>
      <c r="S1044">
        <v>157</v>
      </c>
      <c r="T1044" s="8">
        <f t="shared" si="32"/>
        <v>28.074161223579051</v>
      </c>
      <c r="U1044" s="13" t="str" cm="1">
        <f t="array" ref="U1044">IF(T1044="","",_xlfn.IFS(T1044&lt;18.5,"Bajo peso",T1044&lt;25,"Peso normal",T1044&lt;30,"Sobrepeso",T1044&lt;35,"Obesidad clase I",T1044&lt;40,"Obesidad clase II",T1044&gt;=40,"Obesidad clase III"))</f>
        <v>Sobrepeso</v>
      </c>
      <c r="V1044">
        <v>117</v>
      </c>
      <c r="X1044" t="s">
        <v>3463</v>
      </c>
      <c r="Y1044">
        <v>1.07</v>
      </c>
      <c r="AA1044">
        <v>90</v>
      </c>
      <c r="AB1044" s="9">
        <f t="shared" si="33"/>
        <v>92.232196031173956</v>
      </c>
      <c r="AD1044" t="s">
        <v>73</v>
      </c>
      <c r="AF1044" t="s">
        <v>73</v>
      </c>
      <c r="AH1044" t="s">
        <v>3463</v>
      </c>
      <c r="AI1044" t="s">
        <v>3463</v>
      </c>
      <c r="AJ1044" t="s">
        <v>3463</v>
      </c>
      <c r="AK1044" t="s">
        <v>3463</v>
      </c>
      <c r="AL1044" t="s">
        <v>3463</v>
      </c>
      <c r="AP1044" t="s">
        <v>3463</v>
      </c>
      <c r="AQ1044" t="s">
        <v>476</v>
      </c>
      <c r="AR1044" t="s">
        <v>3488</v>
      </c>
      <c r="AV1044" t="s">
        <v>126</v>
      </c>
      <c r="AW1044" t="s">
        <v>126</v>
      </c>
      <c r="BF1044" t="s">
        <v>3921</v>
      </c>
      <c r="BH1044" t="s">
        <v>4020</v>
      </c>
      <c r="BP1044" t="s">
        <v>4260</v>
      </c>
      <c r="BQ1044" t="s">
        <v>3463</v>
      </c>
      <c r="BR1044" t="s">
        <v>3463</v>
      </c>
      <c r="BS1044" t="s">
        <v>3463</v>
      </c>
      <c r="BT1044" t="s">
        <v>3463</v>
      </c>
      <c r="BU1044" t="s">
        <v>3463</v>
      </c>
      <c r="BV1044" t="s">
        <v>3463</v>
      </c>
      <c r="BW1044" t="s">
        <v>3463</v>
      </c>
      <c r="BX1044" t="s">
        <v>79</v>
      </c>
      <c r="BY1044" t="s">
        <v>87</v>
      </c>
      <c r="BZ1044" t="s">
        <v>79</v>
      </c>
      <c r="CA1044" s="10">
        <v>45911</v>
      </c>
    </row>
    <row r="1045" spans="1:79">
      <c r="A1045">
        <v>1056</v>
      </c>
      <c r="B1045">
        <v>389</v>
      </c>
      <c r="C1045">
        <v>34</v>
      </c>
      <c r="D1045" t="s">
        <v>3462</v>
      </c>
      <c r="F1045" t="s">
        <v>150</v>
      </c>
      <c r="G1045" s="12" t="s">
        <v>3463</v>
      </c>
      <c r="H1045" s="12"/>
      <c r="I1045">
        <v>82</v>
      </c>
      <c r="J1045">
        <v>76</v>
      </c>
      <c r="K1045">
        <v>148</v>
      </c>
      <c r="L1045">
        <v>91</v>
      </c>
      <c r="M1045" t="s">
        <v>72</v>
      </c>
      <c r="N1045">
        <v>142</v>
      </c>
      <c r="O1045">
        <v>93</v>
      </c>
      <c r="P1045" t="s">
        <v>72</v>
      </c>
      <c r="Q1045" t="s">
        <v>72</v>
      </c>
      <c r="R1045">
        <v>85</v>
      </c>
      <c r="S1045">
        <v>168</v>
      </c>
      <c r="T1045" s="8">
        <f t="shared" si="32"/>
        <v>30.116213151927436</v>
      </c>
      <c r="U1045" s="13" t="str" cm="1">
        <f t="array" ref="U1045">IF(T1045="","",_xlfn.IFS(T1045&lt;18.5,"Bajo peso",T1045&lt;25,"Peso normal",T1045&lt;30,"Sobrepeso",T1045&lt;35,"Obesidad clase I",T1045&lt;40,"Obesidad clase II",T1045&gt;=40,"Obesidad clase III"))</f>
        <v>Obesidad clase I</v>
      </c>
      <c r="V1045">
        <v>106</v>
      </c>
      <c r="X1045" t="s">
        <v>3463</v>
      </c>
      <c r="Y1045">
        <v>1.34</v>
      </c>
      <c r="AA1045">
        <v>71</v>
      </c>
      <c r="AB1045" s="9">
        <f t="shared" si="33"/>
        <v>71.288477493819556</v>
      </c>
      <c r="AD1045" t="s">
        <v>73</v>
      </c>
      <c r="AF1045" t="s">
        <v>73</v>
      </c>
      <c r="AH1045" t="s">
        <v>3463</v>
      </c>
      <c r="AI1045" t="s">
        <v>3463</v>
      </c>
      <c r="AJ1045" t="s">
        <v>3463</v>
      </c>
      <c r="AK1045" t="s">
        <v>3463</v>
      </c>
      <c r="AL1045" t="s">
        <v>3463</v>
      </c>
      <c r="AP1045" t="s">
        <v>3463</v>
      </c>
      <c r="AW1045" t="s">
        <v>3916</v>
      </c>
      <c r="BA1045" t="s">
        <v>3920</v>
      </c>
      <c r="BF1045" t="s">
        <v>3921</v>
      </c>
      <c r="BH1045" t="s">
        <v>4021</v>
      </c>
      <c r="BI1045" t="s">
        <v>76</v>
      </c>
      <c r="BP1045" t="s">
        <v>4261</v>
      </c>
      <c r="BQ1045" t="s">
        <v>3463</v>
      </c>
      <c r="BR1045" t="s">
        <v>3465</v>
      </c>
      <c r="BS1045" t="s">
        <v>3463</v>
      </c>
      <c r="BT1045" t="s">
        <v>3463</v>
      </c>
      <c r="BU1045" t="s">
        <v>3463</v>
      </c>
      <c r="BV1045" t="s">
        <v>3463</v>
      </c>
      <c r="BW1045" t="s">
        <v>3463</v>
      </c>
      <c r="BX1045" t="s">
        <v>79</v>
      </c>
      <c r="BY1045" t="s">
        <v>87</v>
      </c>
      <c r="BZ1045" t="s">
        <v>79</v>
      </c>
      <c r="CA1045" s="10">
        <v>45911</v>
      </c>
    </row>
    <row r="1046" spans="1:79">
      <c r="A1046">
        <v>1057</v>
      </c>
      <c r="B1046">
        <v>390</v>
      </c>
      <c r="C1046">
        <v>45</v>
      </c>
      <c r="D1046" t="s">
        <v>3462</v>
      </c>
      <c r="F1046" t="s">
        <v>168</v>
      </c>
      <c r="G1046" s="12" t="s">
        <v>3463</v>
      </c>
      <c r="I1046">
        <v>70</v>
      </c>
      <c r="K1046">
        <v>125</v>
      </c>
      <c r="L1046">
        <v>81</v>
      </c>
      <c r="M1046" t="s">
        <v>82</v>
      </c>
      <c r="P1046" t="s">
        <v>83</v>
      </c>
      <c r="Q1046" t="s">
        <v>82</v>
      </c>
      <c r="R1046">
        <v>78.5</v>
      </c>
      <c r="S1046">
        <v>180</v>
      </c>
      <c r="T1046" s="8">
        <f t="shared" si="32"/>
        <v>24.228395061728392</v>
      </c>
      <c r="U1046" s="13" t="str" cm="1">
        <f t="array" ref="U1046">IF(T1046="","",_xlfn.IFS(T1046&lt;18.5,"Bajo peso",T1046&lt;25,"Peso normal",T1046&lt;30,"Sobrepeso",T1046&lt;35,"Obesidad clase I",T1046&lt;40,"Obesidad clase II",T1046&gt;=40,"Obesidad clase III"))</f>
        <v>Peso normal</v>
      </c>
      <c r="V1046">
        <v>99</v>
      </c>
      <c r="X1046" t="s">
        <v>3463</v>
      </c>
      <c r="Y1046">
        <v>0.81</v>
      </c>
      <c r="AA1046">
        <v>90</v>
      </c>
      <c r="AB1046" s="9">
        <f t="shared" si="33"/>
        <v>110.80561408908983</v>
      </c>
      <c r="AD1046" t="s">
        <v>73</v>
      </c>
      <c r="AF1046" t="s">
        <v>73</v>
      </c>
      <c r="AH1046" t="s">
        <v>3463</v>
      </c>
      <c r="AI1046" t="s">
        <v>3463</v>
      </c>
      <c r="AJ1046" t="s">
        <v>3463</v>
      </c>
      <c r="AK1046" t="s">
        <v>3463</v>
      </c>
      <c r="AL1046" t="s">
        <v>3463</v>
      </c>
      <c r="AP1046" t="s">
        <v>3463</v>
      </c>
      <c r="AQ1046" t="s">
        <v>169</v>
      </c>
      <c r="AR1046" t="s">
        <v>3493</v>
      </c>
      <c r="AV1046" t="s">
        <v>126</v>
      </c>
      <c r="AW1046" t="s">
        <v>126</v>
      </c>
      <c r="BF1046" t="s">
        <v>3921</v>
      </c>
      <c r="BH1046" t="s">
        <v>4020</v>
      </c>
      <c r="BP1046" t="s">
        <v>4260</v>
      </c>
      <c r="BQ1046" t="s">
        <v>3465</v>
      </c>
      <c r="BR1046" t="s">
        <v>3463</v>
      </c>
      <c r="BS1046" t="s">
        <v>3463</v>
      </c>
      <c r="BT1046" t="s">
        <v>3465</v>
      </c>
      <c r="BU1046" t="s">
        <v>3463</v>
      </c>
      <c r="BV1046" t="s">
        <v>3463</v>
      </c>
      <c r="BW1046" t="s">
        <v>3463</v>
      </c>
      <c r="BX1046" t="s">
        <v>79</v>
      </c>
      <c r="BY1046" t="s">
        <v>87</v>
      </c>
      <c r="BZ1046" t="s">
        <v>79</v>
      </c>
      <c r="CA1046" s="10">
        <v>45911</v>
      </c>
    </row>
    <row r="1047" spans="1:79">
      <c r="A1047">
        <v>1058</v>
      </c>
      <c r="B1047">
        <v>391</v>
      </c>
      <c r="C1047">
        <v>60</v>
      </c>
      <c r="D1047" t="s">
        <v>3462</v>
      </c>
      <c r="F1047" t="s">
        <v>150</v>
      </c>
      <c r="G1047" s="12" t="s">
        <v>3465</v>
      </c>
      <c r="H1047" s="12" t="s">
        <v>88</v>
      </c>
      <c r="M1047" t="s">
        <v>83</v>
      </c>
      <c r="P1047" t="s">
        <v>83</v>
      </c>
      <c r="Q1047" t="s">
        <v>83</v>
      </c>
      <c r="R1047">
        <v>84.5</v>
      </c>
      <c r="S1047">
        <v>162</v>
      </c>
      <c r="T1047" s="8">
        <f t="shared" si="32"/>
        <v>32.197835695778082</v>
      </c>
      <c r="U1047" s="13" t="str" cm="1">
        <f t="array" ref="U1047">IF(T1047="","",_xlfn.IFS(T1047&lt;18.5,"Bajo peso",T1047&lt;25,"Peso normal",T1047&lt;30,"Sobrepeso",T1047&lt;35,"Obesidad clase I",T1047&lt;40,"Obesidad clase II",T1047&gt;=40,"Obesidad clase III"))</f>
        <v>Obesidad clase I</v>
      </c>
      <c r="V1047">
        <v>94</v>
      </c>
      <c r="X1047" t="s">
        <v>3463</v>
      </c>
      <c r="Y1047">
        <v>0.68</v>
      </c>
      <c r="AA1047">
        <v>90</v>
      </c>
      <c r="AB1047" s="9">
        <f t="shared" si="33"/>
        <v>106.41220321942355</v>
      </c>
      <c r="AD1047" t="s">
        <v>73</v>
      </c>
      <c r="AF1047" t="s">
        <v>73</v>
      </c>
      <c r="AH1047" t="s">
        <v>3463</v>
      </c>
      <c r="AI1047" t="s">
        <v>3465</v>
      </c>
      <c r="AJ1047" t="s">
        <v>3463</v>
      </c>
      <c r="AK1047" t="s">
        <v>3463</v>
      </c>
      <c r="AL1047" t="s">
        <v>3463</v>
      </c>
      <c r="AP1047" t="s">
        <v>3463</v>
      </c>
      <c r="AS1047" t="s">
        <v>3465</v>
      </c>
      <c r="AV1047" t="s">
        <v>126</v>
      </c>
      <c r="AW1047" t="s">
        <v>126</v>
      </c>
      <c r="BF1047" t="s">
        <v>3921</v>
      </c>
      <c r="BH1047" t="s">
        <v>4020</v>
      </c>
      <c r="BP1047" t="s">
        <v>4260</v>
      </c>
      <c r="BQ1047" t="s">
        <v>3463</v>
      </c>
      <c r="BR1047" t="s">
        <v>3465</v>
      </c>
      <c r="BS1047" t="s">
        <v>3463</v>
      </c>
      <c r="BT1047" t="s">
        <v>3465</v>
      </c>
      <c r="BU1047" t="s">
        <v>3463</v>
      </c>
      <c r="BV1047" t="s">
        <v>3463</v>
      </c>
      <c r="BW1047" t="s">
        <v>3465</v>
      </c>
      <c r="BX1047" t="s">
        <v>79</v>
      </c>
      <c r="BY1047" t="s">
        <v>87</v>
      </c>
      <c r="BZ1047" t="s">
        <v>79</v>
      </c>
      <c r="CA1047" s="10">
        <v>45911</v>
      </c>
    </row>
    <row r="1048" spans="1:79">
      <c r="A1048">
        <v>1059</v>
      </c>
      <c r="B1048">
        <v>392</v>
      </c>
      <c r="C1048">
        <v>25</v>
      </c>
      <c r="D1048" t="s">
        <v>3462</v>
      </c>
      <c r="F1048" t="s">
        <v>150</v>
      </c>
      <c r="G1048" s="12" t="s">
        <v>3465</v>
      </c>
      <c r="H1048" s="12" t="s">
        <v>88</v>
      </c>
      <c r="I1048">
        <v>91</v>
      </c>
      <c r="J1048">
        <v>81</v>
      </c>
      <c r="K1048">
        <v>148</v>
      </c>
      <c r="L1048">
        <v>90</v>
      </c>
      <c r="M1048" t="s">
        <v>72</v>
      </c>
      <c r="N1048">
        <v>139</v>
      </c>
      <c r="O1048">
        <v>89</v>
      </c>
      <c r="P1048" t="s">
        <v>82</v>
      </c>
      <c r="Q1048" t="s">
        <v>82</v>
      </c>
      <c r="R1048">
        <v>116</v>
      </c>
      <c r="S1048">
        <v>173</v>
      </c>
      <c r="T1048" s="8">
        <f t="shared" si="32"/>
        <v>38.758394867853923</v>
      </c>
      <c r="U1048" s="13" t="str" cm="1">
        <f t="array" ref="U1048">IF(T1048="","",_xlfn.IFS(T1048&lt;18.5,"Bajo peso",T1048&lt;25,"Peso normal",T1048&lt;30,"Sobrepeso",T1048&lt;35,"Obesidad clase I",T1048&lt;40,"Obesidad clase II",T1048&gt;=40,"Obesidad clase III"))</f>
        <v>Obesidad clase II</v>
      </c>
      <c r="V1048">
        <v>174</v>
      </c>
      <c r="X1048" t="s">
        <v>3463</v>
      </c>
      <c r="Y1048">
        <v>0.87</v>
      </c>
      <c r="AA1048">
        <v>90</v>
      </c>
      <c r="AB1048" s="9">
        <f t="shared" si="33"/>
        <v>122.8031701408908</v>
      </c>
      <c r="AD1048" t="s">
        <v>73</v>
      </c>
      <c r="AF1048" t="s">
        <v>73</v>
      </c>
      <c r="AH1048" t="s">
        <v>3463</v>
      </c>
      <c r="AI1048" t="s">
        <v>3463</v>
      </c>
      <c r="AJ1048" t="s">
        <v>3463</v>
      </c>
      <c r="AK1048" t="s">
        <v>3463</v>
      </c>
      <c r="AL1048" t="s">
        <v>3463</v>
      </c>
      <c r="AP1048" t="s">
        <v>3463</v>
      </c>
      <c r="AQ1048" t="s">
        <v>2384</v>
      </c>
      <c r="AR1048" t="s">
        <v>3488</v>
      </c>
      <c r="AW1048" t="s">
        <v>3916</v>
      </c>
      <c r="BF1048" t="s">
        <v>3921</v>
      </c>
      <c r="BH1048" t="s">
        <v>4020</v>
      </c>
      <c r="BP1048" t="s">
        <v>4260</v>
      </c>
      <c r="BQ1048" t="s">
        <v>3463</v>
      </c>
      <c r="BR1048" t="s">
        <v>3465</v>
      </c>
      <c r="BS1048" t="s">
        <v>3463</v>
      </c>
      <c r="BT1048" t="s">
        <v>3465</v>
      </c>
      <c r="BU1048" t="s">
        <v>3463</v>
      </c>
      <c r="BV1048" t="s">
        <v>3463</v>
      </c>
      <c r="BW1048" t="s">
        <v>3463</v>
      </c>
      <c r="BX1048" t="s">
        <v>79</v>
      </c>
      <c r="BY1048" t="s">
        <v>87</v>
      </c>
      <c r="BZ1048" t="s">
        <v>79</v>
      </c>
      <c r="CA1048" s="10">
        <v>45911</v>
      </c>
    </row>
    <row r="1049" spans="1:79">
      <c r="A1049">
        <v>1060</v>
      </c>
      <c r="B1049">
        <v>393</v>
      </c>
      <c r="C1049">
        <v>27</v>
      </c>
      <c r="D1049" t="s">
        <v>3462</v>
      </c>
      <c r="E1049" t="s">
        <v>1966</v>
      </c>
      <c r="F1049" t="s">
        <v>150</v>
      </c>
      <c r="G1049" s="12" t="s">
        <v>3463</v>
      </c>
      <c r="I1049">
        <v>64</v>
      </c>
      <c r="K1049">
        <v>134</v>
      </c>
      <c r="L1049">
        <v>80</v>
      </c>
      <c r="M1049" t="s">
        <v>82</v>
      </c>
      <c r="P1049" t="s">
        <v>83</v>
      </c>
      <c r="Q1049" t="s">
        <v>82</v>
      </c>
      <c r="R1049">
        <v>72.5</v>
      </c>
      <c r="S1049">
        <v>164</v>
      </c>
      <c r="T1049" s="8">
        <f t="shared" si="32"/>
        <v>26.955681142177276</v>
      </c>
      <c r="U1049" s="13" t="str" cm="1">
        <f t="array" ref="U1049">IF(T1049="","",_xlfn.IFS(T1049&lt;18.5,"Bajo peso",T1049&lt;25,"Peso normal",T1049&lt;30,"Sobrepeso",T1049&lt;35,"Obesidad clase I",T1049&lt;40,"Obesidad clase II",T1049&gt;=40,"Obesidad clase III"))</f>
        <v>Sobrepeso</v>
      </c>
      <c r="V1049">
        <v>106</v>
      </c>
      <c r="X1049" t="s">
        <v>3463</v>
      </c>
      <c r="Y1049">
        <v>0.87</v>
      </c>
      <c r="AA1049">
        <v>90</v>
      </c>
      <c r="AB1049" s="9">
        <f t="shared" si="33"/>
        <v>121.28513138500398</v>
      </c>
      <c r="AD1049" t="s">
        <v>73</v>
      </c>
      <c r="AF1049" t="s">
        <v>73</v>
      </c>
      <c r="AH1049" t="s">
        <v>3463</v>
      </c>
      <c r="AI1049" t="s">
        <v>3463</v>
      </c>
      <c r="AJ1049" t="s">
        <v>3463</v>
      </c>
      <c r="AK1049" t="s">
        <v>3463</v>
      </c>
      <c r="AL1049" t="s">
        <v>3463</v>
      </c>
      <c r="AP1049" t="s">
        <v>3463</v>
      </c>
      <c r="AQ1049" t="s">
        <v>2385</v>
      </c>
      <c r="AR1049" t="s">
        <v>3491</v>
      </c>
      <c r="AV1049" t="s">
        <v>126</v>
      </c>
      <c r="AW1049" t="s">
        <v>126</v>
      </c>
      <c r="BF1049" t="s">
        <v>3921</v>
      </c>
      <c r="BH1049" t="s">
        <v>4020</v>
      </c>
      <c r="BP1049" t="s">
        <v>4260</v>
      </c>
      <c r="BQ1049" t="s">
        <v>3463</v>
      </c>
      <c r="BR1049" t="s">
        <v>3463</v>
      </c>
      <c r="BS1049" t="s">
        <v>3463</v>
      </c>
      <c r="BT1049" t="s">
        <v>3463</v>
      </c>
      <c r="BU1049" t="s">
        <v>3465</v>
      </c>
      <c r="BV1049" t="s">
        <v>3465</v>
      </c>
      <c r="BW1049" t="s">
        <v>3463</v>
      </c>
      <c r="BX1049" t="s">
        <v>79</v>
      </c>
      <c r="BY1049" t="s">
        <v>79</v>
      </c>
      <c r="BZ1049" t="s">
        <v>79</v>
      </c>
      <c r="CA1049" s="10">
        <v>45911</v>
      </c>
    </row>
    <row r="1050" spans="1:79">
      <c r="A1050">
        <v>1061</v>
      </c>
      <c r="B1050">
        <v>394</v>
      </c>
      <c r="C1050">
        <v>56</v>
      </c>
      <c r="D1050" t="s">
        <v>3462</v>
      </c>
      <c r="E1050" t="s">
        <v>2348</v>
      </c>
      <c r="F1050" t="s">
        <v>380</v>
      </c>
      <c r="G1050" s="12" t="s">
        <v>3465</v>
      </c>
      <c r="H1050" s="12" t="s">
        <v>88</v>
      </c>
      <c r="I1050">
        <v>79</v>
      </c>
      <c r="J1050">
        <v>76</v>
      </c>
      <c r="K1050">
        <v>140</v>
      </c>
      <c r="L1050">
        <v>91</v>
      </c>
      <c r="M1050" t="s">
        <v>72</v>
      </c>
      <c r="N1050">
        <v>130</v>
      </c>
      <c r="O1050">
        <v>89</v>
      </c>
      <c r="P1050" t="s">
        <v>82</v>
      </c>
      <c r="Q1050" t="s">
        <v>82</v>
      </c>
      <c r="R1050">
        <v>81.7</v>
      </c>
      <c r="S1050">
        <v>164</v>
      </c>
      <c r="T1050" s="8">
        <f t="shared" si="32"/>
        <v>30.376264128494945</v>
      </c>
      <c r="U1050" s="13" t="str" cm="1">
        <f t="array" ref="U1050">IF(T1050="","",_xlfn.IFS(T1050&lt;18.5,"Bajo peso",T1050&lt;25,"Peso normal",T1050&lt;30,"Sobrepeso",T1050&lt;35,"Obesidad clase I",T1050&lt;40,"Obesidad clase II",T1050&gt;=40,"Obesidad clase III"))</f>
        <v>Obesidad clase I</v>
      </c>
      <c r="V1050">
        <v>120</v>
      </c>
      <c r="X1050" t="s">
        <v>3463</v>
      </c>
      <c r="Y1050">
        <v>1.47</v>
      </c>
      <c r="AA1050">
        <v>56</v>
      </c>
      <c r="AB1050" s="9">
        <f t="shared" si="33"/>
        <v>55.634236062927798</v>
      </c>
      <c r="AD1050" t="s">
        <v>158</v>
      </c>
      <c r="AF1050" t="s">
        <v>158</v>
      </c>
      <c r="AH1050" t="s">
        <v>3463</v>
      </c>
      <c r="AI1050" t="s">
        <v>3463</v>
      </c>
      <c r="AJ1050" t="s">
        <v>3463</v>
      </c>
      <c r="AK1050" t="s">
        <v>3463</v>
      </c>
      <c r="AL1050" t="s">
        <v>3463</v>
      </c>
      <c r="AP1050" t="s">
        <v>3463</v>
      </c>
      <c r="AQ1050" t="s">
        <v>2386</v>
      </c>
      <c r="AR1050" t="s">
        <v>3493</v>
      </c>
      <c r="AW1050" t="s">
        <v>3916</v>
      </c>
      <c r="BA1050" t="s">
        <v>3920</v>
      </c>
      <c r="BD1050" t="s">
        <v>105</v>
      </c>
      <c r="BF1050" t="s">
        <v>3921</v>
      </c>
      <c r="BH1050" t="s">
        <v>4021</v>
      </c>
      <c r="BI1050" t="s">
        <v>76</v>
      </c>
      <c r="BP1050" t="s">
        <v>4261</v>
      </c>
      <c r="BQ1050" t="s">
        <v>3465</v>
      </c>
      <c r="BR1050" t="s">
        <v>3465</v>
      </c>
      <c r="BS1050" t="s">
        <v>3463</v>
      </c>
      <c r="BT1050" t="s">
        <v>3465</v>
      </c>
      <c r="BU1050" t="s">
        <v>3465</v>
      </c>
      <c r="BV1050" t="s">
        <v>3463</v>
      </c>
      <c r="BW1050" t="s">
        <v>3465</v>
      </c>
      <c r="CA1050" s="10">
        <v>45911</v>
      </c>
    </row>
    <row r="1051" spans="1:79">
      <c r="A1051">
        <v>1062</v>
      </c>
      <c r="B1051">
        <v>395</v>
      </c>
      <c r="C1051">
        <v>69</v>
      </c>
      <c r="D1051" t="s">
        <v>3462</v>
      </c>
      <c r="E1051" t="s">
        <v>2348</v>
      </c>
      <c r="F1051" t="s">
        <v>150</v>
      </c>
      <c r="G1051" s="12" t="s">
        <v>3465</v>
      </c>
      <c r="H1051" t="s">
        <v>88</v>
      </c>
      <c r="I1051">
        <v>75</v>
      </c>
      <c r="J1051">
        <v>75</v>
      </c>
      <c r="K1051">
        <v>183</v>
      </c>
      <c r="L1051">
        <v>79</v>
      </c>
      <c r="M1051" t="s">
        <v>96</v>
      </c>
      <c r="N1051">
        <v>176</v>
      </c>
      <c r="O1051">
        <v>82</v>
      </c>
      <c r="P1051" t="s">
        <v>72</v>
      </c>
      <c r="Q1051" t="s">
        <v>72</v>
      </c>
      <c r="R1051">
        <v>81.2</v>
      </c>
      <c r="S1051">
        <v>160</v>
      </c>
      <c r="T1051" s="8">
        <f t="shared" si="32"/>
        <v>31.718750000000004</v>
      </c>
      <c r="U1051" s="13" t="str" cm="1">
        <f t="array" ref="U1051">IF(T1051="","",_xlfn.IFS(T1051&lt;18.5,"Bajo peso",T1051&lt;25,"Peso normal",T1051&lt;30,"Sobrepeso",T1051&lt;35,"Obesidad clase I",T1051&lt;40,"Obesidad clase II",T1051&gt;=40,"Obesidad clase III"))</f>
        <v>Obesidad clase I</v>
      </c>
      <c r="V1051">
        <v>97</v>
      </c>
      <c r="X1051" t="s">
        <v>3463</v>
      </c>
      <c r="Y1051">
        <v>1.39</v>
      </c>
      <c r="AA1051">
        <v>55</v>
      </c>
      <c r="AB1051" s="9">
        <f t="shared" si="33"/>
        <v>54.877216099469443</v>
      </c>
      <c r="AD1051" t="s">
        <v>158</v>
      </c>
      <c r="AF1051" t="s">
        <v>158</v>
      </c>
      <c r="AH1051" t="s">
        <v>3463</v>
      </c>
      <c r="AI1051" t="s">
        <v>3464</v>
      </c>
      <c r="AJ1051" t="s">
        <v>3463</v>
      </c>
      <c r="AK1051" t="s">
        <v>3463</v>
      </c>
      <c r="AL1051" t="s">
        <v>3463</v>
      </c>
      <c r="AP1051" t="s">
        <v>3463</v>
      </c>
      <c r="AQ1051" t="s">
        <v>2387</v>
      </c>
      <c r="AR1051" t="s">
        <v>3493</v>
      </c>
      <c r="AV1051" t="s">
        <v>126</v>
      </c>
      <c r="AW1051" t="s">
        <v>126</v>
      </c>
      <c r="BA1051" t="s">
        <v>3920</v>
      </c>
      <c r="BF1051" t="s">
        <v>3921</v>
      </c>
      <c r="BG1051" t="s">
        <v>2388</v>
      </c>
      <c r="BH1051" t="s">
        <v>4042</v>
      </c>
      <c r="BI1051" t="s">
        <v>76</v>
      </c>
      <c r="BL1051" t="s">
        <v>2389</v>
      </c>
      <c r="BP1051" t="s">
        <v>4261</v>
      </c>
      <c r="BQ1051" t="s">
        <v>3463</v>
      </c>
      <c r="BR1051" t="s">
        <v>3465</v>
      </c>
      <c r="BS1051" t="s">
        <v>3463</v>
      </c>
      <c r="BT1051" t="s">
        <v>3463</v>
      </c>
      <c r="BU1051" t="s">
        <v>3463</v>
      </c>
      <c r="BV1051" t="s">
        <v>3463</v>
      </c>
      <c r="BW1051" t="s">
        <v>3463</v>
      </c>
      <c r="BX1051" t="s">
        <v>79</v>
      </c>
      <c r="BY1051" t="s">
        <v>87</v>
      </c>
      <c r="BZ1051" t="s">
        <v>79</v>
      </c>
      <c r="CA1051" s="10">
        <v>45911</v>
      </c>
    </row>
    <row r="1052" spans="1:79">
      <c r="A1052">
        <v>1063</v>
      </c>
      <c r="B1052">
        <v>396</v>
      </c>
      <c r="C1052">
        <v>29</v>
      </c>
      <c r="D1052" t="s">
        <v>3466</v>
      </c>
      <c r="E1052" t="s">
        <v>2348</v>
      </c>
      <c r="F1052" t="s">
        <v>150</v>
      </c>
      <c r="G1052" s="12" t="s">
        <v>3463</v>
      </c>
      <c r="I1052">
        <v>81</v>
      </c>
      <c r="K1052">
        <v>131</v>
      </c>
      <c r="L1052">
        <v>78</v>
      </c>
      <c r="M1052" t="s">
        <v>82</v>
      </c>
      <c r="P1052" t="s">
        <v>83</v>
      </c>
      <c r="Q1052" t="s">
        <v>82</v>
      </c>
      <c r="R1052">
        <v>102.7</v>
      </c>
      <c r="S1052">
        <v>162</v>
      </c>
      <c r="T1052" s="8">
        <f t="shared" si="32"/>
        <v>39.132754153330282</v>
      </c>
      <c r="U1052" s="13" t="str" cm="1">
        <f t="array" ref="U1052">IF(T1052="","",_xlfn.IFS(T1052&lt;18.5,"Bajo peso",T1052&lt;25,"Peso normal",T1052&lt;30,"Sobrepeso",T1052&lt;35,"Obesidad clase I",T1052&lt;40,"Obesidad clase II",T1052&gt;=40,"Obesidad clase III"))</f>
        <v>Obesidad clase II</v>
      </c>
      <c r="V1052">
        <v>111</v>
      </c>
      <c r="X1052" t="s">
        <v>3463</v>
      </c>
      <c r="Y1052">
        <v>1.27</v>
      </c>
      <c r="AA1052">
        <v>59</v>
      </c>
      <c r="AB1052" s="9">
        <f t="shared" si="33"/>
        <v>58.707396298343653</v>
      </c>
      <c r="AD1052" t="s">
        <v>158</v>
      </c>
      <c r="AF1052" t="s">
        <v>158</v>
      </c>
      <c r="AH1052" t="s">
        <v>3463</v>
      </c>
      <c r="AI1052" t="s">
        <v>3463</v>
      </c>
      <c r="AJ1052" t="s">
        <v>3463</v>
      </c>
      <c r="AK1052" t="s">
        <v>3463</v>
      </c>
      <c r="AL1052" t="s">
        <v>3463</v>
      </c>
      <c r="AP1052" t="s">
        <v>3463</v>
      </c>
      <c r="AQ1052" t="s">
        <v>2390</v>
      </c>
      <c r="AR1052" t="s">
        <v>3590</v>
      </c>
      <c r="AT1052" t="s">
        <v>3463</v>
      </c>
      <c r="AV1052" t="s">
        <v>126</v>
      </c>
      <c r="AW1052" t="s">
        <v>126</v>
      </c>
      <c r="AX1052" t="s">
        <v>3465</v>
      </c>
      <c r="AY1052" t="s">
        <v>3465</v>
      </c>
      <c r="AZ1052" t="s">
        <v>104</v>
      </c>
      <c r="BA1052" t="s">
        <v>3920</v>
      </c>
      <c r="BD1052" t="s">
        <v>105</v>
      </c>
      <c r="BF1052" t="s">
        <v>3921</v>
      </c>
      <c r="BH1052" t="s">
        <v>4085</v>
      </c>
      <c r="BI1052" t="s">
        <v>1374</v>
      </c>
      <c r="BK1052" t="s">
        <v>2391</v>
      </c>
      <c r="BP1052" t="s">
        <v>4260</v>
      </c>
      <c r="BQ1052" t="s">
        <v>3465</v>
      </c>
      <c r="BR1052" t="s">
        <v>3465</v>
      </c>
      <c r="BS1052" t="s">
        <v>3463</v>
      </c>
      <c r="BT1052" t="s">
        <v>3465</v>
      </c>
      <c r="BU1052" t="s">
        <v>3465</v>
      </c>
      <c r="BV1052" t="s">
        <v>3463</v>
      </c>
      <c r="BW1052" t="s">
        <v>3465</v>
      </c>
      <c r="BX1052" t="s">
        <v>79</v>
      </c>
      <c r="BY1052" t="s">
        <v>87</v>
      </c>
      <c r="BZ1052" t="s">
        <v>79</v>
      </c>
      <c r="CA1052" s="10">
        <v>45911</v>
      </c>
    </row>
    <row r="1053" spans="1:79">
      <c r="A1053">
        <v>1064</v>
      </c>
      <c r="B1053">
        <v>397</v>
      </c>
      <c r="C1053">
        <v>57</v>
      </c>
      <c r="D1053" t="s">
        <v>3462</v>
      </c>
      <c r="F1053" t="s">
        <v>380</v>
      </c>
      <c r="G1053" s="12" t="s">
        <v>3463</v>
      </c>
      <c r="H1053" s="12"/>
      <c r="I1053">
        <v>83</v>
      </c>
      <c r="K1053">
        <v>145</v>
      </c>
      <c r="L1053">
        <v>89</v>
      </c>
      <c r="M1053" t="s">
        <v>72</v>
      </c>
      <c r="P1053" t="s">
        <v>83</v>
      </c>
      <c r="Q1053" t="s">
        <v>72</v>
      </c>
      <c r="R1053">
        <v>80.599999999999994</v>
      </c>
      <c r="S1053">
        <v>167</v>
      </c>
      <c r="T1053" s="8">
        <f t="shared" si="32"/>
        <v>28.900283265803719</v>
      </c>
      <c r="U1053" s="13" t="str" cm="1">
        <f t="array" ref="U1053">IF(T1053="","",_xlfn.IFS(T1053&lt;18.5,"Bajo peso",T1053&lt;25,"Peso normal",T1053&lt;30,"Sobrepeso",T1053&lt;35,"Obesidad clase I",T1053&lt;40,"Obesidad clase II",T1053&gt;=40,"Obesidad clase III"))</f>
        <v>Sobrepeso</v>
      </c>
      <c r="V1053">
        <v>121</v>
      </c>
      <c r="X1053" t="s">
        <v>3463</v>
      </c>
      <c r="Y1053">
        <v>1.22</v>
      </c>
      <c r="AA1053">
        <v>69</v>
      </c>
      <c r="AB1053" s="9">
        <f t="shared" si="33"/>
        <v>69.149672286039944</v>
      </c>
      <c r="AD1053" t="s">
        <v>73</v>
      </c>
      <c r="AF1053" t="s">
        <v>73</v>
      </c>
      <c r="AH1053" t="s">
        <v>3463</v>
      </c>
      <c r="AI1053" t="s">
        <v>3463</v>
      </c>
      <c r="AJ1053" t="s">
        <v>3463</v>
      </c>
      <c r="AK1053" t="s">
        <v>3463</v>
      </c>
      <c r="AL1053" t="s">
        <v>3463</v>
      </c>
      <c r="AP1053" t="s">
        <v>3463</v>
      </c>
      <c r="AQ1053" t="s">
        <v>120</v>
      </c>
      <c r="AR1053" t="s">
        <v>3491</v>
      </c>
      <c r="AV1053" t="s">
        <v>126</v>
      </c>
      <c r="AW1053" t="s">
        <v>126</v>
      </c>
      <c r="BF1053" t="s">
        <v>3921</v>
      </c>
      <c r="BH1053" t="s">
        <v>4020</v>
      </c>
      <c r="BP1053" t="s">
        <v>4260</v>
      </c>
      <c r="BQ1053" t="s">
        <v>3463</v>
      </c>
      <c r="BR1053" t="s">
        <v>3465</v>
      </c>
      <c r="BT1053" t="s">
        <v>3463</v>
      </c>
      <c r="BU1053" t="s">
        <v>3463</v>
      </c>
      <c r="BV1053" t="s">
        <v>3463</v>
      </c>
      <c r="BW1053" t="s">
        <v>3463</v>
      </c>
      <c r="BX1053" t="s">
        <v>79</v>
      </c>
      <c r="BY1053" t="s">
        <v>79</v>
      </c>
      <c r="BZ1053" t="s">
        <v>79</v>
      </c>
      <c r="CA1053" s="10">
        <v>45911</v>
      </c>
    </row>
    <row r="1054" spans="1:79">
      <c r="A1054">
        <v>1065</v>
      </c>
      <c r="B1054">
        <v>399</v>
      </c>
      <c r="C1054">
        <v>58</v>
      </c>
      <c r="D1054" t="s">
        <v>3466</v>
      </c>
      <c r="F1054" t="s">
        <v>1804</v>
      </c>
      <c r="G1054" s="12" t="s">
        <v>3463</v>
      </c>
      <c r="H1054" s="12"/>
      <c r="I1054">
        <v>82</v>
      </c>
      <c r="K1054">
        <v>119</v>
      </c>
      <c r="L1054">
        <v>69</v>
      </c>
      <c r="M1054" t="s">
        <v>80</v>
      </c>
      <c r="P1054" t="s">
        <v>83</v>
      </c>
      <c r="Q1054" t="s">
        <v>80</v>
      </c>
      <c r="R1054">
        <v>80.2</v>
      </c>
      <c r="S1054">
        <v>159</v>
      </c>
      <c r="T1054" s="8">
        <f t="shared" si="32"/>
        <v>31.723428661840909</v>
      </c>
      <c r="U1054" s="13" t="str" cm="1">
        <f t="array" ref="U1054">IF(T1054="","",_xlfn.IFS(T1054&lt;18.5,"Bajo peso",T1054&lt;25,"Peso normal",T1054&lt;30,"Sobrepeso",T1054&lt;35,"Obesidad clase I",T1054&lt;40,"Obesidad clase II",T1054&gt;=40,"Obesidad clase III"))</f>
        <v>Obesidad clase I</v>
      </c>
      <c r="V1054">
        <v>110</v>
      </c>
      <c r="X1054" t="s">
        <v>3463</v>
      </c>
      <c r="Y1054">
        <v>1.38</v>
      </c>
      <c r="AA1054">
        <v>44</v>
      </c>
      <c r="AB1054" s="9">
        <f t="shared" si="33"/>
        <v>44.368338025840124</v>
      </c>
      <c r="AD1054" t="s">
        <v>218</v>
      </c>
      <c r="AF1054" t="s">
        <v>218</v>
      </c>
      <c r="AH1054" t="s">
        <v>3463</v>
      </c>
      <c r="AI1054" t="s">
        <v>3463</v>
      </c>
      <c r="AJ1054" t="s">
        <v>3463</v>
      </c>
      <c r="AK1054" t="s">
        <v>3463</v>
      </c>
      <c r="AL1054" t="s">
        <v>3463</v>
      </c>
      <c r="AP1054" t="s">
        <v>3463</v>
      </c>
      <c r="AQ1054" t="s">
        <v>2392</v>
      </c>
      <c r="AR1054" t="s">
        <v>3488</v>
      </c>
      <c r="AT1054" t="s">
        <v>3465</v>
      </c>
      <c r="AU1054" t="s">
        <v>80</v>
      </c>
      <c r="AW1054" t="s">
        <v>3916</v>
      </c>
      <c r="AX1054" t="s">
        <v>3463</v>
      </c>
      <c r="AY1054" t="s">
        <v>3465</v>
      </c>
      <c r="AZ1054" t="s">
        <v>247</v>
      </c>
      <c r="BF1054" t="s">
        <v>3921</v>
      </c>
      <c r="BH1054" t="s">
        <v>4020</v>
      </c>
      <c r="BP1054" t="s">
        <v>4260</v>
      </c>
      <c r="BQ1054" t="s">
        <v>3463</v>
      </c>
      <c r="BR1054" t="s">
        <v>3465</v>
      </c>
      <c r="BS1054" t="s">
        <v>3465</v>
      </c>
      <c r="BT1054" t="s">
        <v>3465</v>
      </c>
      <c r="BU1054" t="s">
        <v>3463</v>
      </c>
      <c r="BV1054" t="s">
        <v>3463</v>
      </c>
      <c r="BW1054" t="s">
        <v>3463</v>
      </c>
      <c r="BX1054" t="s">
        <v>79</v>
      </c>
      <c r="BY1054" t="s">
        <v>87</v>
      </c>
      <c r="BZ1054" t="s">
        <v>79</v>
      </c>
      <c r="CA1054" s="10">
        <v>45911</v>
      </c>
    </row>
    <row r="1055" spans="1:79">
      <c r="A1055">
        <v>1066</v>
      </c>
      <c r="B1055">
        <v>400</v>
      </c>
      <c r="C1055">
        <v>67</v>
      </c>
      <c r="D1055" t="s">
        <v>3462</v>
      </c>
      <c r="E1055" t="s">
        <v>2348</v>
      </c>
      <c r="F1055" t="s">
        <v>168</v>
      </c>
      <c r="G1055" s="12" t="s">
        <v>3463</v>
      </c>
      <c r="H1055" s="12"/>
      <c r="I1055">
        <v>66</v>
      </c>
      <c r="J1055">
        <v>61</v>
      </c>
      <c r="K1055">
        <v>161</v>
      </c>
      <c r="L1055">
        <v>90</v>
      </c>
      <c r="M1055" t="s">
        <v>72</v>
      </c>
      <c r="N1055">
        <v>153</v>
      </c>
      <c r="O1055">
        <v>86</v>
      </c>
      <c r="P1055" t="s">
        <v>72</v>
      </c>
      <c r="Q1055" t="s">
        <v>72</v>
      </c>
      <c r="R1055">
        <v>90.5</v>
      </c>
      <c r="S1055">
        <v>158</v>
      </c>
      <c r="T1055" s="8">
        <f t="shared" si="32"/>
        <v>36.2522031725685</v>
      </c>
      <c r="U1055" s="13" t="str" cm="1">
        <f t="array" ref="U1055">IF(T1055="","",_xlfn.IFS(T1055&lt;18.5,"Bajo peso",T1055&lt;25,"Peso normal",T1055&lt;30,"Sobrepeso",T1055&lt;35,"Obesidad clase I",T1055&lt;40,"Obesidad clase II",T1055&gt;=40,"Obesidad clase III"))</f>
        <v>Obesidad clase II</v>
      </c>
      <c r="V1055">
        <v>129</v>
      </c>
      <c r="X1055" t="s">
        <v>3463</v>
      </c>
      <c r="Y1055">
        <v>1.33</v>
      </c>
      <c r="AA1055">
        <v>58</v>
      </c>
      <c r="AB1055" s="9">
        <f t="shared" si="33"/>
        <v>58.585464550364684</v>
      </c>
      <c r="AD1055" t="s">
        <v>158</v>
      </c>
      <c r="AF1055" t="s">
        <v>158</v>
      </c>
      <c r="AH1055" t="s">
        <v>3463</v>
      </c>
      <c r="AI1055" t="s">
        <v>3465</v>
      </c>
      <c r="AJ1055" t="s">
        <v>3463</v>
      </c>
      <c r="AK1055" t="s">
        <v>3463</v>
      </c>
      <c r="AL1055" t="s">
        <v>3463</v>
      </c>
      <c r="AP1055" t="s">
        <v>3463</v>
      </c>
      <c r="AQ1055" t="s">
        <v>2393</v>
      </c>
      <c r="AR1055" t="s">
        <v>3505</v>
      </c>
      <c r="AS1055" t="s">
        <v>3465</v>
      </c>
      <c r="AW1055" t="s">
        <v>3916</v>
      </c>
      <c r="BA1055" t="s">
        <v>3920</v>
      </c>
      <c r="BB1055" t="s">
        <v>3485</v>
      </c>
      <c r="BF1055" t="s">
        <v>3921</v>
      </c>
      <c r="BH1055" t="s">
        <v>4029</v>
      </c>
      <c r="BI1055" t="s">
        <v>2394</v>
      </c>
      <c r="BK1055" t="s">
        <v>2395</v>
      </c>
      <c r="BP1055" t="s">
        <v>4514</v>
      </c>
      <c r="BQ1055" t="s">
        <v>3463</v>
      </c>
      <c r="BR1055" t="s">
        <v>3465</v>
      </c>
      <c r="BS1055" t="s">
        <v>3463</v>
      </c>
      <c r="BT1055" t="s">
        <v>3463</v>
      </c>
      <c r="BU1055" t="s">
        <v>3463</v>
      </c>
      <c r="BV1055" t="s">
        <v>3463</v>
      </c>
      <c r="BW1055" t="s">
        <v>3463</v>
      </c>
      <c r="BX1055" t="s">
        <v>79</v>
      </c>
      <c r="BY1055" t="s">
        <v>79</v>
      </c>
      <c r="BZ1055" t="s">
        <v>79</v>
      </c>
      <c r="CA1055" s="10">
        <v>45911</v>
      </c>
    </row>
    <row r="1056" spans="1:79">
      <c r="A1056">
        <v>1068</v>
      </c>
      <c r="B1056">
        <v>402</v>
      </c>
      <c r="C1056">
        <v>64</v>
      </c>
      <c r="D1056" t="s">
        <v>3462</v>
      </c>
      <c r="E1056" t="s">
        <v>2348</v>
      </c>
      <c r="F1056" t="s">
        <v>150</v>
      </c>
      <c r="G1056" s="12" t="s">
        <v>3463</v>
      </c>
      <c r="I1056">
        <v>66</v>
      </c>
      <c r="J1056">
        <v>63</v>
      </c>
      <c r="K1056">
        <v>141</v>
      </c>
      <c r="L1056">
        <v>87</v>
      </c>
      <c r="M1056" t="s">
        <v>72</v>
      </c>
      <c r="N1056">
        <v>129</v>
      </c>
      <c r="O1056">
        <v>81</v>
      </c>
      <c r="P1056" t="s">
        <v>82</v>
      </c>
      <c r="Q1056" t="s">
        <v>82</v>
      </c>
      <c r="R1056">
        <v>74.400000000000006</v>
      </c>
      <c r="S1056">
        <v>161</v>
      </c>
      <c r="T1056" s="8">
        <f t="shared" si="32"/>
        <v>28.702596350449447</v>
      </c>
      <c r="U1056" s="13" t="str" cm="1">
        <f t="array" ref="U1056">IF(T1056="","",_xlfn.IFS(T1056&lt;18.5,"Bajo peso",T1056&lt;25,"Peso normal",T1056&lt;30,"Sobrepeso",T1056&lt;35,"Obesidad clase I",T1056&lt;40,"Obesidad clase II",T1056&gt;=40,"Obesidad clase III"))</f>
        <v>Sobrepeso</v>
      </c>
      <c r="V1056">
        <v>108</v>
      </c>
      <c r="X1056" t="s">
        <v>3463</v>
      </c>
      <c r="Y1056">
        <v>1.25</v>
      </c>
      <c r="AA1056">
        <v>66</v>
      </c>
      <c r="AB1056" s="9">
        <f t="shared" si="33"/>
        <v>64.301759137069354</v>
      </c>
      <c r="AD1056" t="s">
        <v>73</v>
      </c>
      <c r="AF1056" t="s">
        <v>73</v>
      </c>
      <c r="AH1056" t="s">
        <v>3463</v>
      </c>
      <c r="AI1056" t="s">
        <v>3463</v>
      </c>
      <c r="AJ1056" t="s">
        <v>3463</v>
      </c>
      <c r="AK1056" t="s">
        <v>3463</v>
      </c>
      <c r="AL1056" t="s">
        <v>3463</v>
      </c>
      <c r="AP1056" t="s">
        <v>3463</v>
      </c>
      <c r="AV1056" t="s">
        <v>74</v>
      </c>
      <c r="AW1056" t="s">
        <v>3915</v>
      </c>
      <c r="BF1056" t="s">
        <v>3921</v>
      </c>
      <c r="BH1056" t="s">
        <v>4020</v>
      </c>
      <c r="BP1056" t="s">
        <v>4260</v>
      </c>
      <c r="BQ1056" t="s">
        <v>3463</v>
      </c>
      <c r="BR1056" t="s">
        <v>3463</v>
      </c>
      <c r="BS1056" t="s">
        <v>3463</v>
      </c>
      <c r="BT1056" t="s">
        <v>3463</v>
      </c>
      <c r="BU1056" t="s">
        <v>3463</v>
      </c>
      <c r="BV1056" t="s">
        <v>3463</v>
      </c>
      <c r="BW1056" t="s">
        <v>3463</v>
      </c>
      <c r="BX1056" t="s">
        <v>79</v>
      </c>
      <c r="BY1056" t="s">
        <v>87</v>
      </c>
      <c r="BZ1056" t="s">
        <v>79</v>
      </c>
      <c r="CA1056" s="10">
        <v>45911</v>
      </c>
    </row>
    <row r="1057" spans="1:79">
      <c r="A1057">
        <v>1069</v>
      </c>
      <c r="B1057">
        <v>403</v>
      </c>
      <c r="C1057">
        <v>39</v>
      </c>
      <c r="D1057" t="s">
        <v>3462</v>
      </c>
      <c r="F1057" t="s">
        <v>168</v>
      </c>
      <c r="G1057" s="12" t="s">
        <v>3463</v>
      </c>
      <c r="I1057">
        <v>84</v>
      </c>
      <c r="K1057">
        <v>136</v>
      </c>
      <c r="L1057">
        <v>72</v>
      </c>
      <c r="M1057" t="s">
        <v>82</v>
      </c>
      <c r="P1057" t="s">
        <v>83</v>
      </c>
      <c r="Q1057" t="s">
        <v>82</v>
      </c>
      <c r="R1057">
        <v>100.7</v>
      </c>
      <c r="S1057">
        <v>175</v>
      </c>
      <c r="T1057" s="8">
        <f t="shared" si="32"/>
        <v>32.881632653061224</v>
      </c>
      <c r="U1057" s="13" t="str" cm="1">
        <f t="array" ref="U1057">IF(T1057="","",_xlfn.IFS(T1057&lt;18.5,"Bajo peso",T1057&lt;25,"Peso normal",T1057&lt;30,"Sobrepeso",T1057&lt;35,"Obesidad clase I",T1057&lt;40,"Obesidad clase II",T1057&gt;=40,"Obesidad clase III"))</f>
        <v>Obesidad clase I</v>
      </c>
      <c r="V1057">
        <v>149</v>
      </c>
      <c r="X1057" t="s">
        <v>3463</v>
      </c>
      <c r="Y1057">
        <v>1.62</v>
      </c>
      <c r="AA1057">
        <v>55</v>
      </c>
      <c r="AB1057" s="9">
        <f t="shared" si="33"/>
        <v>55.032854805060389</v>
      </c>
      <c r="AD1057" t="s">
        <v>158</v>
      </c>
      <c r="AF1057" t="s">
        <v>158</v>
      </c>
      <c r="AH1057" t="s">
        <v>3463</v>
      </c>
      <c r="AI1057" t="s">
        <v>3463</v>
      </c>
      <c r="AJ1057" t="s">
        <v>3463</v>
      </c>
      <c r="AK1057" t="s">
        <v>3463</v>
      </c>
      <c r="AL1057" t="s">
        <v>3463</v>
      </c>
      <c r="AP1057" t="s">
        <v>3463</v>
      </c>
      <c r="AQ1057" t="s">
        <v>2396</v>
      </c>
      <c r="AR1057" t="s">
        <v>3504</v>
      </c>
      <c r="AV1057" t="s">
        <v>126</v>
      </c>
      <c r="AW1057" t="s">
        <v>126</v>
      </c>
      <c r="BF1057" t="s">
        <v>3921</v>
      </c>
      <c r="BH1057" t="s">
        <v>4020</v>
      </c>
      <c r="BP1057" t="s">
        <v>4260</v>
      </c>
      <c r="BQ1057" t="s">
        <v>3463</v>
      </c>
      <c r="BR1057" t="s">
        <v>3465</v>
      </c>
      <c r="BS1057" t="s">
        <v>3463</v>
      </c>
      <c r="BT1057" t="s">
        <v>3463</v>
      </c>
      <c r="BU1057" t="s">
        <v>3463</v>
      </c>
      <c r="BV1057" t="s">
        <v>3463</v>
      </c>
      <c r="BW1057" t="s">
        <v>3463</v>
      </c>
      <c r="BX1057" t="s">
        <v>79</v>
      </c>
      <c r="BY1057" t="s">
        <v>87</v>
      </c>
      <c r="BZ1057" t="s">
        <v>79</v>
      </c>
      <c r="CA1057" s="10">
        <v>45911</v>
      </c>
    </row>
    <row r="1058" spans="1:79">
      <c r="A1058">
        <v>1070</v>
      </c>
      <c r="B1058">
        <v>404</v>
      </c>
      <c r="C1058">
        <v>44</v>
      </c>
      <c r="D1058" t="s">
        <v>3466</v>
      </c>
      <c r="E1058" t="s">
        <v>2397</v>
      </c>
      <c r="F1058" t="s">
        <v>380</v>
      </c>
      <c r="G1058" s="12" t="s">
        <v>3463</v>
      </c>
      <c r="I1058">
        <v>70</v>
      </c>
      <c r="K1058">
        <v>147</v>
      </c>
      <c r="L1058">
        <v>79</v>
      </c>
      <c r="M1058" t="s">
        <v>72</v>
      </c>
      <c r="P1058" t="s">
        <v>83</v>
      </c>
      <c r="Q1058" t="s">
        <v>72</v>
      </c>
      <c r="R1058">
        <v>85.35</v>
      </c>
      <c r="S1058">
        <v>166</v>
      </c>
      <c r="T1058" s="8">
        <f t="shared" si="32"/>
        <v>30.973290753374943</v>
      </c>
      <c r="U1058" s="13" t="str" cm="1">
        <f t="array" ref="U1058">IF(T1058="","",_xlfn.IFS(T1058&lt;18.5,"Bajo peso",T1058&lt;25,"Peso normal",T1058&lt;30,"Sobrepeso",T1058&lt;35,"Obesidad clase I",T1058&lt;40,"Obesidad clase II",T1058&gt;=40,"Obesidad clase III"))</f>
        <v>Obesidad clase I</v>
      </c>
      <c r="V1058">
        <v>114</v>
      </c>
      <c r="X1058" t="s">
        <v>3463</v>
      </c>
      <c r="Y1058">
        <v>0.87</v>
      </c>
      <c r="AA1058">
        <v>84</v>
      </c>
      <c r="AB1058" s="9">
        <f t="shared" si="33"/>
        <v>84.201352555849212</v>
      </c>
      <c r="AD1058" t="s">
        <v>73</v>
      </c>
      <c r="AF1058" t="s">
        <v>73</v>
      </c>
      <c r="AH1058" t="s">
        <v>3463</v>
      </c>
      <c r="AI1058" t="s">
        <v>3463</v>
      </c>
      <c r="AJ1058" t="s">
        <v>3463</v>
      </c>
      <c r="AK1058" t="s">
        <v>3463</v>
      </c>
      <c r="AL1058" t="s">
        <v>3465</v>
      </c>
      <c r="AM1058" t="s">
        <v>1511</v>
      </c>
      <c r="AN1058" t="s">
        <v>1511</v>
      </c>
      <c r="AP1058" t="s">
        <v>3463</v>
      </c>
      <c r="AQ1058" t="s">
        <v>2398</v>
      </c>
      <c r="AR1058" t="s">
        <v>3591</v>
      </c>
      <c r="AT1058" t="s">
        <v>3465</v>
      </c>
      <c r="AU1058" t="s">
        <v>80</v>
      </c>
      <c r="AV1058" t="s">
        <v>126</v>
      </c>
      <c r="AW1058" t="s">
        <v>126</v>
      </c>
      <c r="AX1058" t="s">
        <v>3463</v>
      </c>
      <c r="AY1058" t="s">
        <v>3465</v>
      </c>
      <c r="AZ1058" t="s">
        <v>247</v>
      </c>
      <c r="BF1058" t="s">
        <v>3921</v>
      </c>
      <c r="BH1058" t="s">
        <v>4020</v>
      </c>
      <c r="BP1058" t="s">
        <v>4260</v>
      </c>
      <c r="BQ1058" t="s">
        <v>3463</v>
      </c>
      <c r="BR1058" t="s">
        <v>3463</v>
      </c>
      <c r="BS1058" t="s">
        <v>3465</v>
      </c>
      <c r="BT1058" t="s">
        <v>3465</v>
      </c>
      <c r="BU1058" t="s">
        <v>3463</v>
      </c>
      <c r="BV1058" t="s">
        <v>3463</v>
      </c>
      <c r="BW1058" t="s">
        <v>3463</v>
      </c>
      <c r="BX1058" t="s">
        <v>79</v>
      </c>
      <c r="BY1058" t="s">
        <v>87</v>
      </c>
      <c r="BZ1058" t="s">
        <v>79</v>
      </c>
      <c r="CA1058" s="10">
        <v>45911</v>
      </c>
    </row>
    <row r="1059" spans="1:79">
      <c r="A1059">
        <v>1071</v>
      </c>
      <c r="B1059">
        <v>405</v>
      </c>
      <c r="C1059">
        <v>36</v>
      </c>
      <c r="D1059" t="s">
        <v>3466</v>
      </c>
      <c r="F1059" t="s">
        <v>150</v>
      </c>
      <c r="G1059" s="12" t="s">
        <v>3465</v>
      </c>
      <c r="H1059" s="12" t="s">
        <v>88</v>
      </c>
      <c r="I1059">
        <v>90</v>
      </c>
      <c r="J1059">
        <v>85</v>
      </c>
      <c r="K1059">
        <v>137</v>
      </c>
      <c r="L1059">
        <v>68</v>
      </c>
      <c r="M1059" t="s">
        <v>82</v>
      </c>
      <c r="N1059">
        <v>130</v>
      </c>
      <c r="O1059">
        <v>86</v>
      </c>
      <c r="P1059" t="s">
        <v>82</v>
      </c>
      <c r="Q1059" t="s">
        <v>82</v>
      </c>
      <c r="R1059">
        <v>79.8</v>
      </c>
      <c r="S1059">
        <v>156</v>
      </c>
      <c r="T1059" s="8">
        <f t="shared" si="32"/>
        <v>32.790927021696255</v>
      </c>
      <c r="U1059" s="13" t="str" cm="1">
        <f t="array" ref="U1059">IF(T1059="","",_xlfn.IFS(T1059&lt;18.5,"Bajo peso",T1059&lt;25,"Peso normal",T1059&lt;30,"Sobrepeso",T1059&lt;35,"Obesidad clase I",T1059&lt;40,"Obesidad clase II",T1059&gt;=40,"Obesidad clase III"))</f>
        <v>Obesidad clase I</v>
      </c>
      <c r="V1059">
        <v>91</v>
      </c>
      <c r="X1059" t="s">
        <v>3463</v>
      </c>
      <c r="Y1059">
        <v>0.84</v>
      </c>
      <c r="AA1059">
        <v>90</v>
      </c>
      <c r="AB1059" s="9">
        <f t="shared" si="33"/>
        <v>92.302845237869661</v>
      </c>
      <c r="AD1059" t="s">
        <v>73</v>
      </c>
      <c r="AF1059" t="s">
        <v>73</v>
      </c>
      <c r="AH1059" t="s">
        <v>3463</v>
      </c>
      <c r="AI1059" t="s">
        <v>3463</v>
      </c>
      <c r="AJ1059" t="s">
        <v>3463</v>
      </c>
      <c r="AK1059" t="s">
        <v>3463</v>
      </c>
      <c r="AL1059" t="s">
        <v>3463</v>
      </c>
      <c r="AP1059" t="s">
        <v>3463</v>
      </c>
      <c r="AQ1059" t="s">
        <v>2399</v>
      </c>
      <c r="AR1059" t="s">
        <v>3496</v>
      </c>
      <c r="AT1059" t="s">
        <v>3465</v>
      </c>
      <c r="AU1059" t="s">
        <v>80</v>
      </c>
      <c r="AV1059" t="s">
        <v>126</v>
      </c>
      <c r="AW1059" t="s">
        <v>126</v>
      </c>
      <c r="AX1059" t="s">
        <v>3463</v>
      </c>
      <c r="AY1059" t="s">
        <v>3465</v>
      </c>
      <c r="AZ1059" t="s">
        <v>90</v>
      </c>
      <c r="BF1059" t="s">
        <v>3921</v>
      </c>
      <c r="BH1059" t="s">
        <v>4020</v>
      </c>
      <c r="BP1059" t="s">
        <v>4260</v>
      </c>
      <c r="BQ1059" t="s">
        <v>3463</v>
      </c>
      <c r="BR1059" t="s">
        <v>3463</v>
      </c>
      <c r="BS1059" t="s">
        <v>3463</v>
      </c>
      <c r="BT1059" t="s">
        <v>3463</v>
      </c>
      <c r="BU1059" t="s">
        <v>3463</v>
      </c>
      <c r="BV1059" t="s">
        <v>3463</v>
      </c>
      <c r="BW1059" t="s">
        <v>3465</v>
      </c>
      <c r="BX1059" t="s">
        <v>79</v>
      </c>
      <c r="BY1059" t="s">
        <v>87</v>
      </c>
      <c r="BZ1059" t="s">
        <v>79</v>
      </c>
      <c r="CA1059" s="10">
        <v>45911</v>
      </c>
    </row>
    <row r="1060" spans="1:79">
      <c r="A1060">
        <v>1072</v>
      </c>
      <c r="B1060">
        <v>406</v>
      </c>
      <c r="C1060">
        <v>31</v>
      </c>
      <c r="D1060" t="s">
        <v>3466</v>
      </c>
      <c r="F1060" t="s">
        <v>150</v>
      </c>
      <c r="G1060" s="12" t="s">
        <v>3465</v>
      </c>
      <c r="H1060" s="12" t="s">
        <v>88</v>
      </c>
      <c r="I1060">
        <v>79</v>
      </c>
      <c r="K1060">
        <v>100</v>
      </c>
      <c r="L1060">
        <v>76</v>
      </c>
      <c r="M1060" t="s">
        <v>80</v>
      </c>
      <c r="P1060" t="s">
        <v>83</v>
      </c>
      <c r="Q1060" t="s">
        <v>80</v>
      </c>
      <c r="R1060">
        <v>57</v>
      </c>
      <c r="S1060">
        <v>162</v>
      </c>
      <c r="T1060" s="8">
        <f t="shared" si="32"/>
        <v>21.719250114311844</v>
      </c>
      <c r="U1060" s="13" t="str" cm="1">
        <f t="array" ref="U1060">IF(T1060="","",_xlfn.IFS(T1060&lt;18.5,"Bajo peso",T1060&lt;25,"Peso normal",T1060&lt;30,"Sobrepeso",T1060&lt;35,"Obesidad clase I",T1060&lt;40,"Obesidad clase II",T1060&gt;=40,"Obesidad clase III"))</f>
        <v>Peso normal</v>
      </c>
      <c r="V1060">
        <v>129</v>
      </c>
      <c r="X1060" t="s">
        <v>3463</v>
      </c>
      <c r="Y1060">
        <v>0.85</v>
      </c>
      <c r="AA1060">
        <v>90</v>
      </c>
      <c r="AB1060" s="9">
        <f t="shared" si="33"/>
        <v>93.875563892077309</v>
      </c>
      <c r="AD1060" t="s">
        <v>73</v>
      </c>
      <c r="AF1060" t="s">
        <v>73</v>
      </c>
      <c r="AH1060" t="s">
        <v>3463</v>
      </c>
      <c r="AI1060" t="s">
        <v>3463</v>
      </c>
      <c r="AJ1060" t="s">
        <v>3465</v>
      </c>
      <c r="AL1060" t="s">
        <v>3465</v>
      </c>
      <c r="AM1060" t="s">
        <v>2400</v>
      </c>
      <c r="AN1060" t="s">
        <v>3626</v>
      </c>
      <c r="AP1060" t="s">
        <v>3463</v>
      </c>
      <c r="AQ1060" t="s">
        <v>148</v>
      </c>
      <c r="AR1060" t="s">
        <v>3491</v>
      </c>
      <c r="AT1060" t="s">
        <v>3463</v>
      </c>
      <c r="AW1060" t="s">
        <v>3916</v>
      </c>
      <c r="AX1060" t="s">
        <v>3463</v>
      </c>
      <c r="AY1060" t="s">
        <v>3465</v>
      </c>
      <c r="AZ1060" t="s">
        <v>90</v>
      </c>
      <c r="BF1060" t="s">
        <v>3921</v>
      </c>
      <c r="BH1060" t="s">
        <v>4020</v>
      </c>
      <c r="BP1060" t="s">
        <v>4260</v>
      </c>
      <c r="BQ1060" t="s">
        <v>3463</v>
      </c>
      <c r="BR1060" t="s">
        <v>3463</v>
      </c>
      <c r="BS1060" t="s">
        <v>3465</v>
      </c>
      <c r="BT1060" t="s">
        <v>3465</v>
      </c>
      <c r="BU1060" t="s">
        <v>3463</v>
      </c>
      <c r="BV1060" t="s">
        <v>3463</v>
      </c>
      <c r="BW1060" t="s">
        <v>3463</v>
      </c>
      <c r="BX1060" t="s">
        <v>79</v>
      </c>
      <c r="BY1060" t="s">
        <v>87</v>
      </c>
      <c r="BZ1060" t="s">
        <v>79</v>
      </c>
      <c r="CA1060" s="10">
        <v>45911</v>
      </c>
    </row>
    <row r="1061" spans="1:79">
      <c r="A1061">
        <v>1073</v>
      </c>
      <c r="B1061">
        <v>407</v>
      </c>
      <c r="C1061">
        <v>30</v>
      </c>
      <c r="D1061" t="s">
        <v>3462</v>
      </c>
      <c r="E1061" t="s">
        <v>1966</v>
      </c>
      <c r="F1061" t="s">
        <v>380</v>
      </c>
      <c r="G1061" s="12" t="s">
        <v>3463</v>
      </c>
      <c r="I1061">
        <v>77</v>
      </c>
      <c r="K1061">
        <v>120</v>
      </c>
      <c r="L1061">
        <v>60</v>
      </c>
      <c r="M1061" t="s">
        <v>118</v>
      </c>
      <c r="P1061" t="s">
        <v>83</v>
      </c>
      <c r="Q1061" t="s">
        <v>118</v>
      </c>
      <c r="R1061">
        <v>77.900000000000006</v>
      </c>
      <c r="S1061">
        <v>170</v>
      </c>
      <c r="T1061" s="8">
        <f t="shared" si="32"/>
        <v>26.955017301038062</v>
      </c>
      <c r="U1061" s="13" t="str" cm="1">
        <f t="array" ref="U1061">IF(T1061="","",_xlfn.IFS(T1061&lt;18.5,"Bajo peso",T1061&lt;25,"Peso normal",T1061&lt;30,"Sobrepeso",T1061&lt;35,"Obesidad clase I",T1061&lt;40,"Obesidad clase II",T1061&gt;=40,"Obesidad clase III"))</f>
        <v>Sobrepeso</v>
      </c>
      <c r="V1061">
        <v>97</v>
      </c>
      <c r="X1061" t="s">
        <v>3463</v>
      </c>
      <c r="Y1061">
        <v>0.82</v>
      </c>
      <c r="AA1061">
        <v>90</v>
      </c>
      <c r="AB1061" s="9">
        <f t="shared" si="33"/>
        <v>121.19021922918711</v>
      </c>
      <c r="AD1061" t="s">
        <v>73</v>
      </c>
      <c r="AF1061" t="s">
        <v>73</v>
      </c>
      <c r="AH1061" t="s">
        <v>3463</v>
      </c>
      <c r="AI1061" t="s">
        <v>3463</v>
      </c>
      <c r="AJ1061" t="s">
        <v>3463</v>
      </c>
      <c r="AK1061" t="s">
        <v>3463</v>
      </c>
      <c r="AL1061" t="s">
        <v>3463</v>
      </c>
      <c r="AP1061" t="s">
        <v>3463</v>
      </c>
      <c r="AQ1061" t="s">
        <v>296</v>
      </c>
      <c r="AR1061" t="s">
        <v>3493</v>
      </c>
      <c r="AW1061" t="s">
        <v>3916</v>
      </c>
      <c r="BF1061" t="s">
        <v>3921</v>
      </c>
      <c r="BH1061" t="s">
        <v>4020</v>
      </c>
      <c r="BP1061" t="s">
        <v>4260</v>
      </c>
      <c r="BQ1061" t="s">
        <v>3463</v>
      </c>
      <c r="BR1061" t="s">
        <v>3465</v>
      </c>
      <c r="BS1061" t="s">
        <v>3463</v>
      </c>
      <c r="BT1061" t="s">
        <v>3463</v>
      </c>
      <c r="BU1061" t="s">
        <v>3463</v>
      </c>
      <c r="BV1061" t="s">
        <v>3463</v>
      </c>
      <c r="BW1061" t="s">
        <v>3463</v>
      </c>
      <c r="BX1061" t="s">
        <v>79</v>
      </c>
      <c r="BY1061" t="s">
        <v>79</v>
      </c>
      <c r="BZ1061" t="s">
        <v>79</v>
      </c>
      <c r="CA1061" s="10">
        <v>45911</v>
      </c>
    </row>
    <row r="1062" spans="1:79">
      <c r="A1062">
        <v>1074</v>
      </c>
      <c r="B1062">
        <v>408</v>
      </c>
      <c r="C1062">
        <v>37</v>
      </c>
      <c r="D1062" t="s">
        <v>3462</v>
      </c>
      <c r="F1062" t="s">
        <v>1532</v>
      </c>
      <c r="G1062" s="12" t="s">
        <v>3463</v>
      </c>
      <c r="H1062" s="12"/>
      <c r="I1062">
        <v>78</v>
      </c>
      <c r="J1062">
        <v>85</v>
      </c>
      <c r="K1062">
        <v>144</v>
      </c>
      <c r="L1062">
        <v>98</v>
      </c>
      <c r="M1062" t="s">
        <v>72</v>
      </c>
      <c r="N1062">
        <v>151</v>
      </c>
      <c r="O1062">
        <v>97</v>
      </c>
      <c r="P1062" t="s">
        <v>72</v>
      </c>
      <c r="Q1062" t="s">
        <v>72</v>
      </c>
      <c r="R1062">
        <v>110</v>
      </c>
      <c r="S1062">
        <v>178</v>
      </c>
      <c r="T1062" s="8">
        <f t="shared" si="32"/>
        <v>34.71783865673526</v>
      </c>
      <c r="U1062" s="13" t="str" cm="1">
        <f t="array" ref="U1062">IF(T1062="","",_xlfn.IFS(T1062&lt;18.5,"Bajo peso",T1062&lt;25,"Peso normal",T1062&lt;30,"Sobrepeso",T1062&lt;35,"Obesidad clase I",T1062&lt;40,"Obesidad clase II",T1062&gt;=40,"Obesidad clase III"))</f>
        <v>Obesidad clase I</v>
      </c>
      <c r="V1062">
        <v>100</v>
      </c>
      <c r="X1062" t="s">
        <v>3463</v>
      </c>
      <c r="Y1062">
        <v>1.22</v>
      </c>
      <c r="AA1062">
        <v>78</v>
      </c>
      <c r="AB1062" s="9">
        <f t="shared" si="33"/>
        <v>78.308747554324185</v>
      </c>
      <c r="AD1062" t="s">
        <v>73</v>
      </c>
      <c r="AF1062" t="s">
        <v>73</v>
      </c>
      <c r="AH1062" t="s">
        <v>3463</v>
      </c>
      <c r="AI1062" t="s">
        <v>3463</v>
      </c>
      <c r="AJ1062" t="s">
        <v>3463</v>
      </c>
      <c r="AK1062" t="s">
        <v>3463</v>
      </c>
      <c r="AL1062" t="s">
        <v>3463</v>
      </c>
      <c r="AP1062" t="s">
        <v>3463</v>
      </c>
      <c r="AQ1062" t="s">
        <v>2401</v>
      </c>
      <c r="AR1062" t="s">
        <v>3528</v>
      </c>
      <c r="AV1062" t="s">
        <v>74</v>
      </c>
      <c r="AW1062" t="s">
        <v>3915</v>
      </c>
      <c r="BF1062" t="s">
        <v>3921</v>
      </c>
      <c r="BH1062" t="s">
        <v>4020</v>
      </c>
      <c r="BP1062" t="s">
        <v>4260</v>
      </c>
      <c r="BQ1062" t="s">
        <v>3463</v>
      </c>
      <c r="BR1062" t="s">
        <v>3465</v>
      </c>
      <c r="BS1062" t="s">
        <v>3465</v>
      </c>
      <c r="BT1062" t="s">
        <v>3465</v>
      </c>
      <c r="BU1062" t="s">
        <v>3463</v>
      </c>
      <c r="BV1062" t="s">
        <v>3463</v>
      </c>
      <c r="BW1062" t="s">
        <v>3463</v>
      </c>
      <c r="BX1062" t="s">
        <v>79</v>
      </c>
      <c r="BY1062" t="s">
        <v>87</v>
      </c>
      <c r="BZ1062" t="s">
        <v>79</v>
      </c>
      <c r="CA1062" s="10">
        <v>45911</v>
      </c>
    </row>
    <row r="1063" spans="1:79">
      <c r="A1063">
        <v>1075</v>
      </c>
      <c r="B1063">
        <v>409</v>
      </c>
      <c r="C1063">
        <v>32</v>
      </c>
      <c r="D1063" t="s">
        <v>3466</v>
      </c>
      <c r="F1063" t="s">
        <v>150</v>
      </c>
      <c r="G1063" s="12" t="s">
        <v>3465</v>
      </c>
      <c r="H1063" s="12" t="s">
        <v>88</v>
      </c>
      <c r="I1063">
        <v>78</v>
      </c>
      <c r="J1063">
        <v>74</v>
      </c>
      <c r="K1063">
        <v>129</v>
      </c>
      <c r="L1063">
        <v>84</v>
      </c>
      <c r="M1063" t="s">
        <v>82</v>
      </c>
      <c r="N1063">
        <v>119</v>
      </c>
      <c r="O1063">
        <v>75</v>
      </c>
      <c r="P1063" t="s">
        <v>80</v>
      </c>
      <c r="Q1063" t="s">
        <v>80</v>
      </c>
      <c r="R1063">
        <v>54.9</v>
      </c>
      <c r="S1063">
        <v>147</v>
      </c>
      <c r="T1063" s="8">
        <f t="shared" si="32"/>
        <v>25.406080799666807</v>
      </c>
      <c r="U1063" s="13" t="str" cm="1">
        <f t="array" ref="U1063">IF(T1063="","",_xlfn.IFS(T1063&lt;18.5,"Bajo peso",T1063&lt;25,"Peso normal",T1063&lt;30,"Sobrepeso",T1063&lt;35,"Obesidad clase I",T1063&lt;40,"Obesidad clase II",T1063&gt;=40,"Obesidad clase III"))</f>
        <v>Sobrepeso</v>
      </c>
      <c r="V1063">
        <v>85</v>
      </c>
      <c r="X1063" t="s">
        <v>3463</v>
      </c>
      <c r="Y1063">
        <v>0.57999999999999996</v>
      </c>
      <c r="AA1063">
        <v>90</v>
      </c>
      <c r="AB1063" s="9">
        <f t="shared" si="33"/>
        <v>123.23075099836367</v>
      </c>
      <c r="AD1063" t="s">
        <v>73</v>
      </c>
      <c r="AF1063" t="s">
        <v>73</v>
      </c>
      <c r="AH1063" t="s">
        <v>3463</v>
      </c>
      <c r="AI1063" t="s">
        <v>3463</v>
      </c>
      <c r="AJ1063" t="s">
        <v>3463</v>
      </c>
      <c r="AK1063" t="s">
        <v>3463</v>
      </c>
      <c r="AL1063" t="s">
        <v>3463</v>
      </c>
      <c r="AP1063" t="s">
        <v>3463</v>
      </c>
      <c r="AQ1063" t="s">
        <v>159</v>
      </c>
      <c r="AR1063" t="s">
        <v>3491</v>
      </c>
      <c r="AW1063" t="s">
        <v>3916</v>
      </c>
      <c r="AX1063" t="s">
        <v>3463</v>
      </c>
      <c r="AY1063" t="s">
        <v>3465</v>
      </c>
      <c r="AZ1063" t="s">
        <v>104</v>
      </c>
      <c r="BF1063" t="s">
        <v>3921</v>
      </c>
      <c r="BH1063" t="s">
        <v>4020</v>
      </c>
      <c r="BP1063" t="s">
        <v>4260</v>
      </c>
      <c r="BQ1063" t="s">
        <v>3463</v>
      </c>
      <c r="BR1063" t="s">
        <v>3465</v>
      </c>
      <c r="BS1063" t="s">
        <v>3465</v>
      </c>
      <c r="BT1063" t="s">
        <v>3465</v>
      </c>
      <c r="BU1063" t="s">
        <v>3463</v>
      </c>
      <c r="BV1063" t="s">
        <v>3463</v>
      </c>
      <c r="BW1063" t="s">
        <v>3463</v>
      </c>
      <c r="BX1063" t="s">
        <v>79</v>
      </c>
      <c r="BY1063" t="s">
        <v>87</v>
      </c>
      <c r="BZ1063" t="s">
        <v>79</v>
      </c>
      <c r="CA1063" s="10">
        <v>45911</v>
      </c>
    </row>
    <row r="1064" spans="1:79">
      <c r="A1064">
        <v>1076</v>
      </c>
      <c r="B1064">
        <v>410</v>
      </c>
      <c r="C1064">
        <v>23</v>
      </c>
      <c r="D1064" t="s">
        <v>3462</v>
      </c>
      <c r="E1064" t="s">
        <v>2348</v>
      </c>
      <c r="F1064" t="s">
        <v>168</v>
      </c>
      <c r="G1064" s="12" t="s">
        <v>3463</v>
      </c>
      <c r="I1064">
        <v>60</v>
      </c>
      <c r="K1064">
        <v>133</v>
      </c>
      <c r="L1064">
        <v>66</v>
      </c>
      <c r="M1064" t="s">
        <v>82</v>
      </c>
      <c r="P1064" t="s">
        <v>83</v>
      </c>
      <c r="Q1064" t="s">
        <v>82</v>
      </c>
      <c r="R1064">
        <v>70.5</v>
      </c>
      <c r="S1064">
        <v>164</v>
      </c>
      <c r="T1064" s="8">
        <f t="shared" si="32"/>
        <v>26.212076145151695</v>
      </c>
      <c r="U1064" s="13" t="str" cm="1">
        <f t="array" ref="U1064">IF(T1064="","",_xlfn.IFS(T1064&lt;18.5,"Bajo peso",T1064&lt;25,"Peso normal",T1064&lt;30,"Sobrepeso",T1064&lt;35,"Obesidad clase I",T1064&lt;40,"Obesidad clase II",T1064&gt;=40,"Obesidad clase III"))</f>
        <v>Sobrepeso</v>
      </c>
      <c r="V1064">
        <v>149</v>
      </c>
      <c r="X1064" t="s">
        <v>3463</v>
      </c>
      <c r="Y1064">
        <v>1.34</v>
      </c>
      <c r="AA1064">
        <v>76</v>
      </c>
      <c r="AB1064" s="9">
        <f t="shared" si="33"/>
        <v>76.336179967114319</v>
      </c>
      <c r="AD1064" t="s">
        <v>73</v>
      </c>
      <c r="AF1064" t="s">
        <v>73</v>
      </c>
      <c r="AH1064" t="s">
        <v>3463</v>
      </c>
      <c r="AI1064" t="s">
        <v>3463</v>
      </c>
      <c r="AJ1064" t="s">
        <v>3463</v>
      </c>
      <c r="AK1064" t="s">
        <v>3463</v>
      </c>
      <c r="AL1064" t="s">
        <v>3465</v>
      </c>
      <c r="AM1064" t="s">
        <v>2402</v>
      </c>
      <c r="AN1064" t="s">
        <v>2402</v>
      </c>
      <c r="AP1064" t="s">
        <v>3463</v>
      </c>
      <c r="AQ1064" t="s">
        <v>889</v>
      </c>
      <c r="AR1064" t="s">
        <v>3488</v>
      </c>
      <c r="AV1064" t="s">
        <v>126</v>
      </c>
      <c r="AW1064" t="s">
        <v>126</v>
      </c>
      <c r="BF1064" t="s">
        <v>3921</v>
      </c>
      <c r="BH1064" t="s">
        <v>4020</v>
      </c>
      <c r="BP1064" t="s">
        <v>4260</v>
      </c>
      <c r="BQ1064" t="s">
        <v>3463</v>
      </c>
      <c r="BR1064" t="s">
        <v>3463</v>
      </c>
      <c r="BS1064" t="s">
        <v>3463</v>
      </c>
      <c r="BT1064" t="s">
        <v>3465</v>
      </c>
      <c r="BU1064" t="s">
        <v>3463</v>
      </c>
      <c r="BV1064" t="s">
        <v>3463</v>
      </c>
      <c r="BW1064" t="s">
        <v>3463</v>
      </c>
      <c r="BX1064" t="s">
        <v>79</v>
      </c>
      <c r="BY1064" t="s">
        <v>87</v>
      </c>
      <c r="BZ1064" t="s">
        <v>79</v>
      </c>
      <c r="CA1064" s="10">
        <v>45911</v>
      </c>
    </row>
    <row r="1065" spans="1:79">
      <c r="A1065">
        <v>1077</v>
      </c>
      <c r="B1065">
        <v>411</v>
      </c>
      <c r="C1065">
        <v>34</v>
      </c>
      <c r="D1065" t="s">
        <v>3462</v>
      </c>
      <c r="E1065" t="s">
        <v>2348</v>
      </c>
      <c r="F1065" t="s">
        <v>150</v>
      </c>
      <c r="G1065" s="12" t="s">
        <v>3463</v>
      </c>
      <c r="M1065" t="s">
        <v>83</v>
      </c>
      <c r="P1065" t="s">
        <v>83</v>
      </c>
      <c r="Q1065" t="s">
        <v>83</v>
      </c>
      <c r="T1065" s="8" t="str">
        <f t="shared" si="32"/>
        <v/>
      </c>
      <c r="U1065" s="13" t="str" cm="1">
        <f t="array" ref="U1065">IF(T1065="","",_xlfn.IFS(T1065&lt;18.5,"Bajo peso",T1065&lt;25,"Peso normal",T1065&lt;30,"Sobrepeso",T1065&lt;35,"Obesidad clase I",T1065&lt;40,"Obesidad clase II",T1065&gt;=40,"Obesidad clase III"))</f>
        <v/>
      </c>
      <c r="AB1065" s="9" t="str">
        <f t="shared" si="33"/>
        <v/>
      </c>
      <c r="AH1065" t="s">
        <v>3463</v>
      </c>
      <c r="AI1065" t="s">
        <v>3463</v>
      </c>
      <c r="AJ1065" t="s">
        <v>3463</v>
      </c>
      <c r="AK1065" t="s">
        <v>3463</v>
      </c>
      <c r="AL1065" t="s">
        <v>3463</v>
      </c>
      <c r="AP1065" t="s">
        <v>3463</v>
      </c>
      <c r="AV1065" t="s">
        <v>126</v>
      </c>
      <c r="AW1065" t="s">
        <v>126</v>
      </c>
      <c r="BF1065" t="s">
        <v>3921</v>
      </c>
      <c r="BH1065" t="s">
        <v>4020</v>
      </c>
      <c r="BP1065" t="s">
        <v>4260</v>
      </c>
      <c r="BQ1065" t="s">
        <v>3463</v>
      </c>
      <c r="BR1065" t="s">
        <v>3465</v>
      </c>
      <c r="BS1065" t="s">
        <v>3463</v>
      </c>
      <c r="BT1065" t="s">
        <v>3463</v>
      </c>
      <c r="BU1065" t="s">
        <v>3463</v>
      </c>
      <c r="BV1065" t="s">
        <v>3463</v>
      </c>
      <c r="BW1065" t="s">
        <v>3463</v>
      </c>
      <c r="BX1065" t="s">
        <v>79</v>
      </c>
      <c r="BY1065" t="s">
        <v>87</v>
      </c>
      <c r="BZ1065" t="s">
        <v>79</v>
      </c>
      <c r="CA1065" s="10">
        <v>45911</v>
      </c>
    </row>
    <row r="1066" spans="1:79">
      <c r="A1066">
        <v>1078</v>
      </c>
      <c r="B1066">
        <v>412</v>
      </c>
      <c r="C1066">
        <v>39</v>
      </c>
      <c r="D1066" t="s">
        <v>3466</v>
      </c>
      <c r="E1066" t="s">
        <v>2403</v>
      </c>
      <c r="F1066" t="s">
        <v>380</v>
      </c>
      <c r="G1066" s="12" t="s">
        <v>3463</v>
      </c>
      <c r="I1066">
        <v>81</v>
      </c>
      <c r="K1066">
        <v>128</v>
      </c>
      <c r="L1066">
        <v>79</v>
      </c>
      <c r="M1066" t="s">
        <v>118</v>
      </c>
      <c r="P1066" t="s">
        <v>83</v>
      </c>
      <c r="Q1066" t="s">
        <v>118</v>
      </c>
      <c r="R1066">
        <v>76400</v>
      </c>
      <c r="S1066">
        <v>155</v>
      </c>
      <c r="T1066" s="8">
        <f t="shared" si="32"/>
        <v>31800.208116545266</v>
      </c>
      <c r="U1066" s="13" t="str" cm="1">
        <f t="array" ref="U1066">IF(T1066="","",_xlfn.IFS(T1066&lt;18.5,"Bajo peso",T1066&lt;25,"Peso normal",T1066&lt;30,"Sobrepeso",T1066&lt;35,"Obesidad clase I",T1066&lt;40,"Obesidad clase II",T1066&gt;=40,"Obesidad clase III"))</f>
        <v>Obesidad clase III</v>
      </c>
      <c r="V1066">
        <v>106</v>
      </c>
      <c r="X1066" t="s">
        <v>3463</v>
      </c>
      <c r="Y1066">
        <v>0.86</v>
      </c>
      <c r="AA1066">
        <v>88</v>
      </c>
      <c r="AB1066" s="9">
        <f t="shared" si="33"/>
        <v>88.074273071715481</v>
      </c>
      <c r="AD1066" t="s">
        <v>73</v>
      </c>
      <c r="AF1066" t="s">
        <v>73</v>
      </c>
      <c r="AH1066" t="s">
        <v>3463</v>
      </c>
      <c r="AI1066" t="s">
        <v>3463</v>
      </c>
      <c r="AJ1066" t="s">
        <v>3463</v>
      </c>
      <c r="AK1066" t="s">
        <v>3463</v>
      </c>
      <c r="AL1066" t="s">
        <v>3463</v>
      </c>
      <c r="AP1066" t="s">
        <v>3463</v>
      </c>
      <c r="AQ1066" t="s">
        <v>1372</v>
      </c>
      <c r="AR1066" t="s">
        <v>3493</v>
      </c>
      <c r="AT1066" t="s">
        <v>3463</v>
      </c>
      <c r="AW1066" t="s">
        <v>3916</v>
      </c>
      <c r="AX1066" t="s">
        <v>3463</v>
      </c>
      <c r="AY1066" t="s">
        <v>3463</v>
      </c>
      <c r="AZ1066" t="s">
        <v>90</v>
      </c>
      <c r="BF1066" t="s">
        <v>3921</v>
      </c>
      <c r="BH1066" t="s">
        <v>4020</v>
      </c>
      <c r="BP1066" t="s">
        <v>4260</v>
      </c>
      <c r="BQ1066" t="s">
        <v>3463</v>
      </c>
      <c r="BR1066" t="s">
        <v>3465</v>
      </c>
      <c r="BS1066" t="s">
        <v>3463</v>
      </c>
      <c r="BT1066" t="s">
        <v>3465</v>
      </c>
      <c r="BU1066" t="s">
        <v>3465</v>
      </c>
      <c r="BV1066" t="s">
        <v>3463</v>
      </c>
      <c r="BW1066" t="s">
        <v>3463</v>
      </c>
      <c r="BX1066" t="s">
        <v>79</v>
      </c>
      <c r="BY1066" t="s">
        <v>87</v>
      </c>
      <c r="BZ1066" t="s">
        <v>79</v>
      </c>
      <c r="CA1066" s="10">
        <v>45911</v>
      </c>
    </row>
    <row r="1067" spans="1:79">
      <c r="A1067">
        <v>1079</v>
      </c>
      <c r="B1067">
        <v>413</v>
      </c>
      <c r="C1067">
        <v>45</v>
      </c>
      <c r="D1067" t="s">
        <v>3462</v>
      </c>
      <c r="F1067" t="s">
        <v>150</v>
      </c>
      <c r="G1067" s="12" t="s">
        <v>3465</v>
      </c>
      <c r="H1067" t="s">
        <v>88</v>
      </c>
      <c r="I1067">
        <v>75</v>
      </c>
      <c r="J1067">
        <v>63</v>
      </c>
      <c r="K1067">
        <v>740</v>
      </c>
      <c r="L1067">
        <v>88</v>
      </c>
      <c r="M1067" t="s">
        <v>96</v>
      </c>
      <c r="N1067">
        <v>150</v>
      </c>
      <c r="O1067">
        <v>95</v>
      </c>
      <c r="P1067" t="s">
        <v>72</v>
      </c>
      <c r="Q1067" t="s">
        <v>72</v>
      </c>
      <c r="R1067">
        <v>82.2</v>
      </c>
      <c r="S1067">
        <v>158</v>
      </c>
      <c r="T1067" s="8">
        <f t="shared" si="32"/>
        <v>32.927415478288736</v>
      </c>
      <c r="U1067" s="13" t="str" cm="1">
        <f t="array" ref="U1067">IF(T1067="","",_xlfn.IFS(T1067&lt;18.5,"Bajo peso",T1067&lt;25,"Peso normal",T1067&lt;30,"Sobrepeso",T1067&lt;35,"Obesidad clase I",T1067&lt;40,"Obesidad clase II",T1067&gt;=40,"Obesidad clase III"))</f>
        <v>Obesidad clase I</v>
      </c>
      <c r="V1067">
        <v>119</v>
      </c>
      <c r="X1067" t="s">
        <v>3463</v>
      </c>
      <c r="Y1067">
        <v>1.42</v>
      </c>
      <c r="AA1067">
        <v>62</v>
      </c>
      <c r="AB1067" s="9">
        <f t="shared" si="33"/>
        <v>62.099485336606918</v>
      </c>
      <c r="AD1067" t="s">
        <v>73</v>
      </c>
      <c r="AF1067" t="s">
        <v>73</v>
      </c>
      <c r="AH1067" t="s">
        <v>3463</v>
      </c>
      <c r="AI1067" t="s">
        <v>3463</v>
      </c>
      <c r="AJ1067" t="s">
        <v>3464</v>
      </c>
      <c r="AK1067" t="s">
        <v>3464</v>
      </c>
      <c r="AL1067" t="s">
        <v>3464</v>
      </c>
      <c r="AP1067" t="s">
        <v>3463</v>
      </c>
      <c r="AV1067" t="s">
        <v>178</v>
      </c>
      <c r="AW1067" t="s">
        <v>3918</v>
      </c>
      <c r="BF1067" t="s">
        <v>3921</v>
      </c>
      <c r="BH1067" t="s">
        <v>4020</v>
      </c>
      <c r="BP1067" t="s">
        <v>4260</v>
      </c>
      <c r="BQ1067" t="s">
        <v>3463</v>
      </c>
      <c r="BR1067" t="s">
        <v>3465</v>
      </c>
      <c r="BU1067" t="s">
        <v>3463</v>
      </c>
      <c r="BV1067" t="s">
        <v>3463</v>
      </c>
      <c r="BX1067" t="s">
        <v>79</v>
      </c>
      <c r="BY1067" t="s">
        <v>79</v>
      </c>
      <c r="BZ1067" t="s">
        <v>79</v>
      </c>
      <c r="CA1067" s="10">
        <v>45911</v>
      </c>
    </row>
    <row r="1068" spans="1:79">
      <c r="A1068">
        <v>1080</v>
      </c>
      <c r="B1068">
        <v>414</v>
      </c>
      <c r="C1068">
        <v>29</v>
      </c>
      <c r="D1068" t="s">
        <v>3462</v>
      </c>
      <c r="F1068" t="s">
        <v>380</v>
      </c>
      <c r="G1068" s="12" t="s">
        <v>3463</v>
      </c>
      <c r="M1068" t="s">
        <v>83</v>
      </c>
      <c r="P1068" t="s">
        <v>83</v>
      </c>
      <c r="Q1068" t="s">
        <v>83</v>
      </c>
      <c r="T1068" s="8" t="str">
        <f t="shared" si="32"/>
        <v/>
      </c>
      <c r="U1068" s="13" t="str" cm="1">
        <f t="array" ref="U1068">IF(T1068="","",_xlfn.IFS(T1068&lt;18.5,"Bajo peso",T1068&lt;25,"Peso normal",T1068&lt;30,"Sobrepeso",T1068&lt;35,"Obesidad clase I",T1068&lt;40,"Obesidad clase II",T1068&gt;=40,"Obesidad clase III"))</f>
        <v/>
      </c>
      <c r="AB1068" s="9" t="str">
        <f t="shared" si="33"/>
        <v/>
      </c>
      <c r="AH1068" t="s">
        <v>3463</v>
      </c>
      <c r="AI1068" t="s">
        <v>3463</v>
      </c>
      <c r="AJ1068" t="s">
        <v>3463</v>
      </c>
      <c r="AK1068" t="s">
        <v>3463</v>
      </c>
      <c r="AL1068" t="s">
        <v>3463</v>
      </c>
      <c r="AP1068" t="s">
        <v>3463</v>
      </c>
      <c r="AQ1068" t="s">
        <v>2404</v>
      </c>
      <c r="AR1068" t="s">
        <v>3592</v>
      </c>
      <c r="AV1068" t="s">
        <v>178</v>
      </c>
      <c r="AW1068" t="s">
        <v>3918</v>
      </c>
      <c r="BF1068" t="s">
        <v>3921</v>
      </c>
      <c r="BH1068" t="s">
        <v>4020</v>
      </c>
      <c r="BP1068" t="s">
        <v>4260</v>
      </c>
      <c r="BQ1068" t="s">
        <v>3465</v>
      </c>
      <c r="BR1068" t="s">
        <v>3465</v>
      </c>
      <c r="BS1068" t="s">
        <v>3463</v>
      </c>
      <c r="BT1068" t="s">
        <v>3465</v>
      </c>
      <c r="BU1068" t="s">
        <v>3463</v>
      </c>
      <c r="BV1068" t="s">
        <v>3463</v>
      </c>
      <c r="BW1068" t="s">
        <v>3463</v>
      </c>
      <c r="BX1068" t="s">
        <v>79</v>
      </c>
      <c r="BY1068" t="s">
        <v>87</v>
      </c>
      <c r="BZ1068" t="s">
        <v>79</v>
      </c>
      <c r="CA1068" s="10">
        <v>45911</v>
      </c>
    </row>
    <row r="1069" spans="1:79">
      <c r="A1069">
        <v>1081</v>
      </c>
      <c r="B1069">
        <v>415</v>
      </c>
      <c r="C1069">
        <v>18</v>
      </c>
      <c r="D1069" t="s">
        <v>3462</v>
      </c>
      <c r="F1069" t="s">
        <v>380</v>
      </c>
      <c r="G1069" s="12" t="s">
        <v>3463</v>
      </c>
      <c r="I1069">
        <v>49</v>
      </c>
      <c r="K1069">
        <v>126</v>
      </c>
      <c r="L1069">
        <v>60</v>
      </c>
      <c r="M1069" t="s">
        <v>118</v>
      </c>
      <c r="P1069" t="s">
        <v>83</v>
      </c>
      <c r="Q1069" t="s">
        <v>118</v>
      </c>
      <c r="R1069">
        <v>74</v>
      </c>
      <c r="S1069">
        <v>173</v>
      </c>
      <c r="T1069" s="8">
        <f t="shared" si="32"/>
        <v>24.725182932941294</v>
      </c>
      <c r="U1069" s="13" t="str" cm="1">
        <f t="array" ref="U1069">IF(T1069="","",_xlfn.IFS(T1069&lt;18.5,"Bajo peso",T1069&lt;25,"Peso normal",T1069&lt;30,"Sobrepeso",T1069&lt;35,"Obesidad clase I",T1069&lt;40,"Obesidad clase II",T1069&gt;=40,"Obesidad clase III"))</f>
        <v>Peso normal</v>
      </c>
      <c r="V1069">
        <v>79</v>
      </c>
      <c r="X1069" t="s">
        <v>3463</v>
      </c>
      <c r="Y1069">
        <v>1.2</v>
      </c>
      <c r="AA1069">
        <v>90</v>
      </c>
      <c r="AB1069" s="9">
        <f t="shared" si="33"/>
        <v>89.896694665305759</v>
      </c>
      <c r="AD1069" t="s">
        <v>73</v>
      </c>
      <c r="AF1069" t="s">
        <v>73</v>
      </c>
      <c r="AH1069" t="s">
        <v>3463</v>
      </c>
      <c r="AI1069" t="s">
        <v>3463</v>
      </c>
      <c r="AJ1069" t="s">
        <v>3463</v>
      </c>
      <c r="AK1069" t="s">
        <v>3463</v>
      </c>
      <c r="AL1069" t="s">
        <v>3465</v>
      </c>
      <c r="AM1069" t="s">
        <v>2405</v>
      </c>
      <c r="AN1069" t="s">
        <v>3631</v>
      </c>
      <c r="AP1069" t="s">
        <v>3463</v>
      </c>
      <c r="AQ1069" t="s">
        <v>143</v>
      </c>
      <c r="AR1069" t="s">
        <v>3493</v>
      </c>
      <c r="AV1069" t="s">
        <v>126</v>
      </c>
      <c r="AW1069" t="s">
        <v>126</v>
      </c>
      <c r="BF1069" t="s">
        <v>3921</v>
      </c>
      <c r="BH1069" t="s">
        <v>4020</v>
      </c>
      <c r="BP1069" t="s">
        <v>4260</v>
      </c>
      <c r="BQ1069" t="s">
        <v>3465</v>
      </c>
      <c r="BR1069" t="s">
        <v>3465</v>
      </c>
      <c r="BS1069" t="s">
        <v>3463</v>
      </c>
      <c r="BT1069" t="s">
        <v>3463</v>
      </c>
      <c r="BU1069" t="s">
        <v>3463</v>
      </c>
      <c r="BV1069" t="s">
        <v>3463</v>
      </c>
      <c r="BW1069" t="s">
        <v>3463</v>
      </c>
      <c r="BX1069" t="s">
        <v>79</v>
      </c>
      <c r="BY1069" t="s">
        <v>87</v>
      </c>
      <c r="BZ1069" t="s">
        <v>95</v>
      </c>
      <c r="CA1069" s="10">
        <v>45911</v>
      </c>
    </row>
    <row r="1070" spans="1:79">
      <c r="A1070">
        <v>1082</v>
      </c>
      <c r="B1070">
        <v>416</v>
      </c>
      <c r="C1070">
        <v>34</v>
      </c>
      <c r="D1070" t="s">
        <v>3462</v>
      </c>
      <c r="F1070" t="s">
        <v>380</v>
      </c>
      <c r="G1070" s="12" t="s">
        <v>3463</v>
      </c>
      <c r="I1070">
        <v>131</v>
      </c>
      <c r="J1070">
        <v>126</v>
      </c>
      <c r="K1070">
        <v>151</v>
      </c>
      <c r="L1070">
        <v>107</v>
      </c>
      <c r="M1070" t="s">
        <v>72</v>
      </c>
      <c r="N1070">
        <v>136</v>
      </c>
      <c r="O1070">
        <v>86</v>
      </c>
      <c r="P1070" t="s">
        <v>82</v>
      </c>
      <c r="Q1070" t="s">
        <v>82</v>
      </c>
      <c r="R1070">
        <v>71</v>
      </c>
      <c r="S1070">
        <v>175</v>
      </c>
      <c r="T1070" s="8">
        <f t="shared" si="32"/>
        <v>23.183673469387756</v>
      </c>
      <c r="U1070" s="13" t="str" cm="1">
        <f t="array" ref="U1070">IF(T1070="","",_xlfn.IFS(T1070&lt;18.5,"Bajo peso",T1070&lt;25,"Peso normal",T1070&lt;30,"Sobrepeso",T1070&lt;35,"Obesidad clase I",T1070&lt;40,"Obesidad clase II",T1070&gt;=40,"Obesidad clase III"))</f>
        <v>Peso normal</v>
      </c>
      <c r="V1070">
        <v>98</v>
      </c>
      <c r="X1070" t="s">
        <v>3463</v>
      </c>
      <c r="Y1070">
        <v>1.06</v>
      </c>
      <c r="AA1070">
        <v>90</v>
      </c>
      <c r="AB1070" s="9">
        <f t="shared" si="33"/>
        <v>94.444801751288637</v>
      </c>
      <c r="AD1070" t="s">
        <v>73</v>
      </c>
      <c r="AF1070" t="s">
        <v>73</v>
      </c>
      <c r="AH1070" t="s">
        <v>3463</v>
      </c>
      <c r="AI1070" t="s">
        <v>3463</v>
      </c>
      <c r="AJ1070" t="s">
        <v>3463</v>
      </c>
      <c r="AK1070" t="s">
        <v>3463</v>
      </c>
      <c r="AL1070" t="s">
        <v>3463</v>
      </c>
      <c r="AP1070" t="s">
        <v>3463</v>
      </c>
      <c r="AQ1070" t="s">
        <v>169</v>
      </c>
      <c r="AR1070" t="s">
        <v>3493</v>
      </c>
      <c r="AV1070" t="s">
        <v>126</v>
      </c>
      <c r="AW1070" t="s">
        <v>126</v>
      </c>
      <c r="BF1070" t="s">
        <v>3921</v>
      </c>
      <c r="BH1070" t="s">
        <v>4020</v>
      </c>
      <c r="BP1070" t="s">
        <v>4260</v>
      </c>
      <c r="BQ1070" t="s">
        <v>3463</v>
      </c>
      <c r="BR1070" t="s">
        <v>3465</v>
      </c>
      <c r="BS1070" t="s">
        <v>3463</v>
      </c>
      <c r="BT1070" t="s">
        <v>3463</v>
      </c>
      <c r="BU1070" t="s">
        <v>3463</v>
      </c>
      <c r="BV1070" t="s">
        <v>3463</v>
      </c>
      <c r="BW1070" t="s">
        <v>3463</v>
      </c>
      <c r="BX1070" t="s">
        <v>79</v>
      </c>
      <c r="BY1070" t="s">
        <v>87</v>
      </c>
      <c r="BZ1070" t="s">
        <v>79</v>
      </c>
      <c r="CA1070" s="10">
        <v>45911</v>
      </c>
    </row>
    <row r="1071" spans="1:79">
      <c r="A1071">
        <v>1084</v>
      </c>
      <c r="B1071">
        <v>418</v>
      </c>
      <c r="C1071">
        <v>38</v>
      </c>
      <c r="D1071" t="s">
        <v>3466</v>
      </c>
      <c r="E1071" t="s">
        <v>2348</v>
      </c>
      <c r="F1071" t="s">
        <v>168</v>
      </c>
      <c r="G1071" s="12" t="s">
        <v>3463</v>
      </c>
      <c r="I1071">
        <v>95</v>
      </c>
      <c r="K1071">
        <v>139</v>
      </c>
      <c r="L1071">
        <v>89</v>
      </c>
      <c r="M1071" t="s">
        <v>82</v>
      </c>
      <c r="P1071" t="s">
        <v>83</v>
      </c>
      <c r="Q1071" t="s">
        <v>82</v>
      </c>
      <c r="R1071">
        <v>74.349999999999994</v>
      </c>
      <c r="S1071">
        <v>160</v>
      </c>
      <c r="T1071" s="8">
        <f t="shared" si="32"/>
        <v>29.042968749999996</v>
      </c>
      <c r="U1071" s="13" t="str" cm="1">
        <f t="array" ref="U1071">IF(T1071="","",_xlfn.IFS(T1071&lt;18.5,"Bajo peso",T1071&lt;25,"Peso normal",T1071&lt;30,"Sobrepeso",T1071&lt;35,"Obesidad clase I",T1071&lt;40,"Obesidad clase II",T1071&gt;=40,"Obesidad clase III"))</f>
        <v>Sobrepeso</v>
      </c>
      <c r="V1071">
        <v>98</v>
      </c>
      <c r="X1071" t="s">
        <v>3463</v>
      </c>
      <c r="Y1071">
        <v>0.82</v>
      </c>
      <c r="AA1071">
        <v>90</v>
      </c>
      <c r="AB1071" s="9">
        <f t="shared" si="33"/>
        <v>93.836455254814837</v>
      </c>
      <c r="AD1071" t="s">
        <v>73</v>
      </c>
      <c r="AF1071" t="s">
        <v>73</v>
      </c>
      <c r="AH1071" t="s">
        <v>3463</v>
      </c>
      <c r="AI1071" t="s">
        <v>3463</v>
      </c>
      <c r="AJ1071" t="s">
        <v>3465</v>
      </c>
      <c r="AK1071" t="s">
        <v>3463</v>
      </c>
      <c r="AL1071" t="s">
        <v>3465</v>
      </c>
      <c r="AM1071" t="s">
        <v>2406</v>
      </c>
      <c r="AN1071" t="s">
        <v>116</v>
      </c>
      <c r="AQ1071" t="s">
        <v>2349</v>
      </c>
      <c r="AR1071" t="s">
        <v>3512</v>
      </c>
      <c r="AV1071" t="s">
        <v>126</v>
      </c>
      <c r="AW1071" t="s">
        <v>126</v>
      </c>
      <c r="AX1071" t="s">
        <v>3463</v>
      </c>
      <c r="AY1071" t="s">
        <v>3465</v>
      </c>
      <c r="AZ1071" t="s">
        <v>247</v>
      </c>
      <c r="BF1071" t="s">
        <v>3921</v>
      </c>
      <c r="BH1071" t="s">
        <v>4020</v>
      </c>
      <c r="BP1071" t="s">
        <v>4260</v>
      </c>
      <c r="BQ1071" t="s">
        <v>3463</v>
      </c>
      <c r="BR1071" t="s">
        <v>3465</v>
      </c>
      <c r="BS1071" t="s">
        <v>3463</v>
      </c>
      <c r="BT1071" t="s">
        <v>3463</v>
      </c>
      <c r="BU1071" t="s">
        <v>3463</v>
      </c>
      <c r="BV1071" t="s">
        <v>3463</v>
      </c>
      <c r="BW1071" t="s">
        <v>3463</v>
      </c>
      <c r="BX1071" t="s">
        <v>79</v>
      </c>
      <c r="BY1071" t="s">
        <v>87</v>
      </c>
      <c r="BZ1071" t="s">
        <v>79</v>
      </c>
      <c r="CA1071" s="10">
        <v>45911</v>
      </c>
    </row>
    <row r="1072" spans="1:79">
      <c r="A1072">
        <v>1085</v>
      </c>
      <c r="B1072">
        <v>1</v>
      </c>
      <c r="C1072">
        <v>86</v>
      </c>
      <c r="D1072" t="s">
        <v>3462</v>
      </c>
      <c r="F1072" t="s">
        <v>2407</v>
      </c>
      <c r="G1072" s="12" t="s">
        <v>3465</v>
      </c>
      <c r="H1072" s="12" t="s">
        <v>88</v>
      </c>
      <c r="I1072">
        <v>75</v>
      </c>
      <c r="J1072">
        <v>66</v>
      </c>
      <c r="K1072">
        <v>202</v>
      </c>
      <c r="L1072">
        <v>100</v>
      </c>
      <c r="M1072" t="s">
        <v>96</v>
      </c>
      <c r="N1072">
        <v>202</v>
      </c>
      <c r="O1072">
        <v>93</v>
      </c>
      <c r="P1072" t="s">
        <v>96</v>
      </c>
      <c r="Q1072" t="s">
        <v>96</v>
      </c>
      <c r="R1072">
        <v>58.5</v>
      </c>
      <c r="S1072">
        <v>155</v>
      </c>
      <c r="T1072" s="8">
        <f t="shared" si="32"/>
        <v>24.349635796045785</v>
      </c>
      <c r="U1072" s="13" t="str" cm="1">
        <f t="array" ref="U1072">IF(T1072="","",_xlfn.IFS(T1072&lt;18.5,"Bajo peso",T1072&lt;25,"Peso normal",T1072&lt;30,"Sobrepeso",T1072&lt;35,"Obesidad clase I",T1072&lt;40,"Obesidad clase II",T1072&gt;=40,"Obesidad clase III"))</f>
        <v>Peso normal</v>
      </c>
      <c r="V1072">
        <v>106</v>
      </c>
      <c r="X1072" t="s">
        <v>3463</v>
      </c>
      <c r="Y1072">
        <v>0.49</v>
      </c>
      <c r="AA1072">
        <v>90</v>
      </c>
      <c r="AB1072" s="9">
        <f t="shared" si="33"/>
        <v>99.941005211437613</v>
      </c>
      <c r="AD1072" t="s">
        <v>73</v>
      </c>
      <c r="AF1072" t="s">
        <v>73</v>
      </c>
      <c r="AH1072" t="s">
        <v>3463</v>
      </c>
      <c r="AI1072" t="s">
        <v>3465</v>
      </c>
      <c r="AJ1072" t="s">
        <v>3463</v>
      </c>
      <c r="AK1072" t="s">
        <v>3463</v>
      </c>
      <c r="AL1072" t="s">
        <v>3465</v>
      </c>
      <c r="AM1072" t="s">
        <v>2408</v>
      </c>
      <c r="AN1072" t="s">
        <v>3765</v>
      </c>
      <c r="AP1072" t="s">
        <v>3463</v>
      </c>
      <c r="AS1072" t="s">
        <v>3465</v>
      </c>
      <c r="AV1072" t="s">
        <v>178</v>
      </c>
      <c r="AW1072" t="s">
        <v>3918</v>
      </c>
      <c r="BA1072" t="s">
        <v>3920</v>
      </c>
      <c r="BF1072" t="s">
        <v>3921</v>
      </c>
      <c r="BG1072" t="s">
        <v>2409</v>
      </c>
      <c r="BH1072" t="s">
        <v>4207</v>
      </c>
      <c r="BL1072" t="s">
        <v>2410</v>
      </c>
      <c r="BP1072" t="s">
        <v>4396</v>
      </c>
      <c r="BQ1072" t="s">
        <v>3463</v>
      </c>
      <c r="BR1072" t="s">
        <v>3463</v>
      </c>
      <c r="BS1072" t="s">
        <v>3463</v>
      </c>
      <c r="BT1072" t="s">
        <v>3463</v>
      </c>
      <c r="BU1072" t="s">
        <v>3463</v>
      </c>
      <c r="BV1072" t="s">
        <v>3463</v>
      </c>
      <c r="BW1072" t="s">
        <v>3463</v>
      </c>
      <c r="BX1072" t="s">
        <v>79</v>
      </c>
      <c r="BY1072" t="s">
        <v>79</v>
      </c>
      <c r="BZ1072" t="s">
        <v>79</v>
      </c>
      <c r="CA1072" s="10">
        <v>45912</v>
      </c>
    </row>
    <row r="1073" spans="1:79">
      <c r="A1073">
        <v>1086</v>
      </c>
      <c r="B1073">
        <v>3</v>
      </c>
      <c r="C1073">
        <v>64</v>
      </c>
      <c r="D1073" t="s">
        <v>3466</v>
      </c>
      <c r="F1073" t="s">
        <v>2407</v>
      </c>
      <c r="G1073" s="12" t="s">
        <v>3465</v>
      </c>
      <c r="H1073" s="12" t="s">
        <v>88</v>
      </c>
      <c r="I1073">
        <v>76</v>
      </c>
      <c r="J1073">
        <v>71</v>
      </c>
      <c r="K1073">
        <v>153</v>
      </c>
      <c r="L1073">
        <v>88</v>
      </c>
      <c r="M1073" t="s">
        <v>72</v>
      </c>
      <c r="N1073">
        <v>153</v>
      </c>
      <c r="O1073">
        <v>74</v>
      </c>
      <c r="P1073" t="s">
        <v>72</v>
      </c>
      <c r="Q1073" t="s">
        <v>72</v>
      </c>
      <c r="R1073">
        <v>70.2</v>
      </c>
      <c r="S1073">
        <v>151</v>
      </c>
      <c r="T1073" s="8">
        <f t="shared" si="32"/>
        <v>30.788123327924215</v>
      </c>
      <c r="U1073" s="13" t="str" cm="1">
        <f t="array" ref="U1073">IF(T1073="","",_xlfn.IFS(T1073&lt;18.5,"Bajo peso",T1073&lt;25,"Peso normal",T1073&lt;30,"Sobrepeso",T1073&lt;35,"Obesidad clase I",T1073&lt;40,"Obesidad clase II",T1073&gt;=40,"Obesidad clase III"))</f>
        <v>Obesidad clase I</v>
      </c>
      <c r="V1073">
        <v>101</v>
      </c>
      <c r="X1073" t="s">
        <v>3463</v>
      </c>
      <c r="Y1073">
        <v>0.48</v>
      </c>
      <c r="AA1073">
        <v>90</v>
      </c>
      <c r="AB1073" s="9">
        <f t="shared" si="33"/>
        <v>105.70459352635302</v>
      </c>
      <c r="AD1073" t="s">
        <v>73</v>
      </c>
      <c r="AF1073" t="s">
        <v>73</v>
      </c>
      <c r="AH1073" t="s">
        <v>3463</v>
      </c>
      <c r="AI1073" t="s">
        <v>3463</v>
      </c>
      <c r="AJ1073" t="s">
        <v>3463</v>
      </c>
      <c r="AK1073" t="s">
        <v>3463</v>
      </c>
      <c r="AL1073" t="s">
        <v>3463</v>
      </c>
      <c r="AP1073" t="s">
        <v>3463</v>
      </c>
      <c r="AT1073" t="s">
        <v>3465</v>
      </c>
      <c r="AU1073" t="s">
        <v>3471</v>
      </c>
      <c r="AV1073" t="s">
        <v>74</v>
      </c>
      <c r="AW1073" t="s">
        <v>3915</v>
      </c>
      <c r="AX1073" t="s">
        <v>3463</v>
      </c>
      <c r="AY1073" t="s">
        <v>3465</v>
      </c>
      <c r="AZ1073" t="s">
        <v>137</v>
      </c>
      <c r="BE1073" t="s">
        <v>2415</v>
      </c>
      <c r="BF1073" t="s">
        <v>3978</v>
      </c>
      <c r="BH1073" t="s">
        <v>4021</v>
      </c>
      <c r="BI1073" t="s">
        <v>76</v>
      </c>
      <c r="BP1073" t="s">
        <v>4261</v>
      </c>
      <c r="BQ1073" t="s">
        <v>3463</v>
      </c>
      <c r="BR1073" t="s">
        <v>3465</v>
      </c>
      <c r="BS1073" t="s">
        <v>3463</v>
      </c>
      <c r="BT1073" t="s">
        <v>3463</v>
      </c>
      <c r="BU1073" t="s">
        <v>3463</v>
      </c>
      <c r="BV1073" t="s">
        <v>3463</v>
      </c>
      <c r="BW1073" t="s">
        <v>3463</v>
      </c>
      <c r="BX1073" t="s">
        <v>654</v>
      </c>
      <c r="BY1073" t="s">
        <v>79</v>
      </c>
      <c r="BZ1073" t="s">
        <v>79</v>
      </c>
      <c r="CA1073" s="10">
        <v>45912</v>
      </c>
    </row>
    <row r="1074" spans="1:79">
      <c r="A1074">
        <v>1087</v>
      </c>
      <c r="B1074">
        <v>4</v>
      </c>
      <c r="C1074">
        <v>60</v>
      </c>
      <c r="D1074" t="s">
        <v>3462</v>
      </c>
      <c r="E1074" t="s">
        <v>2416</v>
      </c>
      <c r="F1074" t="s">
        <v>2407</v>
      </c>
      <c r="G1074" s="12" t="s">
        <v>3465</v>
      </c>
      <c r="H1074" t="s">
        <v>88</v>
      </c>
      <c r="I1074">
        <v>77</v>
      </c>
      <c r="J1074">
        <v>72</v>
      </c>
      <c r="K1074">
        <v>146</v>
      </c>
      <c r="L1074">
        <v>75</v>
      </c>
      <c r="M1074" t="s">
        <v>72</v>
      </c>
      <c r="N1074">
        <v>144</v>
      </c>
      <c r="O1074">
        <v>72</v>
      </c>
      <c r="P1074" t="s">
        <v>72</v>
      </c>
      <c r="Q1074" t="s">
        <v>72</v>
      </c>
      <c r="R1074">
        <v>76.400000000000006</v>
      </c>
      <c r="S1074">
        <v>161.5</v>
      </c>
      <c r="T1074" s="8">
        <f t="shared" si="32"/>
        <v>29.291951422902549</v>
      </c>
      <c r="U1074" s="13" t="str" cm="1">
        <f t="array" ref="U1074">IF(T1074="","",_xlfn.IFS(T1074&lt;18.5,"Bajo peso",T1074&lt;25,"Peso normal",T1074&lt;30,"Sobrepeso",T1074&lt;35,"Obesidad clase I",T1074&lt;40,"Obesidad clase II",T1074&gt;=40,"Obesidad clase III"))</f>
        <v>Sobrepeso</v>
      </c>
      <c r="V1074">
        <v>150</v>
      </c>
      <c r="X1074" t="s">
        <v>3463</v>
      </c>
      <c r="Y1074">
        <v>0.51</v>
      </c>
      <c r="AA1074">
        <v>90</v>
      </c>
      <c r="AB1074" s="9">
        <f t="shared" si="33"/>
        <v>116.07078820418275</v>
      </c>
      <c r="AD1074" t="s">
        <v>73</v>
      </c>
      <c r="AF1074" t="s">
        <v>73</v>
      </c>
      <c r="AH1074" t="s">
        <v>3463</v>
      </c>
      <c r="AI1074" t="s">
        <v>3465</v>
      </c>
      <c r="AJ1074" t="s">
        <v>3463</v>
      </c>
      <c r="AK1074" t="s">
        <v>3463</v>
      </c>
      <c r="AL1074" t="s">
        <v>3465</v>
      </c>
      <c r="AM1074" t="s">
        <v>2417</v>
      </c>
      <c r="AN1074" t="s">
        <v>3765</v>
      </c>
      <c r="AO1074" t="s">
        <v>3463</v>
      </c>
      <c r="AP1074" t="s">
        <v>3465</v>
      </c>
      <c r="AQ1074" t="s">
        <v>2418</v>
      </c>
      <c r="AR1074" t="s">
        <v>3491</v>
      </c>
      <c r="AS1074" t="s">
        <v>3465</v>
      </c>
      <c r="AV1074" t="s">
        <v>74</v>
      </c>
      <c r="AW1074" t="s">
        <v>3915</v>
      </c>
      <c r="BF1074" t="s">
        <v>3921</v>
      </c>
      <c r="BH1074" t="s">
        <v>4020</v>
      </c>
      <c r="BP1074" t="s">
        <v>4260</v>
      </c>
      <c r="BQ1074" t="s">
        <v>3463</v>
      </c>
      <c r="BR1074" t="s">
        <v>3465</v>
      </c>
      <c r="BS1074" t="s">
        <v>3463</v>
      </c>
      <c r="BT1074" t="s">
        <v>3463</v>
      </c>
      <c r="BU1074" t="s">
        <v>3465</v>
      </c>
      <c r="BV1074" t="s">
        <v>3465</v>
      </c>
      <c r="BW1074" t="s">
        <v>3465</v>
      </c>
      <c r="BX1074" t="s">
        <v>518</v>
      </c>
      <c r="BY1074" t="s">
        <v>79</v>
      </c>
      <c r="BZ1074" t="s">
        <v>79</v>
      </c>
      <c r="CA1074" s="10">
        <v>45912</v>
      </c>
    </row>
    <row r="1075" spans="1:79">
      <c r="A1075">
        <v>1088</v>
      </c>
      <c r="B1075">
        <v>5</v>
      </c>
      <c r="C1075">
        <v>52</v>
      </c>
      <c r="D1075" t="s">
        <v>3462</v>
      </c>
      <c r="E1075" t="s">
        <v>2411</v>
      </c>
      <c r="F1075" t="s">
        <v>2407</v>
      </c>
      <c r="G1075" s="12" t="s">
        <v>3463</v>
      </c>
      <c r="I1075">
        <v>59</v>
      </c>
      <c r="J1075">
        <v>63</v>
      </c>
      <c r="K1075">
        <v>148</v>
      </c>
      <c r="L1075">
        <v>88</v>
      </c>
      <c r="M1075" t="s">
        <v>72</v>
      </c>
      <c r="N1075">
        <v>156</v>
      </c>
      <c r="O1075">
        <v>92</v>
      </c>
      <c r="P1075" t="s">
        <v>72</v>
      </c>
      <c r="Q1075" t="s">
        <v>72</v>
      </c>
      <c r="R1075">
        <v>70.2</v>
      </c>
      <c r="S1075">
        <v>154</v>
      </c>
      <c r="T1075" s="8">
        <f t="shared" si="32"/>
        <v>29.600269860010119</v>
      </c>
      <c r="U1075" s="13" t="str" cm="1">
        <f t="array" ref="U1075">IF(T1075="","",_xlfn.IFS(T1075&lt;18.5,"Bajo peso",T1075&lt;25,"Peso normal",T1075&lt;30,"Sobrepeso",T1075&lt;35,"Obesidad clase I",T1075&lt;40,"Obesidad clase II",T1075&gt;=40,"Obesidad clase III"))</f>
        <v>Sobrepeso</v>
      </c>
      <c r="V1075">
        <v>158</v>
      </c>
      <c r="X1075" t="s">
        <v>3463</v>
      </c>
      <c r="Y1075">
        <v>0.64</v>
      </c>
      <c r="AA1075">
        <v>90</v>
      </c>
      <c r="AB1075" s="9">
        <f t="shared" si="33"/>
        <v>113.90711055354136</v>
      </c>
      <c r="AD1075" t="s">
        <v>73</v>
      </c>
      <c r="AF1075" t="s">
        <v>73</v>
      </c>
      <c r="AH1075" t="s">
        <v>3463</v>
      </c>
      <c r="AI1075" t="s">
        <v>3463</v>
      </c>
      <c r="AJ1075" t="s">
        <v>3463</v>
      </c>
      <c r="AK1075" t="s">
        <v>3463</v>
      </c>
      <c r="AL1075" t="s">
        <v>3463</v>
      </c>
      <c r="AP1075" t="s">
        <v>3463</v>
      </c>
      <c r="AQ1075" t="s">
        <v>2419</v>
      </c>
      <c r="AR1075" t="s">
        <v>3508</v>
      </c>
      <c r="AV1075" t="s">
        <v>74</v>
      </c>
      <c r="AW1075" t="s">
        <v>3915</v>
      </c>
      <c r="BC1075" t="s">
        <v>128</v>
      </c>
      <c r="BF1075" t="s">
        <v>3921</v>
      </c>
      <c r="BG1075" t="s">
        <v>2420</v>
      </c>
      <c r="BH1075" t="s">
        <v>4014</v>
      </c>
      <c r="BK1075" t="s">
        <v>2421</v>
      </c>
      <c r="BL1075" t="s">
        <v>2422</v>
      </c>
      <c r="BP1075" t="s">
        <v>4405</v>
      </c>
      <c r="BQ1075" t="s">
        <v>3463</v>
      </c>
      <c r="BR1075" t="s">
        <v>3465</v>
      </c>
      <c r="BS1075" t="s">
        <v>3463</v>
      </c>
      <c r="BT1075" t="s">
        <v>3465</v>
      </c>
      <c r="BU1075" t="s">
        <v>3463</v>
      </c>
      <c r="BV1075" t="s">
        <v>3463</v>
      </c>
      <c r="BW1075" t="s">
        <v>3463</v>
      </c>
      <c r="BX1075" t="s">
        <v>79</v>
      </c>
      <c r="BY1075" t="s">
        <v>79</v>
      </c>
      <c r="BZ1075" t="s">
        <v>79</v>
      </c>
      <c r="CA1075" s="10">
        <v>45912</v>
      </c>
    </row>
    <row r="1076" spans="1:79">
      <c r="A1076">
        <v>1089</v>
      </c>
      <c r="B1076">
        <v>6</v>
      </c>
      <c r="C1076">
        <v>54</v>
      </c>
      <c r="D1076" t="s">
        <v>3466</v>
      </c>
      <c r="F1076" t="s">
        <v>2407</v>
      </c>
      <c r="G1076" s="12" t="s">
        <v>3463</v>
      </c>
      <c r="H1076" s="12"/>
      <c r="I1076">
        <v>82</v>
      </c>
      <c r="J1076">
        <v>75</v>
      </c>
      <c r="K1076">
        <v>145</v>
      </c>
      <c r="L1076">
        <v>84</v>
      </c>
      <c r="M1076" t="s">
        <v>72</v>
      </c>
      <c r="N1076">
        <v>148</v>
      </c>
      <c r="O1076">
        <v>83</v>
      </c>
      <c r="P1076" t="s">
        <v>72</v>
      </c>
      <c r="Q1076" t="s">
        <v>72</v>
      </c>
      <c r="R1076">
        <v>94.3</v>
      </c>
      <c r="S1076">
        <v>147</v>
      </c>
      <c r="T1076" s="8">
        <f t="shared" ref="T1076:T1139" si="34">IFERROR(R1076/(S1076^2)*10000,"")</f>
        <v>43.639224397241883</v>
      </c>
      <c r="U1076" s="13" t="str" cm="1">
        <f t="array" ref="U1076">IF(T1076="","",_xlfn.IFS(T1076&lt;18.5,"Bajo peso",T1076&lt;25,"Peso normal",T1076&lt;30,"Sobrepeso",T1076&lt;35,"Obesidad clase I",T1076&lt;40,"Obesidad clase II",T1076&gt;=40,"Obesidad clase III"))</f>
        <v>Obesidad clase III</v>
      </c>
      <c r="V1076">
        <v>110</v>
      </c>
      <c r="X1076" t="s">
        <v>3463</v>
      </c>
      <c r="Y1076">
        <v>0.43</v>
      </c>
      <c r="AA1076">
        <v>90</v>
      </c>
      <c r="AB1076" s="9">
        <f t="shared" si="33"/>
        <v>115.50935980679479</v>
      </c>
      <c r="AD1076" t="s">
        <v>73</v>
      </c>
      <c r="AF1076" t="s">
        <v>73</v>
      </c>
      <c r="AH1076" t="s">
        <v>3463</v>
      </c>
      <c r="AI1076" t="s">
        <v>3463</v>
      </c>
      <c r="AJ1076" t="s">
        <v>3463</v>
      </c>
      <c r="AK1076" t="s">
        <v>3465</v>
      </c>
      <c r="AL1076" t="s">
        <v>3465</v>
      </c>
      <c r="AM1076" t="s">
        <v>2423</v>
      </c>
      <c r="AN1076" t="s">
        <v>3679</v>
      </c>
      <c r="AP1076" t="s">
        <v>3463</v>
      </c>
      <c r="AT1076" t="s">
        <v>3465</v>
      </c>
      <c r="AU1076" s="12" t="s">
        <v>3471</v>
      </c>
      <c r="AV1076" t="s">
        <v>178</v>
      </c>
      <c r="AW1076" t="s">
        <v>3918</v>
      </c>
      <c r="AX1076" t="s">
        <v>3463</v>
      </c>
      <c r="AY1076" t="s">
        <v>3463</v>
      </c>
      <c r="AZ1076" t="s">
        <v>2424</v>
      </c>
      <c r="BE1076" t="s">
        <v>2425</v>
      </c>
      <c r="BF1076" t="s">
        <v>3679</v>
      </c>
      <c r="BH1076" t="s">
        <v>4021</v>
      </c>
      <c r="BI1076" t="s">
        <v>76</v>
      </c>
      <c r="BP1076" t="s">
        <v>4261</v>
      </c>
      <c r="BQ1076" t="s">
        <v>3463</v>
      </c>
      <c r="BR1076" t="s">
        <v>3463</v>
      </c>
      <c r="BS1076" t="s">
        <v>3465</v>
      </c>
      <c r="BT1076" t="s">
        <v>3465</v>
      </c>
      <c r="BU1076" t="s">
        <v>3463</v>
      </c>
      <c r="BV1076" t="s">
        <v>3463</v>
      </c>
      <c r="BW1076" t="s">
        <v>3463</v>
      </c>
      <c r="BX1076" t="s">
        <v>79</v>
      </c>
      <c r="BY1076" t="s">
        <v>87</v>
      </c>
      <c r="BZ1076" t="s">
        <v>79</v>
      </c>
      <c r="CA1076" s="10">
        <v>45912</v>
      </c>
    </row>
    <row r="1077" spans="1:79">
      <c r="A1077">
        <v>1090</v>
      </c>
      <c r="B1077">
        <v>7</v>
      </c>
      <c r="C1077">
        <v>78</v>
      </c>
      <c r="D1077" t="s">
        <v>3466</v>
      </c>
      <c r="E1077" t="s">
        <v>2411</v>
      </c>
      <c r="F1077" t="s">
        <v>2407</v>
      </c>
      <c r="G1077" s="12" t="s">
        <v>3463</v>
      </c>
      <c r="I1077">
        <v>52</v>
      </c>
      <c r="J1077">
        <v>46</v>
      </c>
      <c r="K1077">
        <v>161</v>
      </c>
      <c r="L1077">
        <v>81</v>
      </c>
      <c r="M1077" t="s">
        <v>72</v>
      </c>
      <c r="N1077">
        <v>171</v>
      </c>
      <c r="O1077">
        <v>75</v>
      </c>
      <c r="P1077" t="s">
        <v>72</v>
      </c>
      <c r="Q1077" t="s">
        <v>72</v>
      </c>
      <c r="R1077">
        <v>59.9</v>
      </c>
      <c r="S1077">
        <v>146</v>
      </c>
      <c r="T1077" s="8">
        <f t="shared" si="34"/>
        <v>28.100957027584911</v>
      </c>
      <c r="U1077" s="13" t="str" cm="1">
        <f t="array" ref="U1077">IF(T1077="","",_xlfn.IFS(T1077&lt;18.5,"Bajo peso",T1077&lt;25,"Peso normal",T1077&lt;30,"Sobrepeso",T1077&lt;35,"Obesidad clase I",T1077&lt;40,"Obesidad clase II",T1077&gt;=40,"Obesidad clase III"))</f>
        <v>Sobrepeso</v>
      </c>
      <c r="V1077">
        <v>108</v>
      </c>
      <c r="X1077" t="s">
        <v>3463</v>
      </c>
      <c r="Y1077">
        <v>0.88</v>
      </c>
      <c r="AA1077">
        <v>67</v>
      </c>
      <c r="AB1077" s="9">
        <f t="shared" si="33"/>
        <v>67.224674222488204</v>
      </c>
      <c r="AD1077" t="s">
        <v>73</v>
      </c>
      <c r="AF1077" t="s">
        <v>73</v>
      </c>
      <c r="AH1077" t="s">
        <v>3463</v>
      </c>
      <c r="AI1077" t="s">
        <v>3465</v>
      </c>
      <c r="AJ1077" t="s">
        <v>3463</v>
      </c>
      <c r="AK1077" t="s">
        <v>3463</v>
      </c>
      <c r="AL1077" t="s">
        <v>3463</v>
      </c>
      <c r="AP1077" t="s">
        <v>3463</v>
      </c>
      <c r="AS1077" t="s">
        <v>3465</v>
      </c>
      <c r="AT1077" t="s">
        <v>3463</v>
      </c>
      <c r="AV1077" t="s">
        <v>74</v>
      </c>
      <c r="AW1077" t="s">
        <v>3915</v>
      </c>
      <c r="AX1077" t="s">
        <v>3463</v>
      </c>
      <c r="AY1077" t="s">
        <v>3463</v>
      </c>
      <c r="BA1077" t="s">
        <v>3920</v>
      </c>
      <c r="BF1077" t="s">
        <v>3921</v>
      </c>
      <c r="BG1077" t="s">
        <v>2426</v>
      </c>
      <c r="BH1077" t="s">
        <v>4021</v>
      </c>
      <c r="BK1077" t="s">
        <v>1677</v>
      </c>
      <c r="BL1077" t="s">
        <v>2427</v>
      </c>
      <c r="BP1077" t="s">
        <v>4260</v>
      </c>
      <c r="BQ1077" t="s">
        <v>3463</v>
      </c>
      <c r="BR1077" t="s">
        <v>3463</v>
      </c>
      <c r="BS1077" t="s">
        <v>3463</v>
      </c>
      <c r="BT1077" t="s">
        <v>3463</v>
      </c>
      <c r="BU1077" t="s">
        <v>3463</v>
      </c>
      <c r="BV1077" t="s">
        <v>3463</v>
      </c>
      <c r="BW1077" t="s">
        <v>3463</v>
      </c>
      <c r="BX1077" t="s">
        <v>79</v>
      </c>
      <c r="BY1077" t="s">
        <v>79</v>
      </c>
      <c r="BZ1077" t="s">
        <v>79</v>
      </c>
      <c r="CA1077" s="10">
        <v>45912</v>
      </c>
    </row>
    <row r="1078" spans="1:79">
      <c r="A1078">
        <v>1091</v>
      </c>
      <c r="B1078">
        <v>8</v>
      </c>
      <c r="C1078">
        <v>58</v>
      </c>
      <c r="D1078" t="s">
        <v>3466</v>
      </c>
      <c r="F1078" t="s">
        <v>2407</v>
      </c>
      <c r="G1078" s="12" t="s">
        <v>3465</v>
      </c>
      <c r="H1078" t="s">
        <v>88</v>
      </c>
      <c r="I1078">
        <v>88</v>
      </c>
      <c r="J1078">
        <v>9098</v>
      </c>
      <c r="K1078">
        <v>193</v>
      </c>
      <c r="L1078">
        <v>111</v>
      </c>
      <c r="M1078" t="s">
        <v>96</v>
      </c>
      <c r="N1078">
        <v>187</v>
      </c>
      <c r="O1078">
        <v>114</v>
      </c>
      <c r="P1078" t="s">
        <v>96</v>
      </c>
      <c r="Q1078" t="s">
        <v>96</v>
      </c>
      <c r="R1078">
        <v>74.900000000000006</v>
      </c>
      <c r="S1078">
        <v>153</v>
      </c>
      <c r="T1078" s="8">
        <f t="shared" si="34"/>
        <v>31.996240762100047</v>
      </c>
      <c r="U1078" s="13" t="str" cm="1">
        <f t="array" ref="U1078">IF(T1078="","",_xlfn.IFS(T1078&lt;18.5,"Bajo peso",T1078&lt;25,"Peso normal",T1078&lt;30,"Sobrepeso",T1078&lt;35,"Obesidad clase I",T1078&lt;40,"Obesidad clase II",T1078&gt;=40,"Obesidad clase III"))</f>
        <v>Obesidad clase I</v>
      </c>
      <c r="V1078">
        <v>283</v>
      </c>
      <c r="X1078" t="s">
        <v>3465</v>
      </c>
      <c r="Y1078">
        <v>0.52</v>
      </c>
      <c r="AA1078">
        <v>90</v>
      </c>
      <c r="AB1078" s="9">
        <f t="shared" si="33"/>
        <v>107.62724870442774</v>
      </c>
      <c r="AD1078" t="s">
        <v>73</v>
      </c>
      <c r="AF1078" t="s">
        <v>73</v>
      </c>
      <c r="AG1078" t="s">
        <v>3465</v>
      </c>
      <c r="AH1078" t="s">
        <v>3465</v>
      </c>
      <c r="AI1078" t="s">
        <v>3465</v>
      </c>
      <c r="AJ1078" t="s">
        <v>3463</v>
      </c>
      <c r="AK1078" t="s">
        <v>3463</v>
      </c>
      <c r="AL1078" t="s">
        <v>3463</v>
      </c>
      <c r="AP1078" t="s">
        <v>3463</v>
      </c>
      <c r="AQ1078" t="s">
        <v>1101</v>
      </c>
      <c r="AR1078" t="s">
        <v>3493</v>
      </c>
      <c r="AS1078" t="s">
        <v>3465</v>
      </c>
      <c r="AT1078" t="s">
        <v>3465</v>
      </c>
      <c r="AU1078" t="s">
        <v>80</v>
      </c>
      <c r="AV1078" t="s">
        <v>178</v>
      </c>
      <c r="AW1078" t="s">
        <v>3918</v>
      </c>
      <c r="AX1078" t="s">
        <v>3463</v>
      </c>
      <c r="AY1078" t="s">
        <v>3465</v>
      </c>
      <c r="AZ1078" t="s">
        <v>104</v>
      </c>
      <c r="BF1078" t="s">
        <v>3921</v>
      </c>
      <c r="BH1078" t="s">
        <v>4020</v>
      </c>
      <c r="BP1078" t="s">
        <v>4260</v>
      </c>
      <c r="BQ1078" t="s">
        <v>3465</v>
      </c>
      <c r="BR1078" t="s">
        <v>3463</v>
      </c>
      <c r="BS1078" t="s">
        <v>3465</v>
      </c>
      <c r="BT1078" t="s">
        <v>3465</v>
      </c>
      <c r="BU1078" t="s">
        <v>3463</v>
      </c>
      <c r="BV1078" t="s">
        <v>3463</v>
      </c>
      <c r="BW1078" t="s">
        <v>3463</v>
      </c>
      <c r="BX1078" t="s">
        <v>79</v>
      </c>
      <c r="BY1078" t="s">
        <v>487</v>
      </c>
      <c r="BZ1078" t="s">
        <v>79</v>
      </c>
      <c r="CA1078" s="10">
        <v>45912</v>
      </c>
    </row>
    <row r="1079" spans="1:79">
      <c r="A1079">
        <v>1092</v>
      </c>
      <c r="B1079">
        <v>9</v>
      </c>
      <c r="C1079">
        <v>31</v>
      </c>
      <c r="D1079" t="s">
        <v>3462</v>
      </c>
      <c r="E1079" t="s">
        <v>2416</v>
      </c>
      <c r="F1079" t="s">
        <v>2407</v>
      </c>
      <c r="G1079" s="12" t="s">
        <v>3463</v>
      </c>
      <c r="I1079">
        <v>80</v>
      </c>
      <c r="J1079">
        <v>65</v>
      </c>
      <c r="K1079">
        <v>149</v>
      </c>
      <c r="L1079">
        <v>81</v>
      </c>
      <c r="M1079" t="s">
        <v>72</v>
      </c>
      <c r="N1079">
        <v>147</v>
      </c>
      <c r="O1079">
        <v>76</v>
      </c>
      <c r="P1079" t="s">
        <v>72</v>
      </c>
      <c r="Q1079" t="s">
        <v>72</v>
      </c>
      <c r="R1079">
        <v>57.2</v>
      </c>
      <c r="S1079">
        <v>149</v>
      </c>
      <c r="T1079" s="8">
        <f t="shared" si="34"/>
        <v>25.764605197964055</v>
      </c>
      <c r="U1079" s="13" t="str" cm="1">
        <f t="array" ref="U1079">IF(T1079="","",_xlfn.IFS(T1079&lt;18.5,"Bajo peso",T1079&lt;25,"Peso normal",T1079&lt;30,"Sobrepeso",T1079&lt;35,"Obesidad clase I",T1079&lt;40,"Obesidad clase II",T1079&gt;=40,"Obesidad clase III"))</f>
        <v>Sobrepeso</v>
      </c>
      <c r="V1079">
        <v>169</v>
      </c>
      <c r="X1079" t="s">
        <v>3463</v>
      </c>
      <c r="Y1079">
        <v>0.53</v>
      </c>
      <c r="AA1079">
        <v>90</v>
      </c>
      <c r="AB1079" s="9">
        <f t="shared" si="33"/>
        <v>137.40642306819367</v>
      </c>
      <c r="AD1079" t="s">
        <v>73</v>
      </c>
      <c r="AF1079" t="s">
        <v>73</v>
      </c>
      <c r="AH1079" t="s">
        <v>3463</v>
      </c>
      <c r="AI1079" t="s">
        <v>3463</v>
      </c>
      <c r="AJ1079" t="s">
        <v>3463</v>
      </c>
      <c r="AK1079" t="s">
        <v>3465</v>
      </c>
      <c r="AL1079" t="s">
        <v>3465</v>
      </c>
      <c r="AM1079" t="s">
        <v>2428</v>
      </c>
      <c r="AN1079" t="s">
        <v>697</v>
      </c>
      <c r="AO1079" t="s">
        <v>3465</v>
      </c>
      <c r="AP1079" t="s">
        <v>3465</v>
      </c>
      <c r="AQ1079" t="s">
        <v>2429</v>
      </c>
      <c r="AR1079" t="s">
        <v>3493</v>
      </c>
      <c r="AV1079" t="s">
        <v>112</v>
      </c>
      <c r="AW1079" t="s">
        <v>3917</v>
      </c>
      <c r="BE1079" t="s">
        <v>2430</v>
      </c>
      <c r="BF1079" t="s">
        <v>3979</v>
      </c>
      <c r="BH1079" t="s">
        <v>4021</v>
      </c>
      <c r="BI1079" t="s">
        <v>425</v>
      </c>
      <c r="BP1079" t="s">
        <v>4282</v>
      </c>
      <c r="BQ1079" t="s">
        <v>3465</v>
      </c>
      <c r="BR1079" t="s">
        <v>3465</v>
      </c>
      <c r="BS1079" t="s">
        <v>3463</v>
      </c>
      <c r="BT1079" t="s">
        <v>3463</v>
      </c>
      <c r="BU1079" t="s">
        <v>3463</v>
      </c>
      <c r="BV1079" t="s">
        <v>3463</v>
      </c>
      <c r="BW1079" t="s">
        <v>3463</v>
      </c>
      <c r="BX1079" t="s">
        <v>79</v>
      </c>
      <c r="BY1079" t="s">
        <v>79</v>
      </c>
      <c r="BZ1079" t="s">
        <v>79</v>
      </c>
      <c r="CA1079" s="10">
        <v>45912</v>
      </c>
    </row>
    <row r="1080" spans="1:79">
      <c r="A1080">
        <v>1093</v>
      </c>
      <c r="B1080">
        <v>10</v>
      </c>
      <c r="C1080">
        <v>37</v>
      </c>
      <c r="D1080" t="s">
        <v>3466</v>
      </c>
      <c r="F1080" t="s">
        <v>2407</v>
      </c>
      <c r="G1080" s="12" t="s">
        <v>3463</v>
      </c>
      <c r="H1080" s="12"/>
      <c r="I1080">
        <v>67</v>
      </c>
      <c r="K1080">
        <v>121</v>
      </c>
      <c r="L1080">
        <v>73</v>
      </c>
      <c r="M1080" t="s">
        <v>118</v>
      </c>
      <c r="P1080" t="s">
        <v>83</v>
      </c>
      <c r="Q1080" t="s">
        <v>118</v>
      </c>
      <c r="R1080">
        <v>64.8</v>
      </c>
      <c r="S1080">
        <v>153</v>
      </c>
      <c r="T1080" s="8">
        <f t="shared" si="34"/>
        <v>27.681660899653977</v>
      </c>
      <c r="U1080" s="13" t="str" cm="1">
        <f t="array" ref="U1080">IF(T1080="","",_xlfn.IFS(T1080&lt;18.5,"Bajo peso",T1080&lt;25,"Peso normal",T1080&lt;30,"Sobrepeso",T1080&lt;35,"Obesidad clase I",T1080&lt;40,"Obesidad clase II",T1080&gt;=40,"Obesidad clase III"))</f>
        <v>Sobrepeso</v>
      </c>
      <c r="V1080">
        <v>107</v>
      </c>
      <c r="X1080" t="s">
        <v>3463</v>
      </c>
      <c r="Y1080">
        <v>0.78</v>
      </c>
      <c r="AA1080">
        <v>90</v>
      </c>
      <c r="AB1080" s="9">
        <f t="shared" si="33"/>
        <v>100.26184700151649</v>
      </c>
      <c r="AD1080" t="s">
        <v>73</v>
      </c>
      <c r="AF1080" t="s">
        <v>73</v>
      </c>
      <c r="AH1080" t="s">
        <v>3463</v>
      </c>
      <c r="AI1080" t="s">
        <v>3465</v>
      </c>
      <c r="AJ1080" t="s">
        <v>3463</v>
      </c>
      <c r="AK1080" t="s">
        <v>3463</v>
      </c>
      <c r="AL1080" t="s">
        <v>3465</v>
      </c>
      <c r="AM1080" t="s">
        <v>2431</v>
      </c>
      <c r="AN1080" t="s">
        <v>2431</v>
      </c>
      <c r="AP1080" t="s">
        <v>3463</v>
      </c>
      <c r="AS1080" t="s">
        <v>3465</v>
      </c>
      <c r="AV1080" t="s">
        <v>74</v>
      </c>
      <c r="AW1080" t="s">
        <v>3915</v>
      </c>
      <c r="AX1080" t="s">
        <v>3463</v>
      </c>
      <c r="AY1080" t="s">
        <v>3463</v>
      </c>
      <c r="BF1080" t="s">
        <v>3921</v>
      </c>
      <c r="BH1080" t="s">
        <v>4020</v>
      </c>
      <c r="BP1080" t="s">
        <v>4260</v>
      </c>
      <c r="BQ1080" t="s">
        <v>3463</v>
      </c>
      <c r="BR1080" t="s">
        <v>3463</v>
      </c>
      <c r="BS1080" t="s">
        <v>3465</v>
      </c>
      <c r="BT1080" t="s">
        <v>3465</v>
      </c>
      <c r="BU1080" t="s">
        <v>3465</v>
      </c>
      <c r="BV1080" t="s">
        <v>3463</v>
      </c>
      <c r="BW1080" t="s">
        <v>3463</v>
      </c>
      <c r="BX1080" t="s">
        <v>79</v>
      </c>
      <c r="BY1080" t="s">
        <v>79</v>
      </c>
      <c r="BZ1080" t="s">
        <v>79</v>
      </c>
      <c r="CA1080" s="10">
        <v>45912</v>
      </c>
    </row>
    <row r="1081" spans="1:79">
      <c r="A1081">
        <v>1094</v>
      </c>
      <c r="B1081">
        <v>11</v>
      </c>
      <c r="C1081">
        <v>56</v>
      </c>
      <c r="D1081" t="s">
        <v>3466</v>
      </c>
      <c r="E1081" t="s">
        <v>2411</v>
      </c>
      <c r="F1081" t="s">
        <v>2407</v>
      </c>
      <c r="G1081" s="12" t="s">
        <v>3463</v>
      </c>
      <c r="I1081">
        <v>79</v>
      </c>
      <c r="J1081">
        <v>77</v>
      </c>
      <c r="K1081">
        <v>159</v>
      </c>
      <c r="L1081">
        <v>70</v>
      </c>
      <c r="M1081" t="s">
        <v>72</v>
      </c>
      <c r="N1081">
        <v>153</v>
      </c>
      <c r="O1081">
        <v>78</v>
      </c>
      <c r="P1081" t="s">
        <v>72</v>
      </c>
      <c r="Q1081" t="s">
        <v>72</v>
      </c>
      <c r="R1081">
        <v>75.7</v>
      </c>
      <c r="S1081">
        <v>157</v>
      </c>
      <c r="T1081" s="8">
        <f t="shared" si="34"/>
        <v>30.711185037932573</v>
      </c>
      <c r="U1081" s="13" t="str" cm="1">
        <f t="array" ref="U1081">IF(T1081="","",_xlfn.IFS(T1081&lt;18.5,"Bajo peso",T1081&lt;25,"Peso normal",T1081&lt;30,"Sobrepeso",T1081&lt;35,"Obesidad clase I",T1081&lt;40,"Obesidad clase II",T1081&gt;=40,"Obesidad clase III"))</f>
        <v>Obesidad clase I</v>
      </c>
      <c r="V1081">
        <v>100</v>
      </c>
      <c r="X1081" t="s">
        <v>3463</v>
      </c>
      <c r="Y1081">
        <v>0.5</v>
      </c>
      <c r="AA1081">
        <v>90</v>
      </c>
      <c r="AB1081" s="9">
        <f t="shared" si="33"/>
        <v>110.00927142395565</v>
      </c>
      <c r="AD1081" t="s">
        <v>73</v>
      </c>
      <c r="AF1081" t="s">
        <v>73</v>
      </c>
      <c r="AH1081" t="s">
        <v>3463</v>
      </c>
      <c r="AI1081" t="s">
        <v>3463</v>
      </c>
      <c r="AJ1081" t="s">
        <v>3463</v>
      </c>
      <c r="AK1081" t="s">
        <v>3463</v>
      </c>
      <c r="AL1081" t="s">
        <v>3463</v>
      </c>
      <c r="AO1081" t="s">
        <v>3463</v>
      </c>
      <c r="AP1081" t="s">
        <v>3465</v>
      </c>
      <c r="AQ1081" t="s">
        <v>2432</v>
      </c>
      <c r="AR1081" t="s">
        <v>3489</v>
      </c>
      <c r="AT1081" t="s">
        <v>3463</v>
      </c>
      <c r="AV1081" t="s">
        <v>74</v>
      </c>
      <c r="AW1081" t="s">
        <v>3915</v>
      </c>
      <c r="AX1081" t="s">
        <v>3463</v>
      </c>
      <c r="AY1081" t="s">
        <v>3463</v>
      </c>
      <c r="BC1081" t="s">
        <v>128</v>
      </c>
      <c r="BF1081" t="s">
        <v>3921</v>
      </c>
      <c r="BH1081" t="s">
        <v>4029</v>
      </c>
      <c r="BL1081" t="s">
        <v>2433</v>
      </c>
      <c r="BP1081" t="s">
        <v>4320</v>
      </c>
      <c r="BQ1081" t="s">
        <v>3463</v>
      </c>
      <c r="BR1081" t="s">
        <v>3463</v>
      </c>
      <c r="BS1081" t="s">
        <v>3463</v>
      </c>
      <c r="BT1081" t="s">
        <v>3463</v>
      </c>
      <c r="BU1081" t="s">
        <v>3463</v>
      </c>
      <c r="BV1081" t="s">
        <v>3463</v>
      </c>
      <c r="BW1081" t="s">
        <v>3463</v>
      </c>
      <c r="BX1081" t="s">
        <v>79</v>
      </c>
      <c r="BY1081" t="s">
        <v>79</v>
      </c>
      <c r="BZ1081" t="s">
        <v>79</v>
      </c>
      <c r="CA1081" s="10">
        <v>45912</v>
      </c>
    </row>
    <row r="1082" spans="1:79">
      <c r="A1082">
        <v>1095</v>
      </c>
      <c r="B1082">
        <v>12</v>
      </c>
      <c r="C1082">
        <v>49</v>
      </c>
      <c r="D1082" t="s">
        <v>3462</v>
      </c>
      <c r="F1082" t="s">
        <v>2407</v>
      </c>
      <c r="G1082" s="12" t="s">
        <v>3463</v>
      </c>
      <c r="I1082">
        <v>59</v>
      </c>
      <c r="J1082">
        <v>60</v>
      </c>
      <c r="K1082">
        <v>141</v>
      </c>
      <c r="L1082">
        <v>87</v>
      </c>
      <c r="M1082" t="s">
        <v>72</v>
      </c>
      <c r="N1082">
        <v>137</v>
      </c>
      <c r="O1082">
        <v>91</v>
      </c>
      <c r="P1082" t="s">
        <v>72</v>
      </c>
      <c r="Q1082" t="s">
        <v>72</v>
      </c>
      <c r="R1082">
        <v>88.3</v>
      </c>
      <c r="S1082">
        <v>178</v>
      </c>
      <c r="T1082" s="8">
        <f t="shared" si="34"/>
        <v>27.868955939906577</v>
      </c>
      <c r="U1082" s="13" t="str" cm="1">
        <f t="array" ref="U1082">IF(T1082="","",_xlfn.IFS(T1082&lt;18.5,"Bajo peso",T1082&lt;25,"Peso normal",T1082&lt;30,"Sobrepeso",T1082&lt;35,"Obesidad clase I",T1082&lt;40,"Obesidad clase II",T1082&gt;=40,"Obesidad clase III"))</f>
        <v>Sobrepeso</v>
      </c>
      <c r="V1082">
        <v>128</v>
      </c>
      <c r="X1082" t="s">
        <v>3463</v>
      </c>
      <c r="Y1082">
        <v>0.68</v>
      </c>
      <c r="AA1082">
        <v>90</v>
      </c>
      <c r="AB1082" s="9">
        <f t="shared" si="33"/>
        <v>113.9469011153913</v>
      </c>
      <c r="AD1082" t="s">
        <v>73</v>
      </c>
      <c r="AF1082" t="s">
        <v>73</v>
      </c>
      <c r="AH1082" t="s">
        <v>3463</v>
      </c>
      <c r="AI1082" t="s">
        <v>3463</v>
      </c>
      <c r="AJ1082" t="s">
        <v>3463</v>
      </c>
      <c r="AK1082" t="s">
        <v>3463</v>
      </c>
      <c r="AL1082" t="s">
        <v>3465</v>
      </c>
      <c r="AM1082" t="s">
        <v>2434</v>
      </c>
      <c r="AN1082" t="s">
        <v>3831</v>
      </c>
      <c r="AP1082" t="s">
        <v>3463</v>
      </c>
      <c r="AV1082" t="s">
        <v>74</v>
      </c>
      <c r="AW1082" t="s">
        <v>3915</v>
      </c>
      <c r="BA1082" t="s">
        <v>3920</v>
      </c>
      <c r="BB1082" t="s">
        <v>3485</v>
      </c>
      <c r="BF1082" t="s">
        <v>3921</v>
      </c>
      <c r="BG1082" t="s">
        <v>2435</v>
      </c>
      <c r="BH1082" t="s">
        <v>4014</v>
      </c>
      <c r="BI1082" t="s">
        <v>86</v>
      </c>
      <c r="BK1082" t="s">
        <v>2436</v>
      </c>
      <c r="BL1082" t="s">
        <v>2437</v>
      </c>
      <c r="BP1082" t="s">
        <v>4380</v>
      </c>
      <c r="BQ1082" t="s">
        <v>3463</v>
      </c>
      <c r="BR1082" t="s">
        <v>3465</v>
      </c>
      <c r="BS1082" t="s">
        <v>3463</v>
      </c>
      <c r="BT1082" t="s">
        <v>3463</v>
      </c>
      <c r="BU1082" t="s">
        <v>3463</v>
      </c>
      <c r="BV1082" t="s">
        <v>3463</v>
      </c>
      <c r="BW1082" t="s">
        <v>3463</v>
      </c>
      <c r="BX1082" t="s">
        <v>79</v>
      </c>
      <c r="BY1082" t="s">
        <v>79</v>
      </c>
      <c r="BZ1082" t="s">
        <v>79</v>
      </c>
      <c r="CA1082" s="10">
        <v>45912</v>
      </c>
    </row>
    <row r="1083" spans="1:79">
      <c r="A1083">
        <v>1096</v>
      </c>
      <c r="B1083">
        <v>13</v>
      </c>
      <c r="C1083">
        <v>53</v>
      </c>
      <c r="D1083" t="s">
        <v>3466</v>
      </c>
      <c r="F1083" t="s">
        <v>2407</v>
      </c>
      <c r="G1083" s="12" t="s">
        <v>3463</v>
      </c>
      <c r="I1083">
        <v>53</v>
      </c>
      <c r="K1083">
        <v>133</v>
      </c>
      <c r="L1083">
        <v>70</v>
      </c>
      <c r="M1083" t="s">
        <v>82</v>
      </c>
      <c r="P1083" t="s">
        <v>83</v>
      </c>
      <c r="Q1083" t="s">
        <v>82</v>
      </c>
      <c r="R1083">
        <v>73.3</v>
      </c>
      <c r="S1083">
        <v>155.5</v>
      </c>
      <c r="T1083" s="8">
        <f t="shared" si="34"/>
        <v>30.313995926427559</v>
      </c>
      <c r="U1083" s="13" t="str" cm="1">
        <f t="array" ref="U1083">IF(T1083="","",_xlfn.IFS(T1083&lt;18.5,"Bajo peso",T1083&lt;25,"Peso normal",T1083&lt;30,"Sobrepeso",T1083&lt;35,"Obesidad clase I",T1083&lt;40,"Obesidad clase II",T1083&gt;=40,"Obesidad clase III"))</f>
        <v>Obesidad clase I</v>
      </c>
      <c r="V1083">
        <v>98</v>
      </c>
      <c r="X1083" t="s">
        <v>3463</v>
      </c>
      <c r="Y1083">
        <v>0.68</v>
      </c>
      <c r="AA1083">
        <v>90</v>
      </c>
      <c r="AB1083" s="9">
        <f t="shared" si="33"/>
        <v>104.07572245310305</v>
      </c>
      <c r="AD1083" t="s">
        <v>73</v>
      </c>
      <c r="AF1083" t="s">
        <v>73</v>
      </c>
      <c r="AH1083" t="s">
        <v>3463</v>
      </c>
      <c r="AI1083" t="s">
        <v>3463</v>
      </c>
      <c r="AJ1083" t="s">
        <v>3465</v>
      </c>
      <c r="AK1083" t="s">
        <v>3465</v>
      </c>
      <c r="AL1083" t="s">
        <v>3463</v>
      </c>
      <c r="AP1083" t="s">
        <v>3463</v>
      </c>
      <c r="AQ1083" t="s">
        <v>1101</v>
      </c>
      <c r="AR1083" t="s">
        <v>3488</v>
      </c>
      <c r="AT1083" t="s">
        <v>3465</v>
      </c>
      <c r="AU1083" t="s">
        <v>80</v>
      </c>
      <c r="AV1083" t="s">
        <v>74</v>
      </c>
      <c r="AW1083" t="s">
        <v>3915</v>
      </c>
      <c r="AX1083" t="s">
        <v>3463</v>
      </c>
      <c r="AY1083" t="s">
        <v>3465</v>
      </c>
      <c r="AZ1083" t="s">
        <v>90</v>
      </c>
      <c r="BF1083" t="s">
        <v>3921</v>
      </c>
      <c r="BH1083" t="s">
        <v>4020</v>
      </c>
      <c r="BP1083" t="s">
        <v>4260</v>
      </c>
      <c r="BQ1083" t="s">
        <v>3465</v>
      </c>
      <c r="BR1083" t="s">
        <v>3463</v>
      </c>
      <c r="BS1083" t="s">
        <v>3463</v>
      </c>
      <c r="BT1083" t="s">
        <v>3465</v>
      </c>
      <c r="BU1083" t="s">
        <v>3463</v>
      </c>
      <c r="BV1083" t="s">
        <v>3463</v>
      </c>
      <c r="BW1083" t="s">
        <v>3463</v>
      </c>
      <c r="BX1083" t="s">
        <v>518</v>
      </c>
      <c r="BY1083" t="s">
        <v>79</v>
      </c>
      <c r="BZ1083" t="s">
        <v>79</v>
      </c>
      <c r="CA1083" s="10">
        <v>45912</v>
      </c>
    </row>
    <row r="1084" spans="1:79">
      <c r="A1084">
        <v>1097</v>
      </c>
      <c r="B1084">
        <v>14</v>
      </c>
      <c r="C1084">
        <v>54</v>
      </c>
      <c r="D1084" t="s">
        <v>3466</v>
      </c>
      <c r="E1084" t="s">
        <v>2416</v>
      </c>
      <c r="F1084" t="s">
        <v>2407</v>
      </c>
      <c r="G1084" s="12" t="s">
        <v>3463</v>
      </c>
      <c r="H1084" s="12"/>
      <c r="I1084">
        <v>62</v>
      </c>
      <c r="J1084">
        <v>62</v>
      </c>
      <c r="K1084">
        <v>151</v>
      </c>
      <c r="L1084">
        <v>86</v>
      </c>
      <c r="M1084" t="s">
        <v>72</v>
      </c>
      <c r="N1084">
        <v>156</v>
      </c>
      <c r="O1084">
        <v>80</v>
      </c>
      <c r="P1084" t="s">
        <v>72</v>
      </c>
      <c r="Q1084" t="s">
        <v>72</v>
      </c>
      <c r="R1084">
        <v>97.4</v>
      </c>
      <c r="S1084">
        <v>157</v>
      </c>
      <c r="T1084" s="8">
        <f t="shared" si="34"/>
        <v>39.514787618158955</v>
      </c>
      <c r="U1084" s="13" t="str" cm="1">
        <f t="array" ref="U1084">IF(T1084="","",_xlfn.IFS(T1084&lt;18.5,"Bajo peso",T1084&lt;25,"Peso normal",T1084&lt;30,"Sobrepeso",T1084&lt;35,"Obesidad clase I",T1084&lt;40,"Obesidad clase II",T1084&gt;=40,"Obesidad clase III"))</f>
        <v>Obesidad clase II</v>
      </c>
      <c r="V1084">
        <v>120</v>
      </c>
      <c r="X1084" t="s">
        <v>3463</v>
      </c>
      <c r="Y1084">
        <v>0.79</v>
      </c>
      <c r="AA1084">
        <v>89</v>
      </c>
      <c r="AB1084" s="9">
        <f t="shared" si="33"/>
        <v>88.834075190352479</v>
      </c>
      <c r="AD1084" t="s">
        <v>73</v>
      </c>
      <c r="AF1084" t="s">
        <v>73</v>
      </c>
      <c r="AH1084" t="s">
        <v>3463</v>
      </c>
      <c r="AI1084" t="s">
        <v>3465</v>
      </c>
      <c r="AJ1084" t="s">
        <v>3465</v>
      </c>
      <c r="AK1084" t="s">
        <v>3463</v>
      </c>
      <c r="AL1084" t="s">
        <v>3465</v>
      </c>
      <c r="AM1084" t="s">
        <v>2438</v>
      </c>
      <c r="AN1084" t="s">
        <v>3832</v>
      </c>
      <c r="AO1084" t="s">
        <v>3465</v>
      </c>
      <c r="AP1084" t="s">
        <v>3465</v>
      </c>
      <c r="AQ1084" t="s">
        <v>2439</v>
      </c>
      <c r="AR1084" t="s">
        <v>3512</v>
      </c>
      <c r="AS1084" t="s">
        <v>3465</v>
      </c>
      <c r="AT1084" t="s">
        <v>3463</v>
      </c>
      <c r="AU1084" t="s">
        <v>125</v>
      </c>
      <c r="AV1084" t="s">
        <v>112</v>
      </c>
      <c r="AW1084" t="s">
        <v>3917</v>
      </c>
      <c r="AX1084" t="s">
        <v>3463</v>
      </c>
      <c r="AY1084" t="s">
        <v>3465</v>
      </c>
      <c r="AZ1084" t="s">
        <v>104</v>
      </c>
      <c r="BA1084" t="s">
        <v>3920</v>
      </c>
      <c r="BF1084" t="s">
        <v>3921</v>
      </c>
      <c r="BG1084" t="s">
        <v>2440</v>
      </c>
      <c r="BH1084" t="s">
        <v>4208</v>
      </c>
      <c r="BI1084" t="s">
        <v>86</v>
      </c>
      <c r="BK1084" t="s">
        <v>2441</v>
      </c>
      <c r="BL1084" t="s">
        <v>2442</v>
      </c>
      <c r="BP1084" t="s">
        <v>4515</v>
      </c>
      <c r="BQ1084" t="s">
        <v>3463</v>
      </c>
      <c r="BR1084" t="s">
        <v>3463</v>
      </c>
      <c r="BS1084" t="s">
        <v>3465</v>
      </c>
      <c r="BT1084" t="s">
        <v>3465</v>
      </c>
      <c r="BU1084" t="s">
        <v>3463</v>
      </c>
      <c r="BV1084" t="s">
        <v>3463</v>
      </c>
      <c r="BW1084" t="s">
        <v>3463</v>
      </c>
      <c r="BX1084" t="s">
        <v>79</v>
      </c>
      <c r="BY1084" t="s">
        <v>79</v>
      </c>
      <c r="BZ1084" t="s">
        <v>79</v>
      </c>
      <c r="CA1084" s="10">
        <v>45912</v>
      </c>
    </row>
    <row r="1085" spans="1:79">
      <c r="A1085">
        <v>1098</v>
      </c>
      <c r="B1085">
        <v>15</v>
      </c>
      <c r="C1085">
        <v>46</v>
      </c>
      <c r="D1085" t="s">
        <v>3462</v>
      </c>
      <c r="E1085" t="s">
        <v>2411</v>
      </c>
      <c r="F1085" t="s">
        <v>2407</v>
      </c>
      <c r="G1085" s="12" t="s">
        <v>3463</v>
      </c>
      <c r="I1085">
        <v>56</v>
      </c>
      <c r="J1085">
        <v>50</v>
      </c>
      <c r="K1085">
        <v>143</v>
      </c>
      <c r="L1085">
        <v>86</v>
      </c>
      <c r="M1085" t="s">
        <v>72</v>
      </c>
      <c r="N1085">
        <v>129</v>
      </c>
      <c r="O1085">
        <v>80</v>
      </c>
      <c r="P1085" t="s">
        <v>82</v>
      </c>
      <c r="Q1085" t="s">
        <v>82</v>
      </c>
      <c r="R1085">
        <v>80.900000000000006</v>
      </c>
      <c r="S1085">
        <v>175</v>
      </c>
      <c r="T1085" s="8">
        <f t="shared" si="34"/>
        <v>26.416326530612245</v>
      </c>
      <c r="U1085" s="13" t="str" cm="1">
        <f t="array" ref="U1085">IF(T1085="","",_xlfn.IFS(T1085&lt;18.5,"Bajo peso",T1085&lt;25,"Peso normal",T1085&lt;30,"Sobrepeso",T1085&lt;35,"Obesidad clase I",T1085&lt;40,"Obesidad clase II",T1085&gt;=40,"Obesidad clase III"))</f>
        <v>Sobrepeso</v>
      </c>
      <c r="V1085">
        <v>104</v>
      </c>
      <c r="X1085" t="s">
        <v>3463</v>
      </c>
      <c r="Y1085">
        <v>0.53</v>
      </c>
      <c r="AA1085">
        <v>90</v>
      </c>
      <c r="AB1085" s="9">
        <f t="shared" si="33"/>
        <v>125.16759868266591</v>
      </c>
      <c r="AD1085" t="s">
        <v>73</v>
      </c>
      <c r="AF1085" t="s">
        <v>73</v>
      </c>
      <c r="AH1085" t="s">
        <v>3463</v>
      </c>
      <c r="AI1085" t="s">
        <v>3463</v>
      </c>
      <c r="AJ1085" t="s">
        <v>3463</v>
      </c>
      <c r="AK1085" t="s">
        <v>3463</v>
      </c>
      <c r="AL1085" t="s">
        <v>3463</v>
      </c>
      <c r="AP1085" t="s">
        <v>3463</v>
      </c>
      <c r="AQ1085" t="s">
        <v>2443</v>
      </c>
      <c r="AR1085" t="s">
        <v>3491</v>
      </c>
      <c r="AV1085" t="s">
        <v>74</v>
      </c>
      <c r="AW1085" t="s">
        <v>3915</v>
      </c>
      <c r="BF1085" t="s">
        <v>3921</v>
      </c>
      <c r="BH1085" t="s">
        <v>4020</v>
      </c>
      <c r="BP1085" t="s">
        <v>4260</v>
      </c>
      <c r="BQ1085" t="s">
        <v>3463</v>
      </c>
      <c r="BR1085" t="s">
        <v>3465</v>
      </c>
      <c r="BS1085" t="s">
        <v>3463</v>
      </c>
      <c r="BT1085" t="s">
        <v>3463</v>
      </c>
      <c r="BU1085" t="s">
        <v>3463</v>
      </c>
      <c r="BV1085" t="s">
        <v>3463</v>
      </c>
      <c r="BW1085" t="s">
        <v>3463</v>
      </c>
      <c r="BX1085" t="s">
        <v>79</v>
      </c>
      <c r="BY1085" t="s">
        <v>79</v>
      </c>
      <c r="BZ1085" t="s">
        <v>79</v>
      </c>
      <c r="CA1085" s="10">
        <v>45912</v>
      </c>
    </row>
    <row r="1086" spans="1:79">
      <c r="A1086">
        <v>1099</v>
      </c>
      <c r="B1086">
        <v>16</v>
      </c>
      <c r="C1086">
        <v>60</v>
      </c>
      <c r="D1086" t="s">
        <v>3462</v>
      </c>
      <c r="F1086" t="s">
        <v>2407</v>
      </c>
      <c r="G1086" s="12" t="s">
        <v>3463</v>
      </c>
      <c r="H1086" s="12"/>
      <c r="I1086">
        <v>98</v>
      </c>
      <c r="J1086">
        <v>69</v>
      </c>
      <c r="K1086">
        <v>156</v>
      </c>
      <c r="L1086">
        <v>93</v>
      </c>
      <c r="M1086" t="s">
        <v>72</v>
      </c>
      <c r="N1086">
        <v>170</v>
      </c>
      <c r="O1086">
        <v>95</v>
      </c>
      <c r="P1086" t="s">
        <v>72</v>
      </c>
      <c r="Q1086" t="s">
        <v>72</v>
      </c>
      <c r="R1086">
        <v>78.7</v>
      </c>
      <c r="S1086">
        <v>164</v>
      </c>
      <c r="T1086" s="8">
        <f t="shared" si="34"/>
        <v>29.260856632956571</v>
      </c>
      <c r="U1086" s="13" t="str" cm="1">
        <f t="array" ref="U1086">IF(T1086="","",_xlfn.IFS(T1086&lt;18.5,"Bajo peso",T1086&lt;25,"Peso normal",T1086&lt;30,"Sobrepeso",T1086&lt;35,"Obesidad clase I",T1086&lt;40,"Obesidad clase II",T1086&gt;=40,"Obesidad clase III"))</f>
        <v>Sobrepeso</v>
      </c>
      <c r="V1086">
        <v>105</v>
      </c>
      <c r="X1086" t="s">
        <v>3463</v>
      </c>
      <c r="Y1086">
        <v>0.59</v>
      </c>
      <c r="AA1086">
        <v>90</v>
      </c>
      <c r="AB1086" s="9">
        <f t="shared" si="33"/>
        <v>111.0738484164123</v>
      </c>
      <c r="AD1086" t="s">
        <v>73</v>
      </c>
      <c r="AF1086" t="s">
        <v>73</v>
      </c>
      <c r="AH1086" t="s">
        <v>3463</v>
      </c>
      <c r="AI1086" t="s">
        <v>3463</v>
      </c>
      <c r="AJ1086" t="s">
        <v>3463</v>
      </c>
      <c r="AK1086" t="s">
        <v>3463</v>
      </c>
      <c r="AL1086" t="s">
        <v>3463</v>
      </c>
      <c r="AP1086" t="s">
        <v>3463</v>
      </c>
      <c r="AV1086" t="s">
        <v>126</v>
      </c>
      <c r="AW1086" t="s">
        <v>126</v>
      </c>
      <c r="BA1086" t="s">
        <v>3920</v>
      </c>
      <c r="BB1086" t="s">
        <v>3485</v>
      </c>
      <c r="BF1086" t="s">
        <v>3921</v>
      </c>
      <c r="BG1086" t="s">
        <v>2444</v>
      </c>
      <c r="BH1086" t="s">
        <v>4035</v>
      </c>
      <c r="BI1086" t="s">
        <v>820</v>
      </c>
      <c r="BK1086" t="s">
        <v>2445</v>
      </c>
      <c r="BL1086" t="s">
        <v>2446</v>
      </c>
      <c r="BP1086" t="s">
        <v>4293</v>
      </c>
      <c r="BQ1086" t="s">
        <v>3463</v>
      </c>
      <c r="BR1086" t="s">
        <v>3463</v>
      </c>
      <c r="BS1086" t="s">
        <v>3463</v>
      </c>
      <c r="BT1086" t="s">
        <v>3463</v>
      </c>
      <c r="BU1086" t="s">
        <v>3463</v>
      </c>
      <c r="BV1086" t="s">
        <v>3463</v>
      </c>
      <c r="BW1086" t="s">
        <v>3463</v>
      </c>
      <c r="BX1086" t="s">
        <v>79</v>
      </c>
      <c r="BY1086" t="s">
        <v>79</v>
      </c>
      <c r="BZ1086" t="s">
        <v>79</v>
      </c>
      <c r="CA1086" s="10">
        <v>45912</v>
      </c>
    </row>
    <row r="1087" spans="1:79">
      <c r="A1087">
        <v>1100</v>
      </c>
      <c r="B1087">
        <v>17</v>
      </c>
      <c r="C1087">
        <v>55</v>
      </c>
      <c r="D1087" t="s">
        <v>3462</v>
      </c>
      <c r="E1087" t="s">
        <v>2447</v>
      </c>
      <c r="F1087" t="s">
        <v>2407</v>
      </c>
      <c r="G1087" s="12" t="s">
        <v>3465</v>
      </c>
      <c r="H1087" s="12" t="s">
        <v>88</v>
      </c>
      <c r="I1087">
        <v>68</v>
      </c>
      <c r="K1087">
        <v>116</v>
      </c>
      <c r="L1087">
        <v>74</v>
      </c>
      <c r="M1087" t="s">
        <v>80</v>
      </c>
      <c r="P1087" t="s">
        <v>83</v>
      </c>
      <c r="Q1087" t="s">
        <v>80</v>
      </c>
      <c r="R1087">
        <v>82.3</v>
      </c>
      <c r="S1087">
        <v>168.5</v>
      </c>
      <c r="T1087" s="8">
        <f t="shared" si="34"/>
        <v>28.986783365178876</v>
      </c>
      <c r="U1087" s="13" t="str" cm="1">
        <f t="array" ref="U1087">IF(T1087="","",_xlfn.IFS(T1087&lt;18.5,"Bajo peso",T1087&lt;25,"Peso normal",T1087&lt;30,"Sobrepeso",T1087&lt;35,"Obesidad clase I",T1087&lt;40,"Obesidad clase II",T1087&gt;=40,"Obesidad clase III"))</f>
        <v>Sobrepeso</v>
      </c>
      <c r="V1087">
        <v>138</v>
      </c>
      <c r="X1087" t="s">
        <v>3463</v>
      </c>
      <c r="Y1087">
        <v>0.57999999999999996</v>
      </c>
      <c r="AA1087">
        <v>90</v>
      </c>
      <c r="AB1087" s="9">
        <f t="shared" si="33"/>
        <v>115.1751829289783</v>
      </c>
      <c r="AD1087" t="s">
        <v>73</v>
      </c>
      <c r="AF1087" t="s">
        <v>73</v>
      </c>
      <c r="AH1087" t="s">
        <v>3463</v>
      </c>
      <c r="AI1087" t="s">
        <v>3463</v>
      </c>
      <c r="AJ1087" t="s">
        <v>3463</v>
      </c>
      <c r="AK1087" t="s">
        <v>3463</v>
      </c>
      <c r="AL1087" t="s">
        <v>3465</v>
      </c>
      <c r="AM1087" t="s">
        <v>2448</v>
      </c>
      <c r="AN1087" t="s">
        <v>3833</v>
      </c>
      <c r="AP1087" t="s">
        <v>3463</v>
      </c>
      <c r="AV1087" t="s">
        <v>74</v>
      </c>
      <c r="AW1087" t="s">
        <v>3915</v>
      </c>
      <c r="BF1087" t="s">
        <v>3921</v>
      </c>
      <c r="BH1087" t="s">
        <v>4020</v>
      </c>
      <c r="BP1087" t="s">
        <v>4260</v>
      </c>
      <c r="BQ1087" t="s">
        <v>3463</v>
      </c>
      <c r="BR1087" t="s">
        <v>3465</v>
      </c>
      <c r="BS1087" t="s">
        <v>3463</v>
      </c>
      <c r="BT1087" t="s">
        <v>3463</v>
      </c>
      <c r="BU1087" t="s">
        <v>3463</v>
      </c>
      <c r="BV1087" t="s">
        <v>3463</v>
      </c>
      <c r="BW1087" t="s">
        <v>3463</v>
      </c>
      <c r="BX1087" t="s">
        <v>79</v>
      </c>
      <c r="BY1087" t="s">
        <v>79</v>
      </c>
      <c r="BZ1087" t="s">
        <v>79</v>
      </c>
      <c r="CA1087" s="10">
        <v>45912</v>
      </c>
    </row>
    <row r="1088" spans="1:79">
      <c r="A1088">
        <v>1101</v>
      </c>
      <c r="B1088">
        <v>18</v>
      </c>
      <c r="C1088">
        <v>59</v>
      </c>
      <c r="D1088" t="s">
        <v>3462</v>
      </c>
      <c r="E1088" t="s">
        <v>2411</v>
      </c>
      <c r="F1088" t="s">
        <v>2407</v>
      </c>
      <c r="G1088" s="12" t="s">
        <v>3463</v>
      </c>
      <c r="I1088">
        <v>58</v>
      </c>
      <c r="J1088">
        <v>52</v>
      </c>
      <c r="K1088">
        <v>160</v>
      </c>
      <c r="L1088">
        <v>83</v>
      </c>
      <c r="M1088" t="s">
        <v>72</v>
      </c>
      <c r="N1088">
        <v>161</v>
      </c>
      <c r="O1088">
        <v>81</v>
      </c>
      <c r="P1088" t="s">
        <v>72</v>
      </c>
      <c r="Q1088" t="s">
        <v>72</v>
      </c>
      <c r="R1088">
        <v>87.9</v>
      </c>
      <c r="S1088">
        <v>169</v>
      </c>
      <c r="T1088" s="8">
        <f t="shared" si="34"/>
        <v>30.776233325163687</v>
      </c>
      <c r="U1088" s="13" t="str" cm="1">
        <f t="array" ref="U1088">IF(T1088="","",_xlfn.IFS(T1088&lt;18.5,"Bajo peso",T1088&lt;25,"Peso normal",T1088&lt;30,"Sobrepeso",T1088&lt;35,"Obesidad clase I",T1088&lt;40,"Obesidad clase II",T1088&gt;=40,"Obesidad clase III"))</f>
        <v>Obesidad clase I</v>
      </c>
      <c r="V1088">
        <v>101</v>
      </c>
      <c r="X1088" t="s">
        <v>3463</v>
      </c>
      <c r="Y1088">
        <v>0.66</v>
      </c>
      <c r="AA1088">
        <v>90</v>
      </c>
      <c r="AB1088" s="9">
        <f t="shared" si="33"/>
        <v>108.04579412486159</v>
      </c>
      <c r="AD1088" t="s">
        <v>73</v>
      </c>
      <c r="AF1088" t="s">
        <v>73</v>
      </c>
      <c r="AH1088" t="s">
        <v>3463</v>
      </c>
      <c r="AI1088" t="s">
        <v>3463</v>
      </c>
      <c r="AJ1088" t="s">
        <v>3463</v>
      </c>
      <c r="AK1088" t="s">
        <v>3463</v>
      </c>
      <c r="AL1088" t="s">
        <v>3463</v>
      </c>
      <c r="AP1088" t="s">
        <v>3463</v>
      </c>
      <c r="AV1088" t="s">
        <v>74</v>
      </c>
      <c r="AW1088" t="s">
        <v>3915</v>
      </c>
      <c r="BF1088" t="s">
        <v>3921</v>
      </c>
      <c r="BH1088" t="s">
        <v>4021</v>
      </c>
      <c r="BI1088" t="s">
        <v>76</v>
      </c>
      <c r="BK1088" t="s">
        <v>1653</v>
      </c>
      <c r="BL1088" t="s">
        <v>2449</v>
      </c>
      <c r="BP1088" t="s">
        <v>4261</v>
      </c>
      <c r="BQ1088" t="s">
        <v>3463</v>
      </c>
      <c r="BR1088" t="s">
        <v>3465</v>
      </c>
      <c r="BS1088" t="s">
        <v>3463</v>
      </c>
      <c r="BT1088" t="s">
        <v>3463</v>
      </c>
      <c r="BU1088" t="s">
        <v>3463</v>
      </c>
      <c r="BV1088" t="s">
        <v>3463</v>
      </c>
      <c r="BW1088" t="s">
        <v>3463</v>
      </c>
      <c r="BX1088" t="s">
        <v>79</v>
      </c>
      <c r="BY1088" t="s">
        <v>79</v>
      </c>
      <c r="BZ1088" t="s">
        <v>79</v>
      </c>
      <c r="CA1088" s="10">
        <v>45912</v>
      </c>
    </row>
    <row r="1089" spans="1:79">
      <c r="A1089">
        <v>1102</v>
      </c>
      <c r="B1089">
        <v>19</v>
      </c>
      <c r="C1089">
        <v>29</v>
      </c>
      <c r="D1089" t="s">
        <v>3466</v>
      </c>
      <c r="E1089" t="s">
        <v>2416</v>
      </c>
      <c r="F1089" t="s">
        <v>2407</v>
      </c>
      <c r="G1089" s="12" t="s">
        <v>3465</v>
      </c>
      <c r="H1089" t="s">
        <v>88</v>
      </c>
      <c r="I1089">
        <v>75</v>
      </c>
      <c r="K1089">
        <v>136</v>
      </c>
      <c r="L1089">
        <v>75</v>
      </c>
      <c r="M1089" t="s">
        <v>82</v>
      </c>
      <c r="P1089" t="s">
        <v>83</v>
      </c>
      <c r="Q1089" t="s">
        <v>82</v>
      </c>
      <c r="R1089">
        <v>71.8</v>
      </c>
      <c r="S1089">
        <v>156</v>
      </c>
      <c r="T1089" s="8">
        <f t="shared" si="34"/>
        <v>29.503616042077578</v>
      </c>
      <c r="U1089" s="13" t="str" cm="1">
        <f t="array" ref="U1089">IF(T1089="","",_xlfn.IFS(T1089&lt;18.5,"Bajo peso",T1089&lt;25,"Peso normal",T1089&lt;30,"Sobrepeso",T1089&lt;35,"Obesidad clase I",T1089&lt;40,"Obesidad clase II",T1089&gt;=40,"Obesidad clase III"))</f>
        <v>Sobrepeso</v>
      </c>
      <c r="V1089">
        <v>100</v>
      </c>
      <c r="X1089" t="s">
        <v>3463</v>
      </c>
      <c r="Y1089">
        <v>0.69</v>
      </c>
      <c r="AA1089">
        <v>90</v>
      </c>
      <c r="AB1089" s="9">
        <f t="shared" si="33"/>
        <v>120.40530815739612</v>
      </c>
      <c r="AD1089" t="s">
        <v>73</v>
      </c>
      <c r="AF1089" t="s">
        <v>73</v>
      </c>
      <c r="AH1089" t="s">
        <v>3463</v>
      </c>
      <c r="AI1089" t="s">
        <v>3463</v>
      </c>
      <c r="AJ1089" t="s">
        <v>3463</v>
      </c>
      <c r="AK1089" t="s">
        <v>3463</v>
      </c>
      <c r="AL1089" t="s">
        <v>3465</v>
      </c>
      <c r="AM1089" t="s">
        <v>2450</v>
      </c>
      <c r="AN1089" t="s">
        <v>3834</v>
      </c>
      <c r="AP1089" t="s">
        <v>3463</v>
      </c>
      <c r="AT1089" t="s">
        <v>3463</v>
      </c>
      <c r="AV1089" t="s">
        <v>74</v>
      </c>
      <c r="AW1089" t="s">
        <v>3915</v>
      </c>
      <c r="AX1089" t="s">
        <v>3463</v>
      </c>
      <c r="AY1089" t="s">
        <v>3465</v>
      </c>
      <c r="AZ1089" t="s">
        <v>104</v>
      </c>
      <c r="BF1089" t="s">
        <v>3921</v>
      </c>
      <c r="BH1089" t="s">
        <v>4020</v>
      </c>
      <c r="BP1089" t="s">
        <v>4260</v>
      </c>
      <c r="BQ1089" t="s">
        <v>3463</v>
      </c>
      <c r="BR1089" t="s">
        <v>3465</v>
      </c>
      <c r="BS1089" t="s">
        <v>3463</v>
      </c>
      <c r="BT1089" t="s">
        <v>3465</v>
      </c>
      <c r="BU1089" t="s">
        <v>3463</v>
      </c>
      <c r="BV1089" t="s">
        <v>3463</v>
      </c>
      <c r="BW1089" t="s">
        <v>3463</v>
      </c>
      <c r="BX1089" t="s">
        <v>79</v>
      </c>
      <c r="BY1089" t="s">
        <v>79</v>
      </c>
      <c r="BZ1089" t="s">
        <v>79</v>
      </c>
      <c r="CA1089" s="10">
        <v>45912</v>
      </c>
    </row>
    <row r="1090" spans="1:79">
      <c r="A1090">
        <v>1103</v>
      </c>
      <c r="B1090">
        <v>20</v>
      </c>
      <c r="C1090">
        <v>54</v>
      </c>
      <c r="D1090" t="s">
        <v>3466</v>
      </c>
      <c r="E1090" t="s">
        <v>2451</v>
      </c>
      <c r="F1090" t="s">
        <v>2407</v>
      </c>
      <c r="G1090" s="12" t="s">
        <v>3465</v>
      </c>
      <c r="H1090" t="s">
        <v>88</v>
      </c>
      <c r="I1090">
        <v>72</v>
      </c>
      <c r="J1090">
        <v>78</v>
      </c>
      <c r="K1090">
        <v>144</v>
      </c>
      <c r="L1090">
        <v>77</v>
      </c>
      <c r="M1090" t="s">
        <v>72</v>
      </c>
      <c r="N1090">
        <v>142</v>
      </c>
      <c r="O1090">
        <v>84</v>
      </c>
      <c r="P1090" t="s">
        <v>72</v>
      </c>
      <c r="Q1090" t="s">
        <v>72</v>
      </c>
      <c r="R1090">
        <v>81.900000000000006</v>
      </c>
      <c r="S1090">
        <v>156</v>
      </c>
      <c r="T1090" s="8">
        <f t="shared" si="34"/>
        <v>33.653846153846153</v>
      </c>
      <c r="U1090" s="13" t="str" cm="1">
        <f t="array" ref="U1090">IF(T1090="","",_xlfn.IFS(T1090&lt;18.5,"Bajo peso",T1090&lt;25,"Peso normal",T1090&lt;30,"Sobrepeso",T1090&lt;35,"Obesidad clase I",T1090&lt;40,"Obesidad clase II",T1090&gt;=40,"Obesidad clase III"))</f>
        <v>Obesidad clase I</v>
      </c>
      <c r="V1090">
        <v>102</v>
      </c>
      <c r="X1090" t="s">
        <v>3463</v>
      </c>
      <c r="Y1090">
        <v>0.8</v>
      </c>
      <c r="AA1090">
        <v>87</v>
      </c>
      <c r="AB1090" s="9">
        <f t="shared" ref="AB1090:AB1130" si="35">IF(OR(C1090="",D1090="",Y1090=""),"",142*POWER(MIN(Y1090/IF(D1090="Mujer",0.7,0.9),1),IF(D1090="Mujer",-0.241,-0.302))*POWER(MAX(Y1090/IF(D1090="Mujer",0.7,0.9),1),-1.2)*POWER(0.9938,C1090)*IF(D1090="Mujer",1.012,1))</f>
        <v>87.503235284987809</v>
      </c>
      <c r="AD1090" t="s">
        <v>73</v>
      </c>
      <c r="AF1090" t="s">
        <v>73</v>
      </c>
      <c r="AH1090" t="s">
        <v>3463</v>
      </c>
      <c r="AI1090" t="s">
        <v>3463</v>
      </c>
      <c r="AJ1090" t="s">
        <v>3465</v>
      </c>
      <c r="AK1090" t="s">
        <v>3463</v>
      </c>
      <c r="AL1090" t="s">
        <v>3463</v>
      </c>
      <c r="AP1090" t="s">
        <v>3463</v>
      </c>
      <c r="AT1090" t="s">
        <v>3465</v>
      </c>
      <c r="AU1090" t="s">
        <v>125</v>
      </c>
      <c r="AV1090" t="s">
        <v>74</v>
      </c>
      <c r="AW1090" t="s">
        <v>3915</v>
      </c>
      <c r="AX1090" t="s">
        <v>3463</v>
      </c>
      <c r="AY1090" t="s">
        <v>3465</v>
      </c>
      <c r="AZ1090" t="s">
        <v>90</v>
      </c>
      <c r="BF1090" t="s">
        <v>3921</v>
      </c>
      <c r="BH1090" t="s">
        <v>4021</v>
      </c>
      <c r="BI1090" t="s">
        <v>76</v>
      </c>
      <c r="BP1090" t="s">
        <v>4261</v>
      </c>
      <c r="BQ1090" t="s">
        <v>3463</v>
      </c>
      <c r="BR1090" t="s">
        <v>3463</v>
      </c>
      <c r="BS1090" t="s">
        <v>3463</v>
      </c>
      <c r="BT1090" t="s">
        <v>3465</v>
      </c>
      <c r="BU1090" t="s">
        <v>3463</v>
      </c>
      <c r="BV1090" t="s">
        <v>3463</v>
      </c>
      <c r="BW1090" t="s">
        <v>3463</v>
      </c>
      <c r="BX1090" t="s">
        <v>79</v>
      </c>
      <c r="BY1090" t="s">
        <v>79</v>
      </c>
      <c r="BZ1090" t="s">
        <v>79</v>
      </c>
      <c r="CA1090" s="10">
        <v>45912</v>
      </c>
    </row>
    <row r="1091" spans="1:79">
      <c r="A1091">
        <v>1104</v>
      </c>
      <c r="B1091">
        <v>21</v>
      </c>
      <c r="C1091">
        <v>53</v>
      </c>
      <c r="D1091" t="s">
        <v>3462</v>
      </c>
      <c r="E1091" t="s">
        <v>2411</v>
      </c>
      <c r="F1091" t="s">
        <v>2407</v>
      </c>
      <c r="G1091" s="12" t="s">
        <v>3465</v>
      </c>
      <c r="H1091" s="12" t="s">
        <v>88</v>
      </c>
      <c r="I1091">
        <v>80</v>
      </c>
      <c r="J1091">
        <v>80</v>
      </c>
      <c r="K1091">
        <v>163</v>
      </c>
      <c r="L1091">
        <v>103</v>
      </c>
      <c r="M1091" t="s">
        <v>72</v>
      </c>
      <c r="N1091">
        <v>168</v>
      </c>
      <c r="O1091">
        <v>88</v>
      </c>
      <c r="P1091" t="s">
        <v>72</v>
      </c>
      <c r="Q1091" t="s">
        <v>72</v>
      </c>
      <c r="R1091">
        <v>93</v>
      </c>
      <c r="S1091">
        <v>165</v>
      </c>
      <c r="T1091" s="8">
        <f t="shared" si="34"/>
        <v>34.159779614325068</v>
      </c>
      <c r="U1091" s="13" t="str" cm="1">
        <f t="array" ref="U1091">IF(T1091="","",_xlfn.IFS(T1091&lt;18.5,"Bajo peso",T1091&lt;25,"Peso normal",T1091&lt;30,"Sobrepeso",T1091&lt;35,"Obesidad clase I",T1091&lt;40,"Obesidad clase II",T1091&gt;=40,"Obesidad clase III"))</f>
        <v>Obesidad clase I</v>
      </c>
      <c r="V1091">
        <v>139</v>
      </c>
      <c r="X1091" t="s">
        <v>3463</v>
      </c>
      <c r="Y1091">
        <v>0.87</v>
      </c>
      <c r="AA1091">
        <v>90</v>
      </c>
      <c r="AB1091" s="9">
        <f t="shared" si="35"/>
        <v>103.17663641295347</v>
      </c>
      <c r="AD1091" t="s">
        <v>73</v>
      </c>
      <c r="AF1091" t="s">
        <v>73</v>
      </c>
      <c r="AH1091" t="s">
        <v>3463</v>
      </c>
      <c r="AI1091" t="s">
        <v>3463</v>
      </c>
      <c r="AJ1091" t="s">
        <v>3463</v>
      </c>
      <c r="AK1091" t="s">
        <v>3463</v>
      </c>
      <c r="AL1091" t="s">
        <v>3463</v>
      </c>
      <c r="AP1091" t="s">
        <v>3463</v>
      </c>
      <c r="AQ1091" t="s">
        <v>2452</v>
      </c>
      <c r="AR1091" t="s">
        <v>3490</v>
      </c>
      <c r="AV1091" t="s">
        <v>74</v>
      </c>
      <c r="AW1091" t="s">
        <v>3915</v>
      </c>
      <c r="BF1091" t="s">
        <v>3921</v>
      </c>
      <c r="BH1091" t="s">
        <v>4021</v>
      </c>
      <c r="BI1091" t="s">
        <v>820</v>
      </c>
      <c r="BK1091" t="s">
        <v>2453</v>
      </c>
      <c r="BL1091" t="s">
        <v>1374</v>
      </c>
      <c r="BP1091" t="s">
        <v>4406</v>
      </c>
      <c r="BQ1091" t="s">
        <v>3465</v>
      </c>
      <c r="BR1091" t="s">
        <v>3465</v>
      </c>
      <c r="BS1091" t="s">
        <v>3463</v>
      </c>
      <c r="BT1091" t="s">
        <v>3463</v>
      </c>
      <c r="BU1091" t="s">
        <v>3463</v>
      </c>
      <c r="BV1091" t="s">
        <v>3463</v>
      </c>
      <c r="BW1091" t="s">
        <v>3463</v>
      </c>
      <c r="BX1091" t="s">
        <v>79</v>
      </c>
      <c r="BY1091" t="s">
        <v>79</v>
      </c>
      <c r="BZ1091" t="s">
        <v>79</v>
      </c>
      <c r="CA1091" s="10">
        <v>45912</v>
      </c>
    </row>
    <row r="1092" spans="1:79">
      <c r="A1092">
        <v>1105</v>
      </c>
      <c r="B1092">
        <v>22</v>
      </c>
      <c r="C1092">
        <v>38</v>
      </c>
      <c r="D1092" t="s">
        <v>3462</v>
      </c>
      <c r="E1092" t="s">
        <v>2416</v>
      </c>
      <c r="F1092" t="s">
        <v>2407</v>
      </c>
      <c r="G1092" s="12" t="s">
        <v>3465</v>
      </c>
      <c r="H1092" t="s">
        <v>88</v>
      </c>
      <c r="I1092">
        <v>62</v>
      </c>
      <c r="J1092">
        <v>59</v>
      </c>
      <c r="K1092">
        <v>145</v>
      </c>
      <c r="L1092">
        <v>84</v>
      </c>
      <c r="M1092" t="s">
        <v>72</v>
      </c>
      <c r="N1092">
        <v>138</v>
      </c>
      <c r="O1092">
        <v>81</v>
      </c>
      <c r="P1092" t="s">
        <v>82</v>
      </c>
      <c r="Q1092" t="s">
        <v>82</v>
      </c>
      <c r="R1092">
        <v>95.8</v>
      </c>
      <c r="S1092">
        <v>177.5</v>
      </c>
      <c r="T1092" s="8">
        <f t="shared" si="34"/>
        <v>30.406665344177739</v>
      </c>
      <c r="U1092" s="13" t="str" cm="1">
        <f t="array" ref="U1092">IF(T1092="","",_xlfn.IFS(T1092&lt;18.5,"Bajo peso",T1092&lt;25,"Peso normal",T1092&lt;30,"Sobrepeso",T1092&lt;35,"Obesidad clase I",T1092&lt;40,"Obesidad clase II",T1092&gt;=40,"Obesidad clase III"))</f>
        <v>Obesidad clase I</v>
      </c>
      <c r="V1092">
        <v>95</v>
      </c>
      <c r="X1092" t="s">
        <v>3463</v>
      </c>
      <c r="Y1092">
        <v>0.74</v>
      </c>
      <c r="AA1092">
        <v>90</v>
      </c>
      <c r="AB1092" s="9">
        <f t="shared" si="35"/>
        <v>118.93873480460833</v>
      </c>
      <c r="AD1092" t="s">
        <v>73</v>
      </c>
      <c r="AF1092" t="s">
        <v>73</v>
      </c>
      <c r="AH1092" t="s">
        <v>3463</v>
      </c>
      <c r="AI1092" t="s">
        <v>3465</v>
      </c>
      <c r="AJ1092" t="s">
        <v>3463</v>
      </c>
      <c r="AK1092" t="s">
        <v>3465</v>
      </c>
      <c r="AL1092" t="s">
        <v>3465</v>
      </c>
      <c r="AM1092" t="s">
        <v>2454</v>
      </c>
      <c r="AN1092" t="s">
        <v>3724</v>
      </c>
      <c r="AP1092" t="s">
        <v>3463</v>
      </c>
      <c r="AQ1092" t="s">
        <v>2455</v>
      </c>
      <c r="AR1092" t="s">
        <v>3512</v>
      </c>
      <c r="AS1092" t="s">
        <v>3465</v>
      </c>
      <c r="AV1092" t="s">
        <v>178</v>
      </c>
      <c r="AW1092" t="s">
        <v>3918</v>
      </c>
      <c r="BF1092" t="s">
        <v>3921</v>
      </c>
      <c r="BH1092" t="s">
        <v>4020</v>
      </c>
      <c r="BP1092" t="s">
        <v>4260</v>
      </c>
      <c r="BQ1092" t="s">
        <v>3463</v>
      </c>
      <c r="BR1092" t="s">
        <v>3463</v>
      </c>
      <c r="BS1092" t="s">
        <v>3465</v>
      </c>
      <c r="BT1092" t="s">
        <v>3465</v>
      </c>
      <c r="BU1092" t="s">
        <v>3463</v>
      </c>
      <c r="BV1092" t="s">
        <v>3463</v>
      </c>
      <c r="BW1092" t="s">
        <v>3463</v>
      </c>
      <c r="BX1092" t="s">
        <v>79</v>
      </c>
      <c r="BY1092" t="s">
        <v>79</v>
      </c>
      <c r="BZ1092" t="s">
        <v>79</v>
      </c>
      <c r="CA1092" s="10">
        <v>45912</v>
      </c>
    </row>
    <row r="1093" spans="1:79">
      <c r="A1093">
        <v>1106</v>
      </c>
      <c r="B1093">
        <v>23</v>
      </c>
      <c r="C1093">
        <v>46</v>
      </c>
      <c r="D1093" t="s">
        <v>3466</v>
      </c>
      <c r="E1093" t="s">
        <v>232</v>
      </c>
      <c r="F1093" t="s">
        <v>2407</v>
      </c>
      <c r="G1093" s="12" t="s">
        <v>3465</v>
      </c>
      <c r="H1093" t="s">
        <v>88</v>
      </c>
      <c r="I1093">
        <v>62</v>
      </c>
      <c r="J1093">
        <v>67</v>
      </c>
      <c r="K1093">
        <v>143</v>
      </c>
      <c r="L1093">
        <v>72</v>
      </c>
      <c r="M1093" t="s">
        <v>72</v>
      </c>
      <c r="N1093">
        <v>123</v>
      </c>
      <c r="O1093">
        <v>78</v>
      </c>
      <c r="P1093" t="s">
        <v>118</v>
      </c>
      <c r="Q1093" t="s">
        <v>118</v>
      </c>
      <c r="R1093">
        <v>70.599999999999994</v>
      </c>
      <c r="S1093">
        <v>151</v>
      </c>
      <c r="T1093" s="8">
        <f t="shared" si="34"/>
        <v>30.963554230077623</v>
      </c>
      <c r="U1093" s="13" t="str" cm="1">
        <f t="array" ref="U1093">IF(T1093="","",_xlfn.IFS(T1093&lt;18.5,"Bajo peso",T1093&lt;25,"Peso normal",T1093&lt;30,"Sobrepeso",T1093&lt;35,"Obesidad clase I",T1093&lt;40,"Obesidad clase II",T1093&gt;=40,"Obesidad clase III"))</f>
        <v>Obesidad clase I</v>
      </c>
      <c r="V1093">
        <v>91</v>
      </c>
      <c r="X1093" t="s">
        <v>3463</v>
      </c>
      <c r="Y1093">
        <v>0.66</v>
      </c>
      <c r="AA1093">
        <v>90</v>
      </c>
      <c r="AB1093" s="9">
        <f t="shared" si="35"/>
        <v>109.49166170364055</v>
      </c>
      <c r="AD1093" t="s">
        <v>73</v>
      </c>
      <c r="AF1093" t="s">
        <v>73</v>
      </c>
      <c r="AH1093" t="s">
        <v>3463</v>
      </c>
      <c r="AI1093" t="s">
        <v>3463</v>
      </c>
      <c r="AJ1093" t="s">
        <v>3463</v>
      </c>
      <c r="AK1093" t="s">
        <v>3463</v>
      </c>
      <c r="AL1093" t="s">
        <v>3463</v>
      </c>
      <c r="AP1093" t="s">
        <v>3463</v>
      </c>
      <c r="AQ1093" t="s">
        <v>2456</v>
      </c>
      <c r="AR1093" t="s">
        <v>3543</v>
      </c>
      <c r="AT1093" t="s">
        <v>3465</v>
      </c>
      <c r="AU1093" t="s">
        <v>80</v>
      </c>
      <c r="AV1093" t="s">
        <v>112</v>
      </c>
      <c r="AW1093" t="s">
        <v>3917</v>
      </c>
      <c r="AX1093" t="s">
        <v>3463</v>
      </c>
      <c r="AY1093" t="s">
        <v>3465</v>
      </c>
      <c r="AZ1093" t="s">
        <v>247</v>
      </c>
      <c r="BF1093" t="s">
        <v>3921</v>
      </c>
      <c r="BH1093" t="s">
        <v>4020</v>
      </c>
      <c r="BP1093" t="s">
        <v>4260</v>
      </c>
      <c r="BQ1093" t="s">
        <v>3465</v>
      </c>
      <c r="BR1093" t="s">
        <v>3465</v>
      </c>
      <c r="BS1093" t="s">
        <v>3463</v>
      </c>
      <c r="BT1093" t="s">
        <v>3465</v>
      </c>
      <c r="BU1093" t="s">
        <v>3463</v>
      </c>
      <c r="BV1093" t="s">
        <v>3463</v>
      </c>
      <c r="BW1093" t="s">
        <v>3463</v>
      </c>
      <c r="BX1093" t="s">
        <v>121</v>
      </c>
      <c r="BY1093" t="s">
        <v>79</v>
      </c>
      <c r="BZ1093" t="s">
        <v>79</v>
      </c>
      <c r="CA1093" s="10">
        <v>45912</v>
      </c>
    </row>
    <row r="1094" spans="1:79">
      <c r="A1094">
        <v>1107</v>
      </c>
      <c r="B1094">
        <v>24</v>
      </c>
      <c r="C1094">
        <v>48</v>
      </c>
      <c r="D1094" t="s">
        <v>3466</v>
      </c>
      <c r="E1094" t="s">
        <v>2451</v>
      </c>
      <c r="F1094" t="s">
        <v>2407</v>
      </c>
      <c r="G1094" s="12" t="s">
        <v>3463</v>
      </c>
      <c r="I1094">
        <v>55</v>
      </c>
      <c r="K1094">
        <v>131</v>
      </c>
      <c r="L1094">
        <v>69</v>
      </c>
      <c r="M1094" t="s">
        <v>82</v>
      </c>
      <c r="P1094" t="s">
        <v>83</v>
      </c>
      <c r="Q1094" t="s">
        <v>82</v>
      </c>
      <c r="R1094">
        <v>61.9</v>
      </c>
      <c r="S1094">
        <v>155</v>
      </c>
      <c r="T1094" s="8">
        <f t="shared" si="34"/>
        <v>25.764828303850155</v>
      </c>
      <c r="U1094" s="13" t="str" cm="1">
        <f t="array" ref="U1094">IF(T1094="","",_xlfn.IFS(T1094&lt;18.5,"Bajo peso",T1094&lt;25,"Peso normal",T1094&lt;30,"Sobrepeso",T1094&lt;35,"Obesidad clase I",T1094&lt;40,"Obesidad clase II",T1094&gt;=40,"Obesidad clase III"))</f>
        <v>Sobrepeso</v>
      </c>
      <c r="V1094">
        <v>90</v>
      </c>
      <c r="X1094" t="s">
        <v>3463</v>
      </c>
      <c r="Y1094">
        <v>0.86</v>
      </c>
      <c r="AA1094">
        <v>84</v>
      </c>
      <c r="AB1094" s="9">
        <f t="shared" si="35"/>
        <v>83.279862425453899</v>
      </c>
      <c r="AD1094" t="s">
        <v>73</v>
      </c>
      <c r="AF1094" t="s">
        <v>73</v>
      </c>
      <c r="AH1094" t="s">
        <v>3463</v>
      </c>
      <c r="AI1094" t="s">
        <v>3463</v>
      </c>
      <c r="AJ1094" t="s">
        <v>3463</v>
      </c>
      <c r="AK1094" t="s">
        <v>3463</v>
      </c>
      <c r="AL1094" t="s">
        <v>3463</v>
      </c>
      <c r="AP1094" t="s">
        <v>3463</v>
      </c>
      <c r="AT1094" t="s">
        <v>3463</v>
      </c>
      <c r="AV1094" t="s">
        <v>126</v>
      </c>
      <c r="AW1094" t="s">
        <v>126</v>
      </c>
      <c r="AX1094" t="s">
        <v>3463</v>
      </c>
      <c r="AY1094" t="s">
        <v>3465</v>
      </c>
      <c r="AZ1094" t="s">
        <v>104</v>
      </c>
      <c r="BF1094" t="s">
        <v>3921</v>
      </c>
      <c r="BH1094" t="s">
        <v>4020</v>
      </c>
      <c r="BP1094" t="s">
        <v>4260</v>
      </c>
      <c r="BQ1094" t="s">
        <v>3465</v>
      </c>
      <c r="BR1094" t="s">
        <v>3465</v>
      </c>
      <c r="BS1094" t="s">
        <v>3463</v>
      </c>
      <c r="BT1094" t="s">
        <v>3465</v>
      </c>
      <c r="BU1094" t="s">
        <v>3463</v>
      </c>
      <c r="BV1094" t="s">
        <v>3463</v>
      </c>
      <c r="BW1094" t="s">
        <v>3463</v>
      </c>
      <c r="BX1094" t="s">
        <v>79</v>
      </c>
      <c r="BY1094" t="s">
        <v>79</v>
      </c>
      <c r="BZ1094" t="s">
        <v>79</v>
      </c>
      <c r="CA1094" s="10">
        <v>45912</v>
      </c>
    </row>
    <row r="1095" spans="1:79">
      <c r="A1095">
        <v>1108</v>
      </c>
      <c r="B1095">
        <v>25</v>
      </c>
      <c r="C1095">
        <v>27</v>
      </c>
      <c r="D1095" t="s">
        <v>3466</v>
      </c>
      <c r="E1095" t="s">
        <v>2416</v>
      </c>
      <c r="F1095" t="s">
        <v>2407</v>
      </c>
      <c r="G1095" s="12" t="s">
        <v>3463</v>
      </c>
      <c r="I1095">
        <v>74</v>
      </c>
      <c r="K1095">
        <v>113</v>
      </c>
      <c r="L1095">
        <v>66</v>
      </c>
      <c r="M1095" t="s">
        <v>80</v>
      </c>
      <c r="P1095" t="s">
        <v>83</v>
      </c>
      <c r="Q1095" t="s">
        <v>80</v>
      </c>
      <c r="R1095">
        <v>49.2</v>
      </c>
      <c r="S1095">
        <v>152</v>
      </c>
      <c r="T1095" s="8">
        <f t="shared" si="34"/>
        <v>21.295013850415515</v>
      </c>
      <c r="U1095" s="13" t="str" cm="1">
        <f t="array" ref="U1095">IF(T1095="","",_xlfn.IFS(T1095&lt;18.5,"Bajo peso",T1095&lt;25,"Peso normal",T1095&lt;30,"Sobrepeso",T1095&lt;35,"Obesidad clase I",T1095&lt;40,"Obesidad clase II",T1095&gt;=40,"Obesidad clase III"))</f>
        <v>Peso normal</v>
      </c>
      <c r="V1095">
        <v>91</v>
      </c>
      <c r="X1095" t="s">
        <v>3463</v>
      </c>
      <c r="Y1095">
        <v>0.92</v>
      </c>
      <c r="AA1095">
        <v>88</v>
      </c>
      <c r="AB1095" s="9">
        <f t="shared" si="35"/>
        <v>87.521329685487586</v>
      </c>
      <c r="AD1095" t="s">
        <v>73</v>
      </c>
      <c r="AF1095" t="s">
        <v>73</v>
      </c>
      <c r="AH1095" t="s">
        <v>3463</v>
      </c>
      <c r="AI1095" t="s">
        <v>3463</v>
      </c>
      <c r="AJ1095" t="s">
        <v>3463</v>
      </c>
      <c r="AK1095" t="s">
        <v>3465</v>
      </c>
      <c r="AL1095" t="s">
        <v>3465</v>
      </c>
      <c r="AM1095" t="s">
        <v>2457</v>
      </c>
      <c r="AN1095" t="s">
        <v>3834</v>
      </c>
      <c r="AO1095" t="s">
        <v>3463</v>
      </c>
      <c r="AP1095" t="s">
        <v>3465</v>
      </c>
      <c r="AT1095" t="s">
        <v>3463</v>
      </c>
      <c r="AV1095" t="s">
        <v>74</v>
      </c>
      <c r="AW1095" t="s">
        <v>3915</v>
      </c>
      <c r="AX1095" t="s">
        <v>3463</v>
      </c>
      <c r="AY1095" t="s">
        <v>3465</v>
      </c>
      <c r="AZ1095" t="s">
        <v>2458</v>
      </c>
      <c r="BF1095" t="s">
        <v>3921</v>
      </c>
      <c r="BH1095" t="s">
        <v>4020</v>
      </c>
      <c r="BP1095" t="s">
        <v>4260</v>
      </c>
      <c r="BQ1095" t="s">
        <v>3463</v>
      </c>
      <c r="BR1095" t="s">
        <v>3463</v>
      </c>
      <c r="BS1095" t="s">
        <v>3465</v>
      </c>
      <c r="BT1095" t="s">
        <v>3465</v>
      </c>
      <c r="BU1095" t="s">
        <v>3463</v>
      </c>
      <c r="BV1095" t="s">
        <v>3463</v>
      </c>
      <c r="BW1095" t="s">
        <v>3463</v>
      </c>
      <c r="BX1095" t="s">
        <v>518</v>
      </c>
      <c r="BY1095" t="s">
        <v>79</v>
      </c>
      <c r="BZ1095" t="s">
        <v>79</v>
      </c>
      <c r="CA1095" s="10">
        <v>45912</v>
      </c>
    </row>
    <row r="1096" spans="1:79">
      <c r="A1096">
        <v>1109</v>
      </c>
      <c r="B1096">
        <v>26</v>
      </c>
      <c r="C1096">
        <v>46</v>
      </c>
      <c r="D1096" t="s">
        <v>3466</v>
      </c>
      <c r="E1096" t="s">
        <v>2411</v>
      </c>
      <c r="F1096" t="s">
        <v>2407</v>
      </c>
      <c r="G1096" s="12" t="s">
        <v>3463</v>
      </c>
      <c r="I1096">
        <v>77</v>
      </c>
      <c r="J1096">
        <v>67</v>
      </c>
      <c r="K1096">
        <v>151</v>
      </c>
      <c r="L1096">
        <v>84</v>
      </c>
      <c r="M1096" t="s">
        <v>72</v>
      </c>
      <c r="N1096">
        <v>146</v>
      </c>
      <c r="O1096">
        <v>87</v>
      </c>
      <c r="P1096" t="s">
        <v>72</v>
      </c>
      <c r="Q1096" t="s">
        <v>72</v>
      </c>
      <c r="R1096">
        <v>72.900000000000006</v>
      </c>
      <c r="S1096">
        <v>161</v>
      </c>
      <c r="T1096" s="8">
        <f t="shared" si="34"/>
        <v>28.123914972416191</v>
      </c>
      <c r="U1096" s="13" t="str" cm="1">
        <f t="array" ref="U1096">IF(T1096="","",_xlfn.IFS(T1096&lt;18.5,"Bajo peso",T1096&lt;25,"Peso normal",T1096&lt;30,"Sobrepeso",T1096&lt;35,"Obesidad clase I",T1096&lt;40,"Obesidad clase II",T1096&gt;=40,"Obesidad clase III"))</f>
        <v>Sobrepeso</v>
      </c>
      <c r="V1096">
        <v>92</v>
      </c>
      <c r="X1096" t="s">
        <v>3463</v>
      </c>
      <c r="Y1096">
        <v>0.66</v>
      </c>
      <c r="AA1096">
        <v>90</v>
      </c>
      <c r="AB1096" s="9">
        <f t="shared" si="35"/>
        <v>109.49166170364055</v>
      </c>
      <c r="AD1096" t="s">
        <v>73</v>
      </c>
      <c r="AF1096" t="s">
        <v>73</v>
      </c>
      <c r="AH1096" t="s">
        <v>3463</v>
      </c>
      <c r="AI1096" t="s">
        <v>3463</v>
      </c>
      <c r="AJ1096" t="s">
        <v>3463</v>
      </c>
      <c r="AK1096" t="s">
        <v>3463</v>
      </c>
      <c r="AL1096" t="s">
        <v>3463</v>
      </c>
      <c r="AP1096" t="s">
        <v>3463</v>
      </c>
      <c r="AQ1096" t="s">
        <v>2459</v>
      </c>
      <c r="AR1096" t="s">
        <v>3491</v>
      </c>
      <c r="AT1096" t="s">
        <v>3463</v>
      </c>
      <c r="AV1096" t="s">
        <v>74</v>
      </c>
      <c r="AW1096" t="s">
        <v>3915</v>
      </c>
      <c r="AX1096" t="s">
        <v>3463</v>
      </c>
      <c r="AY1096" t="s">
        <v>3463</v>
      </c>
      <c r="BF1096" t="s">
        <v>3921</v>
      </c>
      <c r="BH1096" t="s">
        <v>4020</v>
      </c>
      <c r="BP1096" t="s">
        <v>4260</v>
      </c>
      <c r="BQ1096" t="s">
        <v>3465</v>
      </c>
      <c r="BR1096" t="s">
        <v>3465</v>
      </c>
      <c r="BS1096" t="s">
        <v>3463</v>
      </c>
      <c r="BT1096" t="s">
        <v>3463</v>
      </c>
      <c r="BU1096" t="s">
        <v>3463</v>
      </c>
      <c r="BV1096" t="s">
        <v>3463</v>
      </c>
      <c r="BW1096" t="s">
        <v>3463</v>
      </c>
      <c r="BX1096" t="s">
        <v>79</v>
      </c>
      <c r="BY1096" t="s">
        <v>87</v>
      </c>
      <c r="BZ1096" t="s">
        <v>79</v>
      </c>
      <c r="CA1096" s="10">
        <v>45912</v>
      </c>
    </row>
    <row r="1097" spans="1:79">
      <c r="A1097">
        <v>1110</v>
      </c>
      <c r="B1097">
        <v>27</v>
      </c>
      <c r="C1097">
        <v>33</v>
      </c>
      <c r="D1097" t="s">
        <v>3466</v>
      </c>
      <c r="E1097" t="s">
        <v>2416</v>
      </c>
      <c r="F1097" t="s">
        <v>2407</v>
      </c>
      <c r="G1097" s="12" t="s">
        <v>3463</v>
      </c>
      <c r="I1097">
        <v>76</v>
      </c>
      <c r="J1097">
        <v>72</v>
      </c>
      <c r="K1097">
        <v>146</v>
      </c>
      <c r="L1097">
        <v>81</v>
      </c>
      <c r="M1097" t="s">
        <v>72</v>
      </c>
      <c r="N1097">
        <v>132</v>
      </c>
      <c r="O1097">
        <v>74</v>
      </c>
      <c r="P1097" t="s">
        <v>82</v>
      </c>
      <c r="Q1097" t="s">
        <v>82</v>
      </c>
      <c r="R1097">
        <v>104.9</v>
      </c>
      <c r="S1097">
        <v>157</v>
      </c>
      <c r="T1097" s="8">
        <f t="shared" si="34"/>
        <v>42.557507403951476</v>
      </c>
      <c r="U1097" s="13" t="str" cm="1">
        <f t="array" ref="U1097">IF(T1097="","",_xlfn.IFS(T1097&lt;18.5,"Bajo peso",T1097&lt;25,"Peso normal",T1097&lt;30,"Sobrepeso",T1097&lt;35,"Obesidad clase I",T1097&lt;40,"Obesidad clase II",T1097&gt;=40,"Obesidad clase III"))</f>
        <v>Obesidad clase III</v>
      </c>
      <c r="V1097">
        <v>96</v>
      </c>
      <c r="X1097" t="s">
        <v>3463</v>
      </c>
      <c r="Y1097">
        <v>0.77</v>
      </c>
      <c r="AA1097">
        <v>90</v>
      </c>
      <c r="AB1097" s="9">
        <f t="shared" si="35"/>
        <v>104.39131881124069</v>
      </c>
      <c r="AD1097" t="s">
        <v>73</v>
      </c>
      <c r="AF1097" t="s">
        <v>73</v>
      </c>
      <c r="AH1097" t="s">
        <v>3463</v>
      </c>
      <c r="AI1097" t="s">
        <v>3463</v>
      </c>
      <c r="AJ1097" t="s">
        <v>3463</v>
      </c>
      <c r="AK1097" t="s">
        <v>3465</v>
      </c>
      <c r="AL1097" t="s">
        <v>3465</v>
      </c>
      <c r="AM1097" t="s">
        <v>2460</v>
      </c>
      <c r="AN1097" t="s">
        <v>3835</v>
      </c>
      <c r="AP1097" t="s">
        <v>3463</v>
      </c>
      <c r="AQ1097" t="s">
        <v>2461</v>
      </c>
      <c r="AR1097" t="s">
        <v>3593</v>
      </c>
      <c r="AT1097" t="s">
        <v>3463</v>
      </c>
      <c r="AV1097" t="s">
        <v>74</v>
      </c>
      <c r="AW1097" t="s">
        <v>3915</v>
      </c>
      <c r="AX1097" t="s">
        <v>3463</v>
      </c>
      <c r="AY1097" t="s">
        <v>3465</v>
      </c>
      <c r="AZ1097" t="s">
        <v>1110</v>
      </c>
      <c r="BE1097" t="s">
        <v>153</v>
      </c>
      <c r="BF1097" t="s">
        <v>153</v>
      </c>
      <c r="BH1097" t="s">
        <v>4029</v>
      </c>
      <c r="BL1097" t="s">
        <v>2422</v>
      </c>
      <c r="BP1097" t="s">
        <v>4342</v>
      </c>
      <c r="BQ1097" t="s">
        <v>3465</v>
      </c>
      <c r="BR1097" t="s">
        <v>3465</v>
      </c>
      <c r="BS1097" t="s">
        <v>3465</v>
      </c>
      <c r="BT1097" t="s">
        <v>3465</v>
      </c>
      <c r="BU1097" t="s">
        <v>3463</v>
      </c>
      <c r="BV1097" t="s">
        <v>3463</v>
      </c>
      <c r="BW1097" t="s">
        <v>3463</v>
      </c>
      <c r="BX1097" t="s">
        <v>121</v>
      </c>
      <c r="BY1097" t="s">
        <v>79</v>
      </c>
      <c r="BZ1097" t="s">
        <v>79</v>
      </c>
      <c r="CA1097" s="10">
        <v>45912</v>
      </c>
    </row>
    <row r="1098" spans="1:79">
      <c r="A1098">
        <v>1111</v>
      </c>
      <c r="B1098">
        <v>28</v>
      </c>
      <c r="C1098">
        <v>30</v>
      </c>
      <c r="D1098" t="s">
        <v>3466</v>
      </c>
      <c r="E1098" t="s">
        <v>2451</v>
      </c>
      <c r="F1098" t="s">
        <v>2407</v>
      </c>
      <c r="G1098" s="12" t="s">
        <v>3463</v>
      </c>
      <c r="I1098">
        <v>78</v>
      </c>
      <c r="J1098">
        <v>68</v>
      </c>
      <c r="K1098">
        <v>141</v>
      </c>
      <c r="L1098">
        <v>88</v>
      </c>
      <c r="M1098" t="s">
        <v>72</v>
      </c>
      <c r="N1098">
        <v>137</v>
      </c>
      <c r="O1098">
        <v>84</v>
      </c>
      <c r="P1098" t="s">
        <v>82</v>
      </c>
      <c r="Q1098" t="s">
        <v>82</v>
      </c>
      <c r="R1098">
        <v>89.9</v>
      </c>
      <c r="S1098">
        <v>161</v>
      </c>
      <c r="T1098" s="8">
        <f t="shared" si="34"/>
        <v>34.682303923459742</v>
      </c>
      <c r="U1098" s="13" t="str" cm="1">
        <f t="array" ref="U1098">IF(T1098="","",_xlfn.IFS(T1098&lt;18.5,"Bajo peso",T1098&lt;25,"Peso normal",T1098&lt;30,"Sobrepeso",T1098&lt;35,"Obesidad clase I",T1098&lt;40,"Obesidad clase II",T1098&gt;=40,"Obesidad clase III"))</f>
        <v>Obesidad clase I</v>
      </c>
      <c r="V1098">
        <v>109</v>
      </c>
      <c r="X1098" t="s">
        <v>3463</v>
      </c>
      <c r="Y1098">
        <v>1.07</v>
      </c>
      <c r="AA1098">
        <v>71</v>
      </c>
      <c r="AB1098" s="9">
        <f t="shared" si="35"/>
        <v>71.663125252269225</v>
      </c>
      <c r="AD1098" t="s">
        <v>73</v>
      </c>
      <c r="AF1098" t="s">
        <v>73</v>
      </c>
      <c r="AH1098" t="s">
        <v>3463</v>
      </c>
      <c r="AI1098" t="s">
        <v>3463</v>
      </c>
      <c r="AJ1098" t="s">
        <v>3463</v>
      </c>
      <c r="AK1098" t="s">
        <v>3463</v>
      </c>
      <c r="AL1098" t="s">
        <v>3463</v>
      </c>
      <c r="AP1098" t="s">
        <v>3463</v>
      </c>
      <c r="AV1098" t="s">
        <v>126</v>
      </c>
      <c r="AW1098" t="s">
        <v>126</v>
      </c>
      <c r="AX1098" t="s">
        <v>3463</v>
      </c>
      <c r="AY1098" t="s">
        <v>3463</v>
      </c>
      <c r="AZ1098" t="s">
        <v>104</v>
      </c>
      <c r="BF1098" t="s">
        <v>3921</v>
      </c>
      <c r="BH1098" t="s">
        <v>4029</v>
      </c>
      <c r="BI1098" t="s">
        <v>86</v>
      </c>
      <c r="BP1098" t="s">
        <v>4391</v>
      </c>
      <c r="BQ1098" t="s">
        <v>3465</v>
      </c>
      <c r="BR1098" t="s">
        <v>3465</v>
      </c>
      <c r="BS1098" t="s">
        <v>3463</v>
      </c>
      <c r="BT1098" t="s">
        <v>3465</v>
      </c>
      <c r="BU1098" t="s">
        <v>3463</v>
      </c>
      <c r="BV1098" t="s">
        <v>3463</v>
      </c>
      <c r="BW1098" t="s">
        <v>3463</v>
      </c>
      <c r="BX1098" t="s">
        <v>79</v>
      </c>
      <c r="BY1098" t="s">
        <v>79</v>
      </c>
      <c r="BZ1098" t="s">
        <v>79</v>
      </c>
      <c r="CA1098" s="10">
        <v>45912</v>
      </c>
    </row>
    <row r="1099" spans="1:79">
      <c r="A1099">
        <v>1112</v>
      </c>
      <c r="B1099">
        <v>29</v>
      </c>
      <c r="C1099">
        <v>27</v>
      </c>
      <c r="D1099" t="s">
        <v>3466</v>
      </c>
      <c r="E1099" t="s">
        <v>2462</v>
      </c>
      <c r="F1099" t="s">
        <v>2407</v>
      </c>
      <c r="G1099" s="12" t="s">
        <v>3465</v>
      </c>
      <c r="H1099" t="s">
        <v>88</v>
      </c>
      <c r="I1099">
        <v>95</v>
      </c>
      <c r="K1099">
        <v>130</v>
      </c>
      <c r="L1099">
        <v>84</v>
      </c>
      <c r="M1099" t="s">
        <v>82</v>
      </c>
      <c r="P1099" t="s">
        <v>83</v>
      </c>
      <c r="Q1099" t="s">
        <v>82</v>
      </c>
      <c r="R1099">
        <v>52</v>
      </c>
      <c r="S1099">
        <v>163</v>
      </c>
      <c r="T1099" s="8">
        <f t="shared" si="34"/>
        <v>19.571681282697881</v>
      </c>
      <c r="U1099" s="13" t="str" cm="1">
        <f t="array" ref="U1099">IF(T1099="","",_xlfn.IFS(T1099&lt;18.5,"Bajo peso",T1099&lt;25,"Peso normal",T1099&lt;30,"Sobrepeso",T1099&lt;35,"Obesidad clase I",T1099&lt;40,"Obesidad clase II",T1099&gt;=40,"Obesidad clase III"))</f>
        <v>Peso normal</v>
      </c>
      <c r="V1099">
        <v>95</v>
      </c>
      <c r="X1099" t="s">
        <v>3463</v>
      </c>
      <c r="Y1099">
        <v>0.53</v>
      </c>
      <c r="AA1099">
        <v>90</v>
      </c>
      <c r="AB1099" s="9">
        <f t="shared" si="35"/>
        <v>129.91514877971701</v>
      </c>
      <c r="AD1099" t="s">
        <v>73</v>
      </c>
      <c r="AF1099" t="s">
        <v>73</v>
      </c>
      <c r="AH1099" t="s">
        <v>3463</v>
      </c>
      <c r="AI1099" t="s">
        <v>3463</v>
      </c>
      <c r="AJ1099" t="s">
        <v>3463</v>
      </c>
      <c r="AK1099" t="s">
        <v>3465</v>
      </c>
      <c r="AL1099" t="s">
        <v>3465</v>
      </c>
      <c r="AM1099" t="s">
        <v>2463</v>
      </c>
      <c r="AN1099" t="s">
        <v>3836</v>
      </c>
      <c r="AP1099" t="s">
        <v>3463</v>
      </c>
      <c r="AV1099" t="s">
        <v>178</v>
      </c>
      <c r="AW1099" t="s">
        <v>3918</v>
      </c>
      <c r="BF1099" t="s">
        <v>3921</v>
      </c>
      <c r="BH1099" t="s">
        <v>4020</v>
      </c>
      <c r="BP1099" t="s">
        <v>4260</v>
      </c>
      <c r="BQ1099" t="s">
        <v>3463</v>
      </c>
      <c r="BR1099" t="s">
        <v>3465</v>
      </c>
      <c r="BS1099" t="s">
        <v>3463</v>
      </c>
      <c r="BT1099" t="s">
        <v>3465</v>
      </c>
      <c r="BU1099" t="s">
        <v>3463</v>
      </c>
      <c r="BV1099" t="s">
        <v>3463</v>
      </c>
      <c r="BW1099" t="s">
        <v>3463</v>
      </c>
      <c r="BX1099" t="s">
        <v>79</v>
      </c>
      <c r="BY1099" t="s">
        <v>79</v>
      </c>
      <c r="BZ1099" t="s">
        <v>79</v>
      </c>
      <c r="CA1099" s="10">
        <v>45912</v>
      </c>
    </row>
    <row r="1100" spans="1:79">
      <c r="A1100">
        <v>1113</v>
      </c>
      <c r="B1100">
        <v>30</v>
      </c>
      <c r="C1100">
        <v>46</v>
      </c>
      <c r="D1100" t="s">
        <v>3466</v>
      </c>
      <c r="E1100" t="s">
        <v>2411</v>
      </c>
      <c r="F1100" t="s">
        <v>2407</v>
      </c>
      <c r="G1100" s="12" t="s">
        <v>3465</v>
      </c>
      <c r="H1100" s="12" t="s">
        <v>88</v>
      </c>
      <c r="I1100">
        <v>65</v>
      </c>
      <c r="J1100">
        <v>68</v>
      </c>
      <c r="K1100">
        <v>154</v>
      </c>
      <c r="L1100">
        <v>83</v>
      </c>
      <c r="M1100" t="s">
        <v>72</v>
      </c>
      <c r="N1100">
        <v>158</v>
      </c>
      <c r="O1100">
        <v>89</v>
      </c>
      <c r="P1100" t="s">
        <v>72</v>
      </c>
      <c r="Q1100" t="s">
        <v>72</v>
      </c>
      <c r="R1100">
        <v>70</v>
      </c>
      <c r="S1100">
        <v>148</v>
      </c>
      <c r="T1100" s="8">
        <f t="shared" si="34"/>
        <v>31.957633308984661</v>
      </c>
      <c r="U1100" s="13" t="str" cm="1">
        <f t="array" ref="U1100">IF(T1100="","",_xlfn.IFS(T1100&lt;18.5,"Bajo peso",T1100&lt;25,"Peso normal",T1100&lt;30,"Sobrepeso",T1100&lt;35,"Obesidad clase I",T1100&lt;40,"Obesidad clase II",T1100&gt;=40,"Obesidad clase III"))</f>
        <v>Obesidad clase I</v>
      </c>
      <c r="V1100">
        <v>85</v>
      </c>
      <c r="X1100" t="s">
        <v>3463</v>
      </c>
      <c r="Y1100">
        <v>0.72</v>
      </c>
      <c r="AA1100">
        <v>90</v>
      </c>
      <c r="AB1100" s="9">
        <f t="shared" si="35"/>
        <v>104.36170362805927</v>
      </c>
      <c r="AD1100" t="s">
        <v>73</v>
      </c>
      <c r="AF1100" t="s">
        <v>73</v>
      </c>
      <c r="AH1100" t="s">
        <v>3463</v>
      </c>
      <c r="AI1100" t="s">
        <v>3463</v>
      </c>
      <c r="AJ1100" t="s">
        <v>3463</v>
      </c>
      <c r="AK1100" t="s">
        <v>3463</v>
      </c>
      <c r="AL1100" t="s">
        <v>3463</v>
      </c>
      <c r="AP1100" t="s">
        <v>3463</v>
      </c>
      <c r="AQ1100" t="s">
        <v>2464</v>
      </c>
      <c r="AR1100" t="s">
        <v>3491</v>
      </c>
      <c r="AT1100" t="s">
        <v>3463</v>
      </c>
      <c r="AV1100" t="s">
        <v>74</v>
      </c>
      <c r="AW1100" t="s">
        <v>3915</v>
      </c>
      <c r="AX1100" t="s">
        <v>3463</v>
      </c>
      <c r="AY1100" t="s">
        <v>3463</v>
      </c>
      <c r="BF1100" t="s">
        <v>3921</v>
      </c>
      <c r="BH1100" t="s">
        <v>4020</v>
      </c>
      <c r="BP1100" t="s">
        <v>4260</v>
      </c>
      <c r="BQ1100" t="s">
        <v>3463</v>
      </c>
      <c r="BR1100" t="s">
        <v>3465</v>
      </c>
      <c r="BS1100" t="s">
        <v>3463</v>
      </c>
      <c r="BT1100" t="s">
        <v>3463</v>
      </c>
      <c r="BU1100" t="s">
        <v>3463</v>
      </c>
      <c r="BV1100" t="s">
        <v>3463</v>
      </c>
      <c r="BW1100" t="s">
        <v>3463</v>
      </c>
      <c r="BX1100" t="s">
        <v>654</v>
      </c>
      <c r="BY1100" t="s">
        <v>87</v>
      </c>
      <c r="BZ1100" t="s">
        <v>79</v>
      </c>
      <c r="CA1100" s="10">
        <v>45912</v>
      </c>
    </row>
    <row r="1101" spans="1:79">
      <c r="A1101">
        <v>1114</v>
      </c>
      <c r="B1101">
        <v>31</v>
      </c>
      <c r="C1101">
        <v>40</v>
      </c>
      <c r="D1101" t="s">
        <v>3466</v>
      </c>
      <c r="F1101" t="s">
        <v>2407</v>
      </c>
      <c r="G1101" s="12" t="s">
        <v>3463</v>
      </c>
      <c r="I1101">
        <v>94</v>
      </c>
      <c r="J1101">
        <v>89</v>
      </c>
      <c r="K1101">
        <v>143</v>
      </c>
      <c r="L1101">
        <v>83</v>
      </c>
      <c r="M1101" t="s">
        <v>72</v>
      </c>
      <c r="N1101">
        <v>138</v>
      </c>
      <c r="O1101">
        <v>80</v>
      </c>
      <c r="P1101" t="s">
        <v>82</v>
      </c>
      <c r="Q1101" t="s">
        <v>82</v>
      </c>
      <c r="R1101">
        <v>59.1</v>
      </c>
      <c r="S1101">
        <v>153</v>
      </c>
      <c r="T1101" s="8">
        <f t="shared" si="34"/>
        <v>25.246699987184414</v>
      </c>
      <c r="U1101" s="13" t="str" cm="1">
        <f t="array" ref="U1101">IF(T1101="","",_xlfn.IFS(T1101&lt;18.5,"Bajo peso",T1101&lt;25,"Peso normal",T1101&lt;30,"Sobrepeso",T1101&lt;35,"Obesidad clase I",T1101&lt;40,"Obesidad clase II",T1101&gt;=40,"Obesidad clase III"))</f>
        <v>Sobrepeso</v>
      </c>
      <c r="V1101">
        <v>145</v>
      </c>
      <c r="X1101" t="s">
        <v>3463</v>
      </c>
      <c r="Y1101">
        <v>0.55000000000000004</v>
      </c>
      <c r="AA1101">
        <v>90</v>
      </c>
      <c r="AB1101" s="9">
        <f t="shared" si="35"/>
        <v>118.75988619319817</v>
      </c>
      <c r="AD1101" t="s">
        <v>73</v>
      </c>
      <c r="AF1101" t="s">
        <v>73</v>
      </c>
      <c r="AG1101" t="s">
        <v>3463</v>
      </c>
      <c r="AH1101" t="s">
        <v>3465</v>
      </c>
      <c r="AI1101" t="s">
        <v>3465</v>
      </c>
      <c r="AJ1101" t="s">
        <v>3465</v>
      </c>
      <c r="AK1101" t="s">
        <v>3463</v>
      </c>
      <c r="AP1101" t="s">
        <v>3463</v>
      </c>
      <c r="AQ1101" t="s">
        <v>476</v>
      </c>
      <c r="AR1101" t="s">
        <v>3488</v>
      </c>
      <c r="AS1101" t="s">
        <v>3463</v>
      </c>
      <c r="AT1101" t="s">
        <v>3465</v>
      </c>
      <c r="AU1101" t="s">
        <v>80</v>
      </c>
      <c r="AV1101" t="s">
        <v>126</v>
      </c>
      <c r="AW1101" t="s">
        <v>126</v>
      </c>
      <c r="AX1101" t="s">
        <v>3463</v>
      </c>
      <c r="AY1101" t="s">
        <v>3463</v>
      </c>
      <c r="AZ1101" t="s">
        <v>104</v>
      </c>
      <c r="BF1101" t="s">
        <v>3921</v>
      </c>
      <c r="BG1101" t="s">
        <v>2465</v>
      </c>
      <c r="BH1101" t="s">
        <v>4209</v>
      </c>
      <c r="BI1101" t="s">
        <v>820</v>
      </c>
      <c r="BK1101" t="s">
        <v>2466</v>
      </c>
      <c r="BL1101" t="s">
        <v>2467</v>
      </c>
      <c r="BP1101" t="s">
        <v>4516</v>
      </c>
      <c r="BQ1101" t="s">
        <v>3463</v>
      </c>
      <c r="BR1101" t="s">
        <v>3463</v>
      </c>
      <c r="BS1101" t="s">
        <v>3465</v>
      </c>
      <c r="BT1101" t="s">
        <v>3465</v>
      </c>
      <c r="BU1101" t="s">
        <v>3463</v>
      </c>
      <c r="BV1101" t="s">
        <v>3463</v>
      </c>
      <c r="BW1101" t="s">
        <v>3463</v>
      </c>
      <c r="BX1101" t="s">
        <v>79</v>
      </c>
      <c r="BY1101" t="s">
        <v>79</v>
      </c>
      <c r="BZ1101" t="s">
        <v>79</v>
      </c>
      <c r="CA1101" s="10">
        <v>45912</v>
      </c>
    </row>
    <row r="1102" spans="1:79">
      <c r="A1102">
        <v>1115</v>
      </c>
      <c r="B1102">
        <v>32</v>
      </c>
      <c r="C1102">
        <v>45</v>
      </c>
      <c r="D1102" t="s">
        <v>3466</v>
      </c>
      <c r="E1102" t="s">
        <v>2416</v>
      </c>
      <c r="F1102" t="s">
        <v>2407</v>
      </c>
      <c r="G1102" s="12" t="s">
        <v>3463</v>
      </c>
      <c r="H1102" s="12"/>
      <c r="I1102">
        <v>62</v>
      </c>
      <c r="J1102">
        <v>68</v>
      </c>
      <c r="K1102">
        <v>153</v>
      </c>
      <c r="L1102">
        <v>98</v>
      </c>
      <c r="M1102" t="s">
        <v>72</v>
      </c>
      <c r="N1102">
        <v>163</v>
      </c>
      <c r="O1102">
        <v>100</v>
      </c>
      <c r="P1102" t="s">
        <v>72</v>
      </c>
      <c r="Q1102" t="s">
        <v>72</v>
      </c>
      <c r="R1102">
        <v>64.2</v>
      </c>
      <c r="S1102">
        <v>162</v>
      </c>
      <c r="T1102" s="8">
        <f t="shared" si="34"/>
        <v>24.462734339277549</v>
      </c>
      <c r="U1102" s="13" t="str" cm="1">
        <f t="array" ref="U1102">IF(T1102="","",_xlfn.IFS(T1102&lt;18.5,"Bajo peso",T1102&lt;25,"Peso normal",T1102&lt;30,"Sobrepeso",T1102&lt;35,"Obesidad clase I",T1102&lt;40,"Obesidad clase II",T1102&gt;=40,"Obesidad clase III"))</f>
        <v>Peso normal</v>
      </c>
      <c r="V1102">
        <v>100</v>
      </c>
      <c r="X1102" t="s">
        <v>3463</v>
      </c>
      <c r="Y1102">
        <v>0.86</v>
      </c>
      <c r="AA1102">
        <v>85</v>
      </c>
      <c r="AB1102" s="9">
        <f t="shared" si="35"/>
        <v>84.848275875280066</v>
      </c>
      <c r="AD1102" t="s">
        <v>73</v>
      </c>
      <c r="AF1102" t="s">
        <v>73</v>
      </c>
      <c r="AH1102" t="s">
        <v>3463</v>
      </c>
      <c r="AI1102" t="s">
        <v>3463</v>
      </c>
      <c r="AJ1102" t="s">
        <v>3463</v>
      </c>
      <c r="AK1102" t="s">
        <v>3463</v>
      </c>
      <c r="AL1102" t="s">
        <v>3463</v>
      </c>
      <c r="AO1102" t="s">
        <v>3463</v>
      </c>
      <c r="AP1102" t="s">
        <v>3465</v>
      </c>
      <c r="AQ1102" t="s">
        <v>2468</v>
      </c>
      <c r="AR1102" t="s">
        <v>3512</v>
      </c>
      <c r="AT1102" t="s">
        <v>3465</v>
      </c>
      <c r="AU1102" t="s">
        <v>2223</v>
      </c>
      <c r="AV1102" t="s">
        <v>178</v>
      </c>
      <c r="AW1102" t="s">
        <v>3918</v>
      </c>
      <c r="AX1102" t="s">
        <v>3463</v>
      </c>
      <c r="AY1102" t="s">
        <v>3465</v>
      </c>
      <c r="AZ1102" t="s">
        <v>90</v>
      </c>
      <c r="BF1102" t="s">
        <v>3921</v>
      </c>
      <c r="BH1102" t="s">
        <v>4020</v>
      </c>
      <c r="BP1102" t="s">
        <v>4260</v>
      </c>
      <c r="BQ1102" t="s">
        <v>3463</v>
      </c>
      <c r="BR1102" t="s">
        <v>3463</v>
      </c>
      <c r="BS1102" t="s">
        <v>3465</v>
      </c>
      <c r="BT1102" t="s">
        <v>3465</v>
      </c>
      <c r="BU1102" t="s">
        <v>3463</v>
      </c>
      <c r="BV1102" t="s">
        <v>3463</v>
      </c>
      <c r="BW1102" t="s">
        <v>3463</v>
      </c>
      <c r="BX1102" t="s">
        <v>121</v>
      </c>
      <c r="BY1102" t="s">
        <v>79</v>
      </c>
      <c r="BZ1102" t="s">
        <v>79</v>
      </c>
      <c r="CA1102" s="10">
        <v>45912</v>
      </c>
    </row>
    <row r="1103" spans="1:79">
      <c r="A1103">
        <v>1116</v>
      </c>
      <c r="B1103">
        <v>33</v>
      </c>
      <c r="C1103">
        <v>36</v>
      </c>
      <c r="D1103" t="s">
        <v>3466</v>
      </c>
      <c r="E1103" t="s">
        <v>2451</v>
      </c>
      <c r="F1103" t="s">
        <v>2407</v>
      </c>
      <c r="G1103" s="12" t="s">
        <v>3463</v>
      </c>
      <c r="H1103" s="12"/>
      <c r="I1103">
        <v>72</v>
      </c>
      <c r="K1103">
        <v>118</v>
      </c>
      <c r="L1103">
        <v>65</v>
      </c>
      <c r="M1103" t="s">
        <v>80</v>
      </c>
      <c r="P1103" t="s">
        <v>83</v>
      </c>
      <c r="Q1103" t="s">
        <v>80</v>
      </c>
      <c r="R1103">
        <v>71.099999999999994</v>
      </c>
      <c r="S1103">
        <v>160.5</v>
      </c>
      <c r="T1103" s="8">
        <f t="shared" si="34"/>
        <v>27.600663813433485</v>
      </c>
      <c r="U1103" s="13" t="str" cm="1">
        <f t="array" ref="U1103">IF(T1103="","",_xlfn.IFS(T1103&lt;18.5,"Bajo peso",T1103&lt;25,"Peso normal",T1103&lt;30,"Sobrepeso",T1103&lt;35,"Obesidad clase I",T1103&lt;40,"Obesidad clase II",T1103&gt;=40,"Obesidad clase III"))</f>
        <v>Sobrepeso</v>
      </c>
      <c r="V1103">
        <v>94</v>
      </c>
      <c r="X1103" t="s">
        <v>3463</v>
      </c>
      <c r="Y1103">
        <v>0.85</v>
      </c>
      <c r="AA1103">
        <v>90</v>
      </c>
      <c r="AB1103" s="9">
        <f t="shared" si="35"/>
        <v>91.00128413913751</v>
      </c>
      <c r="AD1103" t="s">
        <v>73</v>
      </c>
      <c r="AF1103" t="s">
        <v>73</v>
      </c>
      <c r="AH1103" t="s">
        <v>3463</v>
      </c>
      <c r="AI1103" t="s">
        <v>3463</v>
      </c>
      <c r="AJ1103" t="s">
        <v>3463</v>
      </c>
      <c r="AK1103" t="s">
        <v>3463</v>
      </c>
      <c r="AL1103" t="s">
        <v>3465</v>
      </c>
      <c r="AM1103" t="s">
        <v>2469</v>
      </c>
      <c r="AN1103" t="s">
        <v>3671</v>
      </c>
      <c r="AP1103" t="s">
        <v>3463</v>
      </c>
      <c r="AQ1103" t="s">
        <v>2470</v>
      </c>
      <c r="AR1103" t="s">
        <v>3504</v>
      </c>
      <c r="AT1103" t="s">
        <v>3465</v>
      </c>
      <c r="AU1103" t="s">
        <v>80</v>
      </c>
      <c r="AV1103" t="s">
        <v>74</v>
      </c>
      <c r="AW1103" t="s">
        <v>3915</v>
      </c>
      <c r="AX1103" t="s">
        <v>3463</v>
      </c>
      <c r="AY1103" t="s">
        <v>3465</v>
      </c>
      <c r="AZ1103" t="s">
        <v>90</v>
      </c>
      <c r="BF1103" t="s">
        <v>3921</v>
      </c>
      <c r="BH1103" t="s">
        <v>4020</v>
      </c>
      <c r="BP1103" t="s">
        <v>4260</v>
      </c>
      <c r="BQ1103" t="s">
        <v>3463</v>
      </c>
      <c r="BR1103" t="s">
        <v>3463</v>
      </c>
      <c r="BS1103" t="s">
        <v>3465</v>
      </c>
      <c r="BT1103" t="s">
        <v>3465</v>
      </c>
      <c r="BU1103" t="s">
        <v>3463</v>
      </c>
      <c r="BV1103" t="s">
        <v>3463</v>
      </c>
      <c r="BW1103" t="s">
        <v>3463</v>
      </c>
      <c r="BX1103" t="s">
        <v>79</v>
      </c>
      <c r="BY1103" t="s">
        <v>79</v>
      </c>
      <c r="BZ1103" t="s">
        <v>79</v>
      </c>
      <c r="CA1103" s="10">
        <v>45912</v>
      </c>
    </row>
    <row r="1104" spans="1:79">
      <c r="A1104">
        <v>1117</v>
      </c>
      <c r="B1104">
        <v>34</v>
      </c>
      <c r="C1104">
        <v>34</v>
      </c>
      <c r="D1104" t="s">
        <v>3466</v>
      </c>
      <c r="E1104" t="s">
        <v>2462</v>
      </c>
      <c r="F1104" t="s">
        <v>2407</v>
      </c>
      <c r="G1104" s="12" t="s">
        <v>3463</v>
      </c>
      <c r="H1104" s="12"/>
      <c r="I1104">
        <v>77</v>
      </c>
      <c r="J1104">
        <v>77</v>
      </c>
      <c r="K1104">
        <v>144</v>
      </c>
      <c r="L1104">
        <v>77</v>
      </c>
      <c r="M1104" t="s">
        <v>72</v>
      </c>
      <c r="N1104">
        <v>126</v>
      </c>
      <c r="O1104">
        <v>90</v>
      </c>
      <c r="P1104" t="s">
        <v>72</v>
      </c>
      <c r="Q1104" t="s">
        <v>72</v>
      </c>
      <c r="R1104">
        <v>109</v>
      </c>
      <c r="S1104">
        <v>163</v>
      </c>
      <c r="T1104" s="8">
        <f t="shared" si="34"/>
        <v>41.025254996424401</v>
      </c>
      <c r="U1104" s="13" t="str" cm="1">
        <f t="array" ref="U1104">IF(T1104="","",_xlfn.IFS(T1104&lt;18.5,"Bajo peso",T1104&lt;25,"Peso normal",T1104&lt;30,"Sobrepeso",T1104&lt;35,"Obesidad clase I",T1104&lt;40,"Obesidad clase II",T1104&gt;=40,"Obesidad clase III"))</f>
        <v>Obesidad clase III</v>
      </c>
      <c r="V1104">
        <v>100</v>
      </c>
      <c r="X1104" t="s">
        <v>3463</v>
      </c>
      <c r="Y1104">
        <v>0.54</v>
      </c>
      <c r="AA1104">
        <v>90</v>
      </c>
      <c r="AB1104" s="9">
        <f t="shared" si="35"/>
        <v>123.82157683473217</v>
      </c>
      <c r="AD1104" t="s">
        <v>73</v>
      </c>
      <c r="AF1104" t="s">
        <v>73</v>
      </c>
      <c r="AH1104" t="s">
        <v>3463</v>
      </c>
      <c r="AI1104" t="s">
        <v>3463</v>
      </c>
      <c r="AJ1104" t="s">
        <v>3464</v>
      </c>
      <c r="AK1104" t="s">
        <v>3463</v>
      </c>
      <c r="AL1104" t="s">
        <v>3463</v>
      </c>
      <c r="AQ1104" t="s">
        <v>1078</v>
      </c>
      <c r="AR1104" t="s">
        <v>3512</v>
      </c>
      <c r="AT1104" t="s">
        <v>3463</v>
      </c>
      <c r="AV1104" t="s">
        <v>126</v>
      </c>
      <c r="AW1104" t="s">
        <v>126</v>
      </c>
      <c r="AX1104" t="s">
        <v>3463</v>
      </c>
      <c r="AY1104" t="s">
        <v>3465</v>
      </c>
      <c r="AZ1104" t="s">
        <v>247</v>
      </c>
      <c r="BF1104" t="s">
        <v>3921</v>
      </c>
      <c r="BH1104" t="s">
        <v>4020</v>
      </c>
      <c r="BP1104" t="s">
        <v>4260</v>
      </c>
      <c r="BQ1104" t="s">
        <v>3463</v>
      </c>
      <c r="BR1104" t="s">
        <v>3465</v>
      </c>
      <c r="BS1104" t="s">
        <v>3465</v>
      </c>
      <c r="BT1104" t="s">
        <v>3465</v>
      </c>
      <c r="BU1104" t="s">
        <v>3463</v>
      </c>
      <c r="BV1104" t="s">
        <v>3463</v>
      </c>
      <c r="BW1104" t="s">
        <v>3463</v>
      </c>
      <c r="BX1104" t="s">
        <v>79</v>
      </c>
      <c r="BY1104" t="s">
        <v>87</v>
      </c>
      <c r="BZ1104" t="s">
        <v>79</v>
      </c>
      <c r="CA1104" s="10">
        <v>45912</v>
      </c>
    </row>
    <row r="1105" spans="1:79">
      <c r="A1105">
        <v>1118</v>
      </c>
      <c r="B1105">
        <v>35</v>
      </c>
      <c r="C1105">
        <v>58</v>
      </c>
      <c r="D1105" t="s">
        <v>3462</v>
      </c>
      <c r="E1105" t="s">
        <v>2462</v>
      </c>
      <c r="F1105" t="s">
        <v>2407</v>
      </c>
      <c r="G1105" s="12" t="s">
        <v>3463</v>
      </c>
      <c r="H1105" s="12"/>
      <c r="I1105">
        <v>55</v>
      </c>
      <c r="K1105">
        <v>125</v>
      </c>
      <c r="L1105">
        <v>73</v>
      </c>
      <c r="M1105" t="s">
        <v>118</v>
      </c>
      <c r="P1105" t="s">
        <v>83</v>
      </c>
      <c r="Q1105" t="s">
        <v>118</v>
      </c>
      <c r="R1105">
        <v>80.400000000000006</v>
      </c>
      <c r="S1105">
        <v>159.5</v>
      </c>
      <c r="T1105" s="8">
        <f t="shared" si="34"/>
        <v>31.603463016283253</v>
      </c>
      <c r="U1105" s="13" t="str" cm="1">
        <f t="array" ref="U1105">IF(T1105="","",_xlfn.IFS(T1105&lt;18.5,"Bajo peso",T1105&lt;25,"Peso normal",T1105&lt;30,"Sobrepeso",T1105&lt;35,"Obesidad clase I",T1105&lt;40,"Obesidad clase II",T1105&gt;=40,"Obesidad clase III"))</f>
        <v>Obesidad clase I</v>
      </c>
      <c r="V1105">
        <v>104</v>
      </c>
      <c r="X1105" t="s">
        <v>3463</v>
      </c>
      <c r="Y1105">
        <v>1.1000000000000001</v>
      </c>
      <c r="AA1105">
        <v>78</v>
      </c>
      <c r="AB1105" s="9">
        <f t="shared" si="35"/>
        <v>77.812558140002395</v>
      </c>
      <c r="AD1105" t="s">
        <v>73</v>
      </c>
      <c r="AF1105" t="s">
        <v>73</v>
      </c>
      <c r="AH1105" t="s">
        <v>3463</v>
      </c>
      <c r="AI1105" t="s">
        <v>3463</v>
      </c>
      <c r="AJ1105" t="s">
        <v>3465</v>
      </c>
      <c r="AK1105" t="s">
        <v>3463</v>
      </c>
      <c r="AL1105" t="s">
        <v>3463</v>
      </c>
      <c r="AP1105" t="s">
        <v>3463</v>
      </c>
      <c r="AQ1105" t="s">
        <v>177</v>
      </c>
      <c r="AR1105" t="s">
        <v>3488</v>
      </c>
      <c r="AV1105" t="s">
        <v>74</v>
      </c>
      <c r="AW1105" t="s">
        <v>3915</v>
      </c>
      <c r="BF1105" t="s">
        <v>3921</v>
      </c>
      <c r="BH1105" t="s">
        <v>4020</v>
      </c>
      <c r="BP1105" t="s">
        <v>4260</v>
      </c>
      <c r="BQ1105" t="s">
        <v>3463</v>
      </c>
      <c r="BR1105" t="s">
        <v>3465</v>
      </c>
      <c r="BS1105" t="s">
        <v>3463</v>
      </c>
      <c r="BT1105" t="s">
        <v>3463</v>
      </c>
      <c r="BU1105" t="s">
        <v>3463</v>
      </c>
      <c r="BV1105" t="s">
        <v>3463</v>
      </c>
      <c r="BW1105" t="s">
        <v>3463</v>
      </c>
      <c r="BX1105" t="s">
        <v>79</v>
      </c>
      <c r="BY1105" t="s">
        <v>79</v>
      </c>
      <c r="BZ1105" t="s">
        <v>79</v>
      </c>
      <c r="CA1105" s="10">
        <v>45912</v>
      </c>
    </row>
    <row r="1106" spans="1:79">
      <c r="A1106">
        <v>1119</v>
      </c>
      <c r="B1106">
        <v>36</v>
      </c>
      <c r="C1106">
        <v>25</v>
      </c>
      <c r="D1106" t="s">
        <v>3462</v>
      </c>
      <c r="E1106" t="s">
        <v>2416</v>
      </c>
      <c r="F1106" t="s">
        <v>2407</v>
      </c>
      <c r="G1106" s="12" t="s">
        <v>3463</v>
      </c>
      <c r="H1106" s="12"/>
      <c r="I1106">
        <v>62</v>
      </c>
      <c r="J1106">
        <v>64</v>
      </c>
      <c r="K1106">
        <v>146</v>
      </c>
      <c r="L1106">
        <v>71</v>
      </c>
      <c r="M1106" t="s">
        <v>72</v>
      </c>
      <c r="N1106">
        <v>137</v>
      </c>
      <c r="O1106">
        <v>73</v>
      </c>
      <c r="P1106" t="s">
        <v>82</v>
      </c>
      <c r="Q1106" t="s">
        <v>82</v>
      </c>
      <c r="R1106">
        <v>80.8</v>
      </c>
      <c r="S1106">
        <v>165</v>
      </c>
      <c r="T1106" s="8">
        <f t="shared" si="34"/>
        <v>29.67860422405877</v>
      </c>
      <c r="U1106" s="13" t="str" cm="1">
        <f t="array" ref="U1106">IF(T1106="","",_xlfn.IFS(T1106&lt;18.5,"Bajo peso",T1106&lt;25,"Peso normal",T1106&lt;30,"Sobrepeso",T1106&lt;35,"Obesidad clase I",T1106&lt;40,"Obesidad clase II",T1106&gt;=40,"Obesidad clase III"))</f>
        <v>Sobrepeso</v>
      </c>
      <c r="V1106">
        <v>101</v>
      </c>
      <c r="X1106" t="s">
        <v>3463</v>
      </c>
      <c r="Y1106">
        <v>0.83</v>
      </c>
      <c r="AA1106">
        <v>90</v>
      </c>
      <c r="AB1106" s="9">
        <f t="shared" si="35"/>
        <v>124.56120719313567</v>
      </c>
      <c r="AD1106" t="s">
        <v>73</v>
      </c>
      <c r="AF1106" t="s">
        <v>73</v>
      </c>
      <c r="AH1106" t="s">
        <v>3463</v>
      </c>
      <c r="AI1106" t="s">
        <v>3463</v>
      </c>
      <c r="AJ1106" t="s">
        <v>3465</v>
      </c>
      <c r="AK1106" t="s">
        <v>3463</v>
      </c>
      <c r="AL1106" t="s">
        <v>3463</v>
      </c>
      <c r="AP1106" t="s">
        <v>3463</v>
      </c>
      <c r="AQ1106" t="s">
        <v>2471</v>
      </c>
      <c r="AR1106" t="s">
        <v>3548</v>
      </c>
      <c r="AV1106" t="s">
        <v>126</v>
      </c>
      <c r="AW1106" t="s">
        <v>126</v>
      </c>
      <c r="BF1106" t="s">
        <v>3921</v>
      </c>
      <c r="BG1106" t="s">
        <v>2472</v>
      </c>
      <c r="BH1106" t="s">
        <v>4210</v>
      </c>
      <c r="BI1106" t="s">
        <v>86</v>
      </c>
      <c r="BK1106" t="s">
        <v>2473</v>
      </c>
      <c r="BL1106" t="s">
        <v>2474</v>
      </c>
      <c r="BP1106" t="s">
        <v>4517</v>
      </c>
      <c r="BQ1106" t="s">
        <v>3463</v>
      </c>
      <c r="BR1106" t="s">
        <v>3465</v>
      </c>
      <c r="BS1106" t="s">
        <v>3463</v>
      </c>
      <c r="BT1106" t="s">
        <v>3463</v>
      </c>
      <c r="BU1106" t="s">
        <v>3463</v>
      </c>
      <c r="BV1106" t="s">
        <v>3463</v>
      </c>
      <c r="BW1106" t="s">
        <v>3463</v>
      </c>
      <c r="BX1106" t="s">
        <v>79</v>
      </c>
      <c r="BY1106" t="s">
        <v>87</v>
      </c>
      <c r="BZ1106" t="s">
        <v>95</v>
      </c>
      <c r="CA1106" s="10">
        <v>45912</v>
      </c>
    </row>
    <row r="1107" spans="1:79">
      <c r="A1107">
        <v>1120</v>
      </c>
      <c r="B1107">
        <v>37</v>
      </c>
      <c r="C1107">
        <v>70</v>
      </c>
      <c r="D1107" t="s">
        <v>3462</v>
      </c>
      <c r="E1107" t="s">
        <v>2451</v>
      </c>
      <c r="F1107" t="s">
        <v>2407</v>
      </c>
      <c r="G1107" s="12" t="s">
        <v>3463</v>
      </c>
      <c r="I1107">
        <v>84</v>
      </c>
      <c r="J1107">
        <v>87</v>
      </c>
      <c r="K1107">
        <v>159</v>
      </c>
      <c r="L1107">
        <v>83</v>
      </c>
      <c r="M1107" t="s">
        <v>72</v>
      </c>
      <c r="N1107">
        <v>148</v>
      </c>
      <c r="O1107">
        <v>88</v>
      </c>
      <c r="P1107" t="s">
        <v>72</v>
      </c>
      <c r="Q1107" t="s">
        <v>72</v>
      </c>
      <c r="R1107">
        <v>57.5</v>
      </c>
      <c r="S1107">
        <v>147</v>
      </c>
      <c r="T1107" s="8">
        <f t="shared" si="34"/>
        <v>26.609283169049935</v>
      </c>
      <c r="U1107" s="13" t="str" cm="1">
        <f t="array" ref="U1107">IF(T1107="","",_xlfn.IFS(T1107&lt;18.5,"Bajo peso",T1107&lt;25,"Peso normal",T1107&lt;30,"Sobrepeso",T1107&lt;35,"Obesidad clase I",T1107&lt;40,"Obesidad clase II",T1107&gt;=40,"Obesidad clase III"))</f>
        <v>Sobrepeso</v>
      </c>
      <c r="V1107">
        <v>260</v>
      </c>
      <c r="X1107" t="s">
        <v>3465</v>
      </c>
      <c r="Y1107">
        <v>1.36</v>
      </c>
      <c r="AA1107">
        <v>56</v>
      </c>
      <c r="AB1107" s="9">
        <f t="shared" si="35"/>
        <v>55.98376915128074</v>
      </c>
      <c r="AD1107" t="s">
        <v>158</v>
      </c>
      <c r="AF1107" t="s">
        <v>158</v>
      </c>
      <c r="AG1107" t="s">
        <v>3465</v>
      </c>
      <c r="AH1107" t="s">
        <v>3465</v>
      </c>
      <c r="AI1107" t="s">
        <v>3465</v>
      </c>
      <c r="AJ1107" t="s">
        <v>3463</v>
      </c>
      <c r="AK1107" t="s">
        <v>3463</v>
      </c>
      <c r="AL1107" t="s">
        <v>3465</v>
      </c>
      <c r="AM1107" t="s">
        <v>2475</v>
      </c>
      <c r="AN1107" t="s">
        <v>3837</v>
      </c>
      <c r="AP1107" t="s">
        <v>3464</v>
      </c>
      <c r="AS1107" t="s">
        <v>3465</v>
      </c>
      <c r="AV1107" t="s">
        <v>178</v>
      </c>
      <c r="AW1107" t="s">
        <v>3918</v>
      </c>
      <c r="BA1107" t="s">
        <v>3920</v>
      </c>
      <c r="BB1107" t="s">
        <v>3485</v>
      </c>
      <c r="BF1107" t="s">
        <v>3921</v>
      </c>
      <c r="BG1107" t="s">
        <v>2476</v>
      </c>
      <c r="BH1107" t="s">
        <v>4211</v>
      </c>
      <c r="BK1107" t="s">
        <v>2477</v>
      </c>
      <c r="BL1107" t="s">
        <v>2216</v>
      </c>
      <c r="BP1107" t="s">
        <v>4518</v>
      </c>
      <c r="BQ1107" t="s">
        <v>3463</v>
      </c>
      <c r="BR1107" t="s">
        <v>3465</v>
      </c>
      <c r="BS1107" t="s">
        <v>3463</v>
      </c>
      <c r="BT1107" t="s">
        <v>3463</v>
      </c>
      <c r="BU1107" t="s">
        <v>3463</v>
      </c>
      <c r="BV1107" t="s">
        <v>3463</v>
      </c>
      <c r="BW1107" t="s">
        <v>3463</v>
      </c>
      <c r="BX1107" t="s">
        <v>79</v>
      </c>
      <c r="BY1107" t="s">
        <v>87</v>
      </c>
      <c r="BZ1107" t="s">
        <v>79</v>
      </c>
      <c r="CA1107" s="10">
        <v>45912</v>
      </c>
    </row>
    <row r="1108" spans="1:79">
      <c r="A1108">
        <v>1121</v>
      </c>
      <c r="B1108">
        <v>38</v>
      </c>
      <c r="C1108">
        <v>70</v>
      </c>
      <c r="D1108" t="s">
        <v>3462</v>
      </c>
      <c r="E1108" t="s">
        <v>2411</v>
      </c>
      <c r="F1108" t="s">
        <v>2407</v>
      </c>
      <c r="G1108" s="12" t="s">
        <v>3463</v>
      </c>
      <c r="I1108">
        <v>65</v>
      </c>
      <c r="J1108">
        <v>66</v>
      </c>
      <c r="K1108">
        <v>182</v>
      </c>
      <c r="L1108">
        <v>93</v>
      </c>
      <c r="M1108" t="s">
        <v>96</v>
      </c>
      <c r="N1108">
        <v>174</v>
      </c>
      <c r="O1108">
        <v>91</v>
      </c>
      <c r="P1108" t="s">
        <v>72</v>
      </c>
      <c r="Q1108" t="s">
        <v>72</v>
      </c>
      <c r="R1108">
        <v>86.5</v>
      </c>
      <c r="S1108">
        <v>159</v>
      </c>
      <c r="T1108" s="8">
        <f t="shared" si="34"/>
        <v>34.215418693880785</v>
      </c>
      <c r="U1108" s="13" t="str" cm="1">
        <f t="array" ref="U1108">IF(T1108="","",_xlfn.IFS(T1108&lt;18.5,"Bajo peso",T1108&lt;25,"Peso normal",T1108&lt;30,"Sobrepeso",T1108&lt;35,"Obesidad clase I",T1108&lt;40,"Obesidad clase II",T1108&gt;=40,"Obesidad clase III"))</f>
        <v>Obesidad clase I</v>
      </c>
      <c r="V1108">
        <v>97</v>
      </c>
      <c r="X1108" t="s">
        <v>3463</v>
      </c>
      <c r="Y1108">
        <v>1.22</v>
      </c>
      <c r="AA1108">
        <v>64</v>
      </c>
      <c r="AB1108" s="9">
        <f t="shared" si="35"/>
        <v>63.778900427071989</v>
      </c>
      <c r="AD1108" t="s">
        <v>73</v>
      </c>
      <c r="AF1108" t="s">
        <v>73</v>
      </c>
      <c r="AH1108" t="s">
        <v>3463</v>
      </c>
      <c r="AI1108" t="s">
        <v>3463</v>
      </c>
      <c r="AJ1108" t="s">
        <v>3463</v>
      </c>
      <c r="AK1108" t="s">
        <v>3463</v>
      </c>
      <c r="AL1108" t="s">
        <v>3463</v>
      </c>
      <c r="AP1108" t="s">
        <v>3463</v>
      </c>
      <c r="AV1108" t="s">
        <v>126</v>
      </c>
      <c r="AW1108" t="s">
        <v>126</v>
      </c>
      <c r="BF1108" t="s">
        <v>3921</v>
      </c>
      <c r="BH1108" t="s">
        <v>4021</v>
      </c>
      <c r="BI1108" t="s">
        <v>76</v>
      </c>
      <c r="BK1108" t="s">
        <v>2478</v>
      </c>
      <c r="BP1108" t="s">
        <v>4261</v>
      </c>
      <c r="BQ1108" t="s">
        <v>3463</v>
      </c>
      <c r="BR1108" t="s">
        <v>3465</v>
      </c>
      <c r="BS1108" t="s">
        <v>3463</v>
      </c>
      <c r="BT1108" t="s">
        <v>3463</v>
      </c>
      <c r="BU1108" t="s">
        <v>3463</v>
      </c>
      <c r="BV1108" t="s">
        <v>3463</v>
      </c>
      <c r="BW1108" t="s">
        <v>3463</v>
      </c>
      <c r="BX1108" t="s">
        <v>79</v>
      </c>
      <c r="BY1108" t="s">
        <v>79</v>
      </c>
      <c r="BZ1108" t="s">
        <v>79</v>
      </c>
      <c r="CA1108" s="10">
        <v>45912</v>
      </c>
    </row>
    <row r="1109" spans="1:79">
      <c r="A1109">
        <v>1122</v>
      </c>
      <c r="B1109">
        <v>39</v>
      </c>
      <c r="C1109">
        <v>62</v>
      </c>
      <c r="D1109" t="s">
        <v>3466</v>
      </c>
      <c r="F1109" t="s">
        <v>2407</v>
      </c>
      <c r="G1109" s="12" t="s">
        <v>3463</v>
      </c>
      <c r="I1109">
        <v>59</v>
      </c>
      <c r="J1109">
        <v>56</v>
      </c>
      <c r="K1109">
        <v>141</v>
      </c>
      <c r="L1109">
        <v>85</v>
      </c>
      <c r="M1109" t="s">
        <v>72</v>
      </c>
      <c r="N1109">
        <v>130</v>
      </c>
      <c r="O1109">
        <v>97</v>
      </c>
      <c r="P1109" t="s">
        <v>72</v>
      </c>
      <c r="Q1109" t="s">
        <v>72</v>
      </c>
      <c r="R1109">
        <v>80.2</v>
      </c>
      <c r="S1109">
        <v>155</v>
      </c>
      <c r="T1109" s="8">
        <f t="shared" si="34"/>
        <v>33.381893860561917</v>
      </c>
      <c r="U1109" s="13" t="str" cm="1">
        <f t="array" ref="U1109">IF(T1109="","",_xlfn.IFS(T1109&lt;18.5,"Bajo peso",T1109&lt;25,"Peso normal",T1109&lt;30,"Sobrepeso",T1109&lt;35,"Obesidad clase I",T1109&lt;40,"Obesidad clase II",T1109&gt;=40,"Obesidad clase III"))</f>
        <v>Obesidad clase I</v>
      </c>
      <c r="V1109">
        <v>135</v>
      </c>
      <c r="X1109" t="s">
        <v>3463</v>
      </c>
      <c r="Y1109">
        <v>0.83</v>
      </c>
      <c r="AA1109">
        <v>80</v>
      </c>
      <c r="AB1109" s="9">
        <f t="shared" si="35"/>
        <v>79.658169701367299</v>
      </c>
      <c r="AD1109" t="s">
        <v>73</v>
      </c>
      <c r="AF1109" t="s">
        <v>73</v>
      </c>
      <c r="AH1109" t="s">
        <v>3463</v>
      </c>
      <c r="AI1109" t="s">
        <v>3465</v>
      </c>
      <c r="AJ1109" t="s">
        <v>3463</v>
      </c>
      <c r="AK1109" t="s">
        <v>3463</v>
      </c>
      <c r="AL1109" t="s">
        <v>3465</v>
      </c>
      <c r="AM1109" t="s">
        <v>2479</v>
      </c>
      <c r="AN1109" t="s">
        <v>3672</v>
      </c>
      <c r="AP1109" t="s">
        <v>3463</v>
      </c>
      <c r="AQ1109" t="s">
        <v>169</v>
      </c>
      <c r="AR1109" t="s">
        <v>3493</v>
      </c>
      <c r="AS1109" t="s">
        <v>3465</v>
      </c>
      <c r="AT1109" t="s">
        <v>3465</v>
      </c>
      <c r="AV1109" t="s">
        <v>74</v>
      </c>
      <c r="AW1109" t="s">
        <v>3915</v>
      </c>
      <c r="AX1109" t="s">
        <v>3463</v>
      </c>
      <c r="AY1109" t="s">
        <v>3465</v>
      </c>
      <c r="AZ1109" t="s">
        <v>2480</v>
      </c>
      <c r="BA1109" t="s">
        <v>3920</v>
      </c>
      <c r="BF1109" t="s">
        <v>3921</v>
      </c>
      <c r="BG1109" t="s">
        <v>2481</v>
      </c>
      <c r="BH1109" t="s">
        <v>4042</v>
      </c>
      <c r="BL1109" t="s">
        <v>2482</v>
      </c>
      <c r="BP1109" t="s">
        <v>4261</v>
      </c>
      <c r="BQ1109" t="s">
        <v>3463</v>
      </c>
      <c r="BR1109" t="s">
        <v>3463</v>
      </c>
      <c r="BS1109" t="s">
        <v>3463</v>
      </c>
      <c r="BT1109" t="s">
        <v>3463</v>
      </c>
      <c r="BU1109" t="s">
        <v>3463</v>
      </c>
      <c r="BV1109" t="s">
        <v>3463</v>
      </c>
      <c r="BW1109" t="s">
        <v>3463</v>
      </c>
      <c r="BX1109" t="s">
        <v>79</v>
      </c>
      <c r="BY1109" t="s">
        <v>79</v>
      </c>
      <c r="BZ1109" t="s">
        <v>79</v>
      </c>
      <c r="CA1109" s="10">
        <v>45912</v>
      </c>
    </row>
    <row r="1110" spans="1:79">
      <c r="A1110">
        <v>1123</v>
      </c>
      <c r="B1110">
        <v>40</v>
      </c>
      <c r="C1110">
        <v>70</v>
      </c>
      <c r="D1110" t="s">
        <v>3462</v>
      </c>
      <c r="E1110" t="s">
        <v>2416</v>
      </c>
      <c r="F1110" t="s">
        <v>2407</v>
      </c>
      <c r="G1110" s="12" t="s">
        <v>3463</v>
      </c>
      <c r="I1110">
        <v>87</v>
      </c>
      <c r="K1110">
        <v>132</v>
      </c>
      <c r="L1110">
        <v>93</v>
      </c>
      <c r="M1110" t="s">
        <v>72</v>
      </c>
      <c r="P1110" t="s">
        <v>83</v>
      </c>
      <c r="Q1110" t="s">
        <v>72</v>
      </c>
      <c r="R1110">
        <v>101.8</v>
      </c>
      <c r="S1110">
        <v>159.5</v>
      </c>
      <c r="T1110" s="8">
        <f t="shared" si="34"/>
        <v>40.015330038030292</v>
      </c>
      <c r="U1110" s="13" t="str" cm="1">
        <f t="array" ref="U1110">IF(T1110="","",_xlfn.IFS(T1110&lt;18.5,"Bajo peso",T1110&lt;25,"Peso normal",T1110&lt;30,"Sobrepeso",T1110&lt;35,"Obesidad clase I",T1110&lt;40,"Obesidad clase II",T1110&gt;=40,"Obesidad clase III"))</f>
        <v>Obesidad clase III</v>
      </c>
      <c r="V1110">
        <v>413</v>
      </c>
      <c r="X1110" t="s">
        <v>3465</v>
      </c>
      <c r="Y1110">
        <v>0.6</v>
      </c>
      <c r="AA1110">
        <v>90</v>
      </c>
      <c r="AB1110" s="9">
        <f t="shared" si="35"/>
        <v>103.84781740266988</v>
      </c>
      <c r="AD1110" t="s">
        <v>73</v>
      </c>
      <c r="AF1110" t="s">
        <v>73</v>
      </c>
      <c r="AG1110" t="s">
        <v>3465</v>
      </c>
      <c r="AH1110" t="s">
        <v>3465</v>
      </c>
      <c r="AI1110" t="s">
        <v>3465</v>
      </c>
      <c r="AJ1110" t="s">
        <v>3463</v>
      </c>
      <c r="AK1110" t="s">
        <v>3463</v>
      </c>
      <c r="AL1110" t="s">
        <v>3465</v>
      </c>
      <c r="AM1110" t="s">
        <v>2483</v>
      </c>
      <c r="AN1110" t="s">
        <v>3796</v>
      </c>
      <c r="AP1110" t="s">
        <v>3463</v>
      </c>
      <c r="AS1110" t="s">
        <v>3465</v>
      </c>
      <c r="AV1110" t="s">
        <v>74</v>
      </c>
      <c r="AW1110" t="s">
        <v>3915</v>
      </c>
      <c r="BA1110" t="s">
        <v>3920</v>
      </c>
      <c r="BB1110" t="s">
        <v>3485</v>
      </c>
      <c r="BC1110" t="s">
        <v>128</v>
      </c>
      <c r="BF1110" t="s">
        <v>3921</v>
      </c>
      <c r="BH1110" t="s">
        <v>4029</v>
      </c>
      <c r="BI1110" t="s">
        <v>411</v>
      </c>
      <c r="BK1110" t="s">
        <v>2484</v>
      </c>
      <c r="BL1110" t="s">
        <v>2485</v>
      </c>
      <c r="BP1110" t="s">
        <v>4466</v>
      </c>
      <c r="BQ1110" t="s">
        <v>3463</v>
      </c>
      <c r="BR1110" t="s">
        <v>3465</v>
      </c>
      <c r="BS1110" t="s">
        <v>3463</v>
      </c>
      <c r="BT1110" t="s">
        <v>3465</v>
      </c>
      <c r="BU1110" t="s">
        <v>3463</v>
      </c>
      <c r="BV1110" t="s">
        <v>3463</v>
      </c>
      <c r="BW1110" t="s">
        <v>3463</v>
      </c>
      <c r="BX1110" t="s">
        <v>518</v>
      </c>
      <c r="BY1110" t="s">
        <v>487</v>
      </c>
      <c r="BZ1110" t="s">
        <v>79</v>
      </c>
      <c r="CA1110" s="10">
        <v>45912</v>
      </c>
    </row>
    <row r="1111" spans="1:79">
      <c r="A1111">
        <v>1124</v>
      </c>
      <c r="B1111">
        <v>41</v>
      </c>
      <c r="C1111">
        <v>65</v>
      </c>
      <c r="D1111" t="s">
        <v>3462</v>
      </c>
      <c r="E1111" t="s">
        <v>2486</v>
      </c>
      <c r="F1111" t="s">
        <v>2407</v>
      </c>
      <c r="G1111" s="12" t="s">
        <v>3465</v>
      </c>
      <c r="H1111" t="s">
        <v>88</v>
      </c>
      <c r="I1111">
        <v>59</v>
      </c>
      <c r="J1111">
        <v>58</v>
      </c>
      <c r="K1111">
        <v>175</v>
      </c>
      <c r="L1111">
        <v>92</v>
      </c>
      <c r="M1111" t="s">
        <v>72</v>
      </c>
      <c r="N1111">
        <v>157</v>
      </c>
      <c r="O1111">
        <v>82</v>
      </c>
      <c r="P1111" t="s">
        <v>72</v>
      </c>
      <c r="Q1111" t="s">
        <v>72</v>
      </c>
      <c r="R1111">
        <v>105.3</v>
      </c>
      <c r="S1111">
        <v>168</v>
      </c>
      <c r="T1111" s="8">
        <f t="shared" si="34"/>
        <v>37.308673469387756</v>
      </c>
      <c r="U1111" s="13" t="str" cm="1">
        <f t="array" ref="U1111">IF(T1111="","",_xlfn.IFS(T1111&lt;18.5,"Bajo peso",T1111&lt;25,"Peso normal",T1111&lt;30,"Sobrepeso",T1111&lt;35,"Obesidad clase I",T1111&lt;40,"Obesidad clase II",T1111&gt;=40,"Obesidad clase III"))</f>
        <v>Obesidad clase II</v>
      </c>
      <c r="V1111">
        <v>99</v>
      </c>
      <c r="X1111" t="s">
        <v>3463</v>
      </c>
      <c r="Y1111">
        <v>1.07</v>
      </c>
      <c r="AA1111">
        <v>77</v>
      </c>
      <c r="AB1111" s="9">
        <f t="shared" si="35"/>
        <v>77.011100418194218</v>
      </c>
      <c r="AD1111" t="s">
        <v>73</v>
      </c>
      <c r="AF1111" t="s">
        <v>73</v>
      </c>
      <c r="AH1111" t="s">
        <v>3464</v>
      </c>
      <c r="AI1111" t="s">
        <v>3463</v>
      </c>
      <c r="AJ1111" t="s">
        <v>3463</v>
      </c>
      <c r="AK1111" t="s">
        <v>3463</v>
      </c>
      <c r="AL1111" t="s">
        <v>3464</v>
      </c>
      <c r="AO1111" t="s">
        <v>3464</v>
      </c>
      <c r="AP1111" t="s">
        <v>3465</v>
      </c>
      <c r="AV1111" t="s">
        <v>74</v>
      </c>
      <c r="AW1111" t="s">
        <v>3915</v>
      </c>
      <c r="BC1111" t="s">
        <v>128</v>
      </c>
      <c r="BE1111" t="s">
        <v>2487</v>
      </c>
      <c r="BF1111" t="s">
        <v>3942</v>
      </c>
      <c r="BH1111" t="s">
        <v>4021</v>
      </c>
      <c r="BI1111" t="s">
        <v>76</v>
      </c>
      <c r="BK1111" t="s">
        <v>1653</v>
      </c>
      <c r="BP1111" t="s">
        <v>4261</v>
      </c>
      <c r="BQ1111" t="s">
        <v>3463</v>
      </c>
      <c r="BR1111" t="s">
        <v>3465</v>
      </c>
      <c r="BS1111" t="s">
        <v>3465</v>
      </c>
      <c r="BT1111" t="s">
        <v>3465</v>
      </c>
      <c r="BU1111" t="s">
        <v>3463</v>
      </c>
      <c r="BV1111" t="s">
        <v>3463</v>
      </c>
      <c r="BW1111" t="s">
        <v>3463</v>
      </c>
      <c r="BX1111" t="s">
        <v>79</v>
      </c>
      <c r="BY1111" t="s">
        <v>79</v>
      </c>
      <c r="BZ1111" t="s">
        <v>79</v>
      </c>
      <c r="CA1111" s="10">
        <v>45912</v>
      </c>
    </row>
    <row r="1112" spans="1:79">
      <c r="A1112">
        <v>1125</v>
      </c>
      <c r="B1112">
        <v>42</v>
      </c>
      <c r="C1112">
        <v>82</v>
      </c>
      <c r="D1112" t="s">
        <v>3462</v>
      </c>
      <c r="E1112" t="s">
        <v>2488</v>
      </c>
      <c r="F1112" t="s">
        <v>2407</v>
      </c>
      <c r="G1112" s="12" t="s">
        <v>3465</v>
      </c>
      <c r="H1112" s="12" t="s">
        <v>88</v>
      </c>
      <c r="I1112">
        <v>74</v>
      </c>
      <c r="J1112">
        <v>77</v>
      </c>
      <c r="K1112">
        <v>191</v>
      </c>
      <c r="L1112">
        <v>85</v>
      </c>
      <c r="M1112" t="s">
        <v>96</v>
      </c>
      <c r="N1112">
        <v>185</v>
      </c>
      <c r="O1112">
        <v>84</v>
      </c>
      <c r="P1112" t="s">
        <v>96</v>
      </c>
      <c r="Q1112" t="s">
        <v>96</v>
      </c>
      <c r="R1112">
        <v>75.099999999999994</v>
      </c>
      <c r="S1112">
        <v>152.5</v>
      </c>
      <c r="T1112" s="8">
        <f t="shared" si="34"/>
        <v>32.292394517602794</v>
      </c>
      <c r="U1112" s="13" t="str" cm="1">
        <f t="array" ref="U1112">IF(T1112="","",_xlfn.IFS(T1112&lt;18.5,"Bajo peso",T1112&lt;25,"Peso normal",T1112&lt;30,"Sobrepeso",T1112&lt;35,"Obesidad clase I",T1112&lt;40,"Obesidad clase II",T1112&gt;=40,"Obesidad clase III"))</f>
        <v>Obesidad clase I</v>
      </c>
      <c r="V1112">
        <v>116</v>
      </c>
      <c r="X1112" t="s">
        <v>3463</v>
      </c>
      <c r="Y1112">
        <v>0.76</v>
      </c>
      <c r="AA1112">
        <v>90</v>
      </c>
      <c r="AB1112" s="9">
        <f t="shared" si="35"/>
        <v>89.73900604396411</v>
      </c>
      <c r="AD1112" t="s">
        <v>73</v>
      </c>
      <c r="AF1112" t="s">
        <v>73</v>
      </c>
      <c r="AH1112" t="s">
        <v>3463</v>
      </c>
      <c r="AI1112" t="s">
        <v>3465</v>
      </c>
      <c r="AJ1112" t="s">
        <v>3463</v>
      </c>
      <c r="AK1112" t="s">
        <v>3463</v>
      </c>
      <c r="AL1112" t="s">
        <v>3465</v>
      </c>
      <c r="AM1112" t="s">
        <v>116</v>
      </c>
      <c r="AN1112" t="s">
        <v>116</v>
      </c>
      <c r="AP1112" t="s">
        <v>3464</v>
      </c>
      <c r="AQ1112" t="s">
        <v>2489</v>
      </c>
      <c r="AR1112" t="s">
        <v>3491</v>
      </c>
      <c r="AS1112" t="s">
        <v>3463</v>
      </c>
      <c r="AV1112" t="s">
        <v>126</v>
      </c>
      <c r="AW1112" t="s">
        <v>126</v>
      </c>
      <c r="BA1112" t="s">
        <v>3920</v>
      </c>
      <c r="BF1112" t="s">
        <v>3921</v>
      </c>
      <c r="BH1112" t="s">
        <v>4021</v>
      </c>
      <c r="BK1112" t="s">
        <v>2490</v>
      </c>
      <c r="BL1112" t="s">
        <v>2491</v>
      </c>
      <c r="BP1112" t="s">
        <v>4371</v>
      </c>
      <c r="BQ1112" t="s">
        <v>3463</v>
      </c>
      <c r="BR1112" t="s">
        <v>3465</v>
      </c>
      <c r="BS1112" t="s">
        <v>3463</v>
      </c>
      <c r="BT1112" t="s">
        <v>3463</v>
      </c>
      <c r="BU1112" t="s">
        <v>3463</v>
      </c>
      <c r="BV1112" t="s">
        <v>3463</v>
      </c>
      <c r="BW1112" t="s">
        <v>3463</v>
      </c>
      <c r="BX1112" t="s">
        <v>79</v>
      </c>
      <c r="BY1112" t="s">
        <v>79</v>
      </c>
      <c r="BZ1112" t="s">
        <v>79</v>
      </c>
      <c r="CA1112" s="10">
        <v>45912</v>
      </c>
    </row>
    <row r="1113" spans="1:79">
      <c r="A1113">
        <v>1126</v>
      </c>
      <c r="B1113">
        <v>43</v>
      </c>
      <c r="C1113">
        <v>56</v>
      </c>
      <c r="D1113" t="s">
        <v>3466</v>
      </c>
      <c r="E1113" t="s">
        <v>2462</v>
      </c>
      <c r="F1113" t="s">
        <v>2407</v>
      </c>
      <c r="G1113" s="12" t="s">
        <v>3465</v>
      </c>
      <c r="H1113" s="12" t="s">
        <v>88</v>
      </c>
      <c r="I1113">
        <v>64</v>
      </c>
      <c r="J1113">
        <v>63</v>
      </c>
      <c r="K1113">
        <v>200</v>
      </c>
      <c r="L1113">
        <v>102</v>
      </c>
      <c r="M1113" t="s">
        <v>96</v>
      </c>
      <c r="N1113">
        <v>176</v>
      </c>
      <c r="O1113">
        <v>110</v>
      </c>
      <c r="P1113" t="s">
        <v>72</v>
      </c>
      <c r="Q1113" t="s">
        <v>72</v>
      </c>
      <c r="R1113">
        <v>92.5</v>
      </c>
      <c r="S1113">
        <v>149</v>
      </c>
      <c r="T1113" s="8">
        <f t="shared" si="34"/>
        <v>41.664789874329983</v>
      </c>
      <c r="U1113" s="13" t="str" cm="1">
        <f t="array" ref="U1113">IF(T1113="","",_xlfn.IFS(T1113&lt;18.5,"Bajo peso",T1113&lt;25,"Peso normal",T1113&lt;30,"Sobrepeso",T1113&lt;35,"Obesidad clase I",T1113&lt;40,"Obesidad clase II",T1113&gt;=40,"Obesidad clase III"))</f>
        <v>Obesidad clase III</v>
      </c>
      <c r="V1113">
        <v>115</v>
      </c>
      <c r="X1113" t="s">
        <v>3463</v>
      </c>
      <c r="Y1113">
        <v>0.88</v>
      </c>
      <c r="AA1113">
        <v>77</v>
      </c>
      <c r="AB1113" s="9">
        <f t="shared" si="35"/>
        <v>77.0816270546797</v>
      </c>
      <c r="AD1113" t="s">
        <v>73</v>
      </c>
      <c r="AF1113" t="s">
        <v>73</v>
      </c>
      <c r="AH1113" t="s">
        <v>3463</v>
      </c>
      <c r="AI1113" t="s">
        <v>3465</v>
      </c>
      <c r="AJ1113" t="s">
        <v>3463</v>
      </c>
      <c r="AK1113" t="s">
        <v>3463</v>
      </c>
      <c r="AL1113" t="s">
        <v>3463</v>
      </c>
      <c r="AP1113" t="s">
        <v>3463</v>
      </c>
      <c r="AQ1113" t="s">
        <v>2492</v>
      </c>
      <c r="AR1113" t="s">
        <v>3491</v>
      </c>
      <c r="AS1113" t="s">
        <v>3463</v>
      </c>
      <c r="AT1113" t="s">
        <v>3465</v>
      </c>
      <c r="AV1113" t="s">
        <v>74</v>
      </c>
      <c r="AW1113" t="s">
        <v>3915</v>
      </c>
      <c r="AX1113" t="s">
        <v>3463</v>
      </c>
      <c r="AY1113" t="s">
        <v>3465</v>
      </c>
      <c r="BA1113" t="s">
        <v>3920</v>
      </c>
      <c r="BF1113" t="s">
        <v>3921</v>
      </c>
      <c r="BH1113" t="s">
        <v>4029</v>
      </c>
      <c r="BI1113" t="s">
        <v>2493</v>
      </c>
      <c r="BP1113" t="s">
        <v>4260</v>
      </c>
      <c r="BQ1113" t="s">
        <v>3463</v>
      </c>
      <c r="BR1113" t="s">
        <v>3465</v>
      </c>
      <c r="BS1113" t="s">
        <v>3463</v>
      </c>
      <c r="BT1113" t="s">
        <v>3465</v>
      </c>
      <c r="BU1113" t="s">
        <v>3463</v>
      </c>
      <c r="BV1113" t="s">
        <v>3463</v>
      </c>
      <c r="BW1113" t="s">
        <v>3463</v>
      </c>
      <c r="BX1113" t="s">
        <v>79</v>
      </c>
      <c r="BY1113" t="s">
        <v>79</v>
      </c>
      <c r="BZ1113" t="s">
        <v>79</v>
      </c>
      <c r="CA1113" s="10">
        <v>45912</v>
      </c>
    </row>
    <row r="1114" spans="1:79">
      <c r="A1114">
        <v>1127</v>
      </c>
      <c r="B1114">
        <v>44</v>
      </c>
      <c r="C1114">
        <v>55</v>
      </c>
      <c r="D1114" t="s">
        <v>3462</v>
      </c>
      <c r="E1114" t="s">
        <v>2416</v>
      </c>
      <c r="F1114" t="s">
        <v>2407</v>
      </c>
      <c r="G1114" s="12" t="s">
        <v>3465</v>
      </c>
      <c r="H1114" t="s">
        <v>88</v>
      </c>
      <c r="I1114">
        <v>82</v>
      </c>
      <c r="J1114">
        <v>85</v>
      </c>
      <c r="K1114">
        <v>152</v>
      </c>
      <c r="L1114">
        <v>94</v>
      </c>
      <c r="M1114" t="s">
        <v>72</v>
      </c>
      <c r="N1114">
        <v>155</v>
      </c>
      <c r="O1114">
        <v>108</v>
      </c>
      <c r="P1114" t="s">
        <v>72</v>
      </c>
      <c r="Q1114" t="s">
        <v>72</v>
      </c>
      <c r="R1114">
        <v>96.5</v>
      </c>
      <c r="S1114">
        <v>159</v>
      </c>
      <c r="T1114" s="8">
        <f t="shared" si="34"/>
        <v>38.170958427277405</v>
      </c>
      <c r="U1114" s="13" t="str" cm="1">
        <f t="array" ref="U1114">IF(T1114="","",_xlfn.IFS(T1114&lt;18.5,"Bajo peso",T1114&lt;25,"Peso normal",T1114&lt;30,"Sobrepeso",T1114&lt;35,"Obesidad clase I",T1114&lt;40,"Obesidad clase II",T1114&gt;=40,"Obesidad clase III"))</f>
        <v>Obesidad clase II</v>
      </c>
      <c r="V1114">
        <v>124</v>
      </c>
      <c r="X1114" t="s">
        <v>3463</v>
      </c>
      <c r="Y1114">
        <v>0.6</v>
      </c>
      <c r="AA1114">
        <v>90</v>
      </c>
      <c r="AB1114" s="9">
        <f t="shared" si="35"/>
        <v>114.0020043758809</v>
      </c>
      <c r="AD1114" t="s">
        <v>73</v>
      </c>
      <c r="AF1114" t="s">
        <v>73</v>
      </c>
      <c r="AG1114" t="s">
        <v>3465</v>
      </c>
      <c r="AH1114" t="s">
        <v>3465</v>
      </c>
      <c r="AI1114" t="s">
        <v>3463</v>
      </c>
      <c r="AJ1114" t="s">
        <v>3463</v>
      </c>
      <c r="AK1114" t="s">
        <v>3465</v>
      </c>
      <c r="AL1114" t="s">
        <v>3465</v>
      </c>
      <c r="AM1114" t="s">
        <v>2494</v>
      </c>
      <c r="AN1114" t="s">
        <v>3838</v>
      </c>
      <c r="AP1114" t="s">
        <v>3463</v>
      </c>
      <c r="AQ1114" t="s">
        <v>2495</v>
      </c>
      <c r="AR1114" t="s">
        <v>3494</v>
      </c>
      <c r="AV1114" t="s">
        <v>178</v>
      </c>
      <c r="AW1114" t="s">
        <v>3918</v>
      </c>
      <c r="BF1114" t="s">
        <v>3921</v>
      </c>
      <c r="BH1114" t="s">
        <v>4020</v>
      </c>
      <c r="BP1114" t="s">
        <v>4260</v>
      </c>
      <c r="BQ1114" t="s">
        <v>3463</v>
      </c>
      <c r="BR1114" t="s">
        <v>3463</v>
      </c>
      <c r="BS1114" t="s">
        <v>3465</v>
      </c>
      <c r="BT1114" t="s">
        <v>3465</v>
      </c>
      <c r="BU1114" t="s">
        <v>3463</v>
      </c>
      <c r="BV1114" t="s">
        <v>3463</v>
      </c>
      <c r="BW1114" t="s">
        <v>3463</v>
      </c>
      <c r="BX1114" t="s">
        <v>79</v>
      </c>
      <c r="BY1114" t="s">
        <v>87</v>
      </c>
      <c r="BZ1114" t="s">
        <v>79</v>
      </c>
      <c r="CA1114" s="10">
        <v>45912</v>
      </c>
    </row>
    <row r="1115" spans="1:79">
      <c r="A1115">
        <v>1128</v>
      </c>
      <c r="B1115">
        <v>45</v>
      </c>
      <c r="C1115">
        <v>39</v>
      </c>
      <c r="D1115" t="s">
        <v>3466</v>
      </c>
      <c r="F1115" t="s">
        <v>2407</v>
      </c>
      <c r="G1115" s="12" t="s">
        <v>3463</v>
      </c>
      <c r="I1115">
        <v>77</v>
      </c>
      <c r="K1115">
        <v>131</v>
      </c>
      <c r="L1115">
        <v>75</v>
      </c>
      <c r="M1115" t="s">
        <v>82</v>
      </c>
      <c r="P1115" t="s">
        <v>83</v>
      </c>
      <c r="Q1115" t="s">
        <v>82</v>
      </c>
      <c r="R1115">
        <v>59.8</v>
      </c>
      <c r="S1115">
        <v>147</v>
      </c>
      <c r="T1115" s="8">
        <f t="shared" si="34"/>
        <v>27.673654495811931</v>
      </c>
      <c r="U1115" s="13" t="str" cm="1">
        <f t="array" ref="U1115">IF(T1115="","",_xlfn.IFS(T1115&lt;18.5,"Bajo peso",T1115&lt;25,"Peso normal",T1115&lt;30,"Sobrepeso",T1115&lt;35,"Obesidad clase I",T1115&lt;40,"Obesidad clase II",T1115&gt;=40,"Obesidad clase III"))</f>
        <v>Sobrepeso</v>
      </c>
      <c r="V1115">
        <v>107</v>
      </c>
      <c r="X1115" t="s">
        <v>3463</v>
      </c>
      <c r="Y1115">
        <v>0.59</v>
      </c>
      <c r="AA1115">
        <v>90</v>
      </c>
      <c r="AB1115" s="9">
        <f t="shared" si="35"/>
        <v>117.49593827053558</v>
      </c>
      <c r="AD1115" t="s">
        <v>73</v>
      </c>
      <c r="AF1115" t="s">
        <v>73</v>
      </c>
      <c r="AG1115" t="s">
        <v>3463</v>
      </c>
      <c r="AH1115" t="s">
        <v>3465</v>
      </c>
      <c r="AI1115" t="s">
        <v>3463</v>
      </c>
      <c r="AJ1115" t="s">
        <v>3465</v>
      </c>
      <c r="AK1115" t="s">
        <v>3463</v>
      </c>
      <c r="AL1115" t="s">
        <v>3465</v>
      </c>
      <c r="AM1115" t="s">
        <v>2496</v>
      </c>
      <c r="AN1115" t="s">
        <v>2496</v>
      </c>
      <c r="AP1115" t="s">
        <v>3463</v>
      </c>
      <c r="AQ1115" t="s">
        <v>2497</v>
      </c>
      <c r="AR1115" t="s">
        <v>3516</v>
      </c>
      <c r="AT1115" t="s">
        <v>3463</v>
      </c>
      <c r="AV1115" t="s">
        <v>112</v>
      </c>
      <c r="AW1115" t="s">
        <v>3917</v>
      </c>
      <c r="AX1115" t="s">
        <v>3463</v>
      </c>
      <c r="AY1115" t="s">
        <v>3465</v>
      </c>
      <c r="AZ1115" t="s">
        <v>247</v>
      </c>
      <c r="BF1115" t="s">
        <v>3921</v>
      </c>
      <c r="BH1115" t="s">
        <v>4020</v>
      </c>
      <c r="BP1115" t="s">
        <v>4260</v>
      </c>
      <c r="BQ1115" t="s">
        <v>3463</v>
      </c>
      <c r="BR1115" t="s">
        <v>3463</v>
      </c>
      <c r="BS1115" t="s">
        <v>3465</v>
      </c>
      <c r="BT1115" t="s">
        <v>3465</v>
      </c>
      <c r="BU1115" t="s">
        <v>3463</v>
      </c>
      <c r="BV1115" t="s">
        <v>3463</v>
      </c>
      <c r="BW1115" t="s">
        <v>3463</v>
      </c>
      <c r="BX1115" t="s">
        <v>79</v>
      </c>
      <c r="BY1115" t="s">
        <v>79</v>
      </c>
      <c r="BZ1115" t="s">
        <v>79</v>
      </c>
      <c r="CA1115" s="10">
        <v>45912</v>
      </c>
    </row>
    <row r="1116" spans="1:79">
      <c r="A1116">
        <v>1129</v>
      </c>
      <c r="B1116">
        <v>46</v>
      </c>
      <c r="C1116">
        <v>67</v>
      </c>
      <c r="D1116" t="s">
        <v>3466</v>
      </c>
      <c r="E1116" t="s">
        <v>2411</v>
      </c>
      <c r="F1116" t="s">
        <v>2407</v>
      </c>
      <c r="G1116" s="12" t="s">
        <v>3465</v>
      </c>
      <c r="H1116" t="s">
        <v>88</v>
      </c>
      <c r="I1116">
        <v>65</v>
      </c>
      <c r="J1116">
        <v>62</v>
      </c>
      <c r="K1116">
        <v>193</v>
      </c>
      <c r="L1116">
        <v>104</v>
      </c>
      <c r="M1116" t="s">
        <v>96</v>
      </c>
      <c r="N1116">
        <v>179</v>
      </c>
      <c r="O1116">
        <v>100</v>
      </c>
      <c r="P1116" t="s">
        <v>72</v>
      </c>
      <c r="Q1116" t="s">
        <v>72</v>
      </c>
      <c r="R1116">
        <v>73</v>
      </c>
      <c r="S1116">
        <v>146</v>
      </c>
      <c r="T1116" s="8">
        <f t="shared" si="34"/>
        <v>34.246575342465754</v>
      </c>
      <c r="U1116" s="13" t="str" cm="1">
        <f t="array" ref="U1116">IF(T1116="","",_xlfn.IFS(T1116&lt;18.5,"Bajo peso",T1116&lt;25,"Peso normal",T1116&lt;30,"Sobrepeso",T1116&lt;35,"Obesidad clase I",T1116&lt;40,"Obesidad clase II",T1116&gt;=40,"Obesidad clase III"))</f>
        <v>Obesidad clase I</v>
      </c>
      <c r="V1116">
        <v>151</v>
      </c>
      <c r="X1116" t="s">
        <v>3463</v>
      </c>
      <c r="Y1116">
        <v>0.65</v>
      </c>
      <c r="AA1116">
        <v>90</v>
      </c>
      <c r="AB1116" s="9">
        <f t="shared" si="35"/>
        <v>96.440145519407707</v>
      </c>
      <c r="AD1116" t="s">
        <v>73</v>
      </c>
      <c r="AF1116" t="s">
        <v>73</v>
      </c>
      <c r="AH1116" t="s">
        <v>3463</v>
      </c>
      <c r="AI1116" t="s">
        <v>3465</v>
      </c>
      <c r="AJ1116" t="s">
        <v>3463</v>
      </c>
      <c r="AK1116" t="s">
        <v>3463</v>
      </c>
      <c r="AL1116" t="s">
        <v>3463</v>
      </c>
      <c r="AP1116" t="s">
        <v>3464</v>
      </c>
      <c r="AS1116" t="s">
        <v>3465</v>
      </c>
      <c r="AT1116" t="s">
        <v>3463</v>
      </c>
      <c r="AV1116" t="s">
        <v>74</v>
      </c>
      <c r="AW1116" t="s">
        <v>3915</v>
      </c>
      <c r="AX1116" t="s">
        <v>3463</v>
      </c>
      <c r="AY1116" t="s">
        <v>3463</v>
      </c>
      <c r="BA1116" t="s">
        <v>3920</v>
      </c>
      <c r="BF1116" t="s">
        <v>3921</v>
      </c>
      <c r="BH1116" t="s">
        <v>4029</v>
      </c>
      <c r="BI1116" t="s">
        <v>1257</v>
      </c>
      <c r="BP1116" t="s">
        <v>4260</v>
      </c>
      <c r="BQ1116" t="s">
        <v>3463</v>
      </c>
      <c r="BR1116" t="s">
        <v>3465</v>
      </c>
      <c r="BS1116" t="s">
        <v>3463</v>
      </c>
      <c r="BT1116" t="s">
        <v>3463</v>
      </c>
      <c r="BU1116" t="s">
        <v>3463</v>
      </c>
      <c r="BV1116" t="s">
        <v>3463</v>
      </c>
      <c r="BW1116" t="s">
        <v>3463</v>
      </c>
      <c r="BX1116" t="s">
        <v>79</v>
      </c>
      <c r="BY1116" t="s">
        <v>79</v>
      </c>
      <c r="BZ1116" t="s">
        <v>79</v>
      </c>
      <c r="CA1116" s="10">
        <v>45912</v>
      </c>
    </row>
    <row r="1117" spans="1:79">
      <c r="A1117">
        <v>1130</v>
      </c>
      <c r="B1117">
        <v>47</v>
      </c>
      <c r="C1117">
        <v>59</v>
      </c>
      <c r="D1117" t="s">
        <v>3466</v>
      </c>
      <c r="E1117" t="s">
        <v>2498</v>
      </c>
      <c r="F1117" t="s">
        <v>2407</v>
      </c>
      <c r="G1117" s="12" t="s">
        <v>3465</v>
      </c>
      <c r="H1117" t="s">
        <v>88</v>
      </c>
      <c r="I1117">
        <v>62</v>
      </c>
      <c r="J1117">
        <v>65</v>
      </c>
      <c r="K1117">
        <v>148</v>
      </c>
      <c r="L1117">
        <v>74</v>
      </c>
      <c r="M1117" t="s">
        <v>72</v>
      </c>
      <c r="N1117">
        <v>155</v>
      </c>
      <c r="O1117">
        <v>80</v>
      </c>
      <c r="P1117" t="s">
        <v>72</v>
      </c>
      <c r="Q1117" t="s">
        <v>72</v>
      </c>
      <c r="R1117">
        <v>86</v>
      </c>
      <c r="S1117">
        <v>157</v>
      </c>
      <c r="T1117" s="8">
        <f t="shared" si="34"/>
        <v>34.889853543754306</v>
      </c>
      <c r="U1117" s="13" t="str" cm="1">
        <f t="array" ref="U1117">IF(T1117="","",_xlfn.IFS(T1117&lt;18.5,"Bajo peso",T1117&lt;25,"Peso normal",T1117&lt;30,"Sobrepeso",T1117&lt;35,"Obesidad clase I",T1117&lt;40,"Obesidad clase II",T1117&gt;=40,"Obesidad clase III"))</f>
        <v>Obesidad clase I</v>
      </c>
      <c r="V1117">
        <v>110</v>
      </c>
      <c r="X1117" t="s">
        <v>3463</v>
      </c>
      <c r="Y1117">
        <v>0.77</v>
      </c>
      <c r="AA1117">
        <v>89</v>
      </c>
      <c r="AB1117" s="9">
        <f t="shared" si="35"/>
        <v>88.805157092716982</v>
      </c>
      <c r="AD1117" t="s">
        <v>73</v>
      </c>
      <c r="AF1117" t="s">
        <v>73</v>
      </c>
      <c r="AH1117" t="s">
        <v>3463</v>
      </c>
      <c r="AI1117" t="s">
        <v>3465</v>
      </c>
      <c r="AJ1117" t="s">
        <v>3463</v>
      </c>
      <c r="AK1117" t="s">
        <v>3463</v>
      </c>
      <c r="AL1117" t="s">
        <v>3465</v>
      </c>
      <c r="AM1117" t="s">
        <v>2499</v>
      </c>
      <c r="AN1117" t="s">
        <v>3683</v>
      </c>
      <c r="AP1117" t="s">
        <v>3463</v>
      </c>
      <c r="AQ1117" t="s">
        <v>120</v>
      </c>
      <c r="AR1117" t="s">
        <v>3491</v>
      </c>
      <c r="AS1117" t="s">
        <v>3465</v>
      </c>
      <c r="AT1117" t="s">
        <v>3465</v>
      </c>
      <c r="AU1117" t="s">
        <v>125</v>
      </c>
      <c r="AV1117" t="s">
        <v>178</v>
      </c>
      <c r="AW1117" t="s">
        <v>3918</v>
      </c>
      <c r="AX1117" t="s">
        <v>3465</v>
      </c>
      <c r="AY1117" t="s">
        <v>3465</v>
      </c>
      <c r="AZ1117" t="s">
        <v>247</v>
      </c>
      <c r="BA1117" t="s">
        <v>3920</v>
      </c>
      <c r="BF1117" t="s">
        <v>3921</v>
      </c>
      <c r="BH1117" t="s">
        <v>4029</v>
      </c>
      <c r="BL1117" t="s">
        <v>2500</v>
      </c>
      <c r="BP1117" t="s">
        <v>4371</v>
      </c>
      <c r="BQ1117" t="s">
        <v>3463</v>
      </c>
      <c r="BR1117" t="s">
        <v>3463</v>
      </c>
      <c r="BS1117" t="s">
        <v>3465</v>
      </c>
      <c r="BT1117" t="s">
        <v>3465</v>
      </c>
      <c r="BU1117" t="s">
        <v>3463</v>
      </c>
      <c r="BV1117" t="s">
        <v>3463</v>
      </c>
      <c r="BW1117" t="s">
        <v>3463</v>
      </c>
      <c r="BX1117" t="s">
        <v>79</v>
      </c>
      <c r="BY1117" t="s">
        <v>79</v>
      </c>
      <c r="BZ1117" t="s">
        <v>95</v>
      </c>
      <c r="CA1117" s="10">
        <v>45912</v>
      </c>
    </row>
    <row r="1118" spans="1:79">
      <c r="A1118">
        <v>1131</v>
      </c>
      <c r="B1118">
        <v>48</v>
      </c>
      <c r="C1118">
        <v>43</v>
      </c>
      <c r="D1118" t="s">
        <v>3466</v>
      </c>
      <c r="E1118" t="s">
        <v>2451</v>
      </c>
      <c r="F1118" t="s">
        <v>2407</v>
      </c>
      <c r="G1118" s="12" t="s">
        <v>3463</v>
      </c>
      <c r="I1118">
        <v>68</v>
      </c>
      <c r="J1118">
        <v>74</v>
      </c>
      <c r="K1118">
        <v>146</v>
      </c>
      <c r="L1118">
        <v>92</v>
      </c>
      <c r="M1118" t="s">
        <v>72</v>
      </c>
      <c r="N1118">
        <v>152</v>
      </c>
      <c r="O1118">
        <v>97</v>
      </c>
      <c r="P1118" t="s">
        <v>72</v>
      </c>
      <c r="Q1118" t="s">
        <v>72</v>
      </c>
      <c r="R1118">
        <v>84.1</v>
      </c>
      <c r="S1118">
        <v>162</v>
      </c>
      <c r="T1118" s="8">
        <f t="shared" si="34"/>
        <v>32.045419905502207</v>
      </c>
      <c r="U1118" s="13" t="str" cm="1">
        <f t="array" ref="U1118">IF(T1118="","",_xlfn.IFS(T1118&lt;18.5,"Bajo peso",T1118&lt;25,"Peso normal",T1118&lt;30,"Sobrepeso",T1118&lt;35,"Obesidad clase I",T1118&lt;40,"Obesidad clase II",T1118&gt;=40,"Obesidad clase III"))</f>
        <v>Obesidad clase I</v>
      </c>
      <c r="V1118">
        <v>104</v>
      </c>
      <c r="X1118" t="s">
        <v>3463</v>
      </c>
      <c r="Y1118">
        <v>1.03</v>
      </c>
      <c r="AA1118">
        <v>69</v>
      </c>
      <c r="AB1118" s="9">
        <f t="shared" si="35"/>
        <v>69.189231825130108</v>
      </c>
      <c r="AD1118" t="s">
        <v>73</v>
      </c>
      <c r="AF1118" t="s">
        <v>73</v>
      </c>
      <c r="AH1118" t="s">
        <v>3463</v>
      </c>
      <c r="AI1118" t="s">
        <v>3465</v>
      </c>
      <c r="AJ1118" t="s">
        <v>3463</v>
      </c>
      <c r="AK1118" t="s">
        <v>3463</v>
      </c>
      <c r="AL1118" t="s">
        <v>3465</v>
      </c>
      <c r="AM1118" t="s">
        <v>2501</v>
      </c>
      <c r="AN1118" t="s">
        <v>3769</v>
      </c>
      <c r="AP1118" t="s">
        <v>3463</v>
      </c>
      <c r="AQ1118" t="s">
        <v>2502</v>
      </c>
      <c r="AR1118" t="s">
        <v>3512</v>
      </c>
      <c r="AS1118" t="s">
        <v>3465</v>
      </c>
      <c r="AT1118" t="s">
        <v>3465</v>
      </c>
      <c r="AU1118" t="s">
        <v>125</v>
      </c>
      <c r="AV1118" t="s">
        <v>126</v>
      </c>
      <c r="AW1118" t="s">
        <v>126</v>
      </c>
      <c r="AX1118" t="s">
        <v>3463</v>
      </c>
      <c r="AY1118" t="s">
        <v>3465</v>
      </c>
      <c r="AZ1118" t="s">
        <v>247</v>
      </c>
      <c r="BA1118" t="s">
        <v>3920</v>
      </c>
      <c r="BE1118" t="s">
        <v>2503</v>
      </c>
      <c r="BF1118" t="s">
        <v>3980</v>
      </c>
      <c r="BH1118" t="s">
        <v>4029</v>
      </c>
      <c r="BL1118" t="s">
        <v>2504</v>
      </c>
      <c r="BP1118" t="s">
        <v>4260</v>
      </c>
      <c r="BQ1118" t="s">
        <v>3463</v>
      </c>
      <c r="BR1118" t="s">
        <v>3465</v>
      </c>
      <c r="BS1118" t="s">
        <v>3463</v>
      </c>
      <c r="BT1118" t="s">
        <v>3463</v>
      </c>
      <c r="BU1118" t="s">
        <v>3463</v>
      </c>
      <c r="BV1118" t="s">
        <v>3463</v>
      </c>
      <c r="BW1118" t="s">
        <v>3463</v>
      </c>
      <c r="BX1118" t="s">
        <v>79</v>
      </c>
      <c r="BY1118" t="s">
        <v>79</v>
      </c>
      <c r="BZ1118" t="s">
        <v>79</v>
      </c>
      <c r="CA1118" s="10">
        <v>45912</v>
      </c>
    </row>
    <row r="1119" spans="1:79">
      <c r="A1119">
        <v>1132</v>
      </c>
      <c r="B1119">
        <v>49</v>
      </c>
      <c r="C1119">
        <v>33</v>
      </c>
      <c r="D1119" t="s">
        <v>3466</v>
      </c>
      <c r="E1119" t="s">
        <v>2416</v>
      </c>
      <c r="F1119" t="s">
        <v>2407</v>
      </c>
      <c r="G1119" s="12" t="s">
        <v>3465</v>
      </c>
      <c r="H1119" t="s">
        <v>88</v>
      </c>
      <c r="I1119">
        <v>88</v>
      </c>
      <c r="J1119">
        <v>75</v>
      </c>
      <c r="K1119">
        <v>158</v>
      </c>
      <c r="L1119">
        <v>81</v>
      </c>
      <c r="M1119" t="s">
        <v>72</v>
      </c>
      <c r="N1119">
        <v>150</v>
      </c>
      <c r="O1119">
        <v>86</v>
      </c>
      <c r="P1119" t="s">
        <v>72</v>
      </c>
      <c r="Q1119" t="s">
        <v>72</v>
      </c>
      <c r="R1119">
        <v>80</v>
      </c>
      <c r="S1119">
        <v>150</v>
      </c>
      <c r="T1119" s="8">
        <f t="shared" si="34"/>
        <v>35.555555555555557</v>
      </c>
      <c r="U1119" s="13" t="str" cm="1">
        <f t="array" ref="U1119">IF(T1119="","",_xlfn.IFS(T1119&lt;18.5,"Bajo peso",T1119&lt;25,"Peso normal",T1119&lt;30,"Sobrepeso",T1119&lt;35,"Obesidad clase I",T1119&lt;40,"Obesidad clase II",T1119&gt;=40,"Obesidad clase III"))</f>
        <v>Obesidad clase II</v>
      </c>
      <c r="V1119">
        <v>96</v>
      </c>
      <c r="X1119" t="s">
        <v>3463</v>
      </c>
      <c r="Y1119">
        <v>0.94</v>
      </c>
      <c r="AA1119">
        <v>82</v>
      </c>
      <c r="AB1119" s="9">
        <f t="shared" si="35"/>
        <v>82.167453952644934</v>
      </c>
      <c r="AD1119" t="s">
        <v>73</v>
      </c>
      <c r="AF1119" t="s">
        <v>73</v>
      </c>
      <c r="AH1119" t="s">
        <v>3463</v>
      </c>
      <c r="AI1119" t="s">
        <v>3463</v>
      </c>
      <c r="AJ1119" t="s">
        <v>3465</v>
      </c>
      <c r="AK1119" t="s">
        <v>3463</v>
      </c>
      <c r="AL1119" t="s">
        <v>3463</v>
      </c>
      <c r="AP1119" t="s">
        <v>3463</v>
      </c>
      <c r="AQ1119" t="s">
        <v>2471</v>
      </c>
      <c r="AR1119" t="s">
        <v>3553</v>
      </c>
      <c r="AT1119" t="s">
        <v>3463</v>
      </c>
      <c r="AV1119" t="s">
        <v>74</v>
      </c>
      <c r="AW1119" t="s">
        <v>3915</v>
      </c>
      <c r="AX1119" t="s">
        <v>3463</v>
      </c>
      <c r="AY1119" t="s">
        <v>3465</v>
      </c>
      <c r="AZ1119" t="s">
        <v>247</v>
      </c>
      <c r="BF1119" t="s">
        <v>3921</v>
      </c>
      <c r="BH1119" t="s">
        <v>4020</v>
      </c>
      <c r="BP1119" t="s">
        <v>4260</v>
      </c>
      <c r="BQ1119" t="s">
        <v>3463</v>
      </c>
      <c r="BR1119" t="s">
        <v>3463</v>
      </c>
      <c r="BS1119" t="s">
        <v>3465</v>
      </c>
      <c r="BT1119" t="s">
        <v>3465</v>
      </c>
      <c r="BU1119" t="s">
        <v>3463</v>
      </c>
      <c r="BV1119" t="s">
        <v>3463</v>
      </c>
      <c r="BW1119" t="s">
        <v>3463</v>
      </c>
      <c r="BX1119" t="s">
        <v>79</v>
      </c>
      <c r="BY1119" t="s">
        <v>79</v>
      </c>
      <c r="BZ1119" t="s">
        <v>79</v>
      </c>
      <c r="CA1119" s="10">
        <v>45912</v>
      </c>
    </row>
    <row r="1120" spans="1:79">
      <c r="A1120">
        <v>1133</v>
      </c>
      <c r="B1120">
        <v>50</v>
      </c>
      <c r="C1120">
        <v>55</v>
      </c>
      <c r="D1120" t="s">
        <v>3466</v>
      </c>
      <c r="E1120" t="s">
        <v>2462</v>
      </c>
      <c r="F1120" t="s">
        <v>2407</v>
      </c>
      <c r="G1120" s="12" t="s">
        <v>3463</v>
      </c>
      <c r="I1120">
        <v>81</v>
      </c>
      <c r="J1120">
        <v>80</v>
      </c>
      <c r="K1120">
        <v>162</v>
      </c>
      <c r="L1120">
        <v>100</v>
      </c>
      <c r="M1120" t="s">
        <v>72</v>
      </c>
      <c r="N1120">
        <v>159</v>
      </c>
      <c r="O1120">
        <v>95</v>
      </c>
      <c r="P1120" t="s">
        <v>72</v>
      </c>
      <c r="Q1120" t="s">
        <v>72</v>
      </c>
      <c r="R1120">
        <v>89.3</v>
      </c>
      <c r="S1120">
        <v>153</v>
      </c>
      <c r="T1120" s="8">
        <f t="shared" si="34"/>
        <v>38.147720962023151</v>
      </c>
      <c r="U1120" s="13" t="str" cm="1">
        <f t="array" ref="U1120">IF(T1120="","",_xlfn.IFS(T1120&lt;18.5,"Bajo peso",T1120&lt;25,"Peso normal",T1120&lt;30,"Sobrepeso",T1120&lt;35,"Obesidad clase I",T1120&lt;40,"Obesidad clase II",T1120&gt;=40,"Obesidad clase III"))</f>
        <v>Obesidad clase II</v>
      </c>
      <c r="V1120">
        <v>133</v>
      </c>
      <c r="X1120" t="s">
        <v>3463</v>
      </c>
      <c r="Y1120">
        <v>0.78</v>
      </c>
      <c r="AA1120">
        <v>90</v>
      </c>
      <c r="AB1120" s="9">
        <f t="shared" si="35"/>
        <v>89.643243968953442</v>
      </c>
      <c r="AD1120" t="s">
        <v>73</v>
      </c>
      <c r="AF1120" t="s">
        <v>73</v>
      </c>
      <c r="AH1120" t="s">
        <v>3465</v>
      </c>
      <c r="AI1120" t="s">
        <v>3465</v>
      </c>
      <c r="AJ1120" t="s">
        <v>3463</v>
      </c>
      <c r="AK1120" t="s">
        <v>3465</v>
      </c>
      <c r="AL1120" t="s">
        <v>3465</v>
      </c>
      <c r="AM1120" t="s">
        <v>110</v>
      </c>
      <c r="AN1120" t="s">
        <v>110</v>
      </c>
      <c r="AP1120" t="s">
        <v>3463</v>
      </c>
      <c r="AQ1120" t="s">
        <v>2505</v>
      </c>
      <c r="AR1120" t="s">
        <v>3506</v>
      </c>
      <c r="AS1120" t="s">
        <v>3465</v>
      </c>
      <c r="AT1120" t="s">
        <v>3465</v>
      </c>
      <c r="AU1120" t="s">
        <v>80</v>
      </c>
      <c r="AV1120" t="s">
        <v>74</v>
      </c>
      <c r="AW1120" t="s">
        <v>3915</v>
      </c>
      <c r="AX1120" t="s">
        <v>3463</v>
      </c>
      <c r="AY1120" t="s">
        <v>3465</v>
      </c>
      <c r="AZ1120" t="s">
        <v>247</v>
      </c>
      <c r="BF1120" t="s">
        <v>3921</v>
      </c>
      <c r="BH1120" t="s">
        <v>4020</v>
      </c>
      <c r="BP1120" t="s">
        <v>4260</v>
      </c>
      <c r="BQ1120" t="s">
        <v>3463</v>
      </c>
      <c r="BR1120" t="s">
        <v>3463</v>
      </c>
      <c r="BS1120" t="s">
        <v>3463</v>
      </c>
      <c r="BT1120" t="s">
        <v>3465</v>
      </c>
      <c r="BU1120" t="s">
        <v>3463</v>
      </c>
      <c r="BV1120" t="s">
        <v>3463</v>
      </c>
      <c r="BW1120" t="s">
        <v>3463</v>
      </c>
      <c r="BX1120" t="s">
        <v>518</v>
      </c>
      <c r="BY1120" t="s">
        <v>87</v>
      </c>
      <c r="BZ1120" t="s">
        <v>79</v>
      </c>
      <c r="CA1120" s="10">
        <v>45912</v>
      </c>
    </row>
    <row r="1121" spans="1:79">
      <c r="A1121">
        <v>1134</v>
      </c>
      <c r="B1121">
        <v>51</v>
      </c>
      <c r="C1121">
        <v>31</v>
      </c>
      <c r="D1121" t="s">
        <v>3466</v>
      </c>
      <c r="E1121" t="s">
        <v>2411</v>
      </c>
      <c r="F1121" t="s">
        <v>2407</v>
      </c>
      <c r="G1121" s="12" t="s">
        <v>3465</v>
      </c>
      <c r="H1121" t="s">
        <v>88</v>
      </c>
      <c r="I1121">
        <v>55</v>
      </c>
      <c r="J1121">
        <v>58</v>
      </c>
      <c r="K1121">
        <v>153</v>
      </c>
      <c r="L1121">
        <v>76</v>
      </c>
      <c r="M1121" t="s">
        <v>72</v>
      </c>
      <c r="N1121">
        <v>149</v>
      </c>
      <c r="O1121">
        <v>81</v>
      </c>
      <c r="P1121" t="s">
        <v>72</v>
      </c>
      <c r="Q1121" t="s">
        <v>72</v>
      </c>
      <c r="R1121">
        <v>113.2</v>
      </c>
      <c r="S1121">
        <v>163.5</v>
      </c>
      <c r="T1121" s="8">
        <f t="shared" si="34"/>
        <v>42.345855661233159</v>
      </c>
      <c r="U1121" s="13" t="str" cm="1">
        <f t="array" ref="U1121">IF(T1121="","",_xlfn.IFS(T1121&lt;18.5,"Bajo peso",T1121&lt;25,"Peso normal",T1121&lt;30,"Sobrepeso",T1121&lt;35,"Obesidad clase I",T1121&lt;40,"Obesidad clase II",T1121&gt;=40,"Obesidad clase III"))</f>
        <v>Obesidad clase III</v>
      </c>
      <c r="V1121">
        <v>83</v>
      </c>
      <c r="X1121" t="s">
        <v>3463</v>
      </c>
      <c r="Y1121">
        <v>0.87</v>
      </c>
      <c r="AA1121">
        <v>90</v>
      </c>
      <c r="AB1121" s="9">
        <f t="shared" si="35"/>
        <v>91.291883307646856</v>
      </c>
      <c r="AD1121" t="s">
        <v>73</v>
      </c>
      <c r="AF1121" t="s">
        <v>73</v>
      </c>
      <c r="AH1121" t="s">
        <v>3463</v>
      </c>
      <c r="AI1121" t="s">
        <v>3463</v>
      </c>
      <c r="AJ1121" t="s">
        <v>3463</v>
      </c>
      <c r="AK1121" t="s">
        <v>3463</v>
      </c>
      <c r="AL1121" t="s">
        <v>3465</v>
      </c>
      <c r="AM1121" t="s">
        <v>2506</v>
      </c>
      <c r="AN1121" t="s">
        <v>1499</v>
      </c>
      <c r="AP1121" t="s">
        <v>3463</v>
      </c>
      <c r="AQ1121" t="s">
        <v>1101</v>
      </c>
      <c r="AR1121" t="s">
        <v>3488</v>
      </c>
      <c r="AT1121" t="s">
        <v>3463</v>
      </c>
      <c r="AV1121" t="s">
        <v>74</v>
      </c>
      <c r="AW1121" t="s">
        <v>3915</v>
      </c>
      <c r="AX1121" t="s">
        <v>3463</v>
      </c>
      <c r="AY1121" t="s">
        <v>3463</v>
      </c>
      <c r="BF1121" t="s">
        <v>3921</v>
      </c>
      <c r="BH1121" t="s">
        <v>4020</v>
      </c>
      <c r="BP1121" t="s">
        <v>4260</v>
      </c>
      <c r="BQ1121" t="s">
        <v>3463</v>
      </c>
      <c r="BR1121" t="s">
        <v>3463</v>
      </c>
      <c r="BS1121" t="s">
        <v>3465</v>
      </c>
      <c r="BT1121" t="s">
        <v>3465</v>
      </c>
      <c r="BU1121" t="s">
        <v>3463</v>
      </c>
      <c r="BV1121" t="s">
        <v>3463</v>
      </c>
      <c r="BW1121" t="s">
        <v>3463</v>
      </c>
      <c r="BX1121" t="s">
        <v>121</v>
      </c>
      <c r="BY1121" t="s">
        <v>79</v>
      </c>
      <c r="BZ1121" t="s">
        <v>79</v>
      </c>
      <c r="CA1121" s="10">
        <v>45912</v>
      </c>
    </row>
    <row r="1122" spans="1:79">
      <c r="A1122">
        <v>1135</v>
      </c>
      <c r="B1122">
        <v>52</v>
      </c>
      <c r="C1122">
        <v>34</v>
      </c>
      <c r="D1122" t="s">
        <v>3466</v>
      </c>
      <c r="F1122" t="s">
        <v>2407</v>
      </c>
      <c r="G1122" s="12" t="s">
        <v>3463</v>
      </c>
      <c r="I1122">
        <v>77</v>
      </c>
      <c r="K1122">
        <v>130</v>
      </c>
      <c r="L1122">
        <v>75</v>
      </c>
      <c r="M1122" t="s">
        <v>82</v>
      </c>
      <c r="P1122" t="s">
        <v>83</v>
      </c>
      <c r="Q1122" t="s">
        <v>82</v>
      </c>
      <c r="R1122">
        <v>54.1</v>
      </c>
      <c r="S1122">
        <v>154</v>
      </c>
      <c r="T1122" s="8">
        <f t="shared" si="34"/>
        <v>22.811603980435148</v>
      </c>
      <c r="U1122" s="13" t="str" cm="1">
        <f t="array" ref="U1122">IF(T1122="","",_xlfn.IFS(T1122&lt;18.5,"Bajo peso",T1122&lt;25,"Peso normal",T1122&lt;30,"Sobrepeso",T1122&lt;35,"Obesidad clase I",T1122&lt;40,"Obesidad clase II",T1122&gt;=40,"Obesidad clase III"))</f>
        <v>Peso normal</v>
      </c>
      <c r="V1122">
        <v>105</v>
      </c>
      <c r="X1122" t="s">
        <v>3463</v>
      </c>
      <c r="Y1122">
        <v>0.93</v>
      </c>
      <c r="AA1122">
        <v>83</v>
      </c>
      <c r="AB1122" s="9">
        <f t="shared" si="35"/>
        <v>82.712797280053763</v>
      </c>
      <c r="AD1122" t="s">
        <v>73</v>
      </c>
      <c r="AF1122" t="s">
        <v>73</v>
      </c>
      <c r="AH1122" t="s">
        <v>3463</v>
      </c>
      <c r="AI1122" t="s">
        <v>3463</v>
      </c>
      <c r="AJ1122" t="s">
        <v>3463</v>
      </c>
      <c r="AK1122" t="s">
        <v>3463</v>
      </c>
      <c r="AL1122" t="s">
        <v>3463</v>
      </c>
      <c r="AP1122" t="s">
        <v>3463</v>
      </c>
      <c r="AQ1122" t="s">
        <v>2507</v>
      </c>
      <c r="AR1122" t="s">
        <v>3516</v>
      </c>
      <c r="AT1122" t="s">
        <v>3463</v>
      </c>
      <c r="AV1122" t="s">
        <v>126</v>
      </c>
      <c r="AW1122" t="s">
        <v>126</v>
      </c>
      <c r="AX1122" t="s">
        <v>3463</v>
      </c>
      <c r="AY1122" t="s">
        <v>3465</v>
      </c>
      <c r="AZ1122" t="s">
        <v>1274</v>
      </c>
      <c r="BF1122" t="s">
        <v>3921</v>
      </c>
      <c r="BH1122" t="s">
        <v>4020</v>
      </c>
      <c r="BP1122" t="s">
        <v>4260</v>
      </c>
      <c r="BQ1122" t="s">
        <v>3463</v>
      </c>
      <c r="BR1122" t="s">
        <v>3465</v>
      </c>
      <c r="BS1122" t="s">
        <v>3465</v>
      </c>
      <c r="BT1122" t="s">
        <v>3465</v>
      </c>
      <c r="BU1122" t="s">
        <v>3463</v>
      </c>
      <c r="BV1122" t="s">
        <v>3463</v>
      </c>
      <c r="BW1122" t="s">
        <v>3463</v>
      </c>
      <c r="BX1122" t="s">
        <v>518</v>
      </c>
      <c r="BY1122" t="s">
        <v>79</v>
      </c>
      <c r="BZ1122" t="s">
        <v>79</v>
      </c>
      <c r="CA1122" s="10">
        <v>45912</v>
      </c>
    </row>
    <row r="1123" spans="1:79">
      <c r="A1123">
        <v>1136</v>
      </c>
      <c r="B1123">
        <v>53</v>
      </c>
      <c r="C1123">
        <v>27</v>
      </c>
      <c r="D1123" t="s">
        <v>3462</v>
      </c>
      <c r="E1123" t="s">
        <v>2462</v>
      </c>
      <c r="F1123" t="s">
        <v>2407</v>
      </c>
      <c r="G1123" s="12" t="s">
        <v>3463</v>
      </c>
      <c r="I1123">
        <v>76</v>
      </c>
      <c r="K1123">
        <v>128</v>
      </c>
      <c r="L1123">
        <v>67</v>
      </c>
      <c r="M1123" t="s">
        <v>118</v>
      </c>
      <c r="P1123" t="s">
        <v>83</v>
      </c>
      <c r="Q1123" t="s">
        <v>118</v>
      </c>
      <c r="R1123">
        <v>83.3</v>
      </c>
      <c r="S1123">
        <v>174</v>
      </c>
      <c r="T1123" s="8">
        <f t="shared" si="34"/>
        <v>27.513542079534943</v>
      </c>
      <c r="U1123" s="13" t="str" cm="1">
        <f t="array" ref="U1123">IF(T1123="","",_xlfn.IFS(T1123&lt;18.5,"Bajo peso",T1123&lt;25,"Peso normal",T1123&lt;30,"Sobrepeso",T1123&lt;35,"Obesidad clase I",T1123&lt;40,"Obesidad clase II",T1123&gt;=40,"Obesidad clase III"))</f>
        <v>Sobrepeso</v>
      </c>
      <c r="V1123">
        <v>89</v>
      </c>
      <c r="X1123" t="s">
        <v>3463</v>
      </c>
      <c r="Y1123">
        <v>0.96</v>
      </c>
      <c r="AA1123">
        <v>90</v>
      </c>
      <c r="AB1123" s="9">
        <f t="shared" si="35"/>
        <v>111.10322645915721</v>
      </c>
      <c r="AD1123" t="s">
        <v>73</v>
      </c>
      <c r="AF1123" t="s">
        <v>73</v>
      </c>
      <c r="AH1123" t="s">
        <v>3463</v>
      </c>
      <c r="AI1123" t="s">
        <v>3463</v>
      </c>
      <c r="AJ1123" t="s">
        <v>3463</v>
      </c>
      <c r="AK1123" t="s">
        <v>3463</v>
      </c>
      <c r="AL1123" t="s">
        <v>3465</v>
      </c>
      <c r="AM1123" t="s">
        <v>2508</v>
      </c>
      <c r="AN1123" t="s">
        <v>3839</v>
      </c>
      <c r="AO1123" t="s">
        <v>3464</v>
      </c>
      <c r="AP1123" t="s">
        <v>3465</v>
      </c>
      <c r="AQ1123" t="s">
        <v>955</v>
      </c>
      <c r="AR1123" t="s">
        <v>3512</v>
      </c>
      <c r="AV1123" t="s">
        <v>126</v>
      </c>
      <c r="AW1123" t="s">
        <v>126</v>
      </c>
      <c r="BF1123" t="s">
        <v>3921</v>
      </c>
      <c r="BH1123" t="s">
        <v>4020</v>
      </c>
      <c r="BP1123" t="s">
        <v>4260</v>
      </c>
      <c r="BQ1123" t="s">
        <v>3463</v>
      </c>
      <c r="BR1123" t="s">
        <v>3463</v>
      </c>
      <c r="BS1123" t="s">
        <v>3463</v>
      </c>
      <c r="BT1123" t="s">
        <v>3465</v>
      </c>
      <c r="BU1123" t="s">
        <v>3463</v>
      </c>
      <c r="BV1123" t="s">
        <v>3463</v>
      </c>
      <c r="BW1123" t="s">
        <v>3463</v>
      </c>
      <c r="BX1123" t="s">
        <v>121</v>
      </c>
      <c r="BY1123" t="s">
        <v>79</v>
      </c>
      <c r="BZ1123" t="s">
        <v>79</v>
      </c>
      <c r="CA1123" s="10">
        <v>45912</v>
      </c>
    </row>
    <row r="1124" spans="1:79">
      <c r="A1124">
        <v>1137</v>
      </c>
      <c r="B1124">
        <v>54</v>
      </c>
      <c r="C1124">
        <v>31</v>
      </c>
      <c r="D1124" t="s">
        <v>3466</v>
      </c>
      <c r="E1124" t="s">
        <v>2509</v>
      </c>
      <c r="F1124" t="s">
        <v>2407</v>
      </c>
      <c r="G1124" s="12" t="s">
        <v>3463</v>
      </c>
      <c r="H1124" s="12"/>
      <c r="I1124">
        <v>66</v>
      </c>
      <c r="K1124">
        <v>134</v>
      </c>
      <c r="L1124">
        <v>72</v>
      </c>
      <c r="M1124" t="s">
        <v>82</v>
      </c>
      <c r="P1124" t="s">
        <v>83</v>
      </c>
      <c r="Q1124" t="s">
        <v>82</v>
      </c>
      <c r="R1124">
        <v>63.7</v>
      </c>
      <c r="S1124">
        <v>163</v>
      </c>
      <c r="T1124" s="8">
        <f t="shared" si="34"/>
        <v>23.975309571304905</v>
      </c>
      <c r="U1124" s="13" t="str" cm="1">
        <f t="array" ref="U1124">IF(T1124="","",_xlfn.IFS(T1124&lt;18.5,"Bajo peso",T1124&lt;25,"Peso normal",T1124&lt;30,"Sobrepeso",T1124&lt;35,"Obesidad clase I",T1124&lt;40,"Obesidad clase II",T1124&gt;=40,"Obesidad clase III"))</f>
        <v>Peso normal</v>
      </c>
      <c r="V1124">
        <v>91</v>
      </c>
      <c r="X1124" t="s">
        <v>3463</v>
      </c>
      <c r="Y1124">
        <v>0.73</v>
      </c>
      <c r="AA1124">
        <v>90</v>
      </c>
      <c r="AB1124" s="9">
        <f t="shared" si="35"/>
        <v>112.68544846979886</v>
      </c>
      <c r="AD1124" t="s">
        <v>73</v>
      </c>
      <c r="AF1124" t="s">
        <v>73</v>
      </c>
      <c r="AH1124" t="s">
        <v>3463</v>
      </c>
      <c r="AI1124" t="s">
        <v>3463</v>
      </c>
      <c r="AJ1124" t="s">
        <v>3465</v>
      </c>
      <c r="AK1124" t="s">
        <v>3463</v>
      </c>
      <c r="AL1124" t="s">
        <v>3463</v>
      </c>
      <c r="AP1124" t="s">
        <v>3463</v>
      </c>
      <c r="AQ1124" t="s">
        <v>2510</v>
      </c>
      <c r="AR1124" t="s">
        <v>3505</v>
      </c>
      <c r="AV1124" t="s">
        <v>126</v>
      </c>
      <c r="AW1124" t="s">
        <v>126</v>
      </c>
      <c r="AX1124" t="s">
        <v>3463</v>
      </c>
      <c r="AY1124" t="s">
        <v>3463</v>
      </c>
      <c r="AZ1124" t="s">
        <v>137</v>
      </c>
      <c r="BF1124" t="s">
        <v>3921</v>
      </c>
      <c r="BH1124" t="s">
        <v>4020</v>
      </c>
      <c r="BP1124" t="s">
        <v>4260</v>
      </c>
      <c r="BQ1124" t="s">
        <v>3463</v>
      </c>
      <c r="BR1124" t="s">
        <v>3463</v>
      </c>
      <c r="BS1124" t="s">
        <v>3465</v>
      </c>
      <c r="BT1124" t="s">
        <v>3465</v>
      </c>
      <c r="BU1124" t="s">
        <v>3463</v>
      </c>
      <c r="BV1124" t="s">
        <v>3463</v>
      </c>
      <c r="BW1124" t="s">
        <v>3463</v>
      </c>
      <c r="BX1124" t="s">
        <v>79</v>
      </c>
      <c r="BY1124" t="s">
        <v>87</v>
      </c>
      <c r="BZ1124" t="s">
        <v>79</v>
      </c>
      <c r="CA1124" s="10">
        <v>45912</v>
      </c>
    </row>
    <row r="1125" spans="1:79">
      <c r="A1125">
        <v>1138</v>
      </c>
      <c r="B1125">
        <v>55</v>
      </c>
      <c r="C1125">
        <v>72</v>
      </c>
      <c r="D1125" t="s">
        <v>3466</v>
      </c>
      <c r="E1125" t="s">
        <v>2416</v>
      </c>
      <c r="F1125" t="s">
        <v>2407</v>
      </c>
      <c r="G1125" s="12" t="s">
        <v>3465</v>
      </c>
      <c r="H1125" s="12" t="s">
        <v>88</v>
      </c>
      <c r="I1125">
        <v>67</v>
      </c>
      <c r="J1125">
        <v>66</v>
      </c>
      <c r="K1125">
        <v>163</v>
      </c>
      <c r="L1125">
        <v>85</v>
      </c>
      <c r="M1125" t="s">
        <v>72</v>
      </c>
      <c r="N1125">
        <v>159</v>
      </c>
      <c r="O1125">
        <v>93</v>
      </c>
      <c r="P1125" t="s">
        <v>72</v>
      </c>
      <c r="Q1125" t="s">
        <v>72</v>
      </c>
      <c r="R1125">
        <v>70</v>
      </c>
      <c r="S1125">
        <v>152</v>
      </c>
      <c r="T1125" s="8">
        <f t="shared" si="34"/>
        <v>30.297783933518009</v>
      </c>
      <c r="U1125" s="13" t="str" cm="1">
        <f t="array" ref="U1125">IF(T1125="","",_xlfn.IFS(T1125&lt;18.5,"Bajo peso",T1125&lt;25,"Peso normal",T1125&lt;30,"Sobrepeso",T1125&lt;35,"Obesidad clase I",T1125&lt;40,"Obesidad clase II",T1125&gt;=40,"Obesidad clase III"))</f>
        <v>Obesidad clase I</v>
      </c>
      <c r="V1125">
        <v>101</v>
      </c>
      <c r="X1125" t="s">
        <v>3463</v>
      </c>
      <c r="Y1125">
        <v>1.1100000000000001</v>
      </c>
      <c r="AA1125">
        <v>53</v>
      </c>
      <c r="AB1125" s="9">
        <f t="shared" si="35"/>
        <v>52.811242318642137</v>
      </c>
      <c r="AD1125" t="s">
        <v>158</v>
      </c>
      <c r="AF1125" t="s">
        <v>158</v>
      </c>
      <c r="AH1125" t="s">
        <v>3463</v>
      </c>
      <c r="AI1125" t="s">
        <v>3465</v>
      </c>
      <c r="AJ1125" t="s">
        <v>3463</v>
      </c>
      <c r="AK1125" t="s">
        <v>3463</v>
      </c>
      <c r="AL1125" t="s">
        <v>3463</v>
      </c>
      <c r="AP1125" t="s">
        <v>3463</v>
      </c>
      <c r="AS1125" t="s">
        <v>3463</v>
      </c>
      <c r="AT1125" t="s">
        <v>3465</v>
      </c>
      <c r="AU1125" t="s">
        <v>1899</v>
      </c>
      <c r="AV1125" t="s">
        <v>178</v>
      </c>
      <c r="AW1125" t="s">
        <v>3918</v>
      </c>
      <c r="AX1125" t="s">
        <v>3465</v>
      </c>
      <c r="AY1125" t="s">
        <v>3463</v>
      </c>
      <c r="AZ1125" t="s">
        <v>2511</v>
      </c>
      <c r="BA1125" t="s">
        <v>3920</v>
      </c>
      <c r="BF1125" t="s">
        <v>3921</v>
      </c>
      <c r="BG1125" t="s">
        <v>2512</v>
      </c>
      <c r="BH1125" t="s">
        <v>4191</v>
      </c>
      <c r="BK1125" t="s">
        <v>2513</v>
      </c>
      <c r="BL1125" t="s">
        <v>2514</v>
      </c>
      <c r="BP1125" t="s">
        <v>4519</v>
      </c>
      <c r="BQ1125" t="s">
        <v>3463</v>
      </c>
      <c r="BR1125" t="s">
        <v>3463</v>
      </c>
      <c r="BS1125" t="s">
        <v>3465</v>
      </c>
      <c r="BT1125" t="s">
        <v>3465</v>
      </c>
      <c r="BU1125" t="s">
        <v>3463</v>
      </c>
      <c r="BV1125" t="s">
        <v>3463</v>
      </c>
      <c r="BW1125" t="s">
        <v>3463</v>
      </c>
      <c r="BX1125" t="s">
        <v>79</v>
      </c>
      <c r="BY1125" t="s">
        <v>79</v>
      </c>
      <c r="BZ1125" t="s">
        <v>79</v>
      </c>
      <c r="CA1125" s="10">
        <v>45912</v>
      </c>
    </row>
    <row r="1126" spans="1:79">
      <c r="A1126">
        <v>1139</v>
      </c>
      <c r="B1126">
        <v>56</v>
      </c>
      <c r="C1126">
        <v>29</v>
      </c>
      <c r="D1126" t="s">
        <v>3466</v>
      </c>
      <c r="E1126" t="s">
        <v>2451</v>
      </c>
      <c r="F1126" t="s">
        <v>2407</v>
      </c>
      <c r="G1126" s="12" t="s">
        <v>3465</v>
      </c>
      <c r="H1126" s="12" t="s">
        <v>88</v>
      </c>
      <c r="I1126">
        <v>61</v>
      </c>
      <c r="K1126">
        <v>132</v>
      </c>
      <c r="L1126">
        <v>75</v>
      </c>
      <c r="M1126" t="s">
        <v>82</v>
      </c>
      <c r="P1126" t="s">
        <v>83</v>
      </c>
      <c r="Q1126" t="s">
        <v>82</v>
      </c>
      <c r="R1126">
        <v>75.2</v>
      </c>
      <c r="S1126">
        <v>163</v>
      </c>
      <c r="T1126" s="8">
        <f t="shared" si="34"/>
        <v>28.303662162670783</v>
      </c>
      <c r="U1126" s="13" t="str" cm="1">
        <f t="array" ref="U1126">IF(T1126="","",_xlfn.IFS(T1126&lt;18.5,"Bajo peso",T1126&lt;25,"Peso normal",T1126&lt;30,"Sobrepeso",T1126&lt;35,"Obesidad clase I",T1126&lt;40,"Obesidad clase II",T1126&gt;=40,"Obesidad clase III"))</f>
        <v>Sobrepeso</v>
      </c>
      <c r="V1126">
        <v>94</v>
      </c>
      <c r="X1126" t="s">
        <v>3463</v>
      </c>
      <c r="Y1126">
        <v>0.57999999999999996</v>
      </c>
      <c r="AA1126">
        <v>90</v>
      </c>
      <c r="AB1126" s="9">
        <f t="shared" si="35"/>
        <v>125.5515613559819</v>
      </c>
      <c r="AD1126" t="s">
        <v>73</v>
      </c>
      <c r="AF1126" t="s">
        <v>73</v>
      </c>
      <c r="AH1126" t="s">
        <v>3463</v>
      </c>
      <c r="AI1126" t="s">
        <v>3463</v>
      </c>
      <c r="AJ1126" t="s">
        <v>3463</v>
      </c>
      <c r="AK1126" t="s">
        <v>3463</v>
      </c>
      <c r="AL1126" t="s">
        <v>3465</v>
      </c>
      <c r="AM1126" t="s">
        <v>2428</v>
      </c>
      <c r="AN1126" t="s">
        <v>697</v>
      </c>
      <c r="AP1126" t="s">
        <v>3463</v>
      </c>
      <c r="AQ1126" t="s">
        <v>2515</v>
      </c>
      <c r="AR1126" t="s">
        <v>3522</v>
      </c>
      <c r="AV1126" t="s">
        <v>126</v>
      </c>
      <c r="AW1126" t="s">
        <v>126</v>
      </c>
      <c r="AX1126" t="s">
        <v>3463</v>
      </c>
      <c r="AY1126" t="s">
        <v>3465</v>
      </c>
      <c r="AZ1126" t="s">
        <v>247</v>
      </c>
      <c r="BF1126" t="s">
        <v>3921</v>
      </c>
      <c r="BH1126" t="s">
        <v>4020</v>
      </c>
      <c r="BP1126" t="s">
        <v>4260</v>
      </c>
      <c r="BQ1126" t="s">
        <v>3465</v>
      </c>
      <c r="BR1126" t="s">
        <v>3465</v>
      </c>
      <c r="BS1126" t="s">
        <v>3463</v>
      </c>
      <c r="BT1126" t="s">
        <v>3465</v>
      </c>
      <c r="BU1126" t="s">
        <v>3463</v>
      </c>
      <c r="BV1126" t="s">
        <v>3463</v>
      </c>
      <c r="BW1126" t="s">
        <v>3463</v>
      </c>
      <c r="BX1126" t="s">
        <v>79</v>
      </c>
      <c r="BY1126" t="s">
        <v>79</v>
      </c>
      <c r="BZ1126" t="s">
        <v>79</v>
      </c>
      <c r="CA1126" s="10">
        <v>45912</v>
      </c>
    </row>
    <row r="1127" spans="1:79">
      <c r="A1127">
        <v>1140</v>
      </c>
      <c r="B1127">
        <v>57</v>
      </c>
      <c r="C1127">
        <v>33</v>
      </c>
      <c r="D1127" t="s">
        <v>3466</v>
      </c>
      <c r="E1127" t="s">
        <v>2462</v>
      </c>
      <c r="F1127" t="s">
        <v>2407</v>
      </c>
      <c r="G1127" s="12" t="s">
        <v>3463</v>
      </c>
      <c r="H1127" s="12"/>
      <c r="I1127">
        <v>76</v>
      </c>
      <c r="K1127">
        <v>108</v>
      </c>
      <c r="L1127">
        <v>65</v>
      </c>
      <c r="M1127" t="s">
        <v>80</v>
      </c>
      <c r="P1127" t="s">
        <v>83</v>
      </c>
      <c r="Q1127" t="s">
        <v>80</v>
      </c>
      <c r="R1127">
        <v>50.3</v>
      </c>
      <c r="S1127">
        <v>157</v>
      </c>
      <c r="T1127" s="8">
        <f t="shared" si="34"/>
        <v>20.406507363381881</v>
      </c>
      <c r="U1127" s="13" t="str" cm="1">
        <f t="array" ref="U1127">IF(T1127="","",_xlfn.IFS(T1127&lt;18.5,"Bajo peso",T1127&lt;25,"Peso normal",T1127&lt;30,"Sobrepeso",T1127&lt;35,"Obesidad clase I",T1127&lt;40,"Obesidad clase II",T1127&gt;=40,"Obesidad clase III"))</f>
        <v>Peso normal</v>
      </c>
      <c r="V1127">
        <v>88</v>
      </c>
      <c r="X1127" t="s">
        <v>3463</v>
      </c>
      <c r="Y1127">
        <v>0.72</v>
      </c>
      <c r="AA1127">
        <v>90</v>
      </c>
      <c r="AB1127" s="9">
        <f t="shared" si="35"/>
        <v>113.14992194550175</v>
      </c>
      <c r="AD1127" t="s">
        <v>73</v>
      </c>
      <c r="AF1127" t="s">
        <v>73</v>
      </c>
      <c r="AH1127" t="s">
        <v>3463</v>
      </c>
      <c r="AI1127" t="s">
        <v>3463</v>
      </c>
      <c r="AJ1127" t="s">
        <v>3463</v>
      </c>
      <c r="AK1127" t="s">
        <v>3463</v>
      </c>
      <c r="AL1127" t="s">
        <v>3465</v>
      </c>
      <c r="AM1127" t="s">
        <v>2516</v>
      </c>
      <c r="AN1127" t="s">
        <v>3840</v>
      </c>
      <c r="AP1127" t="s">
        <v>3463</v>
      </c>
      <c r="AQ1127" t="s">
        <v>89</v>
      </c>
      <c r="AR1127" t="s">
        <v>3488</v>
      </c>
      <c r="AV1127" t="s">
        <v>178</v>
      </c>
      <c r="AW1127" t="s">
        <v>3918</v>
      </c>
      <c r="AX1127" t="s">
        <v>3463</v>
      </c>
      <c r="AY1127" t="s">
        <v>3465</v>
      </c>
      <c r="AZ1127" t="s">
        <v>247</v>
      </c>
      <c r="BF1127" t="s">
        <v>3921</v>
      </c>
      <c r="BH1127" t="s">
        <v>4020</v>
      </c>
      <c r="BP1127" t="s">
        <v>4260</v>
      </c>
      <c r="BQ1127" t="s">
        <v>3463</v>
      </c>
      <c r="BR1127" t="s">
        <v>3463</v>
      </c>
      <c r="BS1127" t="s">
        <v>3463</v>
      </c>
      <c r="BT1127" t="s">
        <v>3465</v>
      </c>
      <c r="BU1127" t="s">
        <v>3463</v>
      </c>
      <c r="BV1127" t="s">
        <v>3463</v>
      </c>
      <c r="BW1127" t="s">
        <v>3463</v>
      </c>
      <c r="BX1127" t="s">
        <v>121</v>
      </c>
      <c r="BY1127" t="s">
        <v>79</v>
      </c>
      <c r="BZ1127" t="s">
        <v>79</v>
      </c>
      <c r="CA1127" s="10">
        <v>45912</v>
      </c>
    </row>
    <row r="1128" spans="1:79">
      <c r="A1128">
        <v>1141</v>
      </c>
      <c r="B1128">
        <v>58</v>
      </c>
      <c r="C1128">
        <v>39</v>
      </c>
      <c r="D1128" t="s">
        <v>3466</v>
      </c>
      <c r="E1128" t="s">
        <v>2416</v>
      </c>
      <c r="F1128" t="s">
        <v>2407</v>
      </c>
      <c r="G1128" s="12" t="s">
        <v>3463</v>
      </c>
      <c r="I1128">
        <v>77</v>
      </c>
      <c r="K1128">
        <v>129</v>
      </c>
      <c r="L1128">
        <v>81</v>
      </c>
      <c r="M1128" t="s">
        <v>82</v>
      </c>
      <c r="P1128" t="s">
        <v>83</v>
      </c>
      <c r="Q1128" t="s">
        <v>82</v>
      </c>
      <c r="R1128">
        <v>70</v>
      </c>
      <c r="S1128">
        <v>157</v>
      </c>
      <c r="T1128" s="8">
        <f t="shared" si="34"/>
        <v>28.398718000730252</v>
      </c>
      <c r="U1128" s="13" t="str" cm="1">
        <f t="array" ref="U1128">IF(T1128="","",_xlfn.IFS(T1128&lt;18.5,"Bajo peso",T1128&lt;25,"Peso normal",T1128&lt;30,"Sobrepeso",T1128&lt;35,"Obesidad clase I",T1128&lt;40,"Obesidad clase II",T1128&gt;=40,"Obesidad clase III"))</f>
        <v>Sobrepeso</v>
      </c>
      <c r="V1128">
        <v>87</v>
      </c>
      <c r="X1128" t="s">
        <v>3463</v>
      </c>
      <c r="Y1128">
        <v>0.76</v>
      </c>
      <c r="AA1128">
        <v>90</v>
      </c>
      <c r="AB1128" s="9">
        <f t="shared" si="35"/>
        <v>102.15765097172805</v>
      </c>
      <c r="AD1128" t="s">
        <v>73</v>
      </c>
      <c r="AF1128" t="s">
        <v>73</v>
      </c>
      <c r="AH1128" t="s">
        <v>3463</v>
      </c>
      <c r="AI1128" t="s">
        <v>3463</v>
      </c>
      <c r="AJ1128" t="s">
        <v>3465</v>
      </c>
      <c r="AK1128" t="s">
        <v>3465</v>
      </c>
      <c r="AL1128" t="s">
        <v>3465</v>
      </c>
      <c r="AM1128" t="s">
        <v>2517</v>
      </c>
      <c r="AN1128" t="s">
        <v>3835</v>
      </c>
      <c r="AO1128" t="s">
        <v>3463</v>
      </c>
      <c r="AP1128" t="s">
        <v>3463</v>
      </c>
      <c r="AQ1128" t="s">
        <v>1932</v>
      </c>
      <c r="AR1128" t="s">
        <v>3488</v>
      </c>
      <c r="AT1128" t="s">
        <v>3463</v>
      </c>
      <c r="AV1128" t="s">
        <v>178</v>
      </c>
      <c r="AW1128" t="s">
        <v>3918</v>
      </c>
      <c r="AX1128" t="s">
        <v>3465</v>
      </c>
      <c r="AY1128" t="s">
        <v>3463</v>
      </c>
      <c r="AZ1128" t="s">
        <v>2518</v>
      </c>
      <c r="BF1128" t="s">
        <v>3921</v>
      </c>
      <c r="BH1128" t="s">
        <v>4020</v>
      </c>
      <c r="BP1128" t="s">
        <v>4260</v>
      </c>
      <c r="BQ1128" t="s">
        <v>3463</v>
      </c>
      <c r="BR1128" t="s">
        <v>3463</v>
      </c>
      <c r="BS1128" t="s">
        <v>3465</v>
      </c>
      <c r="BT1128" t="s">
        <v>3465</v>
      </c>
      <c r="BU1128" t="s">
        <v>3463</v>
      </c>
      <c r="BV1128" t="s">
        <v>3463</v>
      </c>
      <c r="BW1128" t="s">
        <v>3463</v>
      </c>
      <c r="BX1128" t="s">
        <v>79</v>
      </c>
      <c r="BY1128" t="s">
        <v>79</v>
      </c>
      <c r="BZ1128" t="s">
        <v>79</v>
      </c>
      <c r="CA1128" s="10">
        <v>45912</v>
      </c>
    </row>
    <row r="1129" spans="1:79">
      <c r="A1129">
        <v>1142</v>
      </c>
      <c r="B1129">
        <v>59</v>
      </c>
      <c r="C1129">
        <v>42</v>
      </c>
      <c r="D1129" t="s">
        <v>3462</v>
      </c>
      <c r="E1129" t="s">
        <v>2411</v>
      </c>
      <c r="F1129" t="s">
        <v>2407</v>
      </c>
      <c r="G1129" s="12" t="s">
        <v>3463</v>
      </c>
      <c r="H1129" s="12"/>
      <c r="I1129">
        <v>63</v>
      </c>
      <c r="K1129">
        <v>113</v>
      </c>
      <c r="L1129">
        <v>73</v>
      </c>
      <c r="M1129" t="s">
        <v>80</v>
      </c>
      <c r="P1129" t="s">
        <v>83</v>
      </c>
      <c r="Q1129" t="s">
        <v>80</v>
      </c>
      <c r="R1129">
        <v>75.2</v>
      </c>
      <c r="S1129">
        <v>177</v>
      </c>
      <c r="T1129" s="8">
        <f t="shared" si="34"/>
        <v>24.003319608030896</v>
      </c>
      <c r="U1129" s="13" t="str" cm="1">
        <f t="array" ref="U1129">IF(T1129="","",_xlfn.IFS(T1129&lt;18.5,"Bajo peso",T1129&lt;25,"Peso normal",T1129&lt;30,"Sobrepeso",T1129&lt;35,"Obesidad clase I",T1129&lt;40,"Obesidad clase II",T1129&gt;=40,"Obesidad clase III"))</f>
        <v>Peso normal</v>
      </c>
      <c r="V1129">
        <v>71</v>
      </c>
      <c r="X1129" t="s">
        <v>3463</v>
      </c>
      <c r="Y1129">
        <v>0.83</v>
      </c>
      <c r="AA1129">
        <v>90</v>
      </c>
      <c r="AB1129" s="9">
        <f t="shared" si="35"/>
        <v>112.06388632665426</v>
      </c>
      <c r="AD1129" t="s">
        <v>73</v>
      </c>
      <c r="AF1129" t="s">
        <v>73</v>
      </c>
      <c r="AH1129" t="s">
        <v>3463</v>
      </c>
      <c r="AI1129" t="s">
        <v>3463</v>
      </c>
      <c r="AJ1129" t="s">
        <v>3463</v>
      </c>
      <c r="AK1129" t="s">
        <v>3463</v>
      </c>
      <c r="AL1129" t="s">
        <v>3463</v>
      </c>
      <c r="AP1129" t="s">
        <v>3463</v>
      </c>
      <c r="AV1129" t="s">
        <v>112</v>
      </c>
      <c r="AW1129" t="s">
        <v>3917</v>
      </c>
      <c r="BF1129" t="s">
        <v>3921</v>
      </c>
      <c r="BH1129" t="s">
        <v>4020</v>
      </c>
      <c r="BP1129" t="s">
        <v>4260</v>
      </c>
      <c r="BQ1129" t="s">
        <v>3465</v>
      </c>
      <c r="BR1129" t="s">
        <v>3465</v>
      </c>
      <c r="BS1129" t="s">
        <v>3465</v>
      </c>
      <c r="BT1129" t="s">
        <v>3465</v>
      </c>
      <c r="BU1129" t="s">
        <v>3463</v>
      </c>
      <c r="BV1129" t="s">
        <v>3463</v>
      </c>
      <c r="BW1129" t="s">
        <v>3463</v>
      </c>
      <c r="BX1129" t="s">
        <v>79</v>
      </c>
      <c r="BY1129" t="s">
        <v>79</v>
      </c>
      <c r="BZ1129" t="s">
        <v>79</v>
      </c>
      <c r="CA1129" s="10">
        <v>45912</v>
      </c>
    </row>
    <row r="1130" spans="1:79">
      <c r="A1130">
        <v>1143</v>
      </c>
      <c r="B1130">
        <v>60</v>
      </c>
      <c r="C1130">
        <v>50</v>
      </c>
      <c r="D1130" t="s">
        <v>3462</v>
      </c>
      <c r="E1130" t="s">
        <v>2462</v>
      </c>
      <c r="F1130" t="s">
        <v>2407</v>
      </c>
      <c r="G1130" s="12" t="s">
        <v>3463</v>
      </c>
      <c r="H1130" s="12"/>
      <c r="I1130">
        <v>57</v>
      </c>
      <c r="J1130">
        <v>54</v>
      </c>
      <c r="K1130">
        <v>142</v>
      </c>
      <c r="L1130">
        <v>97</v>
      </c>
      <c r="M1130" t="s">
        <v>72</v>
      </c>
      <c r="N1130">
        <v>154</v>
      </c>
      <c r="O1130">
        <v>99</v>
      </c>
      <c r="P1130" t="s">
        <v>72</v>
      </c>
      <c r="Q1130" t="s">
        <v>72</v>
      </c>
      <c r="R1130">
        <v>113.9</v>
      </c>
      <c r="S1130">
        <v>186</v>
      </c>
      <c r="T1130" s="8">
        <f t="shared" si="34"/>
        <v>32.922881257948895</v>
      </c>
      <c r="U1130" s="13" t="str" cm="1">
        <f t="array" ref="U1130">IF(T1130="","",_xlfn.IFS(T1130&lt;18.5,"Bajo peso",T1130&lt;25,"Peso normal",T1130&lt;30,"Sobrepeso",T1130&lt;35,"Obesidad clase I",T1130&lt;40,"Obesidad clase II",T1130&gt;=40,"Obesidad clase III"))</f>
        <v>Obesidad clase I</v>
      </c>
      <c r="V1130">
        <v>101</v>
      </c>
      <c r="X1130" t="s">
        <v>3463</v>
      </c>
      <c r="Y1130">
        <v>1.1100000000000001</v>
      </c>
      <c r="AA1130">
        <v>81</v>
      </c>
      <c r="AB1130" s="9">
        <f t="shared" si="35"/>
        <v>80.898673708967195</v>
      </c>
      <c r="AD1130" t="s">
        <v>73</v>
      </c>
      <c r="AF1130" t="s">
        <v>73</v>
      </c>
      <c r="AH1130" t="s">
        <v>3463</v>
      </c>
      <c r="AI1130" t="s">
        <v>3464</v>
      </c>
      <c r="AJ1130" t="s">
        <v>3463</v>
      </c>
      <c r="AK1130" t="s">
        <v>3463</v>
      </c>
      <c r="AL1130" t="s">
        <v>3463</v>
      </c>
      <c r="AO1130" t="s">
        <v>3463</v>
      </c>
      <c r="AP1130" t="s">
        <v>3465</v>
      </c>
      <c r="AQ1130" t="s">
        <v>196</v>
      </c>
      <c r="AR1130" t="s">
        <v>3522</v>
      </c>
      <c r="AV1130" t="s">
        <v>126</v>
      </c>
      <c r="AW1130" t="s">
        <v>126</v>
      </c>
      <c r="BF1130" t="s">
        <v>3921</v>
      </c>
      <c r="BG1130" t="s">
        <v>2519</v>
      </c>
      <c r="BH1130" t="s">
        <v>4021</v>
      </c>
      <c r="BI1130" t="s">
        <v>820</v>
      </c>
      <c r="BK1130" t="s">
        <v>2520</v>
      </c>
      <c r="BL1130" t="s">
        <v>2521</v>
      </c>
      <c r="BP1130" t="s">
        <v>4293</v>
      </c>
      <c r="BQ1130" t="s">
        <v>3463</v>
      </c>
      <c r="BR1130" t="s">
        <v>3465</v>
      </c>
      <c r="BS1130" t="s">
        <v>3465</v>
      </c>
      <c r="BT1130" t="s">
        <v>3465</v>
      </c>
      <c r="BU1130" t="s">
        <v>3463</v>
      </c>
      <c r="BV1130" t="s">
        <v>3463</v>
      </c>
      <c r="BW1130" t="s">
        <v>3463</v>
      </c>
      <c r="BX1130" t="s">
        <v>79</v>
      </c>
      <c r="BY1130" t="s">
        <v>79</v>
      </c>
      <c r="BZ1130" t="s">
        <v>79</v>
      </c>
      <c r="CA1130" s="10">
        <v>45912</v>
      </c>
    </row>
    <row r="1131" spans="1:79">
      <c r="A1131">
        <v>1144</v>
      </c>
      <c r="B1131">
        <v>61</v>
      </c>
      <c r="C1131">
        <v>37</v>
      </c>
      <c r="D1131" t="s">
        <v>3466</v>
      </c>
      <c r="E1131" t="s">
        <v>2522</v>
      </c>
      <c r="F1131" t="s">
        <v>2407</v>
      </c>
      <c r="G1131" s="12" t="s">
        <v>3463</v>
      </c>
      <c r="I1131">
        <v>67</v>
      </c>
      <c r="K1131">
        <v>137</v>
      </c>
      <c r="L1131">
        <v>87</v>
      </c>
      <c r="M1131" t="s">
        <v>82</v>
      </c>
      <c r="P1131" t="s">
        <v>83</v>
      </c>
      <c r="Q1131" t="s">
        <v>82</v>
      </c>
      <c r="R1131">
        <v>82.8</v>
      </c>
      <c r="S1131">
        <v>152</v>
      </c>
      <c r="T1131" s="8">
        <f t="shared" si="34"/>
        <v>35.837950138504155</v>
      </c>
      <c r="U1131" s="13" t="str" cm="1">
        <f t="array" ref="U1131">IF(T1131="","",_xlfn.IFS(T1131&lt;18.5,"Bajo peso",T1131&lt;25,"Peso normal",T1131&lt;30,"Sobrepeso",T1131&lt;35,"Obesidad clase I",T1131&lt;40,"Obesidad clase II",T1131&gt;=40,"Obesidad clase III"))</f>
        <v>Obesidad clase II</v>
      </c>
      <c r="V1131">
        <v>82</v>
      </c>
      <c r="X1131" t="s">
        <v>3463</v>
      </c>
      <c r="Y1131">
        <v>0.73</v>
      </c>
      <c r="AA1131">
        <v>90</v>
      </c>
      <c r="AB1131" s="9">
        <f t="shared" ref="AB1131:AB1194" si="36">IF(OR(C1131="",D1131="",Y1131=""),"",142*POWER(MIN(Y1131/IF(D1131="Mujer",0.7,0.9),1),IF(D1131="Mujer",-0.241,-0.302))*POWER(MAX(Y1131/IF(D1131="Mujer",0.7,0.9),1),-1.2)*POWER(0.9938,C1131)*IF(D1131="Mujer",1.012,1))</f>
        <v>108.55798958578812</v>
      </c>
      <c r="AD1131" t="s">
        <v>73</v>
      </c>
      <c r="AF1131" t="s">
        <v>73</v>
      </c>
      <c r="AH1131" t="s">
        <v>3463</v>
      </c>
      <c r="AI1131" t="s">
        <v>3463</v>
      </c>
      <c r="AJ1131" t="s">
        <v>3463</v>
      </c>
      <c r="AK1131" t="s">
        <v>3463</v>
      </c>
      <c r="AL1131" t="s">
        <v>3463</v>
      </c>
      <c r="AP1131" t="s">
        <v>3463</v>
      </c>
      <c r="AQ1131" t="s">
        <v>624</v>
      </c>
      <c r="AR1131" t="s">
        <v>3522</v>
      </c>
      <c r="AV1131" t="s">
        <v>126</v>
      </c>
      <c r="AW1131" t="s">
        <v>126</v>
      </c>
      <c r="AX1131" t="s">
        <v>3465</v>
      </c>
      <c r="AY1131" t="s">
        <v>3463</v>
      </c>
      <c r="BF1131" t="s">
        <v>3921</v>
      </c>
      <c r="BH1131" t="s">
        <v>4020</v>
      </c>
      <c r="BP1131" t="s">
        <v>4260</v>
      </c>
      <c r="BQ1131" t="s">
        <v>3463</v>
      </c>
      <c r="BR1131" t="s">
        <v>3465</v>
      </c>
      <c r="BS1131" t="s">
        <v>3463</v>
      </c>
      <c r="BT1131" t="s">
        <v>3463</v>
      </c>
      <c r="BU1131" t="s">
        <v>3463</v>
      </c>
      <c r="BV1131" t="s">
        <v>3463</v>
      </c>
      <c r="BW1131" t="s">
        <v>3463</v>
      </c>
      <c r="BX1131" t="s">
        <v>121</v>
      </c>
      <c r="BY1131" t="s">
        <v>87</v>
      </c>
      <c r="BZ1131" t="s">
        <v>79</v>
      </c>
      <c r="CA1131" s="10">
        <v>45912</v>
      </c>
    </row>
    <row r="1132" spans="1:79">
      <c r="A1132">
        <v>1145</v>
      </c>
      <c r="B1132">
        <v>62</v>
      </c>
      <c r="C1132">
        <v>61</v>
      </c>
      <c r="D1132" t="s">
        <v>3466</v>
      </c>
      <c r="F1132" t="s">
        <v>2407</v>
      </c>
      <c r="G1132" s="12" t="s">
        <v>3465</v>
      </c>
      <c r="H1132" s="12" t="s">
        <v>88</v>
      </c>
      <c r="I1132">
        <v>69</v>
      </c>
      <c r="J1132">
        <v>73</v>
      </c>
      <c r="K1132">
        <v>172</v>
      </c>
      <c r="L1132">
        <v>66</v>
      </c>
      <c r="M1132" t="s">
        <v>72</v>
      </c>
      <c r="N1132">
        <v>146</v>
      </c>
      <c r="O1132">
        <v>69</v>
      </c>
      <c r="P1132" t="s">
        <v>72</v>
      </c>
      <c r="Q1132" t="s">
        <v>72</v>
      </c>
      <c r="R1132">
        <v>102.2</v>
      </c>
      <c r="S1132">
        <v>158</v>
      </c>
      <c r="T1132" s="8">
        <f t="shared" si="34"/>
        <v>40.938952091011053</v>
      </c>
      <c r="U1132" s="13" t="str" cm="1">
        <f t="array" ref="U1132">IF(T1132="","",_xlfn.IFS(T1132&lt;18.5,"Bajo peso",T1132&lt;25,"Peso normal",T1132&lt;30,"Sobrepeso",T1132&lt;35,"Obesidad clase I",T1132&lt;40,"Obesidad clase II",T1132&gt;=40,"Obesidad clase III"))</f>
        <v>Obesidad clase III</v>
      </c>
      <c r="V1132">
        <v>175</v>
      </c>
      <c r="X1132" t="s">
        <v>3463</v>
      </c>
      <c r="Y1132">
        <v>0.69</v>
      </c>
      <c r="AA1132">
        <v>90</v>
      </c>
      <c r="AB1132" s="9">
        <f t="shared" si="36"/>
        <v>98.676421324408537</v>
      </c>
      <c r="AD1132" t="s">
        <v>73</v>
      </c>
      <c r="AF1132" t="s">
        <v>73</v>
      </c>
      <c r="AH1132" t="s">
        <v>3463</v>
      </c>
      <c r="AI1132" t="s">
        <v>3465</v>
      </c>
      <c r="AJ1132" t="s">
        <v>3463</v>
      </c>
      <c r="AK1132" t="s">
        <v>3463</v>
      </c>
      <c r="AL1132" t="s">
        <v>3463</v>
      </c>
      <c r="AP1132" t="s">
        <v>3463</v>
      </c>
      <c r="AQ1132" t="s">
        <v>2523</v>
      </c>
      <c r="AR1132" t="s">
        <v>3504</v>
      </c>
      <c r="AS1132" t="s">
        <v>3463</v>
      </c>
      <c r="AT1132" t="s">
        <v>3465</v>
      </c>
      <c r="AU1132" t="s">
        <v>80</v>
      </c>
      <c r="AV1132" t="s">
        <v>126</v>
      </c>
      <c r="AW1132" t="s">
        <v>126</v>
      </c>
      <c r="AX1132" t="s">
        <v>3463</v>
      </c>
      <c r="AY1132" t="s">
        <v>3463</v>
      </c>
      <c r="AZ1132" t="s">
        <v>253</v>
      </c>
      <c r="BA1132" t="s">
        <v>3920</v>
      </c>
      <c r="BE1132" t="s">
        <v>992</v>
      </c>
      <c r="BF1132" t="s">
        <v>992</v>
      </c>
      <c r="BG1132" t="s">
        <v>2524</v>
      </c>
      <c r="BH1132" t="s">
        <v>4212</v>
      </c>
      <c r="BI1132" t="s">
        <v>411</v>
      </c>
      <c r="BK1132" t="s">
        <v>2525</v>
      </c>
      <c r="BL1132" t="s">
        <v>2526</v>
      </c>
      <c r="BP1132" t="s">
        <v>4520</v>
      </c>
      <c r="BQ1132" t="s">
        <v>3463</v>
      </c>
      <c r="BR1132" t="s">
        <v>3463</v>
      </c>
      <c r="BS1132" t="s">
        <v>3463</v>
      </c>
      <c r="BT1132" t="s">
        <v>3465</v>
      </c>
      <c r="BU1132" t="s">
        <v>3463</v>
      </c>
      <c r="BV1132" t="s">
        <v>3463</v>
      </c>
      <c r="BW1132" t="s">
        <v>3463</v>
      </c>
      <c r="BX1132" t="s">
        <v>79</v>
      </c>
      <c r="BY1132" t="s">
        <v>79</v>
      </c>
      <c r="BZ1132" t="s">
        <v>79</v>
      </c>
      <c r="CA1132" s="10">
        <v>45912</v>
      </c>
    </row>
    <row r="1133" spans="1:79">
      <c r="A1133">
        <v>1146</v>
      </c>
      <c r="B1133">
        <v>63</v>
      </c>
      <c r="C1133">
        <v>65</v>
      </c>
      <c r="D1133" t="s">
        <v>3466</v>
      </c>
      <c r="E1133" t="s">
        <v>2416</v>
      </c>
      <c r="F1133" t="s">
        <v>2407</v>
      </c>
      <c r="G1133" s="12" t="s">
        <v>3465</v>
      </c>
      <c r="H1133" t="s">
        <v>88</v>
      </c>
      <c r="I1133">
        <v>77</v>
      </c>
      <c r="J1133">
        <v>76</v>
      </c>
      <c r="K1133">
        <v>173</v>
      </c>
      <c r="L1133">
        <v>87</v>
      </c>
      <c r="M1133" t="s">
        <v>72</v>
      </c>
      <c r="N1133">
        <v>162</v>
      </c>
      <c r="O1133">
        <v>80</v>
      </c>
      <c r="P1133" t="s">
        <v>72</v>
      </c>
      <c r="Q1133" t="s">
        <v>72</v>
      </c>
      <c r="R1133">
        <v>76.099999999999994</v>
      </c>
      <c r="S1133">
        <v>150</v>
      </c>
      <c r="T1133" s="8">
        <f t="shared" si="34"/>
        <v>33.822222222222216</v>
      </c>
      <c r="U1133" s="13" t="str" cm="1">
        <f t="array" ref="U1133">IF(T1133="","",_xlfn.IFS(T1133&lt;18.5,"Bajo peso",T1133&lt;25,"Peso normal",T1133&lt;30,"Sobrepeso",T1133&lt;35,"Obesidad clase I",T1133&lt;40,"Obesidad clase II",T1133&gt;=40,"Obesidad clase III"))</f>
        <v>Obesidad clase I</v>
      </c>
      <c r="V1133">
        <v>241</v>
      </c>
      <c r="X1133" t="s">
        <v>3465</v>
      </c>
      <c r="Y1133">
        <v>0.69</v>
      </c>
      <c r="AA1133">
        <v>90</v>
      </c>
      <c r="AB1133" s="9">
        <f t="shared" si="36"/>
        <v>96.251910881768509</v>
      </c>
      <c r="AD1133" t="s">
        <v>73</v>
      </c>
      <c r="AF1133" t="s">
        <v>73</v>
      </c>
      <c r="AG1133" t="s">
        <v>3465</v>
      </c>
      <c r="AH1133" t="s">
        <v>3465</v>
      </c>
      <c r="AI1133" t="s">
        <v>3465</v>
      </c>
      <c r="AJ1133" t="s">
        <v>3463</v>
      </c>
      <c r="AK1133" t="s">
        <v>3463</v>
      </c>
      <c r="AL1133" t="s">
        <v>3465</v>
      </c>
      <c r="AM1133" t="s">
        <v>2527</v>
      </c>
      <c r="AN1133" t="s">
        <v>3841</v>
      </c>
      <c r="AP1133" t="s">
        <v>3463</v>
      </c>
      <c r="AS1133" t="s">
        <v>3465</v>
      </c>
      <c r="AT1133" t="s">
        <v>3465</v>
      </c>
      <c r="AU1133" t="s">
        <v>1899</v>
      </c>
      <c r="AV1133" t="s">
        <v>126</v>
      </c>
      <c r="AW1133" t="s">
        <v>126</v>
      </c>
      <c r="AX1133" t="s">
        <v>3463</v>
      </c>
      <c r="AY1133" t="s">
        <v>3465</v>
      </c>
      <c r="AZ1133" t="s">
        <v>2528</v>
      </c>
      <c r="BA1133" t="s">
        <v>3920</v>
      </c>
      <c r="BB1133" t="s">
        <v>3485</v>
      </c>
      <c r="BF1133" t="s">
        <v>3921</v>
      </c>
      <c r="BG1133" t="s">
        <v>2529</v>
      </c>
      <c r="BH1133" t="s">
        <v>4029</v>
      </c>
      <c r="BI1133" t="s">
        <v>411</v>
      </c>
      <c r="BK1133" t="s">
        <v>2530</v>
      </c>
      <c r="BL1133" t="s">
        <v>2531</v>
      </c>
      <c r="BP1133" t="s">
        <v>4521</v>
      </c>
      <c r="BQ1133" t="s">
        <v>3463</v>
      </c>
      <c r="BR1133" t="s">
        <v>3463</v>
      </c>
      <c r="BS1133" t="s">
        <v>3465</v>
      </c>
      <c r="BT1133" t="s">
        <v>3465</v>
      </c>
      <c r="BU1133" t="s">
        <v>3463</v>
      </c>
      <c r="BV1133" t="s">
        <v>3463</v>
      </c>
      <c r="BW1133" t="s">
        <v>3463</v>
      </c>
      <c r="BX1133" t="s">
        <v>79</v>
      </c>
      <c r="BY1133" t="s">
        <v>87</v>
      </c>
      <c r="BZ1133" t="s">
        <v>79</v>
      </c>
      <c r="CA1133" s="10">
        <v>45912</v>
      </c>
    </row>
    <row r="1134" spans="1:79">
      <c r="A1134">
        <v>1147</v>
      </c>
      <c r="B1134">
        <v>64</v>
      </c>
      <c r="C1134">
        <v>38</v>
      </c>
      <c r="D1134" t="s">
        <v>3462</v>
      </c>
      <c r="E1134" t="s">
        <v>2462</v>
      </c>
      <c r="F1134" t="s">
        <v>2407</v>
      </c>
      <c r="G1134" s="12" t="s">
        <v>3463</v>
      </c>
      <c r="H1134" s="12"/>
      <c r="I1134">
        <v>81</v>
      </c>
      <c r="J1134">
        <v>77</v>
      </c>
      <c r="K1134">
        <v>160</v>
      </c>
      <c r="L1134">
        <v>94</v>
      </c>
      <c r="M1134" t="s">
        <v>72</v>
      </c>
      <c r="N1134">
        <v>155</v>
      </c>
      <c r="O1134">
        <v>90</v>
      </c>
      <c r="P1134" t="s">
        <v>72</v>
      </c>
      <c r="Q1134" t="s">
        <v>72</v>
      </c>
      <c r="R1134">
        <v>98.2</v>
      </c>
      <c r="S1134">
        <v>176</v>
      </c>
      <c r="T1134" s="8">
        <f t="shared" si="34"/>
        <v>31.701962809917358</v>
      </c>
      <c r="U1134" s="13" t="str" cm="1">
        <f t="array" ref="U1134">IF(T1134="","",_xlfn.IFS(T1134&lt;18.5,"Bajo peso",T1134&lt;25,"Peso normal",T1134&lt;30,"Sobrepeso",T1134&lt;35,"Obesidad clase I",T1134&lt;40,"Obesidad clase II",T1134&gt;=40,"Obesidad clase III"))</f>
        <v>Obesidad clase I</v>
      </c>
      <c r="V1134">
        <v>292</v>
      </c>
      <c r="X1134" t="s">
        <v>3465</v>
      </c>
      <c r="Y1134">
        <v>0.72</v>
      </c>
      <c r="AA1134">
        <v>90</v>
      </c>
      <c r="AB1134" s="9">
        <f t="shared" si="36"/>
        <v>119.9269751547736</v>
      </c>
      <c r="AD1134" t="s">
        <v>73</v>
      </c>
      <c r="AF1134" t="s">
        <v>73</v>
      </c>
      <c r="AG1134" t="s">
        <v>3465</v>
      </c>
      <c r="AH1134" t="s">
        <v>3465</v>
      </c>
      <c r="AI1134" t="s">
        <v>3463</v>
      </c>
      <c r="AJ1134" t="s">
        <v>3463</v>
      </c>
      <c r="AK1134" t="s">
        <v>3463</v>
      </c>
      <c r="AL1134" t="s">
        <v>3463</v>
      </c>
      <c r="AP1134" t="s">
        <v>3463</v>
      </c>
      <c r="AQ1134" t="s">
        <v>159</v>
      </c>
      <c r="AR1134" t="s">
        <v>3491</v>
      </c>
      <c r="AV1134" t="s">
        <v>74</v>
      </c>
      <c r="AW1134" t="s">
        <v>3915</v>
      </c>
      <c r="BF1134" t="s">
        <v>3921</v>
      </c>
      <c r="BH1134" t="s">
        <v>4020</v>
      </c>
      <c r="BP1134" t="s">
        <v>4260</v>
      </c>
      <c r="BQ1134" t="s">
        <v>3463</v>
      </c>
      <c r="BR1134" t="s">
        <v>3465</v>
      </c>
      <c r="BS1134" t="s">
        <v>3465</v>
      </c>
      <c r="BT1134" t="s">
        <v>3465</v>
      </c>
      <c r="BU1134" t="s">
        <v>3463</v>
      </c>
      <c r="BV1134" t="s">
        <v>3463</v>
      </c>
      <c r="BW1134" t="s">
        <v>3463</v>
      </c>
      <c r="BX1134" t="s">
        <v>79</v>
      </c>
      <c r="BY1134" t="s">
        <v>121</v>
      </c>
      <c r="BZ1134" t="s">
        <v>79</v>
      </c>
      <c r="CA1134" s="10">
        <v>45912</v>
      </c>
    </row>
    <row r="1135" spans="1:79">
      <c r="A1135">
        <v>1148</v>
      </c>
      <c r="B1135">
        <v>65</v>
      </c>
      <c r="C1135">
        <v>60</v>
      </c>
      <c r="D1135" t="s">
        <v>3462</v>
      </c>
      <c r="E1135" t="s">
        <v>2451</v>
      </c>
      <c r="F1135" t="s">
        <v>2407</v>
      </c>
      <c r="G1135" s="12" t="s">
        <v>3465</v>
      </c>
      <c r="H1135" t="s">
        <v>88</v>
      </c>
      <c r="I1135">
        <v>62</v>
      </c>
      <c r="J1135">
        <v>62</v>
      </c>
      <c r="K1135">
        <v>158</v>
      </c>
      <c r="L1135">
        <v>99</v>
      </c>
      <c r="M1135" t="s">
        <v>72</v>
      </c>
      <c r="N1135">
        <v>159</v>
      </c>
      <c r="O1135">
        <v>98</v>
      </c>
      <c r="P1135" t="s">
        <v>72</v>
      </c>
      <c r="Q1135" t="s">
        <v>72</v>
      </c>
      <c r="R1135">
        <v>81.2</v>
      </c>
      <c r="S1135">
        <v>161</v>
      </c>
      <c r="T1135" s="8">
        <f t="shared" si="34"/>
        <v>31.325951930866864</v>
      </c>
      <c r="U1135" s="13" t="str" cm="1">
        <f t="array" ref="U1135">IF(T1135="","",_xlfn.IFS(T1135&lt;18.5,"Bajo peso",T1135&lt;25,"Peso normal",T1135&lt;30,"Sobrepeso",T1135&lt;35,"Obesidad clase I",T1135&lt;40,"Obesidad clase II",T1135&gt;=40,"Obesidad clase III"))</f>
        <v>Obesidad clase I</v>
      </c>
      <c r="V1135">
        <v>108</v>
      </c>
      <c r="X1135" t="s">
        <v>3463</v>
      </c>
      <c r="Y1135">
        <v>0.78</v>
      </c>
      <c r="AA1135">
        <v>90</v>
      </c>
      <c r="AB1135" s="9">
        <f t="shared" si="36"/>
        <v>102.09313894463862</v>
      </c>
      <c r="AD1135" t="s">
        <v>73</v>
      </c>
      <c r="AF1135" t="s">
        <v>73</v>
      </c>
      <c r="AH1135" t="s">
        <v>3463</v>
      </c>
      <c r="AI1135" t="s">
        <v>3463</v>
      </c>
      <c r="AJ1135" t="s">
        <v>3463</v>
      </c>
      <c r="AK1135" t="s">
        <v>3463</v>
      </c>
      <c r="AL1135" t="s">
        <v>3463</v>
      </c>
      <c r="AP1135" t="s">
        <v>3463</v>
      </c>
      <c r="AV1135" t="s">
        <v>126</v>
      </c>
      <c r="AW1135" t="s">
        <v>126</v>
      </c>
      <c r="BA1135" t="s">
        <v>3920</v>
      </c>
      <c r="BF1135" t="s">
        <v>3921</v>
      </c>
      <c r="BG1135" t="s">
        <v>2532</v>
      </c>
      <c r="BH1135" t="s">
        <v>4055</v>
      </c>
      <c r="BI1135" t="s">
        <v>76</v>
      </c>
      <c r="BK1135" t="s">
        <v>2533</v>
      </c>
      <c r="BL1135" t="s">
        <v>1722</v>
      </c>
      <c r="BP1135" t="s">
        <v>4522</v>
      </c>
      <c r="BQ1135" t="s">
        <v>3463</v>
      </c>
      <c r="BR1135" t="s">
        <v>3465</v>
      </c>
      <c r="BS1135" t="s">
        <v>3463</v>
      </c>
      <c r="BT1135" t="s">
        <v>3463</v>
      </c>
      <c r="BU1135" t="s">
        <v>3463</v>
      </c>
      <c r="BV1135" t="s">
        <v>3463</v>
      </c>
      <c r="BW1135" t="s">
        <v>3463</v>
      </c>
      <c r="BX1135" t="s">
        <v>79</v>
      </c>
      <c r="BY1135" t="s">
        <v>79</v>
      </c>
      <c r="BZ1135" t="s">
        <v>95</v>
      </c>
      <c r="CA1135" s="10">
        <v>45912</v>
      </c>
    </row>
    <row r="1136" spans="1:79">
      <c r="A1136">
        <v>1149</v>
      </c>
      <c r="B1136">
        <v>66</v>
      </c>
      <c r="C1136">
        <v>43</v>
      </c>
      <c r="D1136" t="s">
        <v>3462</v>
      </c>
      <c r="E1136" t="s">
        <v>2534</v>
      </c>
      <c r="F1136" t="s">
        <v>2407</v>
      </c>
      <c r="G1136" s="12" t="s">
        <v>3465</v>
      </c>
      <c r="H1136" t="s">
        <v>88</v>
      </c>
      <c r="I1136">
        <v>58</v>
      </c>
      <c r="J1136">
        <v>61</v>
      </c>
      <c r="K1136">
        <v>165</v>
      </c>
      <c r="L1136">
        <v>97</v>
      </c>
      <c r="M1136" t="s">
        <v>72</v>
      </c>
      <c r="N1136">
        <v>162</v>
      </c>
      <c r="O1136">
        <v>93</v>
      </c>
      <c r="P1136" t="s">
        <v>72</v>
      </c>
      <c r="Q1136" t="s">
        <v>72</v>
      </c>
      <c r="R1136">
        <v>81.8</v>
      </c>
      <c r="S1136">
        <v>170</v>
      </c>
      <c r="T1136" s="8">
        <f t="shared" si="34"/>
        <v>28.304498269896193</v>
      </c>
      <c r="U1136" s="13" t="str" cm="1">
        <f t="array" ref="U1136">IF(T1136="","",_xlfn.IFS(T1136&lt;18.5,"Bajo peso",T1136&lt;25,"Peso normal",T1136&lt;30,"Sobrepeso",T1136&lt;35,"Obesidad clase I",T1136&lt;40,"Obesidad clase II",T1136&gt;=40,"Obesidad clase III"))</f>
        <v>Sobrepeso</v>
      </c>
      <c r="V1136">
        <v>106</v>
      </c>
      <c r="X1136" t="s">
        <v>3463</v>
      </c>
      <c r="Y1136">
        <v>1.07</v>
      </c>
      <c r="AA1136">
        <v>88</v>
      </c>
      <c r="AB1136" s="9">
        <f t="shared" si="36"/>
        <v>88.303007640607646</v>
      </c>
      <c r="AD1136" t="s">
        <v>73</v>
      </c>
      <c r="AF1136" t="s">
        <v>73</v>
      </c>
      <c r="AH1136" t="s">
        <v>3463</v>
      </c>
      <c r="AI1136" t="s">
        <v>3463</v>
      </c>
      <c r="AJ1136" t="s">
        <v>3463</v>
      </c>
      <c r="AK1136" t="s">
        <v>3463</v>
      </c>
      <c r="AL1136" t="s">
        <v>3463</v>
      </c>
      <c r="AO1136" t="s">
        <v>3463</v>
      </c>
      <c r="AP1136" t="s">
        <v>3465</v>
      </c>
      <c r="AV1136" t="s">
        <v>74</v>
      </c>
      <c r="AW1136" t="s">
        <v>3915</v>
      </c>
      <c r="BF1136" t="s">
        <v>3921</v>
      </c>
      <c r="BH1136" t="s">
        <v>4020</v>
      </c>
      <c r="BP1136" t="s">
        <v>4260</v>
      </c>
      <c r="BQ1136" t="s">
        <v>3463</v>
      </c>
      <c r="BR1136" t="s">
        <v>3463</v>
      </c>
      <c r="BS1136" t="s">
        <v>3463</v>
      </c>
      <c r="BT1136" t="s">
        <v>3463</v>
      </c>
      <c r="BU1136" t="s">
        <v>3463</v>
      </c>
      <c r="BV1136" t="s">
        <v>3463</v>
      </c>
      <c r="BW1136" t="s">
        <v>3463</v>
      </c>
      <c r="BX1136" t="s">
        <v>79</v>
      </c>
      <c r="BY1136" t="s">
        <v>87</v>
      </c>
      <c r="BZ1136" t="s">
        <v>79</v>
      </c>
      <c r="CA1136" s="10">
        <v>45912</v>
      </c>
    </row>
    <row r="1137" spans="1:79">
      <c r="A1137">
        <v>1150</v>
      </c>
      <c r="B1137">
        <v>67</v>
      </c>
      <c r="C1137">
        <v>81</v>
      </c>
      <c r="D1137" t="s">
        <v>3466</v>
      </c>
      <c r="F1137" t="s">
        <v>2407</v>
      </c>
      <c r="G1137" s="12" t="s">
        <v>3463</v>
      </c>
      <c r="I1137">
        <v>67</v>
      </c>
      <c r="J1137">
        <v>67</v>
      </c>
      <c r="K1137">
        <v>203</v>
      </c>
      <c r="L1137">
        <v>89</v>
      </c>
      <c r="M1137" t="s">
        <v>96</v>
      </c>
      <c r="N1137">
        <v>200</v>
      </c>
      <c r="O1137">
        <v>87</v>
      </c>
      <c r="P1137" t="s">
        <v>96</v>
      </c>
      <c r="Q1137" t="s">
        <v>96</v>
      </c>
      <c r="R1137">
        <v>60.2</v>
      </c>
      <c r="S1137">
        <v>141</v>
      </c>
      <c r="T1137" s="8">
        <f t="shared" si="34"/>
        <v>30.280166993611992</v>
      </c>
      <c r="U1137" s="13" t="str" cm="1">
        <f t="array" ref="U1137">IF(T1137="","",_xlfn.IFS(T1137&lt;18.5,"Bajo peso",T1137&lt;25,"Peso normal",T1137&lt;30,"Sobrepeso",T1137&lt;35,"Obesidad clase I",T1137&lt;40,"Obesidad clase II",T1137&gt;=40,"Obesidad clase III"))</f>
        <v>Obesidad clase I</v>
      </c>
      <c r="V1137">
        <v>110</v>
      </c>
      <c r="X1137" t="s">
        <v>3463</v>
      </c>
      <c r="Y1137">
        <v>0.55000000000000004</v>
      </c>
      <c r="AA1137">
        <v>90</v>
      </c>
      <c r="AB1137" s="9">
        <f t="shared" si="36"/>
        <v>92.029796464962857</v>
      </c>
      <c r="AD1137" t="s">
        <v>73</v>
      </c>
      <c r="AF1137" t="s">
        <v>73</v>
      </c>
      <c r="AG1137" t="s">
        <v>3463</v>
      </c>
      <c r="AH1137" t="s">
        <v>3465</v>
      </c>
      <c r="AI1137" t="s">
        <v>3465</v>
      </c>
      <c r="AJ1137" t="s">
        <v>3463</v>
      </c>
      <c r="AK1137" t="s">
        <v>3463</v>
      </c>
      <c r="AL1137" t="s">
        <v>3465</v>
      </c>
      <c r="AM1137" t="s">
        <v>2535</v>
      </c>
      <c r="AN1137" t="s">
        <v>3842</v>
      </c>
      <c r="AP1137" t="s">
        <v>3463</v>
      </c>
      <c r="AQ1137" t="s">
        <v>2536</v>
      </c>
      <c r="AR1137" t="s">
        <v>3488</v>
      </c>
      <c r="AS1137" t="s">
        <v>3465</v>
      </c>
      <c r="AT1137" t="s">
        <v>3463</v>
      </c>
      <c r="AV1137" t="s">
        <v>112</v>
      </c>
      <c r="AW1137" t="s">
        <v>3917</v>
      </c>
      <c r="AX1137" t="s">
        <v>3465</v>
      </c>
      <c r="AY1137" t="s">
        <v>3463</v>
      </c>
      <c r="AZ1137" t="s">
        <v>1784</v>
      </c>
      <c r="BA1137" t="s">
        <v>3920</v>
      </c>
      <c r="BE1137" t="s">
        <v>2537</v>
      </c>
      <c r="BF1137" t="s">
        <v>3967</v>
      </c>
      <c r="BH1137" t="s">
        <v>4029</v>
      </c>
      <c r="BI1137" t="s">
        <v>411</v>
      </c>
      <c r="BK1137" t="s">
        <v>2538</v>
      </c>
      <c r="BP1137" t="s">
        <v>4330</v>
      </c>
      <c r="BQ1137" t="s">
        <v>3463</v>
      </c>
      <c r="BR1137" t="s">
        <v>3463</v>
      </c>
      <c r="BS1137" t="s">
        <v>3463</v>
      </c>
      <c r="BT1137" t="s">
        <v>3463</v>
      </c>
      <c r="BU1137" t="s">
        <v>3463</v>
      </c>
      <c r="BV1137" t="s">
        <v>3463</v>
      </c>
      <c r="BW1137" t="s">
        <v>3463</v>
      </c>
      <c r="BX1137" t="s">
        <v>79</v>
      </c>
      <c r="BY1137" t="s">
        <v>79</v>
      </c>
      <c r="BZ1137" t="s">
        <v>79</v>
      </c>
      <c r="CA1137" s="10">
        <v>45912</v>
      </c>
    </row>
    <row r="1138" spans="1:79">
      <c r="A1138">
        <v>1151</v>
      </c>
      <c r="B1138">
        <v>68</v>
      </c>
      <c r="C1138">
        <v>78</v>
      </c>
      <c r="D1138" t="s">
        <v>3466</v>
      </c>
      <c r="E1138" t="s">
        <v>2416</v>
      </c>
      <c r="F1138" t="s">
        <v>2407</v>
      </c>
      <c r="G1138" s="12" t="s">
        <v>3465</v>
      </c>
      <c r="H1138" s="12" t="s">
        <v>88</v>
      </c>
      <c r="I1138">
        <v>60</v>
      </c>
      <c r="J1138">
        <v>68143</v>
      </c>
      <c r="K1138">
        <v>168</v>
      </c>
      <c r="L1138">
        <v>78</v>
      </c>
      <c r="M1138" t="s">
        <v>72</v>
      </c>
      <c r="N1138">
        <v>158</v>
      </c>
      <c r="O1138">
        <v>77</v>
      </c>
      <c r="P1138" t="s">
        <v>72</v>
      </c>
      <c r="Q1138" t="s">
        <v>72</v>
      </c>
      <c r="R1138">
        <v>67.599999999999994</v>
      </c>
      <c r="S1138">
        <v>143</v>
      </c>
      <c r="T1138" s="8">
        <f t="shared" si="34"/>
        <v>33.057851239669418</v>
      </c>
      <c r="U1138" s="13" t="str" cm="1">
        <f t="array" ref="U1138">IF(T1138="","",_xlfn.IFS(T1138&lt;18.5,"Bajo peso",T1138&lt;25,"Peso normal",T1138&lt;30,"Sobrepeso",T1138&lt;35,"Obesidad clase I",T1138&lt;40,"Obesidad clase II",T1138&gt;=40,"Obesidad clase III"))</f>
        <v>Obesidad clase I</v>
      </c>
      <c r="V1138">
        <v>199</v>
      </c>
      <c r="X1138" t="s">
        <v>3463</v>
      </c>
      <c r="Y1138">
        <v>0.74</v>
      </c>
      <c r="AA1138">
        <v>83</v>
      </c>
      <c r="AB1138" s="9">
        <f t="shared" si="36"/>
        <v>82.761785046344272</v>
      </c>
      <c r="AD1138" t="s">
        <v>73</v>
      </c>
      <c r="AF1138" t="s">
        <v>73</v>
      </c>
      <c r="AG1138" t="s">
        <v>3465</v>
      </c>
      <c r="AH1138" t="s">
        <v>3465</v>
      </c>
      <c r="AI1138" t="s">
        <v>3465</v>
      </c>
      <c r="AJ1138" t="s">
        <v>3463</v>
      </c>
      <c r="AK1138" t="s">
        <v>3463</v>
      </c>
      <c r="AL1138" t="s">
        <v>3465</v>
      </c>
      <c r="AM1138" t="s">
        <v>2539</v>
      </c>
      <c r="AN1138" t="s">
        <v>3843</v>
      </c>
      <c r="AP1138" t="s">
        <v>3463</v>
      </c>
      <c r="AQ1138" t="s">
        <v>2540</v>
      </c>
      <c r="AR1138" t="s">
        <v>3494</v>
      </c>
      <c r="AS1138" t="s">
        <v>3465</v>
      </c>
      <c r="AT1138" t="s">
        <v>3465</v>
      </c>
      <c r="AU1138" t="s">
        <v>1899</v>
      </c>
      <c r="AV1138" t="s">
        <v>74</v>
      </c>
      <c r="AW1138" t="s">
        <v>3915</v>
      </c>
      <c r="AX1138" t="s">
        <v>3465</v>
      </c>
      <c r="AY1138" t="s">
        <v>3465</v>
      </c>
      <c r="AZ1138" t="s">
        <v>2541</v>
      </c>
      <c r="BA1138" t="s">
        <v>3920</v>
      </c>
      <c r="BB1138" t="s">
        <v>3485</v>
      </c>
      <c r="BF1138" t="s">
        <v>3921</v>
      </c>
      <c r="BG1138" t="s">
        <v>2542</v>
      </c>
      <c r="BH1138" t="s">
        <v>4038</v>
      </c>
      <c r="BL1138" t="s">
        <v>2543</v>
      </c>
      <c r="BP1138" t="s">
        <v>4523</v>
      </c>
      <c r="BQ1138" t="s">
        <v>3463</v>
      </c>
      <c r="BR1138" t="s">
        <v>3465</v>
      </c>
      <c r="BS1138" t="s">
        <v>3465</v>
      </c>
      <c r="BT1138" t="s">
        <v>3465</v>
      </c>
      <c r="BU1138" t="s">
        <v>3463</v>
      </c>
      <c r="BV1138" t="s">
        <v>3463</v>
      </c>
      <c r="BW1138" t="s">
        <v>3463</v>
      </c>
      <c r="BX1138" t="s">
        <v>79</v>
      </c>
      <c r="BY1138" t="s">
        <v>87</v>
      </c>
      <c r="BZ1138" t="s">
        <v>79</v>
      </c>
      <c r="CA1138" s="10">
        <v>45912</v>
      </c>
    </row>
    <row r="1139" spans="1:79">
      <c r="A1139">
        <v>1152</v>
      </c>
      <c r="B1139">
        <v>69</v>
      </c>
      <c r="C1139">
        <v>78</v>
      </c>
      <c r="D1139" t="s">
        <v>3462</v>
      </c>
      <c r="E1139" t="s">
        <v>2462</v>
      </c>
      <c r="F1139" t="s">
        <v>2407</v>
      </c>
      <c r="G1139" s="12" t="s">
        <v>3463</v>
      </c>
      <c r="H1139" s="12"/>
      <c r="I1139">
        <v>67</v>
      </c>
      <c r="J1139">
        <v>70</v>
      </c>
      <c r="K1139">
        <v>163</v>
      </c>
      <c r="L1139">
        <v>85</v>
      </c>
      <c r="M1139" t="s">
        <v>72</v>
      </c>
      <c r="N1139">
        <v>165</v>
      </c>
      <c r="O1139">
        <v>79</v>
      </c>
      <c r="P1139" t="s">
        <v>72</v>
      </c>
      <c r="Q1139" t="s">
        <v>72</v>
      </c>
      <c r="R1139">
        <v>71.400000000000006</v>
      </c>
      <c r="S1139">
        <v>163</v>
      </c>
      <c r="T1139" s="8">
        <f t="shared" si="34"/>
        <v>26.873423915089013</v>
      </c>
      <c r="U1139" s="13" t="str" cm="1">
        <f t="array" ref="U1139">IF(T1139="","",_xlfn.IFS(T1139&lt;18.5,"Bajo peso",T1139&lt;25,"Peso normal",T1139&lt;30,"Sobrepeso",T1139&lt;35,"Obesidad clase I",T1139&lt;40,"Obesidad clase II",T1139&gt;=40,"Obesidad clase III"))</f>
        <v>Sobrepeso</v>
      </c>
      <c r="V1139">
        <v>90</v>
      </c>
      <c r="X1139" t="s">
        <v>3463</v>
      </c>
      <c r="Y1139">
        <v>0.88</v>
      </c>
      <c r="AA1139">
        <v>88</v>
      </c>
      <c r="AB1139" s="9">
        <f t="shared" si="36"/>
        <v>88.015107385858386</v>
      </c>
      <c r="AD1139" t="s">
        <v>73</v>
      </c>
      <c r="AF1139" t="s">
        <v>73</v>
      </c>
      <c r="AH1139" t="s">
        <v>3463</v>
      </c>
      <c r="AI1139" t="s">
        <v>3463</v>
      </c>
      <c r="AJ1139" t="s">
        <v>3463</v>
      </c>
      <c r="AK1139" t="s">
        <v>3463</v>
      </c>
      <c r="AL1139" t="s">
        <v>3463</v>
      </c>
      <c r="AP1139" t="s">
        <v>3463</v>
      </c>
      <c r="AV1139" t="s">
        <v>74</v>
      </c>
      <c r="AW1139" t="s">
        <v>3915</v>
      </c>
      <c r="BF1139" t="s">
        <v>3921</v>
      </c>
      <c r="BH1139" t="s">
        <v>4020</v>
      </c>
      <c r="BP1139" t="s">
        <v>4260</v>
      </c>
      <c r="BQ1139" t="s">
        <v>3463</v>
      </c>
      <c r="BR1139" t="s">
        <v>3463</v>
      </c>
      <c r="BS1139" t="s">
        <v>3463</v>
      </c>
      <c r="BT1139" t="s">
        <v>3463</v>
      </c>
      <c r="BU1139" t="s">
        <v>3463</v>
      </c>
      <c r="BV1139" t="s">
        <v>3463</v>
      </c>
      <c r="BW1139" t="s">
        <v>3463</v>
      </c>
      <c r="BX1139" t="s">
        <v>79</v>
      </c>
      <c r="BY1139" t="s">
        <v>79</v>
      </c>
      <c r="BZ1139" t="s">
        <v>79</v>
      </c>
      <c r="CA1139" s="10">
        <v>45912</v>
      </c>
    </row>
    <row r="1140" spans="1:79">
      <c r="A1140">
        <v>1153</v>
      </c>
      <c r="B1140">
        <v>70</v>
      </c>
      <c r="C1140">
        <v>73</v>
      </c>
      <c r="D1140" t="s">
        <v>3466</v>
      </c>
      <c r="E1140" t="s">
        <v>450</v>
      </c>
      <c r="F1140" t="s">
        <v>2407</v>
      </c>
      <c r="G1140" s="12" t="s">
        <v>3465</v>
      </c>
      <c r="H1140" t="s">
        <v>88</v>
      </c>
      <c r="I1140">
        <v>79</v>
      </c>
      <c r="J1140">
        <v>75</v>
      </c>
      <c r="K1140">
        <v>173</v>
      </c>
      <c r="L1140">
        <v>93</v>
      </c>
      <c r="M1140" t="s">
        <v>72</v>
      </c>
      <c r="N1140">
        <v>161</v>
      </c>
      <c r="O1140">
        <v>91</v>
      </c>
      <c r="P1140" t="s">
        <v>72</v>
      </c>
      <c r="Q1140" t="s">
        <v>72</v>
      </c>
      <c r="R1140">
        <v>84.9</v>
      </c>
      <c r="S1140">
        <v>151</v>
      </c>
      <c r="T1140" s="8">
        <f t="shared" ref="T1140:T1203" si="37">IFERROR(R1140/(S1140^2)*10000,"")</f>
        <v>37.23520898206219</v>
      </c>
      <c r="U1140" s="13" t="str" cm="1">
        <f t="array" ref="U1140">IF(T1140="","",_xlfn.IFS(T1140&lt;18.5,"Bajo peso",T1140&lt;25,"Peso normal",T1140&lt;30,"Sobrepeso",T1140&lt;35,"Obesidad clase I",T1140&lt;40,"Obesidad clase II",T1140&gt;=40,"Obesidad clase III"))</f>
        <v>Obesidad clase II</v>
      </c>
      <c r="V1140">
        <v>298</v>
      </c>
      <c r="X1140" t="s">
        <v>3465</v>
      </c>
      <c r="Y1140">
        <v>0.9</v>
      </c>
      <c r="AA1140">
        <v>67</v>
      </c>
      <c r="AB1140" s="9">
        <f t="shared" si="36"/>
        <v>67.502823599920191</v>
      </c>
      <c r="AD1140" t="s">
        <v>73</v>
      </c>
      <c r="AF1140" t="s">
        <v>73</v>
      </c>
      <c r="AG1140" t="s">
        <v>3465</v>
      </c>
      <c r="AH1140" t="s">
        <v>3465</v>
      </c>
      <c r="AI1140" t="s">
        <v>3465</v>
      </c>
      <c r="AJ1140" t="s">
        <v>3463</v>
      </c>
      <c r="AK1140" t="s">
        <v>3465</v>
      </c>
      <c r="AL1140" t="s">
        <v>3465</v>
      </c>
      <c r="AM1140" t="s">
        <v>116</v>
      </c>
      <c r="AN1140" t="s">
        <v>116</v>
      </c>
      <c r="AP1140" t="s">
        <v>3463</v>
      </c>
      <c r="AQ1140" t="s">
        <v>468</v>
      </c>
      <c r="AR1140" t="s">
        <v>3488</v>
      </c>
      <c r="AS1140" t="s">
        <v>3465</v>
      </c>
      <c r="AT1140" t="s">
        <v>3465</v>
      </c>
      <c r="AU1140" t="s">
        <v>80</v>
      </c>
      <c r="AV1140" t="s">
        <v>74</v>
      </c>
      <c r="AW1140" t="s">
        <v>3915</v>
      </c>
      <c r="AX1140" t="s">
        <v>3465</v>
      </c>
      <c r="AY1140" t="s">
        <v>3465</v>
      </c>
      <c r="AZ1140" t="s">
        <v>247</v>
      </c>
      <c r="BA1140" t="s">
        <v>3920</v>
      </c>
      <c r="BB1140" t="s">
        <v>3485</v>
      </c>
      <c r="BE1140" t="s">
        <v>116</v>
      </c>
      <c r="BF1140" t="s">
        <v>116</v>
      </c>
      <c r="BG1140" t="s">
        <v>2544</v>
      </c>
      <c r="BH1140" t="s">
        <v>4045</v>
      </c>
      <c r="BK1140" t="s">
        <v>2492</v>
      </c>
      <c r="BL1140" t="s">
        <v>2545</v>
      </c>
      <c r="BP1140" t="s">
        <v>4329</v>
      </c>
      <c r="BQ1140" t="s">
        <v>3463</v>
      </c>
      <c r="BR1140" t="s">
        <v>3463</v>
      </c>
      <c r="BS1140" t="s">
        <v>3463</v>
      </c>
      <c r="BT1140" t="s">
        <v>3463</v>
      </c>
      <c r="BU1140" t="s">
        <v>3463</v>
      </c>
      <c r="BV1140" t="s">
        <v>3463</v>
      </c>
      <c r="BW1140" t="s">
        <v>3463</v>
      </c>
      <c r="BX1140" t="s">
        <v>79</v>
      </c>
      <c r="BY1140" t="s">
        <v>487</v>
      </c>
      <c r="BZ1140" t="s">
        <v>79</v>
      </c>
      <c r="CA1140" s="10">
        <v>45912</v>
      </c>
    </row>
    <row r="1141" spans="1:79">
      <c r="A1141">
        <v>1154</v>
      </c>
      <c r="B1141">
        <v>71</v>
      </c>
      <c r="C1141">
        <v>43</v>
      </c>
      <c r="D1141" t="s">
        <v>3466</v>
      </c>
      <c r="E1141" t="s">
        <v>2411</v>
      </c>
      <c r="F1141" t="s">
        <v>2407</v>
      </c>
      <c r="G1141" s="12" t="s">
        <v>3463</v>
      </c>
      <c r="I1141">
        <v>73</v>
      </c>
      <c r="K1141">
        <v>117</v>
      </c>
      <c r="L1141">
        <v>77</v>
      </c>
      <c r="M1141" t="s">
        <v>80</v>
      </c>
      <c r="P1141" t="s">
        <v>83</v>
      </c>
      <c r="Q1141" t="s">
        <v>80</v>
      </c>
      <c r="R1141">
        <v>75.900000000000006</v>
      </c>
      <c r="S1141">
        <v>150</v>
      </c>
      <c r="T1141" s="8">
        <f t="shared" si="37"/>
        <v>33.733333333333334</v>
      </c>
      <c r="U1141" s="13" t="str" cm="1">
        <f t="array" ref="U1141">IF(T1141="","",_xlfn.IFS(T1141&lt;18.5,"Bajo peso",T1141&lt;25,"Peso normal",T1141&lt;30,"Sobrepeso",T1141&lt;35,"Obesidad clase I",T1141&lt;40,"Obesidad clase II",T1141&gt;=40,"Obesidad clase III"))</f>
        <v>Obesidad clase I</v>
      </c>
      <c r="V1141">
        <v>97</v>
      </c>
      <c r="X1141" t="s">
        <v>3463</v>
      </c>
      <c r="Y1141">
        <v>0.74</v>
      </c>
      <c r="AA1141">
        <v>90</v>
      </c>
      <c r="AB1141" s="9">
        <f t="shared" si="36"/>
        <v>102.88809230277488</v>
      </c>
      <c r="AD1141" t="s">
        <v>73</v>
      </c>
      <c r="AF1141" t="s">
        <v>73</v>
      </c>
      <c r="AH1141" t="s">
        <v>3463</v>
      </c>
      <c r="AI1141" t="s">
        <v>3463</v>
      </c>
      <c r="AJ1141" t="s">
        <v>3463</v>
      </c>
      <c r="AK1141" t="s">
        <v>3465</v>
      </c>
      <c r="AL1141" t="s">
        <v>3463</v>
      </c>
      <c r="AP1141" t="s">
        <v>3463</v>
      </c>
      <c r="AQ1141" t="s">
        <v>2546</v>
      </c>
      <c r="AR1141" t="s">
        <v>3493</v>
      </c>
      <c r="AT1141" t="s">
        <v>3465</v>
      </c>
      <c r="AU1141" t="s">
        <v>80</v>
      </c>
      <c r="AV1141" t="s">
        <v>74</v>
      </c>
      <c r="AW1141" t="s">
        <v>3915</v>
      </c>
      <c r="AX1141" t="s">
        <v>3463</v>
      </c>
      <c r="AY1141" t="s">
        <v>3465</v>
      </c>
      <c r="AZ1141" t="s">
        <v>2279</v>
      </c>
      <c r="BF1141" t="s">
        <v>3921</v>
      </c>
      <c r="BH1141" t="s">
        <v>4020</v>
      </c>
      <c r="BP1141" t="s">
        <v>4260</v>
      </c>
      <c r="BQ1141" t="s">
        <v>3465</v>
      </c>
      <c r="BR1141" t="s">
        <v>3463</v>
      </c>
      <c r="BS1141" t="s">
        <v>3465</v>
      </c>
      <c r="BT1141" t="s">
        <v>3465</v>
      </c>
      <c r="BU1141" t="s">
        <v>3463</v>
      </c>
      <c r="BV1141" t="s">
        <v>3463</v>
      </c>
      <c r="BW1141" t="s">
        <v>3463</v>
      </c>
      <c r="BX1141" t="s">
        <v>518</v>
      </c>
      <c r="BY1141" t="s">
        <v>87</v>
      </c>
      <c r="BZ1141" t="s">
        <v>79</v>
      </c>
      <c r="CA1141" s="10">
        <v>45912</v>
      </c>
    </row>
    <row r="1142" spans="1:79">
      <c r="A1142">
        <v>1155</v>
      </c>
      <c r="B1142">
        <v>72</v>
      </c>
      <c r="C1142">
        <v>28</v>
      </c>
      <c r="D1142" t="s">
        <v>3466</v>
      </c>
      <c r="E1142" t="s">
        <v>2416</v>
      </c>
      <c r="F1142" t="s">
        <v>2407</v>
      </c>
      <c r="G1142" s="12" t="s">
        <v>3463</v>
      </c>
      <c r="M1142" t="s">
        <v>83</v>
      </c>
      <c r="P1142" t="s">
        <v>83</v>
      </c>
      <c r="Q1142" t="s">
        <v>83</v>
      </c>
      <c r="T1142" s="8" t="str">
        <f t="shared" si="37"/>
        <v/>
      </c>
      <c r="U1142" s="13" t="str" cm="1">
        <f t="array" ref="U1142">IF(T1142="","",_xlfn.IFS(T1142&lt;18.5,"Bajo peso",T1142&lt;25,"Peso normal",T1142&lt;30,"Sobrepeso",T1142&lt;35,"Obesidad clase I",T1142&lt;40,"Obesidad clase II",T1142&gt;=40,"Obesidad clase III"))</f>
        <v/>
      </c>
      <c r="AB1142" s="9" t="str">
        <f t="shared" si="36"/>
        <v/>
      </c>
      <c r="AH1142" t="s">
        <v>3463</v>
      </c>
      <c r="AI1142" t="s">
        <v>3463</v>
      </c>
      <c r="AJ1142" t="s">
        <v>3463</v>
      </c>
      <c r="AK1142" t="s">
        <v>3465</v>
      </c>
      <c r="AL1142" t="s">
        <v>3463</v>
      </c>
      <c r="AP1142" t="s">
        <v>3463</v>
      </c>
      <c r="AT1142" t="s">
        <v>3463</v>
      </c>
      <c r="AV1142" t="s">
        <v>112</v>
      </c>
      <c r="AW1142" t="s">
        <v>3917</v>
      </c>
      <c r="AX1142" t="s">
        <v>3463</v>
      </c>
      <c r="AY1142" t="s">
        <v>3465</v>
      </c>
      <c r="AZ1142" t="s">
        <v>247</v>
      </c>
      <c r="BF1142" t="s">
        <v>3921</v>
      </c>
      <c r="BH1142" t="s">
        <v>4020</v>
      </c>
      <c r="BP1142" t="s">
        <v>4260</v>
      </c>
      <c r="BQ1142" t="s">
        <v>3463</v>
      </c>
      <c r="BR1142" t="s">
        <v>3463</v>
      </c>
      <c r="BS1142" t="s">
        <v>3465</v>
      </c>
      <c r="BT1142" t="s">
        <v>3465</v>
      </c>
      <c r="BU1142" t="s">
        <v>3463</v>
      </c>
      <c r="BV1142" t="s">
        <v>3463</v>
      </c>
      <c r="BW1142" t="s">
        <v>3463</v>
      </c>
      <c r="BX1142" t="s">
        <v>79</v>
      </c>
      <c r="BY1142" t="s">
        <v>87</v>
      </c>
      <c r="BZ1142" t="s">
        <v>79</v>
      </c>
      <c r="CA1142" s="10">
        <v>45912</v>
      </c>
    </row>
    <row r="1143" spans="1:79">
      <c r="A1143">
        <v>1156</v>
      </c>
      <c r="B1143">
        <v>73</v>
      </c>
      <c r="C1143">
        <v>51</v>
      </c>
      <c r="D1143" t="s">
        <v>3466</v>
      </c>
      <c r="F1143" t="s">
        <v>2407</v>
      </c>
      <c r="G1143" s="12" t="s">
        <v>3463</v>
      </c>
      <c r="I1143">
        <v>76</v>
      </c>
      <c r="J1143">
        <v>70</v>
      </c>
      <c r="K1143">
        <v>148</v>
      </c>
      <c r="L1143">
        <v>97</v>
      </c>
      <c r="M1143" t="s">
        <v>72</v>
      </c>
      <c r="N1143">
        <v>137</v>
      </c>
      <c r="O1143">
        <v>91</v>
      </c>
      <c r="P1143" t="s">
        <v>72</v>
      </c>
      <c r="Q1143" t="s">
        <v>72</v>
      </c>
      <c r="R1143">
        <v>54.8</v>
      </c>
      <c r="S1143">
        <v>156</v>
      </c>
      <c r="T1143" s="8">
        <f t="shared" si="37"/>
        <v>22.5180802103879</v>
      </c>
      <c r="U1143" s="13" t="str" cm="1">
        <f t="array" ref="U1143">IF(T1143="","",_xlfn.IFS(T1143&lt;18.5,"Bajo peso",T1143&lt;25,"Peso normal",T1143&lt;30,"Sobrepeso",T1143&lt;35,"Obesidad clase I",T1143&lt;40,"Obesidad clase II",T1143&gt;=40,"Obesidad clase III"))</f>
        <v>Peso normal</v>
      </c>
      <c r="V1143">
        <v>88</v>
      </c>
      <c r="X1143" t="s">
        <v>3463</v>
      </c>
      <c r="Y1143">
        <v>0.71</v>
      </c>
      <c r="AA1143">
        <v>90</v>
      </c>
      <c r="AB1143" s="9">
        <f t="shared" si="36"/>
        <v>102.87861272163929</v>
      </c>
      <c r="AD1143" t="s">
        <v>73</v>
      </c>
      <c r="AF1143" t="s">
        <v>73</v>
      </c>
      <c r="AH1143" t="s">
        <v>3463</v>
      </c>
      <c r="AI1143" t="s">
        <v>3465</v>
      </c>
      <c r="AJ1143" t="s">
        <v>3465</v>
      </c>
      <c r="AK1143" t="s">
        <v>3465</v>
      </c>
      <c r="AL1143" t="s">
        <v>3465</v>
      </c>
      <c r="AM1143" t="s">
        <v>334</v>
      </c>
      <c r="AN1143" t="s">
        <v>334</v>
      </c>
      <c r="AP1143" t="s">
        <v>3463</v>
      </c>
      <c r="AQ1143" t="s">
        <v>120</v>
      </c>
      <c r="AR1143" t="s">
        <v>3491</v>
      </c>
      <c r="AS1143" t="s">
        <v>3465</v>
      </c>
      <c r="AT1143" t="s">
        <v>3465</v>
      </c>
      <c r="AU1143" t="s">
        <v>80</v>
      </c>
      <c r="AV1143" t="s">
        <v>74</v>
      </c>
      <c r="AW1143" t="s">
        <v>3915</v>
      </c>
      <c r="AX1143" t="s">
        <v>3465</v>
      </c>
      <c r="AY1143" t="s">
        <v>3465</v>
      </c>
      <c r="AZ1143" t="s">
        <v>480</v>
      </c>
      <c r="BF1143" t="s">
        <v>3921</v>
      </c>
      <c r="BH1143" t="s">
        <v>4020</v>
      </c>
      <c r="BP1143" t="s">
        <v>4260</v>
      </c>
      <c r="BQ1143" t="s">
        <v>3463</v>
      </c>
      <c r="BR1143" t="s">
        <v>3463</v>
      </c>
      <c r="BS1143" t="s">
        <v>3465</v>
      </c>
      <c r="BT1143" t="s">
        <v>3465</v>
      </c>
      <c r="BU1143" t="s">
        <v>3463</v>
      </c>
      <c r="BV1143" t="s">
        <v>3463</v>
      </c>
      <c r="BW1143" t="s">
        <v>3463</v>
      </c>
      <c r="BX1143" t="s">
        <v>79</v>
      </c>
      <c r="BY1143" t="s">
        <v>79</v>
      </c>
      <c r="BZ1143" t="s">
        <v>79</v>
      </c>
      <c r="CA1143" s="10">
        <v>45912</v>
      </c>
    </row>
    <row r="1144" spans="1:79">
      <c r="A1144">
        <v>1157</v>
      </c>
      <c r="B1144">
        <v>74</v>
      </c>
      <c r="C1144">
        <v>63</v>
      </c>
      <c r="D1144" t="s">
        <v>3466</v>
      </c>
      <c r="F1144" t="s">
        <v>2407</v>
      </c>
      <c r="G1144" s="12" t="s">
        <v>3465</v>
      </c>
      <c r="H1144" t="s">
        <v>88</v>
      </c>
      <c r="I1144">
        <v>67</v>
      </c>
      <c r="J1144">
        <v>68</v>
      </c>
      <c r="K1144">
        <v>220</v>
      </c>
      <c r="L1144">
        <v>91</v>
      </c>
      <c r="M1144" t="s">
        <v>96</v>
      </c>
      <c r="N1144">
        <v>221</v>
      </c>
      <c r="O1144">
        <v>91</v>
      </c>
      <c r="P1144" t="s">
        <v>96</v>
      </c>
      <c r="Q1144" t="s">
        <v>96</v>
      </c>
      <c r="R1144">
        <v>59.7</v>
      </c>
      <c r="S1144">
        <v>146.5</v>
      </c>
      <c r="T1144" s="8">
        <f t="shared" si="37"/>
        <v>27.816282076669506</v>
      </c>
      <c r="U1144" s="13" t="str" cm="1">
        <f t="array" ref="U1144">IF(T1144="","",_xlfn.IFS(T1144&lt;18.5,"Bajo peso",T1144&lt;25,"Peso normal",T1144&lt;30,"Sobrepeso",T1144&lt;35,"Obesidad clase I",T1144&lt;40,"Obesidad clase II",T1144&gt;=40,"Obesidad clase III"))</f>
        <v>Sobrepeso</v>
      </c>
      <c r="V1144">
        <v>133</v>
      </c>
      <c r="X1144" t="s">
        <v>3463</v>
      </c>
      <c r="Y1144">
        <v>0.53</v>
      </c>
      <c r="AA1144">
        <v>90</v>
      </c>
      <c r="AB1144" s="9">
        <f t="shared" si="36"/>
        <v>103.85407017264379</v>
      </c>
      <c r="AD1144" t="s">
        <v>73</v>
      </c>
      <c r="AF1144" t="s">
        <v>73</v>
      </c>
      <c r="AG1144" t="s">
        <v>3465</v>
      </c>
      <c r="AH1144" t="s">
        <v>3465</v>
      </c>
      <c r="AI1144" t="s">
        <v>3465</v>
      </c>
      <c r="AJ1144" t="s">
        <v>3463</v>
      </c>
      <c r="AK1144" t="s">
        <v>3463</v>
      </c>
      <c r="AL1144" t="s">
        <v>3465</v>
      </c>
      <c r="AM1144" t="s">
        <v>2547</v>
      </c>
      <c r="AN1144" t="s">
        <v>3844</v>
      </c>
      <c r="AP1144" t="s">
        <v>3463</v>
      </c>
      <c r="AQ1144" t="s">
        <v>476</v>
      </c>
      <c r="AR1144" t="s">
        <v>3488</v>
      </c>
      <c r="AS1144" t="s">
        <v>3465</v>
      </c>
      <c r="AT1144" t="s">
        <v>3463</v>
      </c>
      <c r="AV1144" t="s">
        <v>112</v>
      </c>
      <c r="AW1144" t="s">
        <v>3917</v>
      </c>
      <c r="AX1144" t="s">
        <v>3465</v>
      </c>
      <c r="AY1144" t="s">
        <v>3465</v>
      </c>
      <c r="AZ1144" t="s">
        <v>1505</v>
      </c>
      <c r="BA1144" t="s">
        <v>3920</v>
      </c>
      <c r="BF1144" t="s">
        <v>3921</v>
      </c>
      <c r="BH1144" t="s">
        <v>4029</v>
      </c>
      <c r="BI1144" t="s">
        <v>1313</v>
      </c>
      <c r="BK1144" t="s">
        <v>2548</v>
      </c>
      <c r="BL1144" t="s">
        <v>2549</v>
      </c>
      <c r="BP1144" t="s">
        <v>4424</v>
      </c>
      <c r="BQ1144" t="s">
        <v>3463</v>
      </c>
      <c r="BR1144" t="s">
        <v>3463</v>
      </c>
      <c r="BS1144" t="s">
        <v>3463</v>
      </c>
      <c r="BT1144" t="s">
        <v>3465</v>
      </c>
      <c r="BU1144" t="s">
        <v>3463</v>
      </c>
      <c r="BV1144" t="s">
        <v>3463</v>
      </c>
      <c r="BW1144" t="s">
        <v>3463</v>
      </c>
      <c r="BX1144" t="s">
        <v>79</v>
      </c>
      <c r="BY1144" t="s">
        <v>121</v>
      </c>
      <c r="BZ1144" t="s">
        <v>79</v>
      </c>
      <c r="CA1144" s="10">
        <v>45912</v>
      </c>
    </row>
    <row r="1145" spans="1:79">
      <c r="A1145">
        <v>1158</v>
      </c>
      <c r="B1145">
        <v>75</v>
      </c>
      <c r="C1145">
        <v>46</v>
      </c>
      <c r="D1145" t="s">
        <v>3466</v>
      </c>
      <c r="E1145" t="s">
        <v>2550</v>
      </c>
      <c r="F1145" t="s">
        <v>2407</v>
      </c>
      <c r="G1145" s="12" t="s">
        <v>3465</v>
      </c>
      <c r="H1145" s="12" t="s">
        <v>88</v>
      </c>
      <c r="I1145">
        <v>72</v>
      </c>
      <c r="K1145">
        <v>102</v>
      </c>
      <c r="L1145">
        <v>71</v>
      </c>
      <c r="M1145" t="s">
        <v>80</v>
      </c>
      <c r="P1145" t="s">
        <v>83</v>
      </c>
      <c r="Q1145" t="s">
        <v>80</v>
      </c>
      <c r="R1145">
        <v>62.3</v>
      </c>
      <c r="S1145">
        <v>145</v>
      </c>
      <c r="T1145" s="8">
        <f t="shared" si="37"/>
        <v>29.631391200951249</v>
      </c>
      <c r="U1145" s="13" t="str" cm="1">
        <f t="array" ref="U1145">IF(T1145="","",_xlfn.IFS(T1145&lt;18.5,"Bajo peso",T1145&lt;25,"Peso normal",T1145&lt;30,"Sobrepeso",T1145&lt;35,"Obesidad clase I",T1145&lt;40,"Obesidad clase II",T1145&gt;=40,"Obesidad clase III"))</f>
        <v>Sobrepeso</v>
      </c>
      <c r="V1145">
        <v>113</v>
      </c>
      <c r="X1145" t="s">
        <v>3463</v>
      </c>
      <c r="Y1145">
        <v>1.2</v>
      </c>
      <c r="AA1145">
        <v>57</v>
      </c>
      <c r="AB1145" s="9">
        <f t="shared" si="36"/>
        <v>56.535685251315307</v>
      </c>
      <c r="AD1145" t="s">
        <v>158</v>
      </c>
      <c r="AF1145" t="s">
        <v>158</v>
      </c>
      <c r="AH1145" t="s">
        <v>3463</v>
      </c>
      <c r="AI1145" t="s">
        <v>3463</v>
      </c>
      <c r="AJ1145" t="s">
        <v>3463</v>
      </c>
      <c r="AK1145" t="s">
        <v>3465</v>
      </c>
      <c r="AL1145" t="s">
        <v>3463</v>
      </c>
      <c r="AP1145" t="s">
        <v>3463</v>
      </c>
      <c r="AQ1145" t="s">
        <v>169</v>
      </c>
      <c r="AR1145" t="s">
        <v>3493</v>
      </c>
      <c r="AT1145" t="s">
        <v>3465</v>
      </c>
      <c r="AU1145" t="s">
        <v>80</v>
      </c>
      <c r="AV1145" t="s">
        <v>178</v>
      </c>
      <c r="AW1145" t="s">
        <v>3918</v>
      </c>
      <c r="AX1145" t="s">
        <v>3465</v>
      </c>
      <c r="AY1145" t="s">
        <v>3465</v>
      </c>
      <c r="AZ1145" t="s">
        <v>939</v>
      </c>
      <c r="BE1145" t="s">
        <v>2551</v>
      </c>
      <c r="BF1145" t="s">
        <v>3876</v>
      </c>
      <c r="BG1145" t="s">
        <v>2552</v>
      </c>
      <c r="BH1145" t="s">
        <v>4078</v>
      </c>
      <c r="BL1145" t="s">
        <v>1374</v>
      </c>
      <c r="BP1145" t="s">
        <v>4260</v>
      </c>
      <c r="BQ1145" t="s">
        <v>3463</v>
      </c>
      <c r="BR1145" t="s">
        <v>3463</v>
      </c>
      <c r="BS1145" t="s">
        <v>3463</v>
      </c>
      <c r="BT1145" t="s">
        <v>3465</v>
      </c>
      <c r="BU1145" t="s">
        <v>3463</v>
      </c>
      <c r="BV1145" t="s">
        <v>3463</v>
      </c>
      <c r="BW1145" t="s">
        <v>3463</v>
      </c>
      <c r="BX1145" t="s">
        <v>121</v>
      </c>
      <c r="BY1145" t="s">
        <v>79</v>
      </c>
      <c r="BZ1145" t="s">
        <v>79</v>
      </c>
      <c r="CA1145" s="10">
        <v>45912</v>
      </c>
    </row>
    <row r="1146" spans="1:79">
      <c r="A1146">
        <v>1159</v>
      </c>
      <c r="B1146">
        <v>76</v>
      </c>
      <c r="C1146">
        <v>54</v>
      </c>
      <c r="D1146" t="s">
        <v>3462</v>
      </c>
      <c r="E1146" t="s">
        <v>2411</v>
      </c>
      <c r="F1146" t="s">
        <v>2407</v>
      </c>
      <c r="G1146" s="12" t="s">
        <v>3463</v>
      </c>
      <c r="H1146" s="12"/>
      <c r="I1146">
        <v>89</v>
      </c>
      <c r="J1146">
        <v>79</v>
      </c>
      <c r="K1146">
        <v>156</v>
      </c>
      <c r="L1146">
        <v>89</v>
      </c>
      <c r="M1146" t="s">
        <v>72</v>
      </c>
      <c r="N1146">
        <v>172</v>
      </c>
      <c r="O1146">
        <v>86</v>
      </c>
      <c r="P1146" t="s">
        <v>72</v>
      </c>
      <c r="Q1146" t="s">
        <v>72</v>
      </c>
      <c r="R1146">
        <v>103.1</v>
      </c>
      <c r="S1146">
        <v>174</v>
      </c>
      <c r="T1146" s="8">
        <f t="shared" si="37"/>
        <v>34.053375611045048</v>
      </c>
      <c r="U1146" s="13" t="str" cm="1">
        <f t="array" ref="U1146">IF(T1146="","",_xlfn.IFS(T1146&lt;18.5,"Bajo peso",T1146&lt;25,"Peso normal",T1146&lt;30,"Sobrepeso",T1146&lt;35,"Obesidad clase I",T1146&lt;40,"Obesidad clase II",T1146&gt;=40,"Obesidad clase III"))</f>
        <v>Obesidad clase I</v>
      </c>
      <c r="V1146">
        <v>149</v>
      </c>
      <c r="X1146" t="s">
        <v>3463</v>
      </c>
      <c r="Y1146">
        <v>0.77</v>
      </c>
      <c r="AA1146">
        <v>90</v>
      </c>
      <c r="AB1146" s="9">
        <f t="shared" si="36"/>
        <v>106.38857046434593</v>
      </c>
      <c r="AD1146" t="s">
        <v>73</v>
      </c>
      <c r="AF1146" t="s">
        <v>73</v>
      </c>
      <c r="AH1146" t="s">
        <v>3463</v>
      </c>
      <c r="AI1146" t="s">
        <v>3465</v>
      </c>
      <c r="AJ1146" t="s">
        <v>3463</v>
      </c>
      <c r="AK1146" t="s">
        <v>3463</v>
      </c>
      <c r="AL1146" t="s">
        <v>3463</v>
      </c>
      <c r="AP1146" t="s">
        <v>3463</v>
      </c>
      <c r="AQ1146" t="s">
        <v>1567</v>
      </c>
      <c r="AR1146" t="s">
        <v>3491</v>
      </c>
      <c r="AS1146" t="s">
        <v>3465</v>
      </c>
      <c r="AV1146" t="s">
        <v>74</v>
      </c>
      <c r="AW1146" t="s">
        <v>3915</v>
      </c>
      <c r="BA1146" t="s">
        <v>3920</v>
      </c>
      <c r="BF1146" t="s">
        <v>3921</v>
      </c>
      <c r="BH1146" t="s">
        <v>4076</v>
      </c>
      <c r="BI1146" t="s">
        <v>411</v>
      </c>
      <c r="BK1146" t="s">
        <v>2553</v>
      </c>
      <c r="BL1146" t="s">
        <v>2554</v>
      </c>
      <c r="BP1146" t="s">
        <v>4320</v>
      </c>
      <c r="BQ1146" t="s">
        <v>3463</v>
      </c>
      <c r="BR1146" t="s">
        <v>3465</v>
      </c>
      <c r="BS1146" t="s">
        <v>3463</v>
      </c>
      <c r="BT1146" t="s">
        <v>3463</v>
      </c>
      <c r="BU1146" t="s">
        <v>3463</v>
      </c>
      <c r="BV1146" t="s">
        <v>3463</v>
      </c>
      <c r="BW1146" t="s">
        <v>3463</v>
      </c>
      <c r="BX1146" t="s">
        <v>79</v>
      </c>
      <c r="BY1146" t="s">
        <v>87</v>
      </c>
      <c r="BZ1146" t="s">
        <v>95</v>
      </c>
      <c r="CA1146" s="10">
        <v>45912</v>
      </c>
    </row>
    <row r="1147" spans="1:79">
      <c r="A1147">
        <v>1160</v>
      </c>
      <c r="B1147">
        <v>77</v>
      </c>
      <c r="C1147">
        <v>46</v>
      </c>
      <c r="D1147" t="s">
        <v>3462</v>
      </c>
      <c r="E1147" t="s">
        <v>2555</v>
      </c>
      <c r="F1147" t="s">
        <v>2407</v>
      </c>
      <c r="G1147" s="12" t="s">
        <v>3463</v>
      </c>
      <c r="I1147">
        <v>62</v>
      </c>
      <c r="J1147">
        <v>63</v>
      </c>
      <c r="K1147">
        <v>158</v>
      </c>
      <c r="L1147">
        <v>93</v>
      </c>
      <c r="M1147" t="s">
        <v>72</v>
      </c>
      <c r="N1147">
        <v>164</v>
      </c>
      <c r="O1147">
        <v>94</v>
      </c>
      <c r="P1147" t="s">
        <v>72</v>
      </c>
      <c r="Q1147" t="s">
        <v>72</v>
      </c>
      <c r="R1147">
        <v>78.2</v>
      </c>
      <c r="S1147">
        <v>160.5</v>
      </c>
      <c r="T1147" s="8">
        <f t="shared" si="37"/>
        <v>30.356848244873401</v>
      </c>
      <c r="U1147" s="13" t="str" cm="1">
        <f t="array" ref="U1147">IF(T1147="","",_xlfn.IFS(T1147&lt;18.5,"Bajo peso",T1147&lt;25,"Peso normal",T1147&lt;30,"Sobrepeso",T1147&lt;35,"Obesidad clase I",T1147&lt;40,"Obesidad clase II",T1147&gt;=40,"Obesidad clase III"))</f>
        <v>Obesidad clase I</v>
      </c>
      <c r="V1147">
        <v>101</v>
      </c>
      <c r="X1147" t="s">
        <v>3463</v>
      </c>
      <c r="Y1147">
        <v>0.8</v>
      </c>
      <c r="AA1147">
        <v>90</v>
      </c>
      <c r="AB1147" s="9">
        <f t="shared" si="36"/>
        <v>110.53251631112336</v>
      </c>
      <c r="AD1147" t="s">
        <v>73</v>
      </c>
      <c r="AF1147" t="s">
        <v>73</v>
      </c>
      <c r="AH1147" t="s">
        <v>3463</v>
      </c>
      <c r="AI1147" t="s">
        <v>3463</v>
      </c>
      <c r="AJ1147" t="s">
        <v>3463</v>
      </c>
      <c r="AK1147" t="s">
        <v>3463</v>
      </c>
      <c r="AL1147" t="s">
        <v>3463</v>
      </c>
      <c r="AP1147" t="s">
        <v>3463</v>
      </c>
      <c r="AQ1147" t="s">
        <v>2556</v>
      </c>
      <c r="AR1147" t="s">
        <v>3565</v>
      </c>
      <c r="AV1147" t="s">
        <v>178</v>
      </c>
      <c r="AW1147" t="s">
        <v>3918</v>
      </c>
      <c r="BF1147" t="s">
        <v>3921</v>
      </c>
      <c r="BH1147" t="s">
        <v>4020</v>
      </c>
      <c r="BP1147" t="s">
        <v>4260</v>
      </c>
      <c r="BQ1147" t="s">
        <v>3463</v>
      </c>
      <c r="BR1147" t="s">
        <v>3465</v>
      </c>
      <c r="BS1147" t="s">
        <v>3463</v>
      </c>
      <c r="BT1147" t="s">
        <v>3463</v>
      </c>
      <c r="BU1147" t="s">
        <v>3463</v>
      </c>
      <c r="BV1147" t="s">
        <v>3463</v>
      </c>
      <c r="BW1147" t="s">
        <v>3463</v>
      </c>
      <c r="BX1147" t="s">
        <v>79</v>
      </c>
      <c r="BY1147" t="s">
        <v>79</v>
      </c>
      <c r="BZ1147" t="s">
        <v>79</v>
      </c>
      <c r="CA1147" s="10">
        <v>45912</v>
      </c>
    </row>
    <row r="1148" spans="1:79">
      <c r="A1148">
        <v>1161</v>
      </c>
      <c r="B1148">
        <v>78</v>
      </c>
      <c r="C1148">
        <v>56</v>
      </c>
      <c r="D1148" t="s">
        <v>3462</v>
      </c>
      <c r="F1148" t="s">
        <v>2407</v>
      </c>
      <c r="G1148" s="12" t="s">
        <v>3463</v>
      </c>
      <c r="H1148" s="12"/>
      <c r="M1148" t="s">
        <v>83</v>
      </c>
      <c r="P1148" t="s">
        <v>83</v>
      </c>
      <c r="Q1148" t="s">
        <v>83</v>
      </c>
      <c r="T1148" s="8" t="str">
        <f t="shared" si="37"/>
        <v/>
      </c>
      <c r="U1148" s="13" t="str" cm="1">
        <f t="array" ref="U1148">IF(T1148="","",_xlfn.IFS(T1148&lt;18.5,"Bajo peso",T1148&lt;25,"Peso normal",T1148&lt;30,"Sobrepeso",T1148&lt;35,"Obesidad clase I",T1148&lt;40,"Obesidad clase II",T1148&gt;=40,"Obesidad clase III"))</f>
        <v/>
      </c>
      <c r="AB1148" s="9" t="str">
        <f t="shared" si="36"/>
        <v/>
      </c>
      <c r="AH1148" t="s">
        <v>3463</v>
      </c>
      <c r="AI1148" t="s">
        <v>3463</v>
      </c>
      <c r="AJ1148" t="s">
        <v>3463</v>
      </c>
      <c r="AK1148" t="s">
        <v>3463</v>
      </c>
      <c r="AL1148" t="s">
        <v>3463</v>
      </c>
      <c r="AP1148" t="s">
        <v>3463</v>
      </c>
      <c r="AV1148" t="s">
        <v>126</v>
      </c>
      <c r="AW1148" t="s">
        <v>126</v>
      </c>
      <c r="BF1148" t="s">
        <v>3921</v>
      </c>
      <c r="BH1148" t="s">
        <v>4020</v>
      </c>
      <c r="BP1148" t="s">
        <v>4260</v>
      </c>
      <c r="BQ1148" t="s">
        <v>3463</v>
      </c>
      <c r="BR1148" t="s">
        <v>3463</v>
      </c>
      <c r="BS1148" t="s">
        <v>3463</v>
      </c>
      <c r="BT1148" t="s">
        <v>3463</v>
      </c>
      <c r="BU1148" t="s">
        <v>3463</v>
      </c>
      <c r="BV1148" t="s">
        <v>3463</v>
      </c>
      <c r="BW1148" t="s">
        <v>3463</v>
      </c>
      <c r="BX1148" t="s">
        <v>79</v>
      </c>
      <c r="BY1148" t="s">
        <v>87</v>
      </c>
      <c r="BZ1148" t="s">
        <v>79</v>
      </c>
      <c r="CA1148" s="10">
        <v>45912</v>
      </c>
    </row>
    <row r="1149" spans="1:79">
      <c r="A1149">
        <v>1162</v>
      </c>
      <c r="B1149">
        <v>79</v>
      </c>
      <c r="C1149">
        <v>56</v>
      </c>
      <c r="D1149" t="s">
        <v>3466</v>
      </c>
      <c r="E1149" t="s">
        <v>2557</v>
      </c>
      <c r="F1149" t="s">
        <v>168</v>
      </c>
      <c r="G1149" s="12" t="s">
        <v>3463</v>
      </c>
      <c r="H1149" s="12"/>
      <c r="I1149">
        <v>66</v>
      </c>
      <c r="J1149">
        <v>62</v>
      </c>
      <c r="K1149">
        <v>152</v>
      </c>
      <c r="L1149">
        <v>90</v>
      </c>
      <c r="M1149" t="s">
        <v>72</v>
      </c>
      <c r="N1149">
        <v>154</v>
      </c>
      <c r="O1149">
        <v>84</v>
      </c>
      <c r="P1149" t="s">
        <v>72</v>
      </c>
      <c r="Q1149" t="s">
        <v>72</v>
      </c>
      <c r="R1149">
        <v>82.35</v>
      </c>
      <c r="S1149">
        <v>161</v>
      </c>
      <c r="T1149" s="8">
        <f t="shared" si="37"/>
        <v>31.769607654025691</v>
      </c>
      <c r="U1149" s="13" t="str" cm="1">
        <f t="array" ref="U1149">IF(T1149="","",_xlfn.IFS(T1149&lt;18.5,"Bajo peso",T1149&lt;25,"Peso normal",T1149&lt;30,"Sobrepeso",T1149&lt;35,"Obesidad clase I",T1149&lt;40,"Obesidad clase II",T1149&gt;=40,"Obesidad clase III"))</f>
        <v>Obesidad clase I</v>
      </c>
      <c r="V1149">
        <v>91</v>
      </c>
      <c r="X1149" t="s">
        <v>3463</v>
      </c>
      <c r="Y1149">
        <v>0.76</v>
      </c>
      <c r="AA1149">
        <v>90</v>
      </c>
      <c r="AB1149" s="9">
        <f t="shared" si="36"/>
        <v>91.908095978413414</v>
      </c>
      <c r="AD1149" t="s">
        <v>73</v>
      </c>
      <c r="AF1149" t="s">
        <v>73</v>
      </c>
      <c r="AH1149" t="s">
        <v>3463</v>
      </c>
      <c r="AI1149" t="s">
        <v>3463</v>
      </c>
      <c r="AJ1149" t="s">
        <v>3464</v>
      </c>
      <c r="AK1149" t="s">
        <v>3465</v>
      </c>
      <c r="AL1149" t="s">
        <v>3463</v>
      </c>
      <c r="AP1149" t="s">
        <v>3463</v>
      </c>
      <c r="AQ1149" t="s">
        <v>2558</v>
      </c>
      <c r="AR1149" t="s">
        <v>3504</v>
      </c>
      <c r="AT1149" t="s">
        <v>3465</v>
      </c>
      <c r="AU1149" t="s">
        <v>80</v>
      </c>
      <c r="AV1149" t="s">
        <v>74</v>
      </c>
      <c r="AW1149" t="s">
        <v>3915</v>
      </c>
      <c r="AX1149" t="s">
        <v>3465</v>
      </c>
      <c r="AY1149" t="s">
        <v>3463</v>
      </c>
      <c r="BF1149" t="s">
        <v>3921</v>
      </c>
      <c r="BH1149" t="s">
        <v>4020</v>
      </c>
      <c r="BP1149" t="s">
        <v>4260</v>
      </c>
      <c r="BQ1149" t="s">
        <v>3463</v>
      </c>
      <c r="BR1149" t="s">
        <v>3463</v>
      </c>
      <c r="BS1149" t="s">
        <v>3463</v>
      </c>
      <c r="BT1149" t="s">
        <v>3463</v>
      </c>
      <c r="BU1149" t="s">
        <v>3463</v>
      </c>
      <c r="BV1149" t="s">
        <v>3463</v>
      </c>
      <c r="BW1149" t="s">
        <v>3463</v>
      </c>
      <c r="BX1149" t="s">
        <v>79</v>
      </c>
      <c r="BY1149" t="s">
        <v>87</v>
      </c>
      <c r="BZ1149" t="s">
        <v>79</v>
      </c>
      <c r="CA1149" s="10">
        <v>45912</v>
      </c>
    </row>
    <row r="1150" spans="1:79">
      <c r="A1150">
        <v>1163</v>
      </c>
      <c r="B1150">
        <v>80</v>
      </c>
      <c r="C1150">
        <v>65</v>
      </c>
      <c r="D1150" t="s">
        <v>3466</v>
      </c>
      <c r="E1150" t="s">
        <v>2416</v>
      </c>
      <c r="F1150" t="s">
        <v>2407</v>
      </c>
      <c r="G1150" s="12" t="s">
        <v>3463</v>
      </c>
      <c r="J1150">
        <v>73</v>
      </c>
      <c r="K1150">
        <v>143</v>
      </c>
      <c r="L1150">
        <v>77</v>
      </c>
      <c r="M1150" t="s">
        <v>72</v>
      </c>
      <c r="N1150">
        <v>133</v>
      </c>
      <c r="O1150">
        <v>63</v>
      </c>
      <c r="P1150" t="s">
        <v>82</v>
      </c>
      <c r="Q1150" t="s">
        <v>82</v>
      </c>
      <c r="R1150">
        <v>47.5</v>
      </c>
      <c r="S1150">
        <v>153</v>
      </c>
      <c r="T1150" s="8">
        <f t="shared" si="37"/>
        <v>20.291340937246357</v>
      </c>
      <c r="U1150" s="13" t="str" cm="1">
        <f t="array" ref="U1150">IF(T1150="","",_xlfn.IFS(T1150&lt;18.5,"Bajo peso",T1150&lt;25,"Peso normal",T1150&lt;30,"Sobrepeso",T1150&lt;35,"Obesidad clase I",T1150&lt;40,"Obesidad clase II",T1150&gt;=40,"Obesidad clase III"))</f>
        <v>Peso normal</v>
      </c>
      <c r="V1150">
        <v>93</v>
      </c>
      <c r="X1150" t="s">
        <v>3463</v>
      </c>
      <c r="Y1150">
        <v>0.68</v>
      </c>
      <c r="AA1150">
        <v>90</v>
      </c>
      <c r="AB1150" s="9">
        <f t="shared" si="36"/>
        <v>96.591151432799748</v>
      </c>
      <c r="AD1150" t="s">
        <v>73</v>
      </c>
      <c r="AF1150" t="s">
        <v>73</v>
      </c>
      <c r="AH1150" t="s">
        <v>3463</v>
      </c>
      <c r="AI1150" t="s">
        <v>3463</v>
      </c>
      <c r="AJ1150" t="s">
        <v>3463</v>
      </c>
      <c r="AK1150" t="s">
        <v>3463</v>
      </c>
      <c r="AL1150" t="s">
        <v>3465</v>
      </c>
      <c r="AM1150" t="s">
        <v>2559</v>
      </c>
      <c r="AN1150" t="s">
        <v>3845</v>
      </c>
      <c r="AO1150" t="s">
        <v>3465</v>
      </c>
      <c r="AP1150" t="s">
        <v>3465</v>
      </c>
      <c r="AQ1150" t="s">
        <v>2560</v>
      </c>
      <c r="AR1150" t="s">
        <v>3491</v>
      </c>
      <c r="AT1150" t="s">
        <v>3465</v>
      </c>
      <c r="AU1150" t="s">
        <v>1899</v>
      </c>
      <c r="AV1150" t="s">
        <v>178</v>
      </c>
      <c r="AW1150" t="s">
        <v>3918</v>
      </c>
      <c r="AX1150" t="s">
        <v>3463</v>
      </c>
      <c r="AY1150" t="s">
        <v>3465</v>
      </c>
      <c r="AZ1150" t="s">
        <v>1094</v>
      </c>
      <c r="BF1150" t="s">
        <v>3921</v>
      </c>
      <c r="BH1150" t="s">
        <v>4020</v>
      </c>
      <c r="BP1150" t="s">
        <v>4260</v>
      </c>
      <c r="BQ1150" t="s">
        <v>3465</v>
      </c>
      <c r="BR1150" t="s">
        <v>3465</v>
      </c>
      <c r="BS1150" t="s">
        <v>3463</v>
      </c>
      <c r="BT1150" t="s">
        <v>3463</v>
      </c>
      <c r="BU1150" t="s">
        <v>3463</v>
      </c>
      <c r="BV1150" t="s">
        <v>3463</v>
      </c>
      <c r="BW1150" t="s">
        <v>3463</v>
      </c>
      <c r="BX1150" t="s">
        <v>79</v>
      </c>
      <c r="BY1150" t="s">
        <v>87</v>
      </c>
      <c r="BZ1150" t="s">
        <v>79</v>
      </c>
      <c r="CA1150" s="10">
        <v>45912</v>
      </c>
    </row>
    <row r="1151" spans="1:79">
      <c r="A1151">
        <v>1164</v>
      </c>
      <c r="B1151">
        <v>81</v>
      </c>
      <c r="C1151">
        <v>51</v>
      </c>
      <c r="D1151" t="s">
        <v>3462</v>
      </c>
      <c r="F1151" t="s">
        <v>2407</v>
      </c>
      <c r="G1151" s="12" t="s">
        <v>3463</v>
      </c>
      <c r="H1151" s="12"/>
      <c r="I1151">
        <v>69</v>
      </c>
      <c r="J1151">
        <v>64</v>
      </c>
      <c r="K1151">
        <v>148</v>
      </c>
      <c r="L1151">
        <v>81</v>
      </c>
      <c r="M1151" t="s">
        <v>72</v>
      </c>
      <c r="N1151">
        <v>154</v>
      </c>
      <c r="O1151">
        <v>81</v>
      </c>
      <c r="P1151" t="s">
        <v>72</v>
      </c>
      <c r="Q1151" t="s">
        <v>72</v>
      </c>
      <c r="R1151">
        <v>90.15</v>
      </c>
      <c r="S1151">
        <v>165</v>
      </c>
      <c r="T1151" s="8">
        <f t="shared" si="37"/>
        <v>33.112947658402206</v>
      </c>
      <c r="U1151" s="13" t="str" cm="1">
        <f t="array" ref="U1151">IF(T1151="","",_xlfn.IFS(T1151&lt;18.5,"Bajo peso",T1151&lt;25,"Peso normal",T1151&lt;30,"Sobrepeso",T1151&lt;35,"Obesidad clase I",T1151&lt;40,"Obesidad clase II",T1151&gt;=40,"Obesidad clase III"))</f>
        <v>Obesidad clase I</v>
      </c>
      <c r="V1151">
        <v>109</v>
      </c>
      <c r="X1151" t="s">
        <v>3463</v>
      </c>
      <c r="Y1151">
        <v>0.77</v>
      </c>
      <c r="AA1151">
        <v>90</v>
      </c>
      <c r="AB1151" s="9">
        <f t="shared" si="36"/>
        <v>108.39219126731523</v>
      </c>
      <c r="AD1151" t="s">
        <v>73</v>
      </c>
      <c r="AF1151" t="s">
        <v>73</v>
      </c>
      <c r="AH1151" t="s">
        <v>3463</v>
      </c>
      <c r="AI1151" t="s">
        <v>3463</v>
      </c>
      <c r="AJ1151" t="s">
        <v>3463</v>
      </c>
      <c r="AK1151" t="s">
        <v>3463</v>
      </c>
      <c r="AL1151" t="s">
        <v>3465</v>
      </c>
      <c r="AM1151" t="s">
        <v>2561</v>
      </c>
      <c r="AN1151" t="s">
        <v>3846</v>
      </c>
      <c r="AP1151" t="s">
        <v>3463</v>
      </c>
      <c r="AQ1151" t="s">
        <v>2562</v>
      </c>
      <c r="AR1151" t="s">
        <v>3594</v>
      </c>
      <c r="AV1151" t="s">
        <v>178</v>
      </c>
      <c r="AW1151" t="s">
        <v>3918</v>
      </c>
      <c r="BF1151" t="s">
        <v>3921</v>
      </c>
      <c r="BH1151" t="s">
        <v>4020</v>
      </c>
      <c r="BP1151" t="s">
        <v>4260</v>
      </c>
      <c r="BQ1151" t="s">
        <v>3463</v>
      </c>
      <c r="BR1151" t="s">
        <v>3465</v>
      </c>
      <c r="BS1151" t="s">
        <v>3463</v>
      </c>
      <c r="BT1151" t="s">
        <v>3463</v>
      </c>
      <c r="BU1151" t="s">
        <v>3463</v>
      </c>
      <c r="BV1151" t="s">
        <v>3463</v>
      </c>
      <c r="BW1151" t="s">
        <v>3463</v>
      </c>
      <c r="BX1151" t="s">
        <v>79</v>
      </c>
      <c r="BY1151" t="s">
        <v>79</v>
      </c>
      <c r="BZ1151" t="s">
        <v>79</v>
      </c>
      <c r="CA1151" s="10">
        <v>45912</v>
      </c>
    </row>
    <row r="1152" spans="1:79">
      <c r="A1152">
        <v>1165</v>
      </c>
      <c r="B1152">
        <v>82</v>
      </c>
      <c r="C1152">
        <v>38</v>
      </c>
      <c r="D1152" t="s">
        <v>3466</v>
      </c>
      <c r="E1152" t="s">
        <v>450</v>
      </c>
      <c r="F1152" t="s">
        <v>2407</v>
      </c>
      <c r="G1152" s="12" t="s">
        <v>3465</v>
      </c>
      <c r="H1152" t="s">
        <v>88</v>
      </c>
      <c r="M1152" t="s">
        <v>83</v>
      </c>
      <c r="P1152" t="s">
        <v>83</v>
      </c>
      <c r="Q1152" t="s">
        <v>83</v>
      </c>
      <c r="T1152" s="8" t="str">
        <f t="shared" si="37"/>
        <v/>
      </c>
      <c r="U1152" s="13" t="str" cm="1">
        <f t="array" ref="U1152">IF(T1152="","",_xlfn.IFS(T1152&lt;18.5,"Bajo peso",T1152&lt;25,"Peso normal",T1152&lt;30,"Sobrepeso",T1152&lt;35,"Obesidad clase I",T1152&lt;40,"Obesidad clase II",T1152&gt;=40,"Obesidad clase III"))</f>
        <v/>
      </c>
      <c r="AB1152" s="9" t="str">
        <f t="shared" si="36"/>
        <v/>
      </c>
      <c r="AH1152" t="s">
        <v>3463</v>
      </c>
      <c r="AI1152" t="s">
        <v>3463</v>
      </c>
      <c r="AJ1152" t="s">
        <v>3463</v>
      </c>
      <c r="AK1152" t="s">
        <v>3463</v>
      </c>
      <c r="AL1152" t="s">
        <v>3465</v>
      </c>
      <c r="AM1152" t="s">
        <v>110</v>
      </c>
      <c r="AN1152" t="s">
        <v>110</v>
      </c>
      <c r="AP1152" t="s">
        <v>3463</v>
      </c>
      <c r="AQ1152" t="s">
        <v>89</v>
      </c>
      <c r="AR1152" t="s">
        <v>3488</v>
      </c>
      <c r="AV1152" t="s">
        <v>74</v>
      </c>
      <c r="AW1152" t="s">
        <v>3915</v>
      </c>
      <c r="AX1152" t="s">
        <v>3463</v>
      </c>
      <c r="AY1152" t="s">
        <v>3465</v>
      </c>
      <c r="AZ1152" t="s">
        <v>90</v>
      </c>
      <c r="BF1152" t="s">
        <v>3921</v>
      </c>
      <c r="BH1152" t="s">
        <v>4020</v>
      </c>
      <c r="BP1152" t="s">
        <v>4260</v>
      </c>
      <c r="BQ1152" t="s">
        <v>3463</v>
      </c>
      <c r="BR1152" t="s">
        <v>3465</v>
      </c>
      <c r="BS1152" t="s">
        <v>3465</v>
      </c>
      <c r="BT1152" t="s">
        <v>3465</v>
      </c>
      <c r="BU1152" t="s">
        <v>3463</v>
      </c>
      <c r="BV1152" t="s">
        <v>3463</v>
      </c>
      <c r="BW1152" t="s">
        <v>3463</v>
      </c>
      <c r="BX1152" t="s">
        <v>79</v>
      </c>
      <c r="BY1152" t="s">
        <v>87</v>
      </c>
      <c r="BZ1152" t="s">
        <v>79</v>
      </c>
      <c r="CA1152" s="10">
        <v>45912</v>
      </c>
    </row>
    <row r="1153" spans="1:79">
      <c r="A1153">
        <v>1166</v>
      </c>
      <c r="B1153">
        <v>83</v>
      </c>
      <c r="C1153">
        <v>84</v>
      </c>
      <c r="D1153" t="s">
        <v>3466</v>
      </c>
      <c r="E1153" t="s">
        <v>2411</v>
      </c>
      <c r="F1153" t="s">
        <v>2407</v>
      </c>
      <c r="G1153" s="12" t="s">
        <v>3463</v>
      </c>
      <c r="H1153" s="12"/>
      <c r="I1153">
        <v>67</v>
      </c>
      <c r="J1153">
        <v>69</v>
      </c>
      <c r="K1153">
        <v>144</v>
      </c>
      <c r="L1153">
        <v>66</v>
      </c>
      <c r="M1153" t="s">
        <v>72</v>
      </c>
      <c r="N1153">
        <v>138</v>
      </c>
      <c r="O1153">
        <v>66</v>
      </c>
      <c r="P1153" t="s">
        <v>82</v>
      </c>
      <c r="Q1153" t="s">
        <v>82</v>
      </c>
      <c r="R1153">
        <v>89.3</v>
      </c>
      <c r="S1153">
        <v>151</v>
      </c>
      <c r="T1153" s="8">
        <f t="shared" si="37"/>
        <v>39.164948905749746</v>
      </c>
      <c r="U1153" s="13" t="str" cm="1">
        <f t="array" ref="U1153">IF(T1153="","",_xlfn.IFS(T1153&lt;18.5,"Bajo peso",T1153&lt;25,"Peso normal",T1153&lt;30,"Sobrepeso",T1153&lt;35,"Obesidad clase I",T1153&lt;40,"Obesidad clase II",T1153&gt;=40,"Obesidad clase III"))</f>
        <v>Obesidad clase II</v>
      </c>
      <c r="V1153">
        <v>102</v>
      </c>
      <c r="X1153" t="s">
        <v>3463</v>
      </c>
      <c r="Y1153">
        <v>0.71</v>
      </c>
      <c r="AA1153">
        <v>83</v>
      </c>
      <c r="AB1153" s="9">
        <f t="shared" si="36"/>
        <v>83.789934097680629</v>
      </c>
      <c r="AD1153" t="s">
        <v>73</v>
      </c>
      <c r="AF1153" t="s">
        <v>73</v>
      </c>
      <c r="AH1153" t="s">
        <v>3463</v>
      </c>
      <c r="AI1153" t="s">
        <v>3465</v>
      </c>
      <c r="AJ1153" t="s">
        <v>3465</v>
      </c>
      <c r="AK1153" t="s">
        <v>3463</v>
      </c>
      <c r="AL1153" t="s">
        <v>3465</v>
      </c>
      <c r="AM1153" t="s">
        <v>110</v>
      </c>
      <c r="AN1153" t="s">
        <v>110</v>
      </c>
      <c r="AO1153" t="s">
        <v>3463</v>
      </c>
      <c r="AP1153" t="s">
        <v>3465</v>
      </c>
      <c r="AS1153" t="s">
        <v>3465</v>
      </c>
      <c r="AT1153" t="s">
        <v>3463</v>
      </c>
      <c r="AV1153" t="s">
        <v>74</v>
      </c>
      <c r="AW1153" t="s">
        <v>3915</v>
      </c>
      <c r="AX1153" t="s">
        <v>3463</v>
      </c>
      <c r="AY1153" t="s">
        <v>3463</v>
      </c>
      <c r="BF1153" t="s">
        <v>3921</v>
      </c>
      <c r="BH1153" t="s">
        <v>4020</v>
      </c>
      <c r="BP1153" t="s">
        <v>4260</v>
      </c>
      <c r="BQ1153" t="s">
        <v>3463</v>
      </c>
      <c r="BR1153" t="s">
        <v>3463</v>
      </c>
      <c r="BS1153" t="s">
        <v>3463</v>
      </c>
      <c r="BT1153" t="s">
        <v>3463</v>
      </c>
      <c r="BU1153" t="s">
        <v>3463</v>
      </c>
      <c r="BV1153" t="s">
        <v>3463</v>
      </c>
      <c r="BW1153" t="s">
        <v>3463</v>
      </c>
      <c r="BX1153" t="s">
        <v>79</v>
      </c>
      <c r="BY1153" t="s">
        <v>79</v>
      </c>
      <c r="BZ1153" t="s">
        <v>79</v>
      </c>
      <c r="CA1153" s="10">
        <v>45912</v>
      </c>
    </row>
    <row r="1154" spans="1:79">
      <c r="A1154">
        <v>1167</v>
      </c>
      <c r="B1154">
        <v>84</v>
      </c>
      <c r="C1154">
        <v>36</v>
      </c>
      <c r="D1154" t="s">
        <v>3466</v>
      </c>
      <c r="E1154" t="s">
        <v>2550</v>
      </c>
      <c r="F1154" t="s">
        <v>2407</v>
      </c>
      <c r="G1154" s="12" t="s">
        <v>3465</v>
      </c>
      <c r="H1154" t="s">
        <v>88</v>
      </c>
      <c r="I1154">
        <v>79</v>
      </c>
      <c r="K1154">
        <v>128</v>
      </c>
      <c r="L1154">
        <v>77</v>
      </c>
      <c r="M1154" t="s">
        <v>118</v>
      </c>
      <c r="P1154" t="s">
        <v>83</v>
      </c>
      <c r="Q1154" t="s">
        <v>118</v>
      </c>
      <c r="R1154">
        <v>70.099999999999994</v>
      </c>
      <c r="S1154">
        <v>156</v>
      </c>
      <c r="T1154" s="8">
        <f t="shared" si="37"/>
        <v>28.805062458908612</v>
      </c>
      <c r="U1154" s="13" t="str" cm="1">
        <f t="array" ref="U1154">IF(T1154="","",_xlfn.IFS(T1154&lt;18.5,"Bajo peso",T1154&lt;25,"Peso normal",T1154&lt;30,"Sobrepeso",T1154&lt;35,"Obesidad clase I",T1154&lt;40,"Obesidad clase II",T1154&gt;=40,"Obesidad clase III"))</f>
        <v>Sobrepeso</v>
      </c>
      <c r="V1154">
        <v>76</v>
      </c>
      <c r="X1154" t="s">
        <v>3463</v>
      </c>
      <c r="Y1154">
        <v>0.82</v>
      </c>
      <c r="AA1154">
        <v>90</v>
      </c>
      <c r="AB1154" s="9">
        <f t="shared" si="36"/>
        <v>95.010938673888447</v>
      </c>
      <c r="AD1154" t="s">
        <v>73</v>
      </c>
      <c r="AF1154" t="s">
        <v>73</v>
      </c>
      <c r="AH1154" t="s">
        <v>3463</v>
      </c>
      <c r="AI1154" t="s">
        <v>3463</v>
      </c>
      <c r="AJ1154" t="s">
        <v>3463</v>
      </c>
      <c r="AK1154" t="s">
        <v>3463</v>
      </c>
      <c r="AL1154" t="s">
        <v>3465</v>
      </c>
      <c r="AM1154" t="s">
        <v>2563</v>
      </c>
      <c r="AN1154" t="s">
        <v>3780</v>
      </c>
      <c r="AP1154" t="s">
        <v>3463</v>
      </c>
      <c r="AQ1154" t="s">
        <v>159</v>
      </c>
      <c r="AR1154" t="s">
        <v>3491</v>
      </c>
      <c r="AV1154" t="s">
        <v>74</v>
      </c>
      <c r="AW1154" t="s">
        <v>3915</v>
      </c>
      <c r="AX1154" t="s">
        <v>3463</v>
      </c>
      <c r="AY1154" t="s">
        <v>3465</v>
      </c>
      <c r="AZ1154" t="s">
        <v>2564</v>
      </c>
      <c r="BF1154" t="s">
        <v>3921</v>
      </c>
      <c r="BH1154" t="s">
        <v>4020</v>
      </c>
      <c r="BP1154" t="s">
        <v>4260</v>
      </c>
      <c r="BQ1154" t="s">
        <v>3463</v>
      </c>
      <c r="BR1154" t="s">
        <v>3465</v>
      </c>
      <c r="BS1154" t="s">
        <v>3465</v>
      </c>
      <c r="BT1154" t="s">
        <v>3465</v>
      </c>
      <c r="BU1154" t="s">
        <v>3463</v>
      </c>
      <c r="BV1154" t="s">
        <v>3463</v>
      </c>
      <c r="BW1154" t="s">
        <v>3463</v>
      </c>
      <c r="BX1154" t="s">
        <v>79</v>
      </c>
      <c r="BY1154" t="s">
        <v>79</v>
      </c>
      <c r="BZ1154" t="s">
        <v>79</v>
      </c>
      <c r="CA1154" s="10">
        <v>45912</v>
      </c>
    </row>
    <row r="1155" spans="1:79">
      <c r="A1155">
        <v>1168</v>
      </c>
      <c r="B1155">
        <v>85</v>
      </c>
      <c r="C1155">
        <v>27</v>
      </c>
      <c r="D1155" t="s">
        <v>3462</v>
      </c>
      <c r="E1155" t="s">
        <v>2565</v>
      </c>
      <c r="F1155" t="s">
        <v>1804</v>
      </c>
      <c r="G1155" s="12" t="s">
        <v>3463</v>
      </c>
      <c r="I1155">
        <v>90</v>
      </c>
      <c r="J1155">
        <v>96</v>
      </c>
      <c r="K1155">
        <v>158</v>
      </c>
      <c r="L1155">
        <v>90</v>
      </c>
      <c r="M1155" t="s">
        <v>72</v>
      </c>
      <c r="N1155">
        <v>144</v>
      </c>
      <c r="O1155">
        <v>91</v>
      </c>
      <c r="P1155" t="s">
        <v>72</v>
      </c>
      <c r="Q1155" t="s">
        <v>72</v>
      </c>
      <c r="R1155">
        <v>71.2</v>
      </c>
      <c r="S1155">
        <v>166</v>
      </c>
      <c r="T1155" s="8">
        <f t="shared" si="37"/>
        <v>25.838292930759184</v>
      </c>
      <c r="U1155" s="13" t="str" cm="1">
        <f t="array" ref="U1155">IF(T1155="","",_xlfn.IFS(T1155&lt;18.5,"Bajo peso",T1155&lt;25,"Peso normal",T1155&lt;30,"Sobrepeso",T1155&lt;35,"Obesidad clase I",T1155&lt;40,"Obesidad clase II",T1155&gt;=40,"Obesidad clase III"))</f>
        <v>Sobrepeso</v>
      </c>
      <c r="V1155">
        <v>134</v>
      </c>
      <c r="X1155" t="s">
        <v>3463</v>
      </c>
      <c r="Y1155">
        <v>0.86</v>
      </c>
      <c r="AA1155">
        <v>90</v>
      </c>
      <c r="AB1155" s="9">
        <f t="shared" si="36"/>
        <v>121.70932252875647</v>
      </c>
      <c r="AD1155" t="s">
        <v>73</v>
      </c>
      <c r="AF1155" t="s">
        <v>73</v>
      </c>
      <c r="AH1155" t="s">
        <v>3463</v>
      </c>
      <c r="AI1155" t="s">
        <v>3463</v>
      </c>
      <c r="AJ1155" t="s">
        <v>3463</v>
      </c>
      <c r="AK1155" t="s">
        <v>3463</v>
      </c>
      <c r="AL1155" t="s">
        <v>3463</v>
      </c>
      <c r="AO1155" t="s">
        <v>3464</v>
      </c>
      <c r="AP1155" t="s">
        <v>3465</v>
      </c>
      <c r="AQ1155" t="s">
        <v>148</v>
      </c>
      <c r="AR1155" t="s">
        <v>3491</v>
      </c>
      <c r="AV1155" t="s">
        <v>126</v>
      </c>
      <c r="AW1155" t="s">
        <v>126</v>
      </c>
      <c r="BF1155" t="s">
        <v>3921</v>
      </c>
      <c r="BH1155" t="s">
        <v>4020</v>
      </c>
      <c r="BP1155" t="s">
        <v>4260</v>
      </c>
      <c r="BQ1155" t="s">
        <v>3463</v>
      </c>
      <c r="BR1155" t="s">
        <v>3465</v>
      </c>
      <c r="BS1155" t="s">
        <v>3463</v>
      </c>
      <c r="BT1155" t="s">
        <v>3463</v>
      </c>
      <c r="BU1155" t="s">
        <v>3463</v>
      </c>
      <c r="BV1155" t="s">
        <v>3463</v>
      </c>
      <c r="BW1155" t="s">
        <v>3463</v>
      </c>
      <c r="BX1155" t="s">
        <v>79</v>
      </c>
      <c r="BY1155" t="s">
        <v>79</v>
      </c>
      <c r="BZ1155" t="s">
        <v>79</v>
      </c>
      <c r="CA1155" s="10">
        <v>45912</v>
      </c>
    </row>
    <row r="1156" spans="1:79">
      <c r="A1156">
        <v>1169</v>
      </c>
      <c r="B1156">
        <v>86</v>
      </c>
      <c r="C1156">
        <v>47</v>
      </c>
      <c r="D1156" t="s">
        <v>3466</v>
      </c>
      <c r="E1156" t="s">
        <v>2416</v>
      </c>
      <c r="F1156" t="s">
        <v>2407</v>
      </c>
      <c r="G1156" s="12" t="s">
        <v>3463</v>
      </c>
      <c r="I1156">
        <v>70</v>
      </c>
      <c r="J1156">
        <v>67</v>
      </c>
      <c r="K1156">
        <v>146</v>
      </c>
      <c r="L1156">
        <v>100</v>
      </c>
      <c r="M1156" t="s">
        <v>72</v>
      </c>
      <c r="N1156">
        <v>148</v>
      </c>
      <c r="O1156">
        <v>92</v>
      </c>
      <c r="P1156" t="s">
        <v>72</v>
      </c>
      <c r="Q1156" t="s">
        <v>72</v>
      </c>
      <c r="R1156">
        <v>67.900000000000006</v>
      </c>
      <c r="S1156">
        <v>157.5</v>
      </c>
      <c r="T1156" s="8">
        <f t="shared" si="37"/>
        <v>27.372134038800709</v>
      </c>
      <c r="U1156" s="13" t="str" cm="1">
        <f t="array" ref="U1156">IF(T1156="","",_xlfn.IFS(T1156&lt;18.5,"Bajo peso",T1156&lt;25,"Peso normal",T1156&lt;30,"Sobrepeso",T1156&lt;35,"Obesidad clase I",T1156&lt;40,"Obesidad clase II",T1156&gt;=40,"Obesidad clase III"))</f>
        <v>Sobrepeso</v>
      </c>
      <c r="V1156">
        <v>95</v>
      </c>
      <c r="X1156" t="s">
        <v>3463</v>
      </c>
      <c r="Y1156">
        <v>0.72</v>
      </c>
      <c r="AA1156">
        <v>90</v>
      </c>
      <c r="AB1156" s="9">
        <f t="shared" si="36"/>
        <v>103.71466106556531</v>
      </c>
      <c r="AD1156" t="s">
        <v>73</v>
      </c>
      <c r="AF1156" t="s">
        <v>73</v>
      </c>
      <c r="AG1156" t="s">
        <v>3465</v>
      </c>
      <c r="AH1156" t="s">
        <v>3463</v>
      </c>
      <c r="AI1156" t="s">
        <v>3463</v>
      </c>
      <c r="AJ1156" t="s">
        <v>3463</v>
      </c>
      <c r="AK1156" t="s">
        <v>3463</v>
      </c>
      <c r="AL1156" t="s">
        <v>3463</v>
      </c>
      <c r="AO1156" t="s">
        <v>3463</v>
      </c>
      <c r="AP1156" t="s">
        <v>3465</v>
      </c>
      <c r="AQ1156" t="s">
        <v>2471</v>
      </c>
      <c r="AR1156" t="s">
        <v>3545</v>
      </c>
      <c r="AT1156" t="s">
        <v>3465</v>
      </c>
      <c r="AU1156" t="s">
        <v>1899</v>
      </c>
      <c r="AV1156" t="s">
        <v>112</v>
      </c>
      <c r="AW1156" t="s">
        <v>3917</v>
      </c>
      <c r="AX1156" t="s">
        <v>3463</v>
      </c>
      <c r="AY1156" t="s">
        <v>3465</v>
      </c>
      <c r="AZ1156" t="s">
        <v>90</v>
      </c>
      <c r="BF1156" t="s">
        <v>3921</v>
      </c>
      <c r="BH1156" t="s">
        <v>4020</v>
      </c>
      <c r="BP1156" t="s">
        <v>4260</v>
      </c>
      <c r="BQ1156" t="s">
        <v>3463</v>
      </c>
      <c r="BR1156" t="s">
        <v>3465</v>
      </c>
      <c r="BS1156" t="s">
        <v>3465</v>
      </c>
      <c r="BT1156" t="s">
        <v>3465</v>
      </c>
      <c r="BU1156" t="s">
        <v>3463</v>
      </c>
      <c r="BV1156" t="s">
        <v>3463</v>
      </c>
      <c r="BW1156" t="s">
        <v>3463</v>
      </c>
      <c r="BX1156" t="s">
        <v>518</v>
      </c>
      <c r="BY1156" t="s">
        <v>79</v>
      </c>
      <c r="BZ1156" t="s">
        <v>79</v>
      </c>
      <c r="CA1156" s="10">
        <v>45912</v>
      </c>
    </row>
    <row r="1157" spans="1:79">
      <c r="A1157">
        <v>1170</v>
      </c>
      <c r="B1157">
        <v>87</v>
      </c>
      <c r="C1157">
        <v>24</v>
      </c>
      <c r="D1157" t="s">
        <v>3462</v>
      </c>
      <c r="E1157" t="s">
        <v>167</v>
      </c>
      <c r="F1157" t="s">
        <v>168</v>
      </c>
      <c r="G1157" s="12" t="s">
        <v>3463</v>
      </c>
      <c r="H1157" s="12"/>
      <c r="I1157">
        <v>66</v>
      </c>
      <c r="K1157">
        <v>128</v>
      </c>
      <c r="L1157">
        <v>79</v>
      </c>
      <c r="M1157" t="s">
        <v>118</v>
      </c>
      <c r="P1157" t="s">
        <v>83</v>
      </c>
      <c r="Q1157" t="s">
        <v>118</v>
      </c>
      <c r="R1157">
        <v>92.65</v>
      </c>
      <c r="S1157">
        <v>173</v>
      </c>
      <c r="T1157" s="8">
        <f t="shared" si="37"/>
        <v>30.956597280229879</v>
      </c>
      <c r="U1157" s="13" t="str" cm="1">
        <f t="array" ref="U1157">IF(T1157="","",_xlfn.IFS(T1157&lt;18.5,"Bajo peso",T1157&lt;25,"Peso normal",T1157&lt;30,"Sobrepeso",T1157&lt;35,"Obesidad clase I",T1157&lt;40,"Obesidad clase II",T1157&gt;=40,"Obesidad clase III"))</f>
        <v>Obesidad clase I</v>
      </c>
      <c r="V1157">
        <v>105</v>
      </c>
      <c r="X1157" t="s">
        <v>3463</v>
      </c>
      <c r="Y1157">
        <v>0.69</v>
      </c>
      <c r="AA1157">
        <v>90</v>
      </c>
      <c r="AB1157" s="9">
        <f t="shared" si="36"/>
        <v>132.52962669347238</v>
      </c>
      <c r="AD1157" t="s">
        <v>73</v>
      </c>
      <c r="AF1157" t="s">
        <v>73</v>
      </c>
      <c r="AH1157" t="s">
        <v>3463</v>
      </c>
      <c r="AI1157" t="s">
        <v>3463</v>
      </c>
      <c r="AJ1157" t="s">
        <v>3463</v>
      </c>
      <c r="AK1157" t="s">
        <v>3463</v>
      </c>
      <c r="AL1157" t="s">
        <v>3463</v>
      </c>
      <c r="AO1157" t="s">
        <v>3465</v>
      </c>
      <c r="AP1157" t="s">
        <v>3465</v>
      </c>
      <c r="AQ1157" t="s">
        <v>2566</v>
      </c>
      <c r="AR1157" t="s">
        <v>3503</v>
      </c>
      <c r="AV1157" t="s">
        <v>74</v>
      </c>
      <c r="AW1157" t="s">
        <v>3915</v>
      </c>
      <c r="BF1157" t="s">
        <v>3921</v>
      </c>
      <c r="BH1157" t="s">
        <v>4020</v>
      </c>
      <c r="BP1157" t="s">
        <v>4260</v>
      </c>
      <c r="BQ1157" t="s">
        <v>3465</v>
      </c>
      <c r="BR1157" t="s">
        <v>3465</v>
      </c>
      <c r="BS1157" t="s">
        <v>3463</v>
      </c>
      <c r="BT1157" t="s">
        <v>3463</v>
      </c>
      <c r="BU1157" t="s">
        <v>3463</v>
      </c>
      <c r="BV1157" t="s">
        <v>3463</v>
      </c>
      <c r="BW1157" t="s">
        <v>3463</v>
      </c>
      <c r="BX1157" t="s">
        <v>79</v>
      </c>
      <c r="BY1157" t="s">
        <v>79</v>
      </c>
      <c r="BZ1157" t="s">
        <v>79</v>
      </c>
      <c r="CA1157" s="10">
        <v>45912</v>
      </c>
    </row>
    <row r="1158" spans="1:79">
      <c r="A1158">
        <v>1171</v>
      </c>
      <c r="B1158">
        <v>88</v>
      </c>
      <c r="C1158">
        <v>47</v>
      </c>
      <c r="D1158" t="s">
        <v>3462</v>
      </c>
      <c r="F1158" t="s">
        <v>2407</v>
      </c>
      <c r="G1158" s="12" t="s">
        <v>3463</v>
      </c>
      <c r="H1158" s="12"/>
      <c r="I1158">
        <v>70</v>
      </c>
      <c r="K1158">
        <v>136</v>
      </c>
      <c r="L1158">
        <v>78</v>
      </c>
      <c r="M1158" t="s">
        <v>82</v>
      </c>
      <c r="P1158" t="s">
        <v>83</v>
      </c>
      <c r="Q1158" t="s">
        <v>82</v>
      </c>
      <c r="R1158">
        <v>79.45</v>
      </c>
      <c r="S1158">
        <v>182</v>
      </c>
      <c r="T1158" s="8">
        <f t="shared" si="37"/>
        <v>23.985629754860526</v>
      </c>
      <c r="U1158" s="13" t="str" cm="1">
        <f t="array" ref="U1158">IF(T1158="","",_xlfn.IFS(T1158&lt;18.5,"Bajo peso",T1158&lt;25,"Peso normal",T1158&lt;30,"Sobrepeso",T1158&lt;35,"Obesidad clase I",T1158&lt;40,"Obesidad clase II",T1158&gt;=40,"Obesidad clase III"))</f>
        <v>Peso normal</v>
      </c>
      <c r="V1158">
        <v>137</v>
      </c>
      <c r="X1158" t="s">
        <v>3463</v>
      </c>
      <c r="Y1158">
        <v>0.77</v>
      </c>
      <c r="AA1158">
        <v>90</v>
      </c>
      <c r="AB1158" s="9">
        <f t="shared" si="36"/>
        <v>111.12250588881975</v>
      </c>
      <c r="AD1158" t="s">
        <v>73</v>
      </c>
      <c r="AF1158" t="s">
        <v>73</v>
      </c>
      <c r="AH1158" t="s">
        <v>3463</v>
      </c>
      <c r="AI1158" t="s">
        <v>3463</v>
      </c>
      <c r="AJ1158" t="s">
        <v>3463</v>
      </c>
      <c r="AK1158" t="s">
        <v>3463</v>
      </c>
      <c r="AL1158" t="s">
        <v>3463</v>
      </c>
      <c r="AP1158" t="s">
        <v>3463</v>
      </c>
      <c r="AQ1158" t="s">
        <v>2567</v>
      </c>
      <c r="AR1158" t="s">
        <v>3516</v>
      </c>
      <c r="AV1158" t="s">
        <v>74</v>
      </c>
      <c r="AW1158" t="s">
        <v>3915</v>
      </c>
      <c r="BF1158" t="s">
        <v>3921</v>
      </c>
      <c r="BH1158" t="s">
        <v>4020</v>
      </c>
      <c r="BP1158" t="s">
        <v>4260</v>
      </c>
      <c r="BQ1158" t="s">
        <v>3463</v>
      </c>
      <c r="BR1158" t="s">
        <v>3465</v>
      </c>
      <c r="BS1158" t="s">
        <v>3463</v>
      </c>
      <c r="BT1158" t="s">
        <v>3465</v>
      </c>
      <c r="BU1158" t="s">
        <v>3463</v>
      </c>
      <c r="BV1158" t="s">
        <v>3463</v>
      </c>
      <c r="BW1158" t="s">
        <v>3463</v>
      </c>
      <c r="BX1158" t="s">
        <v>79</v>
      </c>
      <c r="BY1158" t="s">
        <v>79</v>
      </c>
      <c r="BZ1158" t="s">
        <v>79</v>
      </c>
      <c r="CA1158" s="10">
        <v>45912</v>
      </c>
    </row>
    <row r="1159" spans="1:79">
      <c r="A1159">
        <v>1172</v>
      </c>
      <c r="B1159">
        <v>89</v>
      </c>
      <c r="C1159">
        <v>68</v>
      </c>
      <c r="D1159" t="s">
        <v>3466</v>
      </c>
      <c r="E1159" t="s">
        <v>2411</v>
      </c>
      <c r="F1159" t="s">
        <v>2407</v>
      </c>
      <c r="G1159" s="12" t="s">
        <v>3463</v>
      </c>
      <c r="I1159">
        <v>72</v>
      </c>
      <c r="J1159">
        <v>78</v>
      </c>
      <c r="K1159">
        <v>155</v>
      </c>
      <c r="L1159">
        <v>90</v>
      </c>
      <c r="M1159" t="s">
        <v>72</v>
      </c>
      <c r="N1159">
        <v>134</v>
      </c>
      <c r="O1159">
        <v>95</v>
      </c>
      <c r="P1159" t="s">
        <v>72</v>
      </c>
      <c r="Q1159" t="s">
        <v>72</v>
      </c>
      <c r="R1159">
        <v>75.900000000000006</v>
      </c>
      <c r="S1159">
        <v>152.5</v>
      </c>
      <c r="T1159" s="8">
        <f t="shared" si="37"/>
        <v>32.636388067723736</v>
      </c>
      <c r="U1159" s="13" t="str" cm="1">
        <f t="array" ref="U1159">IF(T1159="","",_xlfn.IFS(T1159&lt;18.5,"Bajo peso",T1159&lt;25,"Peso normal",T1159&lt;30,"Sobrepeso",T1159&lt;35,"Obesidad clase I",T1159&lt;40,"Obesidad clase II",T1159&gt;=40,"Obesidad clase III"))</f>
        <v>Obesidad clase I</v>
      </c>
      <c r="V1159">
        <v>108</v>
      </c>
      <c r="X1159" t="s">
        <v>3463</v>
      </c>
      <c r="Y1159">
        <v>0.87</v>
      </c>
      <c r="AA1159">
        <v>72</v>
      </c>
      <c r="AB1159" s="9">
        <f t="shared" si="36"/>
        <v>72.526193712321074</v>
      </c>
      <c r="AD1159" t="s">
        <v>73</v>
      </c>
      <c r="AF1159" t="s">
        <v>73</v>
      </c>
      <c r="AH1159" t="s">
        <v>3463</v>
      </c>
      <c r="AI1159" t="s">
        <v>3465</v>
      </c>
      <c r="AJ1159" t="s">
        <v>3463</v>
      </c>
      <c r="AK1159" t="s">
        <v>3465</v>
      </c>
      <c r="AL1159" t="s">
        <v>3465</v>
      </c>
      <c r="AM1159" t="s">
        <v>2568</v>
      </c>
      <c r="AN1159" t="s">
        <v>3847</v>
      </c>
      <c r="AP1159" t="s">
        <v>3463</v>
      </c>
      <c r="AQ1159" t="s">
        <v>2569</v>
      </c>
      <c r="AR1159" t="s">
        <v>3491</v>
      </c>
      <c r="AS1159" t="s">
        <v>3465</v>
      </c>
      <c r="AT1159" t="s">
        <v>3463</v>
      </c>
      <c r="AV1159" t="s">
        <v>74</v>
      </c>
      <c r="AW1159" t="s">
        <v>3915</v>
      </c>
      <c r="AX1159" t="s">
        <v>3463</v>
      </c>
      <c r="AY1159" t="s">
        <v>3463</v>
      </c>
      <c r="BA1159" t="s">
        <v>3920</v>
      </c>
      <c r="BF1159" t="s">
        <v>3921</v>
      </c>
      <c r="BG1159" t="s">
        <v>2570</v>
      </c>
      <c r="BH1159" t="s">
        <v>4213</v>
      </c>
      <c r="BI1159" t="s">
        <v>86</v>
      </c>
      <c r="BK1159" t="s">
        <v>2571</v>
      </c>
      <c r="BL1159" t="s">
        <v>2572</v>
      </c>
      <c r="BP1159" t="s">
        <v>4519</v>
      </c>
      <c r="BQ1159" t="s">
        <v>3463</v>
      </c>
      <c r="BR1159" t="s">
        <v>3463</v>
      </c>
      <c r="BS1159" t="s">
        <v>3463</v>
      </c>
      <c r="BT1159" t="s">
        <v>3463</v>
      </c>
      <c r="BU1159" t="s">
        <v>3463</v>
      </c>
      <c r="BV1159" t="s">
        <v>3463</v>
      </c>
      <c r="BW1159" t="s">
        <v>3463</v>
      </c>
      <c r="BX1159" t="s">
        <v>79</v>
      </c>
      <c r="BY1159" t="s">
        <v>79</v>
      </c>
      <c r="BZ1159" t="s">
        <v>79</v>
      </c>
      <c r="CA1159" s="10">
        <v>45912</v>
      </c>
    </row>
    <row r="1160" spans="1:79">
      <c r="A1160">
        <v>1173</v>
      </c>
      <c r="B1160">
        <v>90</v>
      </c>
      <c r="C1160">
        <v>20</v>
      </c>
      <c r="D1160" t="s">
        <v>3466</v>
      </c>
      <c r="E1160" t="s">
        <v>2462</v>
      </c>
      <c r="F1160" t="s">
        <v>2407</v>
      </c>
      <c r="G1160" s="12" t="s">
        <v>3463</v>
      </c>
      <c r="I1160">
        <v>83</v>
      </c>
      <c r="K1160">
        <v>131</v>
      </c>
      <c r="L1160">
        <v>73</v>
      </c>
      <c r="M1160" t="s">
        <v>82</v>
      </c>
      <c r="P1160" t="s">
        <v>83</v>
      </c>
      <c r="Q1160" t="s">
        <v>82</v>
      </c>
      <c r="R1160">
        <v>90.05</v>
      </c>
      <c r="S1160">
        <v>169.5</v>
      </c>
      <c r="T1160" s="8">
        <f t="shared" si="37"/>
        <v>31.343270594582368</v>
      </c>
      <c r="U1160" s="13" t="str" cm="1">
        <f t="array" ref="U1160">IF(T1160="","",_xlfn.IFS(T1160&lt;18.5,"Bajo peso",T1160&lt;25,"Peso normal",T1160&lt;30,"Sobrepeso",T1160&lt;35,"Obesidad clase I",T1160&lt;40,"Obesidad clase II",T1160&gt;=40,"Obesidad clase III"))</f>
        <v>Obesidad clase I</v>
      </c>
      <c r="V1160">
        <v>84</v>
      </c>
      <c r="X1160" t="s">
        <v>3463</v>
      </c>
      <c r="Y1160">
        <v>0.72</v>
      </c>
      <c r="AA1160">
        <v>90</v>
      </c>
      <c r="AB1160" s="9">
        <f t="shared" si="36"/>
        <v>122.67818932797563</v>
      </c>
      <c r="AD1160" t="s">
        <v>73</v>
      </c>
      <c r="AF1160" t="s">
        <v>73</v>
      </c>
      <c r="AG1160" t="s">
        <v>3463</v>
      </c>
      <c r="AH1160" t="s">
        <v>3465</v>
      </c>
      <c r="AI1160" t="s">
        <v>3463</v>
      </c>
      <c r="AJ1160" t="s">
        <v>3463</v>
      </c>
      <c r="AK1160" t="s">
        <v>3465</v>
      </c>
      <c r="AL1160" t="s">
        <v>3465</v>
      </c>
      <c r="AM1160" t="s">
        <v>257</v>
      </c>
      <c r="AN1160" t="s">
        <v>116</v>
      </c>
      <c r="AP1160" t="s">
        <v>3463</v>
      </c>
      <c r="AQ1160" t="s">
        <v>2573</v>
      </c>
      <c r="AR1160" t="s">
        <v>3503</v>
      </c>
      <c r="AV1160" t="s">
        <v>74</v>
      </c>
      <c r="AW1160" t="s">
        <v>3915</v>
      </c>
      <c r="AX1160" t="s">
        <v>3463</v>
      </c>
      <c r="AY1160" t="s">
        <v>3465</v>
      </c>
      <c r="BF1160" t="s">
        <v>3921</v>
      </c>
      <c r="BH1160" t="s">
        <v>4020</v>
      </c>
      <c r="BP1160" t="s">
        <v>4260</v>
      </c>
      <c r="BQ1160" t="s">
        <v>3465</v>
      </c>
      <c r="BR1160" t="s">
        <v>3463</v>
      </c>
      <c r="BS1160" t="s">
        <v>3465</v>
      </c>
      <c r="BT1160" t="s">
        <v>3465</v>
      </c>
      <c r="BU1160" t="s">
        <v>3463</v>
      </c>
      <c r="BV1160" t="s">
        <v>3463</v>
      </c>
      <c r="BW1160" t="s">
        <v>3463</v>
      </c>
      <c r="BX1160" t="s">
        <v>79</v>
      </c>
      <c r="BY1160" t="s">
        <v>79</v>
      </c>
      <c r="BZ1160" t="s">
        <v>79</v>
      </c>
      <c r="CA1160" s="10">
        <v>45912</v>
      </c>
    </row>
    <row r="1161" spans="1:79">
      <c r="A1161">
        <v>1174</v>
      </c>
      <c r="B1161">
        <v>91</v>
      </c>
      <c r="C1161">
        <v>57</v>
      </c>
      <c r="D1161" t="s">
        <v>3466</v>
      </c>
      <c r="F1161" t="s">
        <v>2407</v>
      </c>
      <c r="G1161" s="12" t="s">
        <v>3465</v>
      </c>
      <c r="H1161" t="s">
        <v>88</v>
      </c>
      <c r="I1161">
        <v>81</v>
      </c>
      <c r="J1161">
        <v>78</v>
      </c>
      <c r="K1161">
        <v>162</v>
      </c>
      <c r="L1161">
        <v>101</v>
      </c>
      <c r="M1161" t="s">
        <v>72</v>
      </c>
      <c r="N1161">
        <v>148</v>
      </c>
      <c r="O1161">
        <v>103</v>
      </c>
      <c r="P1161" t="s">
        <v>72</v>
      </c>
      <c r="Q1161" t="s">
        <v>72</v>
      </c>
      <c r="R1161">
        <v>95.3</v>
      </c>
      <c r="S1161">
        <v>156</v>
      </c>
      <c r="T1161" s="8">
        <f t="shared" si="37"/>
        <v>39.160092044707433</v>
      </c>
      <c r="U1161" s="13" t="str" cm="1">
        <f t="array" ref="U1161">IF(T1161="","",_xlfn.IFS(T1161&lt;18.5,"Bajo peso",T1161&lt;25,"Peso normal",T1161&lt;30,"Sobrepeso",T1161&lt;35,"Obesidad clase I",T1161&lt;40,"Obesidad clase II",T1161&gt;=40,"Obesidad clase III"))</f>
        <v>Obesidad clase II</v>
      </c>
      <c r="V1161">
        <v>164</v>
      </c>
      <c r="X1161" t="s">
        <v>3463</v>
      </c>
      <c r="Y1161">
        <v>0.76</v>
      </c>
      <c r="AA1161">
        <v>90</v>
      </c>
      <c r="AB1161" s="9">
        <f t="shared" si="36"/>
        <v>91.338265783347254</v>
      </c>
      <c r="AD1161" t="s">
        <v>73</v>
      </c>
      <c r="AF1161" t="s">
        <v>73</v>
      </c>
      <c r="AG1161" t="s">
        <v>3465</v>
      </c>
      <c r="AH1161" t="s">
        <v>3465</v>
      </c>
      <c r="AI1161" t="s">
        <v>3465</v>
      </c>
      <c r="AJ1161" t="s">
        <v>3463</v>
      </c>
      <c r="AK1161" t="s">
        <v>3463</v>
      </c>
      <c r="AL1161" t="s">
        <v>3465</v>
      </c>
      <c r="AM1161" t="s">
        <v>1135</v>
      </c>
      <c r="AN1161" t="s">
        <v>3848</v>
      </c>
      <c r="AP1161" t="s">
        <v>3464</v>
      </c>
      <c r="AQ1161" t="s">
        <v>143</v>
      </c>
      <c r="AR1161" t="s">
        <v>3493</v>
      </c>
      <c r="AS1161" t="s">
        <v>3463</v>
      </c>
      <c r="AT1161" t="s">
        <v>3465</v>
      </c>
      <c r="AU1161" t="s">
        <v>80</v>
      </c>
      <c r="AV1161" t="s">
        <v>126</v>
      </c>
      <c r="AW1161" t="s">
        <v>126</v>
      </c>
      <c r="AX1161" t="s">
        <v>3463</v>
      </c>
      <c r="AY1161" t="s">
        <v>3465</v>
      </c>
      <c r="AZ1161" t="s">
        <v>247</v>
      </c>
      <c r="BB1161" t="s">
        <v>3485</v>
      </c>
      <c r="BF1161" t="s">
        <v>3921</v>
      </c>
      <c r="BG1161" t="s">
        <v>2574</v>
      </c>
      <c r="BH1161" t="s">
        <v>4021</v>
      </c>
      <c r="BI1161" t="s">
        <v>76</v>
      </c>
      <c r="BL1161" t="s">
        <v>1947</v>
      </c>
      <c r="BP1161" t="s">
        <v>4271</v>
      </c>
      <c r="BQ1161" t="s">
        <v>3463</v>
      </c>
      <c r="BR1161" t="s">
        <v>3463</v>
      </c>
      <c r="BS1161" t="s">
        <v>3463</v>
      </c>
      <c r="BT1161" t="s">
        <v>3463</v>
      </c>
      <c r="BU1161" t="s">
        <v>3463</v>
      </c>
      <c r="BV1161" t="s">
        <v>3463</v>
      </c>
      <c r="BW1161" t="s">
        <v>3463</v>
      </c>
      <c r="BX1161" t="s">
        <v>79</v>
      </c>
      <c r="BY1161" t="s">
        <v>79</v>
      </c>
      <c r="BZ1161" t="s">
        <v>79</v>
      </c>
      <c r="CA1161" s="10">
        <v>45912</v>
      </c>
    </row>
    <row r="1162" spans="1:79">
      <c r="A1162">
        <v>1175</v>
      </c>
      <c r="B1162">
        <v>92</v>
      </c>
      <c r="C1162">
        <v>38</v>
      </c>
      <c r="D1162" t="s">
        <v>3466</v>
      </c>
      <c r="E1162" t="s">
        <v>2416</v>
      </c>
      <c r="F1162" t="s">
        <v>2407</v>
      </c>
      <c r="G1162" s="12" t="s">
        <v>3465</v>
      </c>
      <c r="H1162" t="s">
        <v>88</v>
      </c>
      <c r="I1162">
        <v>111</v>
      </c>
      <c r="J1162">
        <v>102</v>
      </c>
      <c r="K1162">
        <v>146</v>
      </c>
      <c r="L1162">
        <v>85</v>
      </c>
      <c r="M1162" t="s">
        <v>72</v>
      </c>
      <c r="N1162">
        <v>151</v>
      </c>
      <c r="O1162">
        <v>73</v>
      </c>
      <c r="P1162" t="s">
        <v>72</v>
      </c>
      <c r="Q1162" t="s">
        <v>72</v>
      </c>
      <c r="R1162">
        <v>101.25</v>
      </c>
      <c r="S1162">
        <v>165.5</v>
      </c>
      <c r="T1162" s="8">
        <f t="shared" si="37"/>
        <v>36.965708600688203</v>
      </c>
      <c r="U1162" s="13" t="str" cm="1">
        <f t="array" ref="U1162">IF(T1162="","",_xlfn.IFS(T1162&lt;18.5,"Bajo peso",T1162&lt;25,"Peso normal",T1162&lt;30,"Sobrepeso",T1162&lt;35,"Obesidad clase I",T1162&lt;40,"Obesidad clase II",T1162&gt;=40,"Obesidad clase III"))</f>
        <v>Obesidad clase II</v>
      </c>
      <c r="V1162">
        <v>112</v>
      </c>
      <c r="X1162" t="s">
        <v>3463</v>
      </c>
      <c r="Y1162">
        <v>0.69</v>
      </c>
      <c r="AA1162">
        <v>90</v>
      </c>
      <c r="AB1162" s="9">
        <f t="shared" si="36"/>
        <v>113.85092546239306</v>
      </c>
      <c r="AD1162" t="s">
        <v>73</v>
      </c>
      <c r="AF1162" t="s">
        <v>73</v>
      </c>
      <c r="AH1162" t="s">
        <v>3463</v>
      </c>
      <c r="AI1162" t="s">
        <v>3463</v>
      </c>
      <c r="AJ1162" t="s">
        <v>3463</v>
      </c>
      <c r="AK1162" t="s">
        <v>3465</v>
      </c>
      <c r="AL1162" t="s">
        <v>3465</v>
      </c>
      <c r="AM1162" t="s">
        <v>2575</v>
      </c>
      <c r="AN1162" t="s">
        <v>3849</v>
      </c>
      <c r="AP1162" t="s">
        <v>3463</v>
      </c>
      <c r="AQ1162" t="s">
        <v>2576</v>
      </c>
      <c r="AR1162" t="s">
        <v>3491</v>
      </c>
      <c r="AT1162" t="s">
        <v>3463</v>
      </c>
      <c r="AV1162" t="s">
        <v>178</v>
      </c>
      <c r="AW1162" t="s">
        <v>3918</v>
      </c>
      <c r="AX1162" t="s">
        <v>3463</v>
      </c>
      <c r="AY1162" t="s">
        <v>3465</v>
      </c>
      <c r="AZ1162" t="s">
        <v>104</v>
      </c>
      <c r="BF1162" t="s">
        <v>3921</v>
      </c>
      <c r="BH1162" t="s">
        <v>4029</v>
      </c>
      <c r="BK1162" t="s">
        <v>2577</v>
      </c>
      <c r="BP1162" t="s">
        <v>4260</v>
      </c>
      <c r="BQ1162" t="s">
        <v>3463</v>
      </c>
      <c r="BR1162" t="s">
        <v>3465</v>
      </c>
      <c r="BS1162" t="s">
        <v>3465</v>
      </c>
      <c r="BT1162" t="s">
        <v>3465</v>
      </c>
      <c r="BU1162" t="s">
        <v>3463</v>
      </c>
      <c r="BV1162" t="s">
        <v>3463</v>
      </c>
      <c r="BW1162" t="s">
        <v>3463</v>
      </c>
      <c r="BX1162" t="s">
        <v>79</v>
      </c>
      <c r="BY1162" t="s">
        <v>79</v>
      </c>
      <c r="BZ1162" t="s">
        <v>95</v>
      </c>
      <c r="CA1162" s="10">
        <v>45912</v>
      </c>
    </row>
    <row r="1163" spans="1:79">
      <c r="A1163">
        <v>1176</v>
      </c>
      <c r="B1163">
        <v>93</v>
      </c>
      <c r="C1163">
        <v>47</v>
      </c>
      <c r="D1163" t="s">
        <v>3466</v>
      </c>
      <c r="E1163" t="s">
        <v>2578</v>
      </c>
      <c r="F1163" t="s">
        <v>71</v>
      </c>
      <c r="G1163" s="12" t="s">
        <v>3463</v>
      </c>
      <c r="I1163">
        <v>71</v>
      </c>
      <c r="J1163">
        <v>81</v>
      </c>
      <c r="K1163">
        <v>162</v>
      </c>
      <c r="L1163">
        <v>84</v>
      </c>
      <c r="M1163" t="s">
        <v>72</v>
      </c>
      <c r="N1163">
        <v>146</v>
      </c>
      <c r="O1163">
        <v>94</v>
      </c>
      <c r="P1163" t="s">
        <v>72</v>
      </c>
      <c r="Q1163" t="s">
        <v>72</v>
      </c>
      <c r="R1163">
        <v>83.6</v>
      </c>
      <c r="S1163">
        <v>164</v>
      </c>
      <c r="T1163" s="8">
        <f t="shared" si="37"/>
        <v>31.082688875669245</v>
      </c>
      <c r="U1163" s="13" t="str" cm="1">
        <f t="array" ref="U1163">IF(T1163="","",_xlfn.IFS(T1163&lt;18.5,"Bajo peso",T1163&lt;25,"Peso normal",T1163&lt;30,"Sobrepeso",T1163&lt;35,"Obesidad clase I",T1163&lt;40,"Obesidad clase II",T1163&gt;=40,"Obesidad clase III"))</f>
        <v>Obesidad clase I</v>
      </c>
      <c r="V1163">
        <v>87</v>
      </c>
      <c r="X1163" t="s">
        <v>3463</v>
      </c>
      <c r="Y1163">
        <v>0.9</v>
      </c>
      <c r="AA1163">
        <v>79</v>
      </c>
      <c r="AB1163" s="9">
        <f t="shared" si="36"/>
        <v>79.350220299943842</v>
      </c>
      <c r="AD1163" t="s">
        <v>73</v>
      </c>
      <c r="AF1163" t="s">
        <v>73</v>
      </c>
      <c r="AH1163" t="s">
        <v>3463</v>
      </c>
      <c r="AI1163" t="s">
        <v>3463</v>
      </c>
      <c r="AJ1163" t="s">
        <v>3463</v>
      </c>
      <c r="AK1163" t="s">
        <v>3463</v>
      </c>
      <c r="AL1163" t="s">
        <v>3463</v>
      </c>
      <c r="AO1163" t="s">
        <v>3465</v>
      </c>
      <c r="AP1163" t="s">
        <v>3465</v>
      </c>
      <c r="AQ1163" t="s">
        <v>1093</v>
      </c>
      <c r="AR1163" t="s">
        <v>3491</v>
      </c>
      <c r="AT1163" t="s">
        <v>3463</v>
      </c>
      <c r="AV1163" t="s">
        <v>126</v>
      </c>
      <c r="AW1163" t="s">
        <v>126</v>
      </c>
      <c r="AX1163" t="s">
        <v>3463</v>
      </c>
      <c r="AY1163" t="s">
        <v>3465</v>
      </c>
      <c r="BF1163" t="s">
        <v>3921</v>
      </c>
      <c r="BH1163" t="s">
        <v>4020</v>
      </c>
      <c r="BP1163" t="s">
        <v>4260</v>
      </c>
      <c r="BQ1163" t="s">
        <v>3463</v>
      </c>
      <c r="BR1163" t="s">
        <v>3465</v>
      </c>
      <c r="BS1163" t="s">
        <v>3463</v>
      </c>
      <c r="BT1163" t="s">
        <v>3465</v>
      </c>
      <c r="BU1163" t="s">
        <v>3463</v>
      </c>
      <c r="BV1163" t="s">
        <v>3463</v>
      </c>
      <c r="BW1163" t="s">
        <v>3463</v>
      </c>
      <c r="BX1163" t="s">
        <v>79</v>
      </c>
      <c r="BY1163" t="s">
        <v>79</v>
      </c>
      <c r="BZ1163" t="s">
        <v>79</v>
      </c>
      <c r="CA1163" s="10">
        <v>45912</v>
      </c>
    </row>
    <row r="1164" spans="1:79">
      <c r="A1164">
        <v>1177</v>
      </c>
      <c r="B1164">
        <v>94</v>
      </c>
      <c r="C1164">
        <v>81</v>
      </c>
      <c r="D1164" t="s">
        <v>3466</v>
      </c>
      <c r="E1164" t="s">
        <v>2462</v>
      </c>
      <c r="F1164" t="s">
        <v>2407</v>
      </c>
      <c r="G1164" s="12" t="s">
        <v>3463</v>
      </c>
      <c r="I1164">
        <v>75</v>
      </c>
      <c r="J1164">
        <v>71</v>
      </c>
      <c r="K1164">
        <v>180</v>
      </c>
      <c r="L1164">
        <v>71</v>
      </c>
      <c r="M1164" t="s">
        <v>96</v>
      </c>
      <c r="N1164">
        <v>161</v>
      </c>
      <c r="O1164">
        <v>66</v>
      </c>
      <c r="P1164" t="s">
        <v>72</v>
      </c>
      <c r="Q1164" t="s">
        <v>72</v>
      </c>
      <c r="R1164">
        <v>73.5</v>
      </c>
      <c r="S1164">
        <v>152</v>
      </c>
      <c r="T1164" s="8">
        <f t="shared" si="37"/>
        <v>31.812673130193907</v>
      </c>
      <c r="U1164" s="13" t="str" cm="1">
        <f t="array" ref="U1164">IF(T1164="","",_xlfn.IFS(T1164&lt;18.5,"Bajo peso",T1164&lt;25,"Peso normal",T1164&lt;30,"Sobrepeso",T1164&lt;35,"Obesidad clase I",T1164&lt;40,"Obesidad clase II",T1164&gt;=40,"Obesidad clase III"))</f>
        <v>Obesidad clase I</v>
      </c>
      <c r="V1164">
        <v>159</v>
      </c>
      <c r="X1164" t="s">
        <v>3463</v>
      </c>
      <c r="Y1164">
        <v>0.57999999999999996</v>
      </c>
      <c r="AA1164">
        <v>90</v>
      </c>
      <c r="AB1164" s="9">
        <f t="shared" si="36"/>
        <v>90.85937043326112</v>
      </c>
      <c r="AD1164" t="s">
        <v>73</v>
      </c>
      <c r="AF1164" t="s">
        <v>73</v>
      </c>
      <c r="AG1164" t="s">
        <v>3463</v>
      </c>
      <c r="AH1164" t="s">
        <v>3465</v>
      </c>
      <c r="AI1164" t="s">
        <v>3465</v>
      </c>
      <c r="AJ1164" t="s">
        <v>3463</v>
      </c>
      <c r="AK1164" t="s">
        <v>3463</v>
      </c>
      <c r="AL1164" t="s">
        <v>3463</v>
      </c>
      <c r="AP1164" t="s">
        <v>3463</v>
      </c>
      <c r="AQ1164" t="s">
        <v>2579</v>
      </c>
      <c r="AR1164" t="s">
        <v>3488</v>
      </c>
      <c r="AS1164" t="s">
        <v>3465</v>
      </c>
      <c r="AT1164" t="s">
        <v>3465</v>
      </c>
      <c r="AU1164" t="s">
        <v>80</v>
      </c>
      <c r="AV1164" t="s">
        <v>74</v>
      </c>
      <c r="AW1164" t="s">
        <v>3915</v>
      </c>
      <c r="AX1164" t="s">
        <v>3463</v>
      </c>
      <c r="AY1164" t="s">
        <v>3465</v>
      </c>
      <c r="BF1164" t="s">
        <v>3921</v>
      </c>
      <c r="BH1164" t="s">
        <v>4020</v>
      </c>
      <c r="BP1164" t="s">
        <v>4260</v>
      </c>
      <c r="BQ1164" t="s">
        <v>3463</v>
      </c>
      <c r="BR1164" t="s">
        <v>3463</v>
      </c>
      <c r="BS1164" t="s">
        <v>3463</v>
      </c>
      <c r="BT1164" t="s">
        <v>3465</v>
      </c>
      <c r="BU1164" t="s">
        <v>3463</v>
      </c>
      <c r="BV1164" t="s">
        <v>3463</v>
      </c>
      <c r="BW1164" t="s">
        <v>3463</v>
      </c>
      <c r="BX1164" t="s">
        <v>79</v>
      </c>
      <c r="BY1164" t="s">
        <v>79</v>
      </c>
      <c r="BZ1164" t="s">
        <v>79</v>
      </c>
      <c r="CA1164" s="10">
        <v>45912</v>
      </c>
    </row>
    <row r="1165" spans="1:79">
      <c r="A1165">
        <v>1178</v>
      </c>
      <c r="B1165">
        <v>95</v>
      </c>
      <c r="C1165">
        <v>26</v>
      </c>
      <c r="D1165" t="s">
        <v>3462</v>
      </c>
      <c r="E1165" t="s">
        <v>2580</v>
      </c>
      <c r="F1165" t="s">
        <v>1799</v>
      </c>
      <c r="G1165" s="12" t="s">
        <v>3465</v>
      </c>
      <c r="H1165" s="12" t="s">
        <v>88</v>
      </c>
      <c r="I1165">
        <v>70</v>
      </c>
      <c r="K1165">
        <v>135</v>
      </c>
      <c r="L1165">
        <v>80</v>
      </c>
      <c r="M1165" t="s">
        <v>82</v>
      </c>
      <c r="P1165" t="s">
        <v>83</v>
      </c>
      <c r="Q1165" t="s">
        <v>82</v>
      </c>
      <c r="R1165">
        <v>99.1</v>
      </c>
      <c r="S1165">
        <v>185</v>
      </c>
      <c r="T1165" s="8">
        <f t="shared" si="37"/>
        <v>28.955441928414899</v>
      </c>
      <c r="U1165" s="13" t="str" cm="1">
        <f t="array" ref="U1165">IF(T1165="","",_xlfn.IFS(T1165&lt;18.5,"Bajo peso",T1165&lt;25,"Peso normal",T1165&lt;30,"Sobrepeso",T1165&lt;35,"Obesidad clase I",T1165&lt;40,"Obesidad clase II",T1165&gt;=40,"Obesidad clase III"))</f>
        <v>Sobrepeso</v>
      </c>
      <c r="V1165">
        <v>81</v>
      </c>
      <c r="X1165" t="s">
        <v>3463</v>
      </c>
      <c r="Y1165">
        <v>0.78</v>
      </c>
      <c r="AA1165">
        <v>90</v>
      </c>
      <c r="AB1165" s="9">
        <f t="shared" si="36"/>
        <v>126.13360688016203</v>
      </c>
      <c r="AD1165" t="s">
        <v>73</v>
      </c>
      <c r="AF1165" t="s">
        <v>73</v>
      </c>
      <c r="AH1165" t="s">
        <v>3463</v>
      </c>
      <c r="AI1165" t="s">
        <v>3463</v>
      </c>
      <c r="AJ1165" t="s">
        <v>3463</v>
      </c>
      <c r="AK1165" t="s">
        <v>3463</v>
      </c>
      <c r="AL1165" t="s">
        <v>3465</v>
      </c>
      <c r="AM1165" t="s">
        <v>2581</v>
      </c>
      <c r="AN1165" t="s">
        <v>3850</v>
      </c>
      <c r="AP1165" t="s">
        <v>3463</v>
      </c>
      <c r="AQ1165" t="s">
        <v>2582</v>
      </c>
      <c r="AR1165" t="s">
        <v>3497</v>
      </c>
      <c r="AV1165" t="s">
        <v>126</v>
      </c>
      <c r="AW1165" t="s">
        <v>126</v>
      </c>
      <c r="BF1165" t="s">
        <v>3921</v>
      </c>
      <c r="BH1165" t="s">
        <v>4020</v>
      </c>
      <c r="BP1165" t="s">
        <v>4260</v>
      </c>
      <c r="BQ1165" t="s">
        <v>3463</v>
      </c>
      <c r="BR1165" t="s">
        <v>3465</v>
      </c>
      <c r="BS1165" t="s">
        <v>3463</v>
      </c>
      <c r="BT1165" t="s">
        <v>3465</v>
      </c>
      <c r="BU1165" t="s">
        <v>3463</v>
      </c>
      <c r="BV1165" t="s">
        <v>3463</v>
      </c>
      <c r="BW1165" t="s">
        <v>3463</v>
      </c>
      <c r="BX1165" t="s">
        <v>79</v>
      </c>
      <c r="BY1165" t="s">
        <v>79</v>
      </c>
      <c r="BZ1165" t="s">
        <v>95</v>
      </c>
      <c r="CA1165" s="10">
        <v>45912</v>
      </c>
    </row>
    <row r="1166" spans="1:79">
      <c r="A1166">
        <v>1179</v>
      </c>
      <c r="B1166">
        <v>96</v>
      </c>
      <c r="C1166">
        <v>59</v>
      </c>
      <c r="D1166" t="s">
        <v>3466</v>
      </c>
      <c r="E1166" t="s">
        <v>2416</v>
      </c>
      <c r="F1166" t="s">
        <v>2407</v>
      </c>
      <c r="G1166" s="12" t="s">
        <v>3463</v>
      </c>
      <c r="I1166">
        <v>78</v>
      </c>
      <c r="J1166">
        <v>77</v>
      </c>
      <c r="K1166">
        <v>147</v>
      </c>
      <c r="L1166">
        <v>85</v>
      </c>
      <c r="M1166" t="s">
        <v>72</v>
      </c>
      <c r="N1166">
        <v>133</v>
      </c>
      <c r="O1166">
        <v>86</v>
      </c>
      <c r="P1166" t="s">
        <v>82</v>
      </c>
      <c r="Q1166" t="s">
        <v>82</v>
      </c>
      <c r="R1166">
        <v>85.2</v>
      </c>
      <c r="S1166">
        <v>161</v>
      </c>
      <c r="T1166" s="8">
        <f t="shared" si="37"/>
        <v>32.869102272288877</v>
      </c>
      <c r="U1166" s="13" t="str" cm="1">
        <f t="array" ref="U1166">IF(T1166="","",_xlfn.IFS(T1166&lt;18.5,"Bajo peso",T1166&lt;25,"Peso normal",T1166&lt;30,"Sobrepeso",T1166&lt;35,"Obesidad clase I",T1166&lt;40,"Obesidad clase II",T1166&gt;=40,"Obesidad clase III"))</f>
        <v>Obesidad clase I</v>
      </c>
      <c r="V1166">
        <v>188</v>
      </c>
      <c r="X1166" t="s">
        <v>3463</v>
      </c>
      <c r="Y1166">
        <v>0.62</v>
      </c>
      <c r="AA1166">
        <v>90</v>
      </c>
      <c r="AB1166" s="9">
        <f t="shared" si="36"/>
        <v>102.5207181025835</v>
      </c>
      <c r="AD1166" t="s">
        <v>73</v>
      </c>
      <c r="AF1166" t="s">
        <v>73</v>
      </c>
      <c r="AG1166" t="s">
        <v>3465</v>
      </c>
      <c r="AH1166" t="s">
        <v>3465</v>
      </c>
      <c r="AI1166" t="s">
        <v>3465</v>
      </c>
      <c r="AJ1166" t="s">
        <v>3465</v>
      </c>
      <c r="AK1166" t="s">
        <v>3463</v>
      </c>
      <c r="AL1166" t="s">
        <v>3465</v>
      </c>
      <c r="AM1166" t="s">
        <v>2583</v>
      </c>
      <c r="AN1166" t="s">
        <v>3796</v>
      </c>
      <c r="AO1166" t="s">
        <v>3465</v>
      </c>
      <c r="AP1166" t="s">
        <v>3465</v>
      </c>
      <c r="AQ1166" t="s">
        <v>2584</v>
      </c>
      <c r="AR1166" t="s">
        <v>3536</v>
      </c>
      <c r="AS1166" t="s">
        <v>3465</v>
      </c>
      <c r="AT1166" t="s">
        <v>3463</v>
      </c>
      <c r="AV1166" t="s">
        <v>74</v>
      </c>
      <c r="AW1166" t="s">
        <v>3915</v>
      </c>
      <c r="AX1166" t="s">
        <v>3463</v>
      </c>
      <c r="AY1166" t="s">
        <v>3465</v>
      </c>
      <c r="AZ1166" t="s">
        <v>104</v>
      </c>
      <c r="BF1166" t="s">
        <v>3921</v>
      </c>
      <c r="BH1166" t="s">
        <v>4020</v>
      </c>
      <c r="BP1166" t="s">
        <v>4260</v>
      </c>
      <c r="BQ1166" t="s">
        <v>3465</v>
      </c>
      <c r="BR1166" t="s">
        <v>3463</v>
      </c>
      <c r="BS1166" t="s">
        <v>3463</v>
      </c>
      <c r="BT1166" t="s">
        <v>3463</v>
      </c>
      <c r="BU1166" t="s">
        <v>3463</v>
      </c>
      <c r="BV1166" t="s">
        <v>3463</v>
      </c>
      <c r="BW1166" t="s">
        <v>3463</v>
      </c>
      <c r="BX1166" t="s">
        <v>79</v>
      </c>
      <c r="BY1166" t="s">
        <v>79</v>
      </c>
      <c r="BZ1166" t="s">
        <v>79</v>
      </c>
      <c r="CA1166" s="10">
        <v>45912</v>
      </c>
    </row>
    <row r="1167" spans="1:79">
      <c r="A1167">
        <v>1180</v>
      </c>
      <c r="B1167">
        <v>97</v>
      </c>
      <c r="C1167">
        <v>55</v>
      </c>
      <c r="D1167" t="s">
        <v>3462</v>
      </c>
      <c r="E1167" t="s">
        <v>2550</v>
      </c>
      <c r="F1167" t="s">
        <v>2407</v>
      </c>
      <c r="G1167" s="12" t="s">
        <v>3463</v>
      </c>
      <c r="H1167" s="12"/>
      <c r="I1167">
        <v>99</v>
      </c>
      <c r="J1167">
        <v>100</v>
      </c>
      <c r="K1167">
        <v>188</v>
      </c>
      <c r="L1167">
        <v>104</v>
      </c>
      <c r="M1167" t="s">
        <v>96</v>
      </c>
      <c r="N1167">
        <v>182</v>
      </c>
      <c r="O1167">
        <v>106</v>
      </c>
      <c r="P1167" t="s">
        <v>96</v>
      </c>
      <c r="Q1167" t="s">
        <v>96</v>
      </c>
      <c r="R1167">
        <v>76.099999999999994</v>
      </c>
      <c r="S1167">
        <v>160</v>
      </c>
      <c r="T1167" s="8">
        <f t="shared" si="37"/>
        <v>29.726562499999996</v>
      </c>
      <c r="U1167" s="13" t="str" cm="1">
        <f t="array" ref="U1167">IF(T1167="","",_xlfn.IFS(T1167&lt;18.5,"Bajo peso",T1167&lt;25,"Peso normal",T1167&lt;30,"Sobrepeso",T1167&lt;35,"Obesidad clase I",T1167&lt;40,"Obesidad clase II",T1167&gt;=40,"Obesidad clase III"))</f>
        <v>Sobrepeso</v>
      </c>
      <c r="V1167">
        <v>179</v>
      </c>
      <c r="X1167" t="s">
        <v>3463</v>
      </c>
      <c r="Y1167">
        <v>0.73</v>
      </c>
      <c r="AA1167">
        <v>90</v>
      </c>
      <c r="AB1167" s="9">
        <f t="shared" si="36"/>
        <v>107.44610113576537</v>
      </c>
      <c r="AD1167" t="s">
        <v>73</v>
      </c>
      <c r="AF1167" t="s">
        <v>73</v>
      </c>
      <c r="AH1167" t="s">
        <v>3463</v>
      </c>
      <c r="AI1167" t="s">
        <v>3465</v>
      </c>
      <c r="AJ1167" t="s">
        <v>3463</v>
      </c>
      <c r="AK1167" t="s">
        <v>3463</v>
      </c>
      <c r="AL1167" t="s">
        <v>3463</v>
      </c>
      <c r="AP1167" t="s">
        <v>3463</v>
      </c>
      <c r="AQ1167" t="s">
        <v>2585</v>
      </c>
      <c r="AR1167" t="s">
        <v>3488</v>
      </c>
      <c r="AS1167" t="s">
        <v>3463</v>
      </c>
      <c r="AV1167" t="s">
        <v>74</v>
      </c>
      <c r="AW1167" t="s">
        <v>3915</v>
      </c>
      <c r="BA1167" t="s">
        <v>3920</v>
      </c>
      <c r="BF1167" t="s">
        <v>3921</v>
      </c>
      <c r="BG1167" t="s">
        <v>2586</v>
      </c>
      <c r="BH1167" t="s">
        <v>4212</v>
      </c>
      <c r="BL1167" t="s">
        <v>2587</v>
      </c>
      <c r="BP1167" t="s">
        <v>4524</v>
      </c>
      <c r="BQ1167" t="s">
        <v>3463</v>
      </c>
      <c r="BR1167" t="s">
        <v>3465</v>
      </c>
      <c r="BS1167" t="s">
        <v>3463</v>
      </c>
      <c r="BT1167" t="s">
        <v>3463</v>
      </c>
      <c r="BU1167" t="s">
        <v>3463</v>
      </c>
      <c r="BV1167" t="s">
        <v>3463</v>
      </c>
      <c r="BW1167" t="s">
        <v>3463</v>
      </c>
      <c r="BX1167" t="s">
        <v>79</v>
      </c>
      <c r="BY1167" t="s">
        <v>79</v>
      </c>
      <c r="BZ1167" t="s">
        <v>79</v>
      </c>
      <c r="CA1167" s="10">
        <v>45912</v>
      </c>
    </row>
    <row r="1168" spans="1:79">
      <c r="A1168">
        <v>1181</v>
      </c>
      <c r="B1168">
        <v>98</v>
      </c>
      <c r="C1168">
        <v>53</v>
      </c>
      <c r="D1168" t="s">
        <v>3466</v>
      </c>
      <c r="E1168" t="s">
        <v>2416</v>
      </c>
      <c r="F1168" t="s">
        <v>2407</v>
      </c>
      <c r="G1168" s="12" t="s">
        <v>3465</v>
      </c>
      <c r="H1168" t="s">
        <v>88</v>
      </c>
      <c r="I1168">
        <v>90</v>
      </c>
      <c r="J1168">
        <v>90</v>
      </c>
      <c r="K1168">
        <v>202</v>
      </c>
      <c r="L1168">
        <v>95</v>
      </c>
      <c r="M1168" t="s">
        <v>96</v>
      </c>
      <c r="N1168">
        <v>195</v>
      </c>
      <c r="O1168">
        <v>98</v>
      </c>
      <c r="P1168" t="s">
        <v>96</v>
      </c>
      <c r="Q1168" t="s">
        <v>96</v>
      </c>
      <c r="R1168">
        <v>74.400000000000006</v>
      </c>
      <c r="S1168">
        <v>151</v>
      </c>
      <c r="T1168" s="8">
        <f t="shared" si="37"/>
        <v>32.63014780053507</v>
      </c>
      <c r="U1168" s="13" t="str" cm="1">
        <f t="array" ref="U1168">IF(T1168="","",_xlfn.IFS(T1168&lt;18.5,"Bajo peso",T1168&lt;25,"Peso normal",T1168&lt;30,"Sobrepeso",T1168&lt;35,"Obesidad clase I",T1168&lt;40,"Obesidad clase II",T1168&gt;=40,"Obesidad clase III"))</f>
        <v>Obesidad clase I</v>
      </c>
      <c r="V1168">
        <v>293</v>
      </c>
      <c r="X1168" t="s">
        <v>3465</v>
      </c>
      <c r="Y1168">
        <v>0.94</v>
      </c>
      <c r="AA1168">
        <v>73</v>
      </c>
      <c r="AB1168" s="9">
        <f t="shared" si="36"/>
        <v>72.557060237262391</v>
      </c>
      <c r="AD1168" t="s">
        <v>73</v>
      </c>
      <c r="AF1168" t="s">
        <v>73</v>
      </c>
      <c r="AG1168" t="s">
        <v>3465</v>
      </c>
      <c r="AH1168" t="s">
        <v>3465</v>
      </c>
      <c r="AI1168" t="s">
        <v>3465</v>
      </c>
      <c r="AJ1168" t="s">
        <v>3463</v>
      </c>
      <c r="AK1168" t="s">
        <v>3463</v>
      </c>
      <c r="AL1168" t="s">
        <v>3465</v>
      </c>
      <c r="AM1168" t="s">
        <v>2588</v>
      </c>
      <c r="AN1168" t="s">
        <v>3851</v>
      </c>
      <c r="AO1168" t="s">
        <v>3465</v>
      </c>
      <c r="AP1168" t="s">
        <v>3465</v>
      </c>
      <c r="AQ1168" t="s">
        <v>2589</v>
      </c>
      <c r="AR1168" t="s">
        <v>3536</v>
      </c>
      <c r="AS1168" t="s">
        <v>3465</v>
      </c>
      <c r="AT1168" t="s">
        <v>3465</v>
      </c>
      <c r="AU1168" t="s">
        <v>1899</v>
      </c>
      <c r="AV1168" t="s">
        <v>74</v>
      </c>
      <c r="AW1168" t="s">
        <v>3915</v>
      </c>
      <c r="AX1168" t="s">
        <v>3463</v>
      </c>
      <c r="AY1168" t="s">
        <v>3465</v>
      </c>
      <c r="AZ1168" t="s">
        <v>1110</v>
      </c>
      <c r="BA1168" t="s">
        <v>3920</v>
      </c>
      <c r="BB1168" t="s">
        <v>3485</v>
      </c>
      <c r="BC1168" t="s">
        <v>128</v>
      </c>
      <c r="BF1168" t="s">
        <v>3921</v>
      </c>
      <c r="BH1168" t="s">
        <v>4076</v>
      </c>
      <c r="BI1168" t="s">
        <v>411</v>
      </c>
      <c r="BK1168" t="s">
        <v>2590</v>
      </c>
      <c r="BL1168" t="s">
        <v>2591</v>
      </c>
      <c r="BP1168" t="s">
        <v>4256</v>
      </c>
      <c r="BQ1168" t="s">
        <v>3463</v>
      </c>
      <c r="BR1168" t="s">
        <v>3463</v>
      </c>
      <c r="BS1168" t="s">
        <v>3465</v>
      </c>
      <c r="BT1168" t="s">
        <v>3465</v>
      </c>
      <c r="BU1168" t="s">
        <v>3463</v>
      </c>
      <c r="BV1168" t="s">
        <v>3463</v>
      </c>
      <c r="BW1168" t="s">
        <v>3463</v>
      </c>
      <c r="BX1168" t="s">
        <v>79</v>
      </c>
      <c r="BY1168" t="s">
        <v>487</v>
      </c>
      <c r="BZ1168" t="s">
        <v>95</v>
      </c>
      <c r="CA1168" s="10">
        <v>45912</v>
      </c>
    </row>
    <row r="1169" spans="1:79">
      <c r="A1169">
        <v>1182</v>
      </c>
      <c r="B1169">
        <v>99</v>
      </c>
      <c r="C1169">
        <v>42</v>
      </c>
      <c r="D1169" t="s">
        <v>3466</v>
      </c>
      <c r="E1169" t="s">
        <v>2592</v>
      </c>
      <c r="F1169" t="s">
        <v>2407</v>
      </c>
      <c r="G1169" s="12" t="s">
        <v>3463</v>
      </c>
      <c r="I1169">
        <v>88</v>
      </c>
      <c r="K1169">
        <v>135</v>
      </c>
      <c r="L1169">
        <v>92</v>
      </c>
      <c r="M1169" t="s">
        <v>72</v>
      </c>
      <c r="P1169" t="s">
        <v>83</v>
      </c>
      <c r="Q1169" t="s">
        <v>72</v>
      </c>
      <c r="R1169">
        <v>65.5</v>
      </c>
      <c r="S1169">
        <v>152</v>
      </c>
      <c r="T1169" s="8">
        <f t="shared" si="37"/>
        <v>28.35006925207756</v>
      </c>
      <c r="U1169" s="13" t="str" cm="1">
        <f t="array" ref="U1169">IF(T1169="","",_xlfn.IFS(T1169&lt;18.5,"Bajo peso",T1169&lt;25,"Peso normal",T1169&lt;30,"Sobrepeso",T1169&lt;35,"Obesidad clase I",T1169&lt;40,"Obesidad clase II",T1169&gt;=40,"Obesidad clase III"))</f>
        <v>Sobrepeso</v>
      </c>
      <c r="V1169">
        <v>167</v>
      </c>
      <c r="X1169" t="s">
        <v>3463</v>
      </c>
      <c r="Y1169">
        <v>0.5</v>
      </c>
      <c r="AA1169">
        <v>90</v>
      </c>
      <c r="AB1169" s="9">
        <f t="shared" si="36"/>
        <v>120.01717353184171</v>
      </c>
      <c r="AD1169" t="s">
        <v>73</v>
      </c>
      <c r="AF1169" t="s">
        <v>73</v>
      </c>
      <c r="AG1169" t="s">
        <v>3465</v>
      </c>
      <c r="AH1169" t="s">
        <v>3465</v>
      </c>
      <c r="AI1169" t="s">
        <v>3463</v>
      </c>
      <c r="AJ1169" t="s">
        <v>3463</v>
      </c>
      <c r="AK1169" t="s">
        <v>3463</v>
      </c>
      <c r="AL1169" t="s">
        <v>3463</v>
      </c>
      <c r="AO1169" t="s">
        <v>3463</v>
      </c>
      <c r="AP1169" t="s">
        <v>3465</v>
      </c>
      <c r="AQ1169" t="s">
        <v>2593</v>
      </c>
      <c r="AR1169" t="s">
        <v>3529</v>
      </c>
      <c r="AT1169" t="s">
        <v>3465</v>
      </c>
      <c r="AU1169" t="s">
        <v>80</v>
      </c>
      <c r="AV1169" t="s">
        <v>74</v>
      </c>
      <c r="AW1169" t="s">
        <v>3915</v>
      </c>
      <c r="AX1169" t="s">
        <v>3465</v>
      </c>
      <c r="AY1169" t="s">
        <v>3463</v>
      </c>
      <c r="BF1169" t="s">
        <v>3921</v>
      </c>
      <c r="BH1169" t="s">
        <v>4020</v>
      </c>
      <c r="BP1169" t="s">
        <v>4260</v>
      </c>
      <c r="BQ1169" t="s">
        <v>3463</v>
      </c>
      <c r="BR1169" t="s">
        <v>3463</v>
      </c>
      <c r="BS1169" t="s">
        <v>3463</v>
      </c>
      <c r="BT1169" t="s">
        <v>3465</v>
      </c>
      <c r="BU1169" t="s">
        <v>3463</v>
      </c>
      <c r="BV1169" t="s">
        <v>3463</v>
      </c>
      <c r="BW1169" t="s">
        <v>3463</v>
      </c>
      <c r="BX1169" t="s">
        <v>79</v>
      </c>
      <c r="BY1169" t="s">
        <v>121</v>
      </c>
      <c r="BZ1169" t="s">
        <v>79</v>
      </c>
      <c r="CA1169" s="10">
        <v>45912</v>
      </c>
    </row>
    <row r="1170" spans="1:79">
      <c r="A1170">
        <v>1183</v>
      </c>
      <c r="B1170">
        <v>100</v>
      </c>
      <c r="C1170">
        <v>55</v>
      </c>
      <c r="D1170" t="s">
        <v>3462</v>
      </c>
      <c r="E1170" t="s">
        <v>2411</v>
      </c>
      <c r="F1170" t="s">
        <v>2407</v>
      </c>
      <c r="G1170" s="12" t="s">
        <v>3463</v>
      </c>
      <c r="I1170">
        <v>75</v>
      </c>
      <c r="J1170">
        <v>72</v>
      </c>
      <c r="K1170">
        <v>158</v>
      </c>
      <c r="L1170">
        <v>94</v>
      </c>
      <c r="M1170" t="s">
        <v>72</v>
      </c>
      <c r="N1170">
        <v>140</v>
      </c>
      <c r="O1170">
        <v>96</v>
      </c>
      <c r="P1170" t="s">
        <v>72</v>
      </c>
      <c r="Q1170" t="s">
        <v>72</v>
      </c>
      <c r="R1170">
        <v>86.2</v>
      </c>
      <c r="S1170">
        <v>159</v>
      </c>
      <c r="T1170" s="8">
        <f t="shared" si="37"/>
        <v>34.096752501878882</v>
      </c>
      <c r="U1170" s="13" t="str" cm="1">
        <f t="array" ref="U1170">IF(T1170="","",_xlfn.IFS(T1170&lt;18.5,"Bajo peso",T1170&lt;25,"Peso normal",T1170&lt;30,"Sobrepeso",T1170&lt;35,"Obesidad clase I",T1170&lt;40,"Obesidad clase II",T1170&gt;=40,"Obesidad clase III"))</f>
        <v>Obesidad clase I</v>
      </c>
      <c r="V1170">
        <v>96</v>
      </c>
      <c r="X1170" t="s">
        <v>3463</v>
      </c>
      <c r="Y1170">
        <v>0.84</v>
      </c>
      <c r="AA1170">
        <v>90</v>
      </c>
      <c r="AB1170" s="9">
        <f t="shared" si="36"/>
        <v>102.98686079803433</v>
      </c>
      <c r="AD1170" t="s">
        <v>73</v>
      </c>
      <c r="AF1170" t="s">
        <v>73</v>
      </c>
      <c r="AH1170" t="s">
        <v>3463</v>
      </c>
      <c r="AI1170" t="s">
        <v>3463</v>
      </c>
      <c r="AJ1170" t="s">
        <v>3463</v>
      </c>
      <c r="AK1170" t="s">
        <v>3463</v>
      </c>
      <c r="AL1170" t="s">
        <v>3463</v>
      </c>
      <c r="AP1170" t="s">
        <v>3463</v>
      </c>
      <c r="AV1170" t="s">
        <v>74</v>
      </c>
      <c r="AW1170" t="s">
        <v>3915</v>
      </c>
      <c r="BF1170" t="s">
        <v>3921</v>
      </c>
      <c r="BH1170" t="s">
        <v>4020</v>
      </c>
      <c r="BP1170" t="s">
        <v>4260</v>
      </c>
      <c r="BQ1170" t="s">
        <v>3463</v>
      </c>
      <c r="BR1170" t="s">
        <v>3465</v>
      </c>
      <c r="BS1170" t="s">
        <v>3463</v>
      </c>
      <c r="BT1170" t="s">
        <v>3463</v>
      </c>
      <c r="BU1170" t="s">
        <v>3463</v>
      </c>
      <c r="BV1170" t="s">
        <v>3463</v>
      </c>
      <c r="BW1170" t="s">
        <v>3463</v>
      </c>
      <c r="BX1170" t="s">
        <v>79</v>
      </c>
      <c r="BY1170" t="s">
        <v>79</v>
      </c>
      <c r="BZ1170" t="s">
        <v>79</v>
      </c>
      <c r="CA1170" s="10">
        <v>45912</v>
      </c>
    </row>
    <row r="1171" spans="1:79">
      <c r="A1171">
        <v>1184</v>
      </c>
      <c r="B1171">
        <v>101</v>
      </c>
      <c r="C1171">
        <v>23</v>
      </c>
      <c r="D1171" t="s">
        <v>3462</v>
      </c>
      <c r="E1171" t="s">
        <v>2594</v>
      </c>
      <c r="F1171" t="s">
        <v>2595</v>
      </c>
      <c r="G1171" s="12" t="s">
        <v>3463</v>
      </c>
      <c r="I1171">
        <v>81</v>
      </c>
      <c r="J1171">
        <v>83</v>
      </c>
      <c r="K1171">
        <v>144</v>
      </c>
      <c r="L1171">
        <v>78</v>
      </c>
      <c r="M1171" t="s">
        <v>72</v>
      </c>
      <c r="N1171">
        <v>145</v>
      </c>
      <c r="O1171">
        <v>80</v>
      </c>
      <c r="P1171" t="s">
        <v>72</v>
      </c>
      <c r="Q1171" t="s">
        <v>72</v>
      </c>
      <c r="R1171">
        <v>90.9</v>
      </c>
      <c r="S1171">
        <v>179</v>
      </c>
      <c r="T1171" s="8">
        <f t="shared" si="37"/>
        <v>28.369901064261416</v>
      </c>
      <c r="U1171" s="13" t="str" cm="1">
        <f t="array" ref="U1171">IF(T1171="","",_xlfn.IFS(T1171&lt;18.5,"Bajo peso",T1171&lt;25,"Peso normal",T1171&lt;30,"Sobrepeso",T1171&lt;35,"Obesidad clase I",T1171&lt;40,"Obesidad clase II",T1171&gt;=40,"Obesidad clase III"))</f>
        <v>Sobrepeso</v>
      </c>
      <c r="V1171">
        <v>92</v>
      </c>
      <c r="X1171" t="s">
        <v>3463</v>
      </c>
      <c r="Y1171">
        <v>1.1200000000000001</v>
      </c>
      <c r="AA1171">
        <v>90</v>
      </c>
      <c r="AB1171" s="9">
        <f t="shared" si="36"/>
        <v>94.666114878074751</v>
      </c>
      <c r="AD1171" t="s">
        <v>73</v>
      </c>
      <c r="AF1171" t="s">
        <v>73</v>
      </c>
      <c r="AH1171" t="s">
        <v>3463</v>
      </c>
      <c r="AI1171" t="s">
        <v>3463</v>
      </c>
      <c r="AJ1171" t="s">
        <v>3463</v>
      </c>
      <c r="AK1171" t="s">
        <v>3463</v>
      </c>
      <c r="AL1171" t="s">
        <v>3465</v>
      </c>
      <c r="AM1171" t="s">
        <v>472</v>
      </c>
      <c r="AN1171" t="s">
        <v>3617</v>
      </c>
      <c r="AO1171" t="s">
        <v>3465</v>
      </c>
      <c r="AP1171" t="s">
        <v>3465</v>
      </c>
      <c r="AQ1171" t="s">
        <v>2596</v>
      </c>
      <c r="AR1171" t="s">
        <v>3509</v>
      </c>
      <c r="AV1171" t="s">
        <v>126</v>
      </c>
      <c r="AW1171" t="s">
        <v>126</v>
      </c>
      <c r="BF1171" t="s">
        <v>3921</v>
      </c>
      <c r="BG1171" t="s">
        <v>2597</v>
      </c>
      <c r="BH1171" t="s">
        <v>4082</v>
      </c>
      <c r="BK1171" t="s">
        <v>2598</v>
      </c>
      <c r="BL1171" t="s">
        <v>1722</v>
      </c>
      <c r="BP1171" t="s">
        <v>4336</v>
      </c>
      <c r="BQ1171" t="s">
        <v>3463</v>
      </c>
      <c r="BR1171" t="s">
        <v>3465</v>
      </c>
      <c r="BS1171" t="s">
        <v>3465</v>
      </c>
      <c r="BT1171" t="s">
        <v>3465</v>
      </c>
      <c r="BU1171" t="s">
        <v>3463</v>
      </c>
      <c r="BV1171" t="s">
        <v>3463</v>
      </c>
      <c r="BW1171" t="s">
        <v>3463</v>
      </c>
      <c r="BX1171" t="s">
        <v>79</v>
      </c>
      <c r="BY1171" t="s">
        <v>79</v>
      </c>
      <c r="BZ1171" t="s">
        <v>95</v>
      </c>
      <c r="CA1171" s="10">
        <v>45912</v>
      </c>
    </row>
    <row r="1172" spans="1:79">
      <c r="A1172">
        <v>1185</v>
      </c>
      <c r="B1172">
        <v>102</v>
      </c>
      <c r="C1172">
        <v>44</v>
      </c>
      <c r="D1172" t="s">
        <v>3466</v>
      </c>
      <c r="E1172" t="s">
        <v>2416</v>
      </c>
      <c r="F1172" t="s">
        <v>2407</v>
      </c>
      <c r="G1172" s="12" t="s">
        <v>3463</v>
      </c>
      <c r="I1172">
        <v>93</v>
      </c>
      <c r="J1172">
        <v>89</v>
      </c>
      <c r="K1172">
        <v>146</v>
      </c>
      <c r="L1172">
        <v>86</v>
      </c>
      <c r="M1172" t="s">
        <v>72</v>
      </c>
      <c r="N1172">
        <v>131</v>
      </c>
      <c r="O1172">
        <v>78</v>
      </c>
      <c r="P1172" t="s">
        <v>82</v>
      </c>
      <c r="Q1172" t="s">
        <v>82</v>
      </c>
      <c r="R1172">
        <v>58.7</v>
      </c>
      <c r="S1172">
        <v>152.5</v>
      </c>
      <c r="T1172" s="8">
        <f t="shared" si="37"/>
        <v>25.240526740123627</v>
      </c>
      <c r="U1172" s="13" t="str" cm="1">
        <f t="array" ref="U1172">IF(T1172="","",_xlfn.IFS(T1172&lt;18.5,"Bajo peso",T1172&lt;25,"Peso normal",T1172&lt;30,"Sobrepeso",T1172&lt;35,"Obesidad clase I",T1172&lt;40,"Obesidad clase II",T1172&gt;=40,"Obesidad clase III"))</f>
        <v>Sobrepeso</v>
      </c>
      <c r="V1172">
        <v>380</v>
      </c>
      <c r="X1172" t="s">
        <v>3465</v>
      </c>
      <c r="Y1172">
        <v>0.73</v>
      </c>
      <c r="AA1172">
        <v>90</v>
      </c>
      <c r="AB1172" s="9">
        <f t="shared" si="36"/>
        <v>103.93330524844971</v>
      </c>
      <c r="AD1172" t="s">
        <v>73</v>
      </c>
      <c r="AF1172" t="s">
        <v>73</v>
      </c>
      <c r="AG1172" t="s">
        <v>3465</v>
      </c>
      <c r="AH1172" t="s">
        <v>3465</v>
      </c>
      <c r="AI1172" t="s">
        <v>3463</v>
      </c>
      <c r="AJ1172" t="s">
        <v>3463</v>
      </c>
      <c r="AK1172" t="s">
        <v>3463</v>
      </c>
      <c r="AL1172" t="s">
        <v>3465</v>
      </c>
      <c r="AM1172" t="s">
        <v>2599</v>
      </c>
      <c r="AN1172" t="s">
        <v>3852</v>
      </c>
      <c r="AP1172" t="s">
        <v>3463</v>
      </c>
      <c r="AQ1172" t="s">
        <v>2600</v>
      </c>
      <c r="AR1172" t="s">
        <v>3548</v>
      </c>
      <c r="AT1172" t="s">
        <v>3465</v>
      </c>
      <c r="AU1172" t="s">
        <v>1899</v>
      </c>
      <c r="AV1172" t="s">
        <v>74</v>
      </c>
      <c r="AW1172" t="s">
        <v>3915</v>
      </c>
      <c r="AX1172" t="s">
        <v>3463</v>
      </c>
      <c r="AY1172" t="s">
        <v>3465</v>
      </c>
      <c r="AZ1172" t="s">
        <v>247</v>
      </c>
      <c r="BF1172" t="s">
        <v>3921</v>
      </c>
      <c r="BH1172" t="s">
        <v>4020</v>
      </c>
      <c r="BP1172" t="s">
        <v>4260</v>
      </c>
      <c r="BQ1172" t="s">
        <v>3463</v>
      </c>
      <c r="BR1172" t="s">
        <v>3463</v>
      </c>
      <c r="BS1172" t="s">
        <v>3465</v>
      </c>
      <c r="BT1172" t="s">
        <v>3465</v>
      </c>
      <c r="BU1172" t="s">
        <v>3463</v>
      </c>
      <c r="BV1172" t="s">
        <v>3463</v>
      </c>
      <c r="BW1172" t="s">
        <v>3463</v>
      </c>
      <c r="BX1172" t="s">
        <v>79</v>
      </c>
      <c r="BY1172" t="s">
        <v>121</v>
      </c>
      <c r="BZ1172" t="s">
        <v>79</v>
      </c>
      <c r="CA1172" s="10">
        <v>45912</v>
      </c>
    </row>
    <row r="1173" spans="1:79">
      <c r="A1173">
        <v>1186</v>
      </c>
      <c r="B1173">
        <v>103</v>
      </c>
      <c r="C1173">
        <v>28</v>
      </c>
      <c r="D1173" t="s">
        <v>3466</v>
      </c>
      <c r="E1173" t="s">
        <v>2550</v>
      </c>
      <c r="F1173" t="s">
        <v>2407</v>
      </c>
      <c r="G1173" s="12" t="s">
        <v>3463</v>
      </c>
      <c r="I1173">
        <v>85</v>
      </c>
      <c r="J1173">
        <v>91</v>
      </c>
      <c r="K1173">
        <v>155</v>
      </c>
      <c r="L1173">
        <v>80</v>
      </c>
      <c r="M1173" t="s">
        <v>72</v>
      </c>
      <c r="N1173">
        <v>132</v>
      </c>
      <c r="O1173">
        <v>73</v>
      </c>
      <c r="P1173" t="s">
        <v>82</v>
      </c>
      <c r="Q1173" t="s">
        <v>82</v>
      </c>
      <c r="R1173">
        <v>109.6</v>
      </c>
      <c r="S1173">
        <v>162</v>
      </c>
      <c r="T1173" s="8">
        <f t="shared" si="37"/>
        <v>41.76192653558909</v>
      </c>
      <c r="U1173" s="13" t="str" cm="1">
        <f t="array" ref="U1173">IF(T1173="","",_xlfn.IFS(T1173&lt;18.5,"Bajo peso",T1173&lt;25,"Peso normal",T1173&lt;30,"Sobrepeso",T1173&lt;35,"Obesidad clase I",T1173&lt;40,"Obesidad clase II",T1173&gt;=40,"Obesidad clase III"))</f>
        <v>Obesidad clase III</v>
      </c>
      <c r="V1173">
        <v>132</v>
      </c>
      <c r="X1173" t="s">
        <v>3463</v>
      </c>
      <c r="Y1173">
        <v>0.96</v>
      </c>
      <c r="AA1173">
        <v>82</v>
      </c>
      <c r="AB1173" s="9">
        <f t="shared" si="36"/>
        <v>82.648088336506191</v>
      </c>
      <c r="AD1173" t="s">
        <v>73</v>
      </c>
      <c r="AF1173" t="s">
        <v>73</v>
      </c>
      <c r="AH1173" t="s">
        <v>3463</v>
      </c>
      <c r="AI1173" t="s">
        <v>3463</v>
      </c>
      <c r="AJ1173" t="s">
        <v>3465</v>
      </c>
      <c r="AK1173" t="s">
        <v>3465</v>
      </c>
      <c r="AL1173" t="s">
        <v>3463</v>
      </c>
      <c r="AP1173" t="s">
        <v>3463</v>
      </c>
      <c r="AQ1173" t="s">
        <v>136</v>
      </c>
      <c r="AR1173" t="s">
        <v>3488</v>
      </c>
      <c r="AV1173" t="s">
        <v>74</v>
      </c>
      <c r="AW1173" t="s">
        <v>3915</v>
      </c>
      <c r="AX1173" t="s">
        <v>3465</v>
      </c>
      <c r="AY1173" t="s">
        <v>3465</v>
      </c>
      <c r="AZ1173" t="s">
        <v>104</v>
      </c>
      <c r="BF1173" t="s">
        <v>3921</v>
      </c>
      <c r="BG1173" t="s">
        <v>2601</v>
      </c>
      <c r="BH1173" t="s">
        <v>4048</v>
      </c>
      <c r="BK1173" t="s">
        <v>2602</v>
      </c>
      <c r="BL1173" t="s">
        <v>2603</v>
      </c>
      <c r="BP1173" t="s">
        <v>4525</v>
      </c>
      <c r="BQ1173" t="s">
        <v>3463</v>
      </c>
      <c r="BR1173" t="s">
        <v>3463</v>
      </c>
      <c r="BS1173" t="s">
        <v>3463</v>
      </c>
      <c r="BT1173" t="s">
        <v>3463</v>
      </c>
      <c r="BU1173" t="s">
        <v>3463</v>
      </c>
      <c r="BV1173" t="s">
        <v>3463</v>
      </c>
      <c r="BW1173" t="s">
        <v>3463</v>
      </c>
      <c r="BX1173" t="s">
        <v>518</v>
      </c>
      <c r="BY1173" t="s">
        <v>79</v>
      </c>
      <c r="BZ1173" t="s">
        <v>79</v>
      </c>
      <c r="CA1173" s="10">
        <v>45912</v>
      </c>
    </row>
    <row r="1174" spans="1:79">
      <c r="A1174">
        <v>1187</v>
      </c>
      <c r="B1174">
        <v>104</v>
      </c>
      <c r="C1174">
        <v>53</v>
      </c>
      <c r="D1174" t="s">
        <v>3466</v>
      </c>
      <c r="E1174" t="s">
        <v>2462</v>
      </c>
      <c r="F1174" t="s">
        <v>2407</v>
      </c>
      <c r="G1174" s="12" t="s">
        <v>3465</v>
      </c>
      <c r="H1174" s="12" t="s">
        <v>88</v>
      </c>
      <c r="I1174">
        <v>81</v>
      </c>
      <c r="J1174">
        <v>78</v>
      </c>
      <c r="K1174">
        <v>159</v>
      </c>
      <c r="L1174">
        <v>89</v>
      </c>
      <c r="M1174" t="s">
        <v>72</v>
      </c>
      <c r="N1174">
        <v>145</v>
      </c>
      <c r="O1174">
        <v>90</v>
      </c>
      <c r="P1174" t="s">
        <v>72</v>
      </c>
      <c r="Q1174" t="s">
        <v>72</v>
      </c>
      <c r="R1174">
        <v>94.5</v>
      </c>
      <c r="S1174">
        <v>164</v>
      </c>
      <c r="T1174" s="8">
        <f t="shared" si="37"/>
        <v>35.135336109458656</v>
      </c>
      <c r="U1174" s="13" t="str" cm="1">
        <f t="array" ref="U1174">IF(T1174="","",_xlfn.IFS(T1174&lt;18.5,"Bajo peso",T1174&lt;25,"Peso normal",T1174&lt;30,"Sobrepeso",T1174&lt;35,"Obesidad clase I",T1174&lt;40,"Obesidad clase II",T1174&gt;=40,"Obesidad clase III"))</f>
        <v>Obesidad clase II</v>
      </c>
      <c r="V1174">
        <v>108</v>
      </c>
      <c r="X1174" t="s">
        <v>3463</v>
      </c>
      <c r="Y1174">
        <v>0.68</v>
      </c>
      <c r="AA1174">
        <v>90</v>
      </c>
      <c r="AB1174" s="9">
        <f t="shared" si="36"/>
        <v>104.07572245310305</v>
      </c>
      <c r="AD1174" t="s">
        <v>73</v>
      </c>
      <c r="AF1174" t="s">
        <v>73</v>
      </c>
      <c r="AH1174" t="s">
        <v>3463</v>
      </c>
      <c r="AI1174" t="s">
        <v>3465</v>
      </c>
      <c r="AJ1174" t="s">
        <v>3463</v>
      </c>
      <c r="AK1174" t="s">
        <v>3463</v>
      </c>
      <c r="AL1174" t="s">
        <v>3463</v>
      </c>
      <c r="AP1174" t="s">
        <v>3463</v>
      </c>
      <c r="AS1174" t="s">
        <v>3465</v>
      </c>
      <c r="AT1174" t="s">
        <v>3465</v>
      </c>
      <c r="AU1174" t="s">
        <v>80</v>
      </c>
      <c r="AV1174" t="s">
        <v>126</v>
      </c>
      <c r="AW1174" t="s">
        <v>126</v>
      </c>
      <c r="AX1174" t="s">
        <v>3463</v>
      </c>
      <c r="AY1174" t="s">
        <v>3465</v>
      </c>
      <c r="AZ1174" t="s">
        <v>90</v>
      </c>
      <c r="BA1174" t="s">
        <v>3920</v>
      </c>
      <c r="BF1174" t="s">
        <v>3921</v>
      </c>
      <c r="BG1174" t="s">
        <v>2604</v>
      </c>
      <c r="BH1174" t="s">
        <v>4021</v>
      </c>
      <c r="BL1174" t="s">
        <v>829</v>
      </c>
      <c r="BP1174" t="s">
        <v>4271</v>
      </c>
      <c r="BQ1174" t="s">
        <v>3463</v>
      </c>
      <c r="BR1174" t="s">
        <v>3463</v>
      </c>
      <c r="BS1174" t="s">
        <v>3465</v>
      </c>
      <c r="BT1174" t="s">
        <v>3465</v>
      </c>
      <c r="BU1174" t="s">
        <v>3463</v>
      </c>
      <c r="BV1174" t="s">
        <v>3463</v>
      </c>
      <c r="BW1174" t="s">
        <v>3463</v>
      </c>
      <c r="BX1174" t="s">
        <v>79</v>
      </c>
      <c r="BY1174" t="s">
        <v>79</v>
      </c>
      <c r="BZ1174" t="s">
        <v>79</v>
      </c>
      <c r="CA1174" s="10">
        <v>45912</v>
      </c>
    </row>
    <row r="1175" spans="1:79">
      <c r="A1175">
        <v>1188</v>
      </c>
      <c r="B1175">
        <v>105</v>
      </c>
      <c r="C1175">
        <v>56</v>
      </c>
      <c r="D1175" t="s">
        <v>3466</v>
      </c>
      <c r="F1175" t="s">
        <v>2407</v>
      </c>
      <c r="G1175" s="12" t="s">
        <v>3463</v>
      </c>
      <c r="H1175" s="12"/>
      <c r="I1175">
        <v>63</v>
      </c>
      <c r="J1175">
        <v>62</v>
      </c>
      <c r="K1175">
        <v>177</v>
      </c>
      <c r="L1175">
        <v>93</v>
      </c>
      <c r="M1175" t="s">
        <v>72</v>
      </c>
      <c r="N1175">
        <v>157</v>
      </c>
      <c r="O1175">
        <v>92</v>
      </c>
      <c r="P1175" t="s">
        <v>72</v>
      </c>
      <c r="Q1175" t="s">
        <v>72</v>
      </c>
      <c r="R1175">
        <v>88</v>
      </c>
      <c r="S1175">
        <v>157</v>
      </c>
      <c r="T1175" s="8">
        <f t="shared" si="37"/>
        <v>35.701245486632317</v>
      </c>
      <c r="U1175" s="13" t="str" cm="1">
        <f t="array" ref="U1175">IF(T1175="","",_xlfn.IFS(T1175&lt;18.5,"Bajo peso",T1175&lt;25,"Peso normal",T1175&lt;30,"Sobrepeso",T1175&lt;35,"Obesidad clase I",T1175&lt;40,"Obesidad clase II",T1175&gt;=40,"Obesidad clase III"))</f>
        <v>Obesidad clase II</v>
      </c>
      <c r="V1175">
        <v>179</v>
      </c>
      <c r="X1175" t="s">
        <v>3463</v>
      </c>
      <c r="Y1175">
        <v>1.1299999999999999</v>
      </c>
      <c r="AA1175">
        <v>57</v>
      </c>
      <c r="AB1175" s="9">
        <f t="shared" si="36"/>
        <v>57.099978886116787</v>
      </c>
      <c r="AD1175" t="s">
        <v>158</v>
      </c>
      <c r="AF1175" t="s">
        <v>158</v>
      </c>
      <c r="AH1175" t="s">
        <v>3463</v>
      </c>
      <c r="AI1175" t="s">
        <v>3463</v>
      </c>
      <c r="AJ1175" t="s">
        <v>3463</v>
      </c>
      <c r="AK1175" t="s">
        <v>3463</v>
      </c>
      <c r="AL1175" t="s">
        <v>3463</v>
      </c>
      <c r="AP1175" t="s">
        <v>3463</v>
      </c>
      <c r="AQ1175" t="s">
        <v>2605</v>
      </c>
      <c r="AR1175" t="s">
        <v>3488</v>
      </c>
      <c r="AT1175" t="s">
        <v>3465</v>
      </c>
      <c r="AU1175" t="s">
        <v>1899</v>
      </c>
      <c r="AV1175" t="s">
        <v>74</v>
      </c>
      <c r="AW1175" t="s">
        <v>3915</v>
      </c>
      <c r="AX1175" t="s">
        <v>3463</v>
      </c>
      <c r="AY1175" t="s">
        <v>3465</v>
      </c>
      <c r="AZ1175" t="s">
        <v>1094</v>
      </c>
      <c r="BF1175" t="s">
        <v>3921</v>
      </c>
      <c r="BG1175" t="s">
        <v>2606</v>
      </c>
      <c r="BH1175" t="s">
        <v>4014</v>
      </c>
      <c r="BI1175" t="s">
        <v>820</v>
      </c>
      <c r="BK1175" t="s">
        <v>2607</v>
      </c>
      <c r="BL1175" t="s">
        <v>2206</v>
      </c>
      <c r="BP1175" t="s">
        <v>4271</v>
      </c>
      <c r="BQ1175" t="s">
        <v>3463</v>
      </c>
      <c r="BR1175" t="s">
        <v>3463</v>
      </c>
      <c r="BS1175" t="s">
        <v>3465</v>
      </c>
      <c r="BT1175" t="s">
        <v>3465</v>
      </c>
      <c r="BU1175" t="s">
        <v>3463</v>
      </c>
      <c r="BV1175" t="s">
        <v>3463</v>
      </c>
      <c r="BW1175" t="s">
        <v>3463</v>
      </c>
      <c r="BX1175" t="s">
        <v>79</v>
      </c>
      <c r="BY1175" t="s">
        <v>87</v>
      </c>
      <c r="BZ1175" t="s">
        <v>79</v>
      </c>
      <c r="CA1175" s="10">
        <v>45912</v>
      </c>
    </row>
    <row r="1176" spans="1:79">
      <c r="A1176">
        <v>1189</v>
      </c>
      <c r="B1176">
        <v>106</v>
      </c>
      <c r="C1176">
        <v>56</v>
      </c>
      <c r="D1176" t="s">
        <v>3462</v>
      </c>
      <c r="E1176" t="s">
        <v>2411</v>
      </c>
      <c r="F1176" t="s">
        <v>2407</v>
      </c>
      <c r="G1176" s="12" t="s">
        <v>3463</v>
      </c>
      <c r="I1176">
        <v>91</v>
      </c>
      <c r="J1176">
        <v>92</v>
      </c>
      <c r="K1176">
        <v>163</v>
      </c>
      <c r="L1176">
        <v>110</v>
      </c>
      <c r="M1176" t="s">
        <v>72</v>
      </c>
      <c r="N1176">
        <v>151</v>
      </c>
      <c r="O1176">
        <v>106</v>
      </c>
      <c r="P1176" t="s">
        <v>72</v>
      </c>
      <c r="Q1176" t="s">
        <v>72</v>
      </c>
      <c r="R1176">
        <v>101</v>
      </c>
      <c r="S1176">
        <v>169</v>
      </c>
      <c r="T1176" s="8">
        <f t="shared" si="37"/>
        <v>35.362907461223344</v>
      </c>
      <c r="U1176" s="13" t="str" cm="1">
        <f t="array" ref="U1176">IF(T1176="","",_xlfn.IFS(T1176&lt;18.5,"Bajo peso",T1176&lt;25,"Peso normal",T1176&lt;30,"Sobrepeso",T1176&lt;35,"Obesidad clase I",T1176&lt;40,"Obesidad clase II",T1176&gt;=40,"Obesidad clase III"))</f>
        <v>Obesidad clase II</v>
      </c>
      <c r="V1176">
        <v>122</v>
      </c>
      <c r="X1176" t="s">
        <v>3463</v>
      </c>
      <c r="Y1176">
        <v>1.31</v>
      </c>
      <c r="AA1176">
        <v>64</v>
      </c>
      <c r="AB1176" s="9">
        <f t="shared" si="36"/>
        <v>63.884775925899845</v>
      </c>
      <c r="AD1176" t="s">
        <v>73</v>
      </c>
      <c r="AF1176" t="s">
        <v>73</v>
      </c>
      <c r="AH1176" t="s">
        <v>3463</v>
      </c>
      <c r="AI1176" t="s">
        <v>3465</v>
      </c>
      <c r="AJ1176" t="s">
        <v>3463</v>
      </c>
      <c r="AK1176" t="s">
        <v>3463</v>
      </c>
      <c r="AL1176" t="s">
        <v>3463</v>
      </c>
      <c r="AP1176" t="s">
        <v>3463</v>
      </c>
      <c r="AS1176" t="s">
        <v>3465</v>
      </c>
      <c r="AV1176" t="s">
        <v>74</v>
      </c>
      <c r="AW1176" t="s">
        <v>3915</v>
      </c>
      <c r="BA1176" t="s">
        <v>3920</v>
      </c>
      <c r="BF1176" t="s">
        <v>3921</v>
      </c>
      <c r="BG1176" t="s">
        <v>2608</v>
      </c>
      <c r="BH1176" t="s">
        <v>4060</v>
      </c>
      <c r="BL1176" t="s">
        <v>2609</v>
      </c>
      <c r="BP1176" t="s">
        <v>4260</v>
      </c>
      <c r="BQ1176" t="s">
        <v>3463</v>
      </c>
      <c r="BR1176" t="s">
        <v>3465</v>
      </c>
      <c r="BS1176" t="s">
        <v>3463</v>
      </c>
      <c r="BT1176" t="s">
        <v>3463</v>
      </c>
      <c r="BU1176" t="s">
        <v>3463</v>
      </c>
      <c r="BV1176" t="s">
        <v>3463</v>
      </c>
      <c r="BW1176" t="s">
        <v>3463</v>
      </c>
      <c r="BX1176" t="s">
        <v>79</v>
      </c>
      <c r="BY1176" t="s">
        <v>87</v>
      </c>
      <c r="BZ1176" t="s">
        <v>79</v>
      </c>
      <c r="CA1176" s="10">
        <v>45912</v>
      </c>
    </row>
    <row r="1177" spans="1:79">
      <c r="A1177">
        <v>1190</v>
      </c>
      <c r="B1177">
        <v>107</v>
      </c>
      <c r="C1177">
        <v>21</v>
      </c>
      <c r="D1177" t="s">
        <v>3466</v>
      </c>
      <c r="F1177" t="s">
        <v>2595</v>
      </c>
      <c r="G1177" s="12" t="s">
        <v>3465</v>
      </c>
      <c r="H1177" t="s">
        <v>88</v>
      </c>
      <c r="I1177">
        <v>77</v>
      </c>
      <c r="K1177">
        <v>133</v>
      </c>
      <c r="L1177">
        <v>64</v>
      </c>
      <c r="M1177" t="s">
        <v>82</v>
      </c>
      <c r="P1177" t="s">
        <v>83</v>
      </c>
      <c r="Q1177" t="s">
        <v>82</v>
      </c>
      <c r="R1177">
        <v>73.599999999999994</v>
      </c>
      <c r="S1177">
        <v>159.5</v>
      </c>
      <c r="T1177" s="8">
        <f t="shared" si="37"/>
        <v>28.930533308438399</v>
      </c>
      <c r="U1177" s="13" t="str" cm="1">
        <f t="array" ref="U1177">IF(T1177="","",_xlfn.IFS(T1177&lt;18.5,"Bajo peso",T1177&lt;25,"Peso normal",T1177&lt;30,"Sobrepeso",T1177&lt;35,"Obesidad clase I",T1177&lt;40,"Obesidad clase II",T1177&gt;=40,"Obesidad clase III"))</f>
        <v>Sobrepeso</v>
      </c>
      <c r="V1177">
        <v>81</v>
      </c>
      <c r="X1177" t="s">
        <v>3463</v>
      </c>
      <c r="Y1177">
        <v>1</v>
      </c>
      <c r="AA1177">
        <v>82</v>
      </c>
      <c r="AB1177" s="9">
        <f t="shared" si="36"/>
        <v>82.198775030669381</v>
      </c>
      <c r="AD1177" t="s">
        <v>73</v>
      </c>
      <c r="AF1177" t="s">
        <v>73</v>
      </c>
      <c r="AH1177" t="s">
        <v>3463</v>
      </c>
      <c r="AI1177" t="s">
        <v>3463</v>
      </c>
      <c r="AJ1177" t="s">
        <v>3463</v>
      </c>
      <c r="AK1177" t="s">
        <v>3463</v>
      </c>
      <c r="AL1177" t="s">
        <v>3463</v>
      </c>
      <c r="AO1177" t="s">
        <v>3464</v>
      </c>
      <c r="AP1177" t="s">
        <v>3465</v>
      </c>
      <c r="AQ1177" t="s">
        <v>399</v>
      </c>
      <c r="AR1177" t="s">
        <v>3505</v>
      </c>
      <c r="AT1177" t="s">
        <v>3463</v>
      </c>
      <c r="AV1177" t="s">
        <v>74</v>
      </c>
      <c r="AW1177" t="s">
        <v>3915</v>
      </c>
      <c r="AX1177" t="s">
        <v>3463</v>
      </c>
      <c r="AY1177" t="s">
        <v>3463</v>
      </c>
      <c r="BF1177" t="s">
        <v>3921</v>
      </c>
      <c r="BH1177" t="s">
        <v>4020</v>
      </c>
      <c r="BP1177" t="s">
        <v>4260</v>
      </c>
      <c r="BQ1177" t="s">
        <v>3463</v>
      </c>
      <c r="BR1177" t="s">
        <v>3463</v>
      </c>
      <c r="BS1177" t="s">
        <v>3465</v>
      </c>
      <c r="BT1177" t="s">
        <v>3465</v>
      </c>
      <c r="BU1177" t="s">
        <v>3463</v>
      </c>
      <c r="BV1177" t="s">
        <v>3463</v>
      </c>
      <c r="BW1177" t="s">
        <v>3463</v>
      </c>
      <c r="BX1177" t="s">
        <v>79</v>
      </c>
      <c r="BY1177" t="s">
        <v>79</v>
      </c>
      <c r="BZ1177" t="s">
        <v>79</v>
      </c>
      <c r="CA1177" s="10">
        <v>45912</v>
      </c>
    </row>
    <row r="1178" spans="1:79">
      <c r="A1178">
        <v>1191</v>
      </c>
      <c r="B1178">
        <v>108</v>
      </c>
      <c r="C1178">
        <v>37</v>
      </c>
      <c r="D1178" t="s">
        <v>3466</v>
      </c>
      <c r="E1178" t="s">
        <v>2416</v>
      </c>
      <c r="F1178" t="s">
        <v>2407</v>
      </c>
      <c r="G1178" s="12" t="s">
        <v>3463</v>
      </c>
      <c r="H1178" s="12"/>
      <c r="I1178">
        <v>76</v>
      </c>
      <c r="K1178">
        <v>130</v>
      </c>
      <c r="L1178">
        <v>49</v>
      </c>
      <c r="M1178" t="s">
        <v>82</v>
      </c>
      <c r="P1178" t="s">
        <v>83</v>
      </c>
      <c r="Q1178" t="s">
        <v>82</v>
      </c>
      <c r="R1178">
        <v>59.3</v>
      </c>
      <c r="S1178">
        <v>154</v>
      </c>
      <c r="T1178" s="8">
        <f t="shared" si="37"/>
        <v>25.004216562658122</v>
      </c>
      <c r="U1178" s="13" t="str" cm="1">
        <f t="array" ref="U1178">IF(T1178="","",_xlfn.IFS(T1178&lt;18.5,"Bajo peso",T1178&lt;25,"Peso normal",T1178&lt;30,"Sobrepeso",T1178&lt;35,"Obesidad clase I",T1178&lt;40,"Obesidad clase II",T1178&gt;=40,"Obesidad clase III"))</f>
        <v>Sobrepeso</v>
      </c>
      <c r="V1178">
        <v>93</v>
      </c>
      <c r="X1178" t="s">
        <v>3463</v>
      </c>
      <c r="Y1178">
        <v>0.87</v>
      </c>
      <c r="AA1178">
        <v>88</v>
      </c>
      <c r="AB1178" s="9">
        <f t="shared" si="36"/>
        <v>87.94803101870464</v>
      </c>
      <c r="AD1178" t="s">
        <v>73</v>
      </c>
      <c r="AF1178" t="s">
        <v>73</v>
      </c>
      <c r="AH1178" t="s">
        <v>3463</v>
      </c>
      <c r="AI1178" t="s">
        <v>3463</v>
      </c>
      <c r="AJ1178" t="s">
        <v>3463</v>
      </c>
      <c r="AK1178" t="s">
        <v>3463</v>
      </c>
      <c r="AL1178" t="s">
        <v>3463</v>
      </c>
      <c r="AO1178" t="s">
        <v>3463</v>
      </c>
      <c r="AP1178" t="s">
        <v>3465</v>
      </c>
      <c r="AQ1178" t="s">
        <v>2610</v>
      </c>
      <c r="AR1178" t="s">
        <v>3536</v>
      </c>
      <c r="AT1178" t="s">
        <v>3463</v>
      </c>
      <c r="AV1178" t="s">
        <v>74</v>
      </c>
      <c r="AW1178" t="s">
        <v>3915</v>
      </c>
      <c r="AX1178" t="s">
        <v>3463</v>
      </c>
      <c r="AY1178" t="s">
        <v>3465</v>
      </c>
      <c r="AZ1178" t="s">
        <v>1110</v>
      </c>
      <c r="BF1178" t="s">
        <v>3921</v>
      </c>
      <c r="BH1178" t="s">
        <v>4020</v>
      </c>
      <c r="BP1178" t="s">
        <v>4260</v>
      </c>
      <c r="BQ1178" t="s">
        <v>3463</v>
      </c>
      <c r="BR1178" t="s">
        <v>3465</v>
      </c>
      <c r="BS1178" t="s">
        <v>3465</v>
      </c>
      <c r="BT1178" t="s">
        <v>3463</v>
      </c>
      <c r="BU1178" t="s">
        <v>3463</v>
      </c>
      <c r="BV1178" t="s">
        <v>3463</v>
      </c>
      <c r="BW1178" t="s">
        <v>3463</v>
      </c>
      <c r="BX1178" t="s">
        <v>79</v>
      </c>
      <c r="BY1178" t="s">
        <v>79</v>
      </c>
      <c r="BZ1178" t="s">
        <v>79</v>
      </c>
      <c r="CA1178" s="10">
        <v>45912</v>
      </c>
    </row>
    <row r="1179" spans="1:79">
      <c r="A1179">
        <v>1192</v>
      </c>
      <c r="B1179">
        <v>109</v>
      </c>
      <c r="C1179">
        <v>25</v>
      </c>
      <c r="D1179" t="s">
        <v>3462</v>
      </c>
      <c r="E1179" t="s">
        <v>1038</v>
      </c>
      <c r="F1179" t="s">
        <v>2407</v>
      </c>
      <c r="G1179" s="12" t="s">
        <v>3463</v>
      </c>
      <c r="I1179">
        <v>67</v>
      </c>
      <c r="K1179">
        <v>97</v>
      </c>
      <c r="L1179">
        <v>61</v>
      </c>
      <c r="M1179" t="s">
        <v>80</v>
      </c>
      <c r="P1179" t="s">
        <v>83</v>
      </c>
      <c r="Q1179" t="s">
        <v>80</v>
      </c>
      <c r="R1179">
        <v>80</v>
      </c>
      <c r="S1179">
        <v>177</v>
      </c>
      <c r="T1179" s="8">
        <f t="shared" si="37"/>
        <v>25.535446391522235</v>
      </c>
      <c r="U1179" s="13" t="str" cm="1">
        <f t="array" ref="U1179">IF(T1179="","",_xlfn.IFS(T1179&lt;18.5,"Bajo peso",T1179&lt;25,"Peso normal",T1179&lt;30,"Sobrepeso",T1179&lt;35,"Obesidad clase I",T1179&lt;40,"Obesidad clase II",T1179&gt;=40,"Obesidad clase III"))</f>
        <v>Sobrepeso</v>
      </c>
      <c r="V1179">
        <v>91</v>
      </c>
      <c r="X1179" t="s">
        <v>3463</v>
      </c>
      <c r="Y1179">
        <v>1.01</v>
      </c>
      <c r="AA1179">
        <v>90</v>
      </c>
      <c r="AB1179" s="9">
        <f t="shared" si="36"/>
        <v>105.84455403685564</v>
      </c>
      <c r="AD1179" t="s">
        <v>73</v>
      </c>
      <c r="AF1179" t="s">
        <v>73</v>
      </c>
      <c r="AH1179" t="s">
        <v>3463</v>
      </c>
      <c r="AI1179" t="s">
        <v>3463</v>
      </c>
      <c r="AJ1179" t="s">
        <v>3463</v>
      </c>
      <c r="AK1179" t="s">
        <v>3463</v>
      </c>
      <c r="AL1179" t="s">
        <v>3463</v>
      </c>
      <c r="AO1179" t="s">
        <v>3464</v>
      </c>
      <c r="AP1179" t="s">
        <v>3465</v>
      </c>
      <c r="AQ1179" t="s">
        <v>2611</v>
      </c>
      <c r="AR1179" t="s">
        <v>3493</v>
      </c>
      <c r="AV1179" t="s">
        <v>74</v>
      </c>
      <c r="AW1179" t="s">
        <v>3915</v>
      </c>
      <c r="BF1179" t="s">
        <v>3921</v>
      </c>
      <c r="BH1179" t="s">
        <v>4020</v>
      </c>
      <c r="BP1179" t="s">
        <v>4260</v>
      </c>
      <c r="BQ1179" t="s">
        <v>3463</v>
      </c>
      <c r="BR1179" t="s">
        <v>3463</v>
      </c>
      <c r="BS1179" t="s">
        <v>3463</v>
      </c>
      <c r="BT1179" t="s">
        <v>3463</v>
      </c>
      <c r="BU1179" t="s">
        <v>3463</v>
      </c>
      <c r="BV1179" t="s">
        <v>3463</v>
      </c>
      <c r="BW1179" t="s">
        <v>3463</v>
      </c>
      <c r="BX1179" t="s">
        <v>79</v>
      </c>
      <c r="BY1179" t="s">
        <v>79</v>
      </c>
      <c r="BZ1179" t="s">
        <v>79</v>
      </c>
      <c r="CA1179" s="10">
        <v>45912</v>
      </c>
    </row>
    <row r="1180" spans="1:79">
      <c r="A1180">
        <v>1193</v>
      </c>
      <c r="B1180">
        <v>110</v>
      </c>
      <c r="C1180">
        <v>50</v>
      </c>
      <c r="D1180" t="s">
        <v>3466</v>
      </c>
      <c r="E1180" t="s">
        <v>2550</v>
      </c>
      <c r="F1180" t="s">
        <v>2407</v>
      </c>
      <c r="G1180" s="12" t="s">
        <v>3463</v>
      </c>
      <c r="I1180">
        <v>81</v>
      </c>
      <c r="J1180">
        <v>79</v>
      </c>
      <c r="K1180">
        <v>150</v>
      </c>
      <c r="L1180">
        <v>87</v>
      </c>
      <c r="M1180" t="s">
        <v>72</v>
      </c>
      <c r="N1180">
        <v>137</v>
      </c>
      <c r="O1180">
        <v>89</v>
      </c>
      <c r="P1180" t="s">
        <v>82</v>
      </c>
      <c r="Q1180" t="s">
        <v>82</v>
      </c>
      <c r="R1180">
        <v>72.099999999999994</v>
      </c>
      <c r="S1180">
        <v>162</v>
      </c>
      <c r="T1180" s="8">
        <f t="shared" si="37"/>
        <v>27.47294619722603</v>
      </c>
      <c r="U1180" s="13" t="str" cm="1">
        <f t="array" ref="U1180">IF(T1180="","",_xlfn.IFS(T1180&lt;18.5,"Bajo peso",T1180&lt;25,"Peso normal",T1180&lt;30,"Sobrepeso",T1180&lt;35,"Obesidad clase I",T1180&lt;40,"Obesidad clase II",T1180&gt;=40,"Obesidad clase III"))</f>
        <v>Sobrepeso</v>
      </c>
      <c r="V1180">
        <v>111</v>
      </c>
      <c r="X1180" t="s">
        <v>3463</v>
      </c>
      <c r="Y1180">
        <v>0.86</v>
      </c>
      <c r="AA1180">
        <v>82</v>
      </c>
      <c r="AB1180" s="9">
        <f t="shared" si="36"/>
        <v>82.250393409289913</v>
      </c>
      <c r="AD1180" t="s">
        <v>73</v>
      </c>
      <c r="AF1180" t="s">
        <v>73</v>
      </c>
      <c r="AH1180" t="s">
        <v>3463</v>
      </c>
      <c r="AI1180" t="s">
        <v>3463</v>
      </c>
      <c r="AJ1180" t="s">
        <v>3463</v>
      </c>
      <c r="AK1180" t="s">
        <v>3463</v>
      </c>
      <c r="AL1180" t="s">
        <v>3463</v>
      </c>
      <c r="AO1180" t="s">
        <v>3463</v>
      </c>
      <c r="AP1180" t="s">
        <v>3465</v>
      </c>
      <c r="AQ1180" t="s">
        <v>2612</v>
      </c>
      <c r="AR1180" t="s">
        <v>3529</v>
      </c>
      <c r="AT1180" t="s">
        <v>3465</v>
      </c>
      <c r="AU1180" t="s">
        <v>80</v>
      </c>
      <c r="AV1180" t="s">
        <v>74</v>
      </c>
      <c r="AW1180" t="s">
        <v>3915</v>
      </c>
      <c r="AX1180" t="s">
        <v>3463</v>
      </c>
      <c r="AY1180" t="s">
        <v>3465</v>
      </c>
      <c r="AZ1180" t="s">
        <v>90</v>
      </c>
      <c r="BF1180" t="s">
        <v>3921</v>
      </c>
      <c r="BG1180" t="s">
        <v>2613</v>
      </c>
      <c r="BH1180" t="s">
        <v>4025</v>
      </c>
      <c r="BK1180" t="s">
        <v>617</v>
      </c>
      <c r="BL1180" t="s">
        <v>2614</v>
      </c>
      <c r="BP1180" t="s">
        <v>4526</v>
      </c>
      <c r="BQ1180" t="s">
        <v>3463</v>
      </c>
      <c r="BR1180" t="s">
        <v>3463</v>
      </c>
      <c r="BS1180" t="s">
        <v>3465</v>
      </c>
      <c r="BT1180" t="s">
        <v>3465</v>
      </c>
      <c r="BU1180" t="s">
        <v>3463</v>
      </c>
      <c r="BV1180" t="s">
        <v>3463</v>
      </c>
      <c r="BW1180" t="s">
        <v>3463</v>
      </c>
      <c r="BX1180" t="s">
        <v>518</v>
      </c>
      <c r="BY1180" t="s">
        <v>79</v>
      </c>
      <c r="BZ1180" t="s">
        <v>79</v>
      </c>
      <c r="CA1180" s="10">
        <v>45912</v>
      </c>
    </row>
    <row r="1181" spans="1:79">
      <c r="A1181">
        <v>1194</v>
      </c>
      <c r="B1181">
        <v>111</v>
      </c>
      <c r="C1181">
        <v>56</v>
      </c>
      <c r="D1181" t="s">
        <v>3466</v>
      </c>
      <c r="E1181" t="s">
        <v>2411</v>
      </c>
      <c r="F1181" t="s">
        <v>2407</v>
      </c>
      <c r="G1181" s="12" t="s">
        <v>3463</v>
      </c>
      <c r="H1181" s="12"/>
      <c r="I1181">
        <v>71</v>
      </c>
      <c r="K1181">
        <v>130</v>
      </c>
      <c r="L1181">
        <v>69</v>
      </c>
      <c r="M1181" t="s">
        <v>82</v>
      </c>
      <c r="P1181" t="s">
        <v>83</v>
      </c>
      <c r="Q1181" t="s">
        <v>82</v>
      </c>
      <c r="R1181">
        <v>93</v>
      </c>
      <c r="S1181">
        <v>155</v>
      </c>
      <c r="T1181" s="8">
        <f t="shared" si="37"/>
        <v>38.70967741935484</v>
      </c>
      <c r="U1181" s="13" t="str" cm="1">
        <f t="array" ref="U1181">IF(T1181="","",_xlfn.IFS(T1181&lt;18.5,"Bajo peso",T1181&lt;25,"Peso normal",T1181&lt;30,"Sobrepeso",T1181&lt;35,"Obesidad clase I",T1181&lt;40,"Obesidad clase II",T1181&gt;=40,"Obesidad clase III"))</f>
        <v>Obesidad clase II</v>
      </c>
      <c r="V1181">
        <v>111</v>
      </c>
      <c r="X1181" t="s">
        <v>3463</v>
      </c>
      <c r="Y1181">
        <v>0.74</v>
      </c>
      <c r="AA1181">
        <v>90</v>
      </c>
      <c r="AB1181" s="9">
        <f t="shared" si="36"/>
        <v>94.896897948637687</v>
      </c>
      <c r="AD1181" t="s">
        <v>73</v>
      </c>
      <c r="AF1181" t="s">
        <v>73</v>
      </c>
      <c r="AH1181" t="s">
        <v>3463</v>
      </c>
      <c r="AI1181" t="s">
        <v>3465</v>
      </c>
      <c r="AJ1181" t="s">
        <v>3463</v>
      </c>
      <c r="AK1181" t="s">
        <v>3463</v>
      </c>
      <c r="AL1181" t="s">
        <v>3465</v>
      </c>
      <c r="AM1181" t="s">
        <v>116</v>
      </c>
      <c r="AN1181" t="s">
        <v>116</v>
      </c>
      <c r="AP1181" t="s">
        <v>3463</v>
      </c>
      <c r="AQ1181" t="s">
        <v>2615</v>
      </c>
      <c r="AR1181" t="s">
        <v>3493</v>
      </c>
      <c r="AS1181" t="s">
        <v>3465</v>
      </c>
      <c r="AT1181" t="s">
        <v>3465</v>
      </c>
      <c r="AU1181" t="s">
        <v>80</v>
      </c>
      <c r="AV1181" t="s">
        <v>74</v>
      </c>
      <c r="AW1181" t="s">
        <v>3915</v>
      </c>
      <c r="AX1181" t="s">
        <v>3463</v>
      </c>
      <c r="AY1181" t="s">
        <v>3465</v>
      </c>
      <c r="AZ1181" t="s">
        <v>1505</v>
      </c>
      <c r="BF1181" t="s">
        <v>3921</v>
      </c>
      <c r="BH1181" t="s">
        <v>4020</v>
      </c>
      <c r="BP1181" t="s">
        <v>4260</v>
      </c>
      <c r="BQ1181" t="s">
        <v>3463</v>
      </c>
      <c r="BR1181" t="s">
        <v>3465</v>
      </c>
      <c r="BS1181" t="s">
        <v>3463</v>
      </c>
      <c r="BT1181" t="s">
        <v>3463</v>
      </c>
      <c r="BU1181" t="s">
        <v>3463</v>
      </c>
      <c r="BV1181" t="s">
        <v>3463</v>
      </c>
      <c r="BW1181" t="s">
        <v>3463</v>
      </c>
      <c r="BX1181" t="s">
        <v>79</v>
      </c>
      <c r="BY1181" t="s">
        <v>79</v>
      </c>
      <c r="BZ1181" t="s">
        <v>79</v>
      </c>
      <c r="CA1181" s="10">
        <v>45912</v>
      </c>
    </row>
    <row r="1182" spans="1:79">
      <c r="A1182">
        <v>1195</v>
      </c>
      <c r="B1182">
        <v>112</v>
      </c>
      <c r="C1182">
        <v>29</v>
      </c>
      <c r="D1182" t="s">
        <v>3462</v>
      </c>
      <c r="F1182" t="s">
        <v>2407</v>
      </c>
      <c r="G1182" s="12" t="s">
        <v>3465</v>
      </c>
      <c r="H1182" t="s">
        <v>88</v>
      </c>
      <c r="I1182">
        <v>65</v>
      </c>
      <c r="J1182">
        <v>64</v>
      </c>
      <c r="K1182">
        <v>152</v>
      </c>
      <c r="L1182">
        <v>93</v>
      </c>
      <c r="M1182" t="s">
        <v>72</v>
      </c>
      <c r="N1182">
        <v>154</v>
      </c>
      <c r="O1182">
        <v>91</v>
      </c>
      <c r="P1182" t="s">
        <v>72</v>
      </c>
      <c r="Q1182" t="s">
        <v>72</v>
      </c>
      <c r="R1182">
        <v>92.9</v>
      </c>
      <c r="S1182">
        <v>172</v>
      </c>
      <c r="T1182" s="8">
        <f t="shared" si="37"/>
        <v>31.402109248242294</v>
      </c>
      <c r="U1182" s="13" t="str" cm="1">
        <f t="array" ref="U1182">IF(T1182="","",_xlfn.IFS(T1182&lt;18.5,"Bajo peso",T1182&lt;25,"Peso normal",T1182&lt;30,"Sobrepeso",T1182&lt;35,"Obesidad clase I",T1182&lt;40,"Obesidad clase II",T1182&gt;=40,"Obesidad clase III"))</f>
        <v>Obesidad clase I</v>
      </c>
      <c r="V1182">
        <v>99</v>
      </c>
      <c r="X1182" t="s">
        <v>3463</v>
      </c>
      <c r="Y1182">
        <v>1.01</v>
      </c>
      <c r="AA1182">
        <v>90</v>
      </c>
      <c r="AB1182" s="9">
        <f t="shared" si="36"/>
        <v>103.24392033820065</v>
      </c>
      <c r="AD1182" t="s">
        <v>73</v>
      </c>
      <c r="AF1182" t="s">
        <v>73</v>
      </c>
      <c r="AH1182" t="s">
        <v>3463</v>
      </c>
      <c r="AI1182" t="s">
        <v>3463</v>
      </c>
      <c r="AJ1182" t="s">
        <v>3465</v>
      </c>
      <c r="AK1182" t="s">
        <v>3463</v>
      </c>
      <c r="AL1182" t="s">
        <v>3463</v>
      </c>
      <c r="AO1182" t="s">
        <v>3464</v>
      </c>
      <c r="AP1182" t="s">
        <v>3465</v>
      </c>
      <c r="AQ1182" t="s">
        <v>120</v>
      </c>
      <c r="AR1182" t="s">
        <v>3491</v>
      </c>
      <c r="AV1182" t="s">
        <v>126</v>
      </c>
      <c r="AW1182" t="s">
        <v>126</v>
      </c>
      <c r="BF1182" t="s">
        <v>3921</v>
      </c>
      <c r="BH1182" t="s">
        <v>4020</v>
      </c>
      <c r="BP1182" t="s">
        <v>4260</v>
      </c>
      <c r="BQ1182" t="s">
        <v>3465</v>
      </c>
      <c r="BR1182" t="s">
        <v>3465</v>
      </c>
      <c r="BS1182" t="s">
        <v>3465</v>
      </c>
      <c r="BT1182" t="s">
        <v>3465</v>
      </c>
      <c r="BU1182" t="s">
        <v>3463</v>
      </c>
      <c r="BV1182" t="s">
        <v>3463</v>
      </c>
      <c r="BW1182" t="s">
        <v>3463</v>
      </c>
      <c r="BX1182" t="s">
        <v>518</v>
      </c>
      <c r="BY1182" t="s">
        <v>79</v>
      </c>
      <c r="BZ1182" t="s">
        <v>79</v>
      </c>
      <c r="CA1182" s="10">
        <v>45912</v>
      </c>
    </row>
    <row r="1183" spans="1:79">
      <c r="A1183">
        <v>1196</v>
      </c>
      <c r="B1183">
        <v>113</v>
      </c>
      <c r="C1183">
        <v>51</v>
      </c>
      <c r="D1183" t="s">
        <v>3462</v>
      </c>
      <c r="E1183" t="s">
        <v>2416</v>
      </c>
      <c r="F1183" t="s">
        <v>2407</v>
      </c>
      <c r="G1183" s="12" t="s">
        <v>3465</v>
      </c>
      <c r="H1183" t="s">
        <v>88</v>
      </c>
      <c r="I1183">
        <v>85</v>
      </c>
      <c r="J1183">
        <v>83</v>
      </c>
      <c r="K1183">
        <v>145</v>
      </c>
      <c r="L1183">
        <v>94</v>
      </c>
      <c r="M1183" t="s">
        <v>72</v>
      </c>
      <c r="N1183">
        <v>138</v>
      </c>
      <c r="O1183">
        <v>95</v>
      </c>
      <c r="P1183" t="s">
        <v>72</v>
      </c>
      <c r="Q1183" t="s">
        <v>72</v>
      </c>
      <c r="R1183">
        <v>78.7</v>
      </c>
      <c r="S1183">
        <v>165</v>
      </c>
      <c r="T1183" s="8">
        <f t="shared" si="37"/>
        <v>28.907254361799819</v>
      </c>
      <c r="U1183" s="13" t="str" cm="1">
        <f t="array" ref="U1183">IF(T1183="","",_xlfn.IFS(T1183&lt;18.5,"Bajo peso",T1183&lt;25,"Peso normal",T1183&lt;30,"Sobrepeso",T1183&lt;35,"Obesidad clase I",T1183&lt;40,"Obesidad clase II",T1183&gt;=40,"Obesidad clase III"))</f>
        <v>Sobrepeso</v>
      </c>
      <c r="V1183">
        <v>88</v>
      </c>
      <c r="X1183" t="s">
        <v>3463</v>
      </c>
      <c r="Y1183">
        <v>0.79</v>
      </c>
      <c r="AA1183">
        <v>90</v>
      </c>
      <c r="AB1183" s="9">
        <f t="shared" si="36"/>
        <v>107.5560423687879</v>
      </c>
      <c r="AD1183" t="s">
        <v>73</v>
      </c>
      <c r="AF1183" t="s">
        <v>73</v>
      </c>
      <c r="AH1183" t="s">
        <v>3463</v>
      </c>
      <c r="AI1183" t="s">
        <v>3463</v>
      </c>
      <c r="AJ1183" t="s">
        <v>3465</v>
      </c>
      <c r="AK1183" t="s">
        <v>3463</v>
      </c>
      <c r="AL1183" t="s">
        <v>3465</v>
      </c>
      <c r="AM1183" t="s">
        <v>2616</v>
      </c>
      <c r="AN1183" t="s">
        <v>3722</v>
      </c>
      <c r="AP1183" t="s">
        <v>3463</v>
      </c>
      <c r="AV1183" t="s">
        <v>74</v>
      </c>
      <c r="AW1183" t="s">
        <v>3915</v>
      </c>
      <c r="BF1183" t="s">
        <v>3921</v>
      </c>
      <c r="BH1183" t="s">
        <v>4020</v>
      </c>
      <c r="BP1183" t="s">
        <v>4260</v>
      </c>
      <c r="BQ1183" t="s">
        <v>3463</v>
      </c>
      <c r="BR1183" t="s">
        <v>3463</v>
      </c>
      <c r="BS1183" t="s">
        <v>3463</v>
      </c>
      <c r="BT1183" t="s">
        <v>3463</v>
      </c>
      <c r="BU1183" t="s">
        <v>3463</v>
      </c>
      <c r="BV1183" t="s">
        <v>3463</v>
      </c>
      <c r="BW1183" t="s">
        <v>3463</v>
      </c>
      <c r="BX1183" t="s">
        <v>79</v>
      </c>
      <c r="BY1183" t="s">
        <v>79</v>
      </c>
      <c r="BZ1183" t="s">
        <v>79</v>
      </c>
      <c r="CA1183" s="10">
        <v>45912</v>
      </c>
    </row>
    <row r="1184" spans="1:79">
      <c r="A1184">
        <v>1197</v>
      </c>
      <c r="B1184">
        <v>114</v>
      </c>
      <c r="C1184">
        <v>64</v>
      </c>
      <c r="D1184" t="s">
        <v>3462</v>
      </c>
      <c r="E1184" t="s">
        <v>450</v>
      </c>
      <c r="F1184" t="s">
        <v>2407</v>
      </c>
      <c r="G1184" s="12" t="s">
        <v>3463</v>
      </c>
      <c r="I1184">
        <v>77</v>
      </c>
      <c r="J1184">
        <v>72</v>
      </c>
      <c r="K1184">
        <v>168</v>
      </c>
      <c r="L1184">
        <v>83</v>
      </c>
      <c r="M1184" t="s">
        <v>72</v>
      </c>
      <c r="N1184">
        <v>148</v>
      </c>
      <c r="O1184">
        <v>80</v>
      </c>
      <c r="P1184" t="s">
        <v>72</v>
      </c>
      <c r="Q1184" t="s">
        <v>72</v>
      </c>
      <c r="R1184">
        <v>123.6</v>
      </c>
      <c r="S1184">
        <v>174.5</v>
      </c>
      <c r="T1184" s="8">
        <f t="shared" si="37"/>
        <v>40.590799747128514</v>
      </c>
      <c r="U1184" s="13" t="str" cm="1">
        <f t="array" ref="U1184">IF(T1184="","",_xlfn.IFS(T1184&lt;18.5,"Bajo peso",T1184&lt;25,"Peso normal",T1184&lt;30,"Sobrepeso",T1184&lt;35,"Obesidad clase I",T1184&lt;40,"Obesidad clase II",T1184&gt;=40,"Obesidad clase III"))</f>
        <v>Obesidad clase III</v>
      </c>
      <c r="V1184">
        <v>127</v>
      </c>
      <c r="X1184" t="s">
        <v>3463</v>
      </c>
      <c r="Y1184">
        <v>0.86</v>
      </c>
      <c r="AA1184">
        <v>90</v>
      </c>
      <c r="AB1184" s="9">
        <f t="shared" si="36"/>
        <v>96.691114067274057</v>
      </c>
      <c r="AD1184" t="s">
        <v>73</v>
      </c>
      <c r="AF1184" t="s">
        <v>73</v>
      </c>
      <c r="AG1184" t="s">
        <v>3465</v>
      </c>
      <c r="AH1184" t="s">
        <v>3465</v>
      </c>
      <c r="AI1184" t="s">
        <v>3465</v>
      </c>
      <c r="AJ1184" t="s">
        <v>3465</v>
      </c>
      <c r="AK1184" t="s">
        <v>3463</v>
      </c>
      <c r="AL1184" t="s">
        <v>3463</v>
      </c>
      <c r="AO1184" t="s">
        <v>3464</v>
      </c>
      <c r="AP1184" t="s">
        <v>3465</v>
      </c>
      <c r="AQ1184" t="s">
        <v>177</v>
      </c>
      <c r="AR1184" t="s">
        <v>3488</v>
      </c>
      <c r="AS1184" t="s">
        <v>3465</v>
      </c>
      <c r="AV1184" t="s">
        <v>178</v>
      </c>
      <c r="AW1184" t="s">
        <v>3918</v>
      </c>
      <c r="BA1184" t="s">
        <v>3920</v>
      </c>
      <c r="BB1184" t="s">
        <v>3485</v>
      </c>
      <c r="BF1184" t="s">
        <v>3921</v>
      </c>
      <c r="BG1184" t="s">
        <v>2617</v>
      </c>
      <c r="BH1184" t="s">
        <v>4214</v>
      </c>
      <c r="BL1184" t="s">
        <v>2618</v>
      </c>
      <c r="BP1184" t="s">
        <v>4432</v>
      </c>
      <c r="BQ1184" t="s">
        <v>3463</v>
      </c>
      <c r="BR1184" t="s">
        <v>3465</v>
      </c>
      <c r="BS1184" t="s">
        <v>3463</v>
      </c>
      <c r="BT1184" t="s">
        <v>3465</v>
      </c>
      <c r="BU1184" t="s">
        <v>3463</v>
      </c>
      <c r="BV1184" t="s">
        <v>3463</v>
      </c>
      <c r="BW1184" t="s">
        <v>3463</v>
      </c>
      <c r="BX1184" t="s">
        <v>79</v>
      </c>
      <c r="BY1184" t="s">
        <v>87</v>
      </c>
      <c r="BZ1184" t="s">
        <v>79</v>
      </c>
      <c r="CA1184" s="10">
        <v>45912</v>
      </c>
    </row>
    <row r="1185" spans="1:79">
      <c r="A1185">
        <v>1198</v>
      </c>
      <c r="B1185">
        <v>115</v>
      </c>
      <c r="C1185">
        <v>30</v>
      </c>
      <c r="D1185" t="s">
        <v>3462</v>
      </c>
      <c r="E1185" t="s">
        <v>2592</v>
      </c>
      <c r="F1185" t="s">
        <v>2407</v>
      </c>
      <c r="G1185" s="12" t="s">
        <v>3463</v>
      </c>
      <c r="I1185">
        <v>59</v>
      </c>
      <c r="K1185">
        <v>121</v>
      </c>
      <c r="L1185">
        <v>67</v>
      </c>
      <c r="M1185" t="s">
        <v>118</v>
      </c>
      <c r="P1185" t="s">
        <v>83</v>
      </c>
      <c r="Q1185" t="s">
        <v>118</v>
      </c>
      <c r="R1185">
        <v>85.5</v>
      </c>
      <c r="S1185">
        <v>169</v>
      </c>
      <c r="T1185" s="8">
        <f t="shared" si="37"/>
        <v>29.935926613213823</v>
      </c>
      <c r="U1185" s="13" t="str" cm="1">
        <f t="array" ref="U1185">IF(T1185="","",_xlfn.IFS(T1185&lt;18.5,"Bajo peso",T1185&lt;25,"Peso normal",T1185&lt;30,"Sobrepeso",T1185&lt;35,"Obesidad clase I",T1185&lt;40,"Obesidad clase II",T1185&gt;=40,"Obesidad clase III"))</f>
        <v>Sobrepeso</v>
      </c>
      <c r="V1185">
        <v>126</v>
      </c>
      <c r="X1185" t="s">
        <v>3463</v>
      </c>
      <c r="Y1185">
        <v>1.1100000000000001</v>
      </c>
      <c r="AA1185">
        <v>90</v>
      </c>
      <c r="AB1185" s="9">
        <f t="shared" si="36"/>
        <v>91.613938396553934</v>
      </c>
      <c r="AD1185" t="s">
        <v>73</v>
      </c>
      <c r="AF1185" t="s">
        <v>73</v>
      </c>
      <c r="AH1185" t="s">
        <v>3463</v>
      </c>
      <c r="AI1185" t="s">
        <v>3463</v>
      </c>
      <c r="AJ1185" t="s">
        <v>3463</v>
      </c>
      <c r="AK1185" t="s">
        <v>3463</v>
      </c>
      <c r="AL1185" t="s">
        <v>3463</v>
      </c>
      <c r="AP1185" t="s">
        <v>3463</v>
      </c>
      <c r="AV1185" t="s">
        <v>74</v>
      </c>
      <c r="AW1185" t="s">
        <v>3915</v>
      </c>
      <c r="BF1185" t="s">
        <v>3921</v>
      </c>
      <c r="BG1185" t="s">
        <v>2619</v>
      </c>
      <c r="BH1185" t="s">
        <v>4015</v>
      </c>
      <c r="BI1185" t="s">
        <v>86</v>
      </c>
      <c r="BK1185" t="s">
        <v>2620</v>
      </c>
      <c r="BP1185" t="s">
        <v>4255</v>
      </c>
      <c r="BQ1185" t="s">
        <v>3463</v>
      </c>
      <c r="BR1185" t="s">
        <v>3465</v>
      </c>
      <c r="BS1185" t="s">
        <v>3463</v>
      </c>
      <c r="BT1185" t="s">
        <v>3463</v>
      </c>
      <c r="BU1185" t="s">
        <v>3463</v>
      </c>
      <c r="BV1185" t="s">
        <v>3463</v>
      </c>
      <c r="BW1185" t="s">
        <v>3463</v>
      </c>
      <c r="BX1185" t="s">
        <v>79</v>
      </c>
      <c r="BY1185" t="s">
        <v>79</v>
      </c>
      <c r="BZ1185" t="s">
        <v>79</v>
      </c>
      <c r="CA1185" s="10">
        <v>45912</v>
      </c>
    </row>
    <row r="1186" spans="1:79">
      <c r="A1186">
        <v>1199</v>
      </c>
      <c r="B1186">
        <v>116</v>
      </c>
      <c r="C1186">
        <v>71</v>
      </c>
      <c r="D1186" t="s">
        <v>3466</v>
      </c>
      <c r="E1186" t="s">
        <v>2411</v>
      </c>
      <c r="F1186" t="s">
        <v>2407</v>
      </c>
      <c r="G1186" s="12" t="s">
        <v>3463</v>
      </c>
      <c r="I1186">
        <v>65</v>
      </c>
      <c r="J1186">
        <v>61</v>
      </c>
      <c r="K1186">
        <v>160</v>
      </c>
      <c r="L1186">
        <v>75</v>
      </c>
      <c r="M1186" t="s">
        <v>72</v>
      </c>
      <c r="N1186">
        <v>173</v>
      </c>
      <c r="O1186">
        <v>78</v>
      </c>
      <c r="P1186" t="s">
        <v>72</v>
      </c>
      <c r="Q1186" t="s">
        <v>72</v>
      </c>
      <c r="R1186">
        <v>70.3</v>
      </c>
      <c r="S1186">
        <v>150</v>
      </c>
      <c r="T1186" s="8">
        <f t="shared" si="37"/>
        <v>31.244444444444444</v>
      </c>
      <c r="U1186" s="13" t="str" cm="1">
        <f t="array" ref="U1186">IF(T1186="","",_xlfn.IFS(T1186&lt;18.5,"Bajo peso",T1186&lt;25,"Peso normal",T1186&lt;30,"Sobrepeso",T1186&lt;35,"Obesidad clase I",T1186&lt;40,"Obesidad clase II",T1186&gt;=40,"Obesidad clase III"))</f>
        <v>Obesidad clase I</v>
      </c>
      <c r="V1186">
        <v>118</v>
      </c>
      <c r="X1186" t="s">
        <v>3463</v>
      </c>
      <c r="Y1186">
        <v>0.78</v>
      </c>
      <c r="AA1186">
        <v>81</v>
      </c>
      <c r="AB1186" s="9">
        <f t="shared" si="36"/>
        <v>81.152413935939094</v>
      </c>
      <c r="AD1186" t="s">
        <v>73</v>
      </c>
      <c r="AF1186" t="s">
        <v>73</v>
      </c>
      <c r="AH1186" t="s">
        <v>3463</v>
      </c>
      <c r="AI1186" t="s">
        <v>3465</v>
      </c>
      <c r="AJ1186" t="s">
        <v>3465</v>
      </c>
      <c r="AK1186" t="s">
        <v>3463</v>
      </c>
      <c r="AL1186" t="s">
        <v>3463</v>
      </c>
      <c r="AP1186" t="s">
        <v>3463</v>
      </c>
      <c r="AQ1186" t="s">
        <v>1567</v>
      </c>
      <c r="AR1186" t="s">
        <v>3491</v>
      </c>
      <c r="AS1186" t="s">
        <v>3465</v>
      </c>
      <c r="AT1186" t="s">
        <v>3465</v>
      </c>
      <c r="AU1186" t="s">
        <v>80</v>
      </c>
      <c r="AV1186" t="s">
        <v>74</v>
      </c>
      <c r="AW1186" t="s">
        <v>3915</v>
      </c>
      <c r="AX1186" t="s">
        <v>3463</v>
      </c>
      <c r="AY1186" t="s">
        <v>3463</v>
      </c>
      <c r="BA1186" t="s">
        <v>3920</v>
      </c>
      <c r="BC1186" t="s">
        <v>128</v>
      </c>
      <c r="BF1186" t="s">
        <v>3921</v>
      </c>
      <c r="BG1186" t="s">
        <v>2621</v>
      </c>
      <c r="BH1186" t="s">
        <v>4051</v>
      </c>
      <c r="BK1186" t="s">
        <v>1653</v>
      </c>
      <c r="BL1186" t="s">
        <v>2622</v>
      </c>
      <c r="BP1186" t="s">
        <v>4329</v>
      </c>
      <c r="BQ1186" t="s">
        <v>3463</v>
      </c>
      <c r="BR1186" t="s">
        <v>3465</v>
      </c>
      <c r="BS1186" t="s">
        <v>3465</v>
      </c>
      <c r="BT1186" t="s">
        <v>3465</v>
      </c>
      <c r="BU1186" t="s">
        <v>3463</v>
      </c>
      <c r="BV1186" t="s">
        <v>3463</v>
      </c>
      <c r="BW1186" t="s">
        <v>3463</v>
      </c>
      <c r="BX1186" t="s">
        <v>79</v>
      </c>
      <c r="BY1186" t="s">
        <v>79</v>
      </c>
      <c r="BZ1186" t="s">
        <v>79</v>
      </c>
      <c r="CA1186" s="10">
        <v>45912</v>
      </c>
    </row>
    <row r="1187" spans="1:79">
      <c r="A1187">
        <v>1200</v>
      </c>
      <c r="B1187">
        <v>118</v>
      </c>
      <c r="C1187">
        <v>65</v>
      </c>
      <c r="D1187" t="s">
        <v>3466</v>
      </c>
      <c r="E1187" t="s">
        <v>2416</v>
      </c>
      <c r="G1187" s="12" t="s">
        <v>3463</v>
      </c>
      <c r="H1187" s="12"/>
      <c r="I1187">
        <v>77</v>
      </c>
      <c r="J1187">
        <v>71</v>
      </c>
      <c r="K1187">
        <v>165</v>
      </c>
      <c r="L1187">
        <v>96</v>
      </c>
      <c r="M1187" t="s">
        <v>72</v>
      </c>
      <c r="N1187">
        <v>154</v>
      </c>
      <c r="O1187">
        <v>94</v>
      </c>
      <c r="P1187" t="s">
        <v>72</v>
      </c>
      <c r="Q1187" t="s">
        <v>72</v>
      </c>
      <c r="R1187">
        <v>71</v>
      </c>
      <c r="S1187">
        <v>155</v>
      </c>
      <c r="T1187" s="8">
        <f t="shared" si="37"/>
        <v>29.552549427679502</v>
      </c>
      <c r="U1187" s="13" t="str" cm="1">
        <f t="array" ref="U1187">IF(T1187="","",_xlfn.IFS(T1187&lt;18.5,"Bajo peso",T1187&lt;25,"Peso normal",T1187&lt;30,"Sobrepeso",T1187&lt;35,"Obesidad clase I",T1187&lt;40,"Obesidad clase II",T1187&gt;=40,"Obesidad clase III"))</f>
        <v>Sobrepeso</v>
      </c>
      <c r="V1187">
        <v>133</v>
      </c>
      <c r="X1187" t="s">
        <v>3463</v>
      </c>
      <c r="Y1187">
        <v>0.88</v>
      </c>
      <c r="AA1187">
        <v>73</v>
      </c>
      <c r="AB1187" s="9">
        <f t="shared" si="36"/>
        <v>72.885612026758878</v>
      </c>
      <c r="AD1187" t="s">
        <v>73</v>
      </c>
      <c r="AF1187" t="s">
        <v>73</v>
      </c>
      <c r="AG1187" t="s">
        <v>3465</v>
      </c>
      <c r="AH1187" t="s">
        <v>3465</v>
      </c>
      <c r="AI1187" t="s">
        <v>3465</v>
      </c>
      <c r="AJ1187" t="s">
        <v>3463</v>
      </c>
      <c r="AK1187" t="s">
        <v>3463</v>
      </c>
      <c r="AL1187" t="s">
        <v>3465</v>
      </c>
      <c r="AM1187" t="s">
        <v>2623</v>
      </c>
      <c r="AN1187" t="s">
        <v>3796</v>
      </c>
      <c r="AP1187" t="s">
        <v>3463</v>
      </c>
      <c r="AQ1187" t="s">
        <v>2624</v>
      </c>
      <c r="AR1187" t="s">
        <v>3491</v>
      </c>
      <c r="AS1187" t="s">
        <v>3465</v>
      </c>
      <c r="AT1187" t="s">
        <v>3465</v>
      </c>
      <c r="AU1187" t="s">
        <v>1899</v>
      </c>
      <c r="AV1187" t="s">
        <v>178</v>
      </c>
      <c r="AW1187" t="s">
        <v>3918</v>
      </c>
      <c r="AX1187" t="s">
        <v>3463</v>
      </c>
      <c r="AY1187" t="s">
        <v>3465</v>
      </c>
      <c r="AZ1187" t="s">
        <v>2625</v>
      </c>
      <c r="BA1187" t="s">
        <v>3920</v>
      </c>
      <c r="BB1187" t="s">
        <v>3485</v>
      </c>
      <c r="BF1187" t="s">
        <v>3921</v>
      </c>
      <c r="BH1187" t="s">
        <v>4029</v>
      </c>
      <c r="BK1187" t="s">
        <v>2626</v>
      </c>
      <c r="BL1187" t="s">
        <v>2422</v>
      </c>
      <c r="BP1187" t="s">
        <v>4422</v>
      </c>
      <c r="BQ1187" t="s">
        <v>3465</v>
      </c>
      <c r="BR1187" t="s">
        <v>3465</v>
      </c>
      <c r="BS1187" t="s">
        <v>3463</v>
      </c>
      <c r="BT1187" t="s">
        <v>3463</v>
      </c>
      <c r="BU1187" t="s">
        <v>3463</v>
      </c>
      <c r="BV1187" t="s">
        <v>3463</v>
      </c>
      <c r="BW1187" t="s">
        <v>3463</v>
      </c>
      <c r="BX1187" t="s">
        <v>79</v>
      </c>
      <c r="BY1187" t="s">
        <v>79</v>
      </c>
      <c r="BZ1187" t="s">
        <v>79</v>
      </c>
      <c r="CA1187" s="10">
        <v>45912</v>
      </c>
    </row>
    <row r="1188" spans="1:79">
      <c r="A1188">
        <v>1201</v>
      </c>
      <c r="B1188">
        <v>119</v>
      </c>
      <c r="C1188">
        <v>26</v>
      </c>
      <c r="D1188" t="s">
        <v>3466</v>
      </c>
      <c r="F1188" t="s">
        <v>2407</v>
      </c>
      <c r="G1188" s="12" t="s">
        <v>3463</v>
      </c>
      <c r="I1188">
        <v>75</v>
      </c>
      <c r="J1188">
        <v>83</v>
      </c>
      <c r="K1188">
        <v>144</v>
      </c>
      <c r="L1188">
        <v>69</v>
      </c>
      <c r="M1188" t="s">
        <v>72</v>
      </c>
      <c r="N1188">
        <v>118</v>
      </c>
      <c r="O1188">
        <v>79</v>
      </c>
      <c r="P1188" t="s">
        <v>80</v>
      </c>
      <c r="Q1188" t="s">
        <v>80</v>
      </c>
      <c r="R1188">
        <v>95.2</v>
      </c>
      <c r="S1188">
        <v>167</v>
      </c>
      <c r="T1188" s="8">
        <f t="shared" si="37"/>
        <v>34.135322170031195</v>
      </c>
      <c r="U1188" s="13" t="str" cm="1">
        <f t="array" ref="U1188">IF(T1188="","",_xlfn.IFS(T1188&lt;18.5,"Bajo peso",T1188&lt;25,"Peso normal",T1188&lt;30,"Sobrepeso",T1188&lt;35,"Obesidad clase I",T1188&lt;40,"Obesidad clase II",T1188&gt;=40,"Obesidad clase III"))</f>
        <v>Obesidad clase I</v>
      </c>
      <c r="V1188">
        <v>91</v>
      </c>
      <c r="X1188" t="s">
        <v>3463</v>
      </c>
      <c r="Y1188">
        <v>1.1100000000000001</v>
      </c>
      <c r="AA1188">
        <v>70</v>
      </c>
      <c r="AB1188" s="9">
        <f t="shared" si="36"/>
        <v>70.302817917562649</v>
      </c>
      <c r="AD1188" t="s">
        <v>73</v>
      </c>
      <c r="AF1188" t="s">
        <v>73</v>
      </c>
      <c r="AH1188" t="s">
        <v>3463</v>
      </c>
      <c r="AI1188" t="s">
        <v>3463</v>
      </c>
      <c r="AJ1188" t="s">
        <v>3464</v>
      </c>
      <c r="AK1188" t="s">
        <v>3463</v>
      </c>
      <c r="AL1188" t="s">
        <v>3463</v>
      </c>
      <c r="AP1188" t="s">
        <v>3464</v>
      </c>
      <c r="AT1188" t="s">
        <v>3463</v>
      </c>
      <c r="AV1188" t="s">
        <v>126</v>
      </c>
      <c r="AW1188" t="s">
        <v>126</v>
      </c>
      <c r="AX1188" t="s">
        <v>3463</v>
      </c>
      <c r="AY1188" t="s">
        <v>3465</v>
      </c>
      <c r="AZ1188" t="s">
        <v>247</v>
      </c>
      <c r="BF1188" t="s">
        <v>3921</v>
      </c>
      <c r="BH1188" t="s">
        <v>4020</v>
      </c>
      <c r="BP1188" t="s">
        <v>4260</v>
      </c>
      <c r="BQ1188" t="s">
        <v>3463</v>
      </c>
      <c r="BR1188" t="s">
        <v>3463</v>
      </c>
      <c r="BS1188" t="s">
        <v>3465</v>
      </c>
      <c r="BT1188" t="s">
        <v>3465</v>
      </c>
      <c r="BU1188" t="s">
        <v>3463</v>
      </c>
      <c r="BV1188" t="s">
        <v>3463</v>
      </c>
      <c r="BW1188" t="s">
        <v>3463</v>
      </c>
      <c r="BX1188" t="s">
        <v>79</v>
      </c>
      <c r="BY1188" t="s">
        <v>79</v>
      </c>
      <c r="BZ1188" t="s">
        <v>95</v>
      </c>
      <c r="CA1188" s="10">
        <v>45912</v>
      </c>
    </row>
    <row r="1189" spans="1:79">
      <c r="A1189">
        <v>1202</v>
      </c>
      <c r="B1189">
        <v>120</v>
      </c>
      <c r="C1189">
        <v>51</v>
      </c>
      <c r="D1189" t="s">
        <v>3466</v>
      </c>
      <c r="F1189" t="s">
        <v>2407</v>
      </c>
      <c r="G1189" s="12" t="s">
        <v>3465</v>
      </c>
      <c r="H1189" t="s">
        <v>88</v>
      </c>
      <c r="I1189">
        <v>58</v>
      </c>
      <c r="K1189">
        <v>140</v>
      </c>
      <c r="L1189">
        <v>86</v>
      </c>
      <c r="M1189" t="s">
        <v>72</v>
      </c>
      <c r="P1189" t="s">
        <v>83</v>
      </c>
      <c r="Q1189" t="s">
        <v>72</v>
      </c>
      <c r="R1189">
        <v>68.099999999999994</v>
      </c>
      <c r="S1189">
        <v>155</v>
      </c>
      <c r="T1189" s="8">
        <f t="shared" si="37"/>
        <v>28.345473465140476</v>
      </c>
      <c r="U1189" s="13" t="str" cm="1">
        <f t="array" ref="U1189">IF(T1189="","",_xlfn.IFS(T1189&lt;18.5,"Bajo peso",T1189&lt;25,"Peso normal",T1189&lt;30,"Sobrepeso",T1189&lt;35,"Obesidad clase I",T1189&lt;40,"Obesidad clase II",T1189&gt;=40,"Obesidad clase III"))</f>
        <v>Sobrepeso</v>
      </c>
      <c r="V1189">
        <v>95</v>
      </c>
      <c r="X1189" t="s">
        <v>3463</v>
      </c>
      <c r="Y1189">
        <v>0.88</v>
      </c>
      <c r="AA1189">
        <v>80</v>
      </c>
      <c r="AB1189" s="9">
        <f t="shared" si="36"/>
        <v>79.516253797179004</v>
      </c>
      <c r="AD1189" t="s">
        <v>73</v>
      </c>
      <c r="AF1189" t="s">
        <v>73</v>
      </c>
      <c r="AH1189" t="s">
        <v>3463</v>
      </c>
      <c r="AI1189" t="s">
        <v>3465</v>
      </c>
      <c r="AL1189" t="s">
        <v>3465</v>
      </c>
      <c r="AM1189" t="s">
        <v>2627</v>
      </c>
      <c r="AN1189" t="s">
        <v>3853</v>
      </c>
      <c r="AS1189" t="s">
        <v>3465</v>
      </c>
      <c r="AT1189" t="s">
        <v>3465</v>
      </c>
      <c r="AU1189" t="s">
        <v>2628</v>
      </c>
      <c r="AW1189" t="s">
        <v>3916</v>
      </c>
      <c r="AX1189" t="s">
        <v>3463</v>
      </c>
      <c r="AY1189" t="s">
        <v>3465</v>
      </c>
      <c r="AZ1189" t="s">
        <v>90</v>
      </c>
      <c r="BA1189" t="s">
        <v>3920</v>
      </c>
      <c r="BE1189" t="s">
        <v>1399</v>
      </c>
      <c r="BF1189" t="s">
        <v>3967</v>
      </c>
      <c r="BH1189" t="s">
        <v>457</v>
      </c>
      <c r="BK1189" t="s">
        <v>2629</v>
      </c>
      <c r="BL1189" t="s">
        <v>2422</v>
      </c>
      <c r="BP1189" t="s">
        <v>4342</v>
      </c>
      <c r="BQ1189" t="s">
        <v>3463</v>
      </c>
      <c r="BR1189" t="s">
        <v>3463</v>
      </c>
      <c r="BS1189" t="s">
        <v>3465</v>
      </c>
      <c r="BT1189" t="s">
        <v>3465</v>
      </c>
      <c r="BU1189" t="s">
        <v>3463</v>
      </c>
      <c r="BV1189" t="s">
        <v>3463</v>
      </c>
      <c r="BW1189" t="s">
        <v>3463</v>
      </c>
      <c r="BX1189" t="s">
        <v>79</v>
      </c>
      <c r="BY1189" t="s">
        <v>79</v>
      </c>
      <c r="BZ1189" t="s">
        <v>79</v>
      </c>
      <c r="CA1189" s="10">
        <v>45912</v>
      </c>
    </row>
    <row r="1190" spans="1:79">
      <c r="A1190">
        <v>1203</v>
      </c>
      <c r="B1190">
        <v>121</v>
      </c>
      <c r="C1190">
        <v>65</v>
      </c>
      <c r="D1190" t="s">
        <v>3466</v>
      </c>
      <c r="E1190" t="s">
        <v>2462</v>
      </c>
      <c r="F1190" t="s">
        <v>2407</v>
      </c>
      <c r="G1190" s="12" t="s">
        <v>3463</v>
      </c>
      <c r="H1190" s="12"/>
      <c r="I1190">
        <v>77</v>
      </c>
      <c r="K1190">
        <v>128</v>
      </c>
      <c r="L1190">
        <v>84</v>
      </c>
      <c r="M1190" t="s">
        <v>82</v>
      </c>
      <c r="P1190" t="s">
        <v>83</v>
      </c>
      <c r="Q1190" t="s">
        <v>82</v>
      </c>
      <c r="R1190">
        <v>68.900000000000006</v>
      </c>
      <c r="S1190">
        <v>152</v>
      </c>
      <c r="T1190" s="8">
        <f t="shared" si="37"/>
        <v>29.821675900277011</v>
      </c>
      <c r="U1190" s="13" t="str" cm="1">
        <f t="array" ref="U1190">IF(T1190="","",_xlfn.IFS(T1190&lt;18.5,"Bajo peso",T1190&lt;25,"Peso normal",T1190&lt;30,"Sobrepeso",T1190&lt;35,"Obesidad clase I",T1190&lt;40,"Obesidad clase II",T1190&gt;=40,"Obesidad clase III"))</f>
        <v>Sobrepeso</v>
      </c>
      <c r="V1190">
        <v>93</v>
      </c>
      <c r="X1190" t="s">
        <v>3463</v>
      </c>
      <c r="Y1190">
        <v>0.99</v>
      </c>
      <c r="AA1190">
        <v>63</v>
      </c>
      <c r="AB1190" s="9">
        <f t="shared" si="36"/>
        <v>63.27887915661519</v>
      </c>
      <c r="AD1190" t="s">
        <v>73</v>
      </c>
      <c r="AF1190" t="s">
        <v>73</v>
      </c>
      <c r="AH1190" t="s">
        <v>3463</v>
      </c>
      <c r="AI1190" t="s">
        <v>3465</v>
      </c>
      <c r="AJ1190" t="s">
        <v>3463</v>
      </c>
      <c r="AK1190" t="s">
        <v>3463</v>
      </c>
      <c r="AL1190" t="s">
        <v>3465</v>
      </c>
      <c r="AM1190" t="s">
        <v>477</v>
      </c>
      <c r="AN1190" t="s">
        <v>3635</v>
      </c>
      <c r="AP1190" t="s">
        <v>3463</v>
      </c>
      <c r="AS1190" t="s">
        <v>3465</v>
      </c>
      <c r="AT1190" t="s">
        <v>3463</v>
      </c>
      <c r="AV1190" t="s">
        <v>74</v>
      </c>
      <c r="AW1190" t="s">
        <v>3915</v>
      </c>
      <c r="AX1190" t="s">
        <v>3463</v>
      </c>
      <c r="AY1190" t="s">
        <v>3465</v>
      </c>
      <c r="AZ1190" t="s">
        <v>247</v>
      </c>
      <c r="BA1190" t="s">
        <v>3920</v>
      </c>
      <c r="BE1190" t="s">
        <v>995</v>
      </c>
      <c r="BF1190" t="s">
        <v>3942</v>
      </c>
      <c r="BH1190" t="s">
        <v>4029</v>
      </c>
      <c r="BI1190" t="s">
        <v>1125</v>
      </c>
      <c r="BP1190" t="s">
        <v>4260</v>
      </c>
      <c r="BQ1190" t="s">
        <v>3463</v>
      </c>
      <c r="BR1190" t="s">
        <v>3463</v>
      </c>
      <c r="BS1190" t="s">
        <v>3463</v>
      </c>
      <c r="BT1190" t="s">
        <v>3463</v>
      </c>
      <c r="BU1190" t="s">
        <v>3463</v>
      </c>
      <c r="BV1190" t="s">
        <v>3463</v>
      </c>
      <c r="BW1190" t="s">
        <v>3463</v>
      </c>
      <c r="BX1190" t="s">
        <v>79</v>
      </c>
      <c r="BY1190" t="s">
        <v>79</v>
      </c>
      <c r="BZ1190" t="s">
        <v>79</v>
      </c>
      <c r="CA1190" s="10">
        <v>45912</v>
      </c>
    </row>
    <row r="1191" spans="1:79">
      <c r="A1191">
        <v>1204</v>
      </c>
      <c r="B1191">
        <v>122</v>
      </c>
      <c r="C1191">
        <v>28</v>
      </c>
      <c r="D1191" t="s">
        <v>3466</v>
      </c>
      <c r="E1191" t="s">
        <v>2411</v>
      </c>
      <c r="F1191" t="s">
        <v>2407</v>
      </c>
      <c r="G1191" s="12" t="s">
        <v>3463</v>
      </c>
      <c r="I1191">
        <v>71</v>
      </c>
      <c r="J1191">
        <v>70</v>
      </c>
      <c r="K1191">
        <v>156</v>
      </c>
      <c r="L1191">
        <v>77</v>
      </c>
      <c r="M1191" t="s">
        <v>72</v>
      </c>
      <c r="N1191">
        <v>135</v>
      </c>
      <c r="O1191">
        <v>62</v>
      </c>
      <c r="P1191" t="s">
        <v>82</v>
      </c>
      <c r="Q1191" t="s">
        <v>82</v>
      </c>
      <c r="R1191">
        <v>89.85</v>
      </c>
      <c r="S1191">
        <v>165</v>
      </c>
      <c r="T1191" s="8">
        <f t="shared" si="37"/>
        <v>33.002754820936637</v>
      </c>
      <c r="U1191" s="13" t="str" cm="1">
        <f t="array" ref="U1191">IF(T1191="","",_xlfn.IFS(T1191&lt;18.5,"Bajo peso",T1191&lt;25,"Peso normal",T1191&lt;30,"Sobrepeso",T1191&lt;35,"Obesidad clase I",T1191&lt;40,"Obesidad clase II",T1191&gt;=40,"Obesidad clase III"))</f>
        <v>Obesidad clase I</v>
      </c>
      <c r="V1191">
        <v>87</v>
      </c>
      <c r="X1191" t="s">
        <v>3463</v>
      </c>
      <c r="Y1191">
        <v>0.86</v>
      </c>
      <c r="AA1191">
        <v>90</v>
      </c>
      <c r="AB1191" s="9">
        <f t="shared" si="36"/>
        <v>94.310522486023402</v>
      </c>
      <c r="AD1191" t="s">
        <v>73</v>
      </c>
      <c r="AF1191" t="s">
        <v>73</v>
      </c>
      <c r="AH1191" t="s">
        <v>3463</v>
      </c>
      <c r="AI1191" t="s">
        <v>3463</v>
      </c>
      <c r="AJ1191" t="s">
        <v>3463</v>
      </c>
      <c r="AK1191" t="s">
        <v>3465</v>
      </c>
      <c r="AL1191" t="s">
        <v>3463</v>
      </c>
      <c r="AP1191" t="s">
        <v>3463</v>
      </c>
      <c r="AQ1191" t="s">
        <v>2630</v>
      </c>
      <c r="AR1191" t="s">
        <v>3553</v>
      </c>
      <c r="AT1191" t="s">
        <v>3463</v>
      </c>
      <c r="AV1191" t="s">
        <v>126</v>
      </c>
      <c r="AW1191" t="s">
        <v>126</v>
      </c>
      <c r="AX1191" t="s">
        <v>3463</v>
      </c>
      <c r="AY1191" t="s">
        <v>3463</v>
      </c>
      <c r="BF1191" t="s">
        <v>3921</v>
      </c>
      <c r="BH1191" t="s">
        <v>4020</v>
      </c>
      <c r="BP1191" t="s">
        <v>4260</v>
      </c>
      <c r="BQ1191" t="s">
        <v>3463</v>
      </c>
      <c r="BR1191" t="s">
        <v>3465</v>
      </c>
      <c r="BS1191" t="s">
        <v>3465</v>
      </c>
      <c r="BT1191" t="s">
        <v>3465</v>
      </c>
      <c r="BU1191" t="s">
        <v>3463</v>
      </c>
      <c r="BV1191" t="s">
        <v>3463</v>
      </c>
      <c r="BW1191" t="s">
        <v>3463</v>
      </c>
      <c r="BX1191" t="s">
        <v>79</v>
      </c>
      <c r="BY1191" t="s">
        <v>79</v>
      </c>
      <c r="BZ1191" t="s">
        <v>79</v>
      </c>
      <c r="CA1191" s="10">
        <v>45912</v>
      </c>
    </row>
    <row r="1192" spans="1:79">
      <c r="A1192">
        <v>1205</v>
      </c>
      <c r="B1192">
        <v>123</v>
      </c>
      <c r="C1192">
        <v>48</v>
      </c>
      <c r="D1192" t="s">
        <v>3466</v>
      </c>
      <c r="E1192" t="s">
        <v>2462</v>
      </c>
      <c r="F1192" t="s">
        <v>2407</v>
      </c>
      <c r="G1192" s="12" t="s">
        <v>3465</v>
      </c>
      <c r="H1192" t="s">
        <v>88</v>
      </c>
      <c r="I1192">
        <v>74</v>
      </c>
      <c r="J1192">
        <v>70</v>
      </c>
      <c r="K1192">
        <v>151</v>
      </c>
      <c r="L1192">
        <v>77</v>
      </c>
      <c r="M1192" t="s">
        <v>72</v>
      </c>
      <c r="N1192">
        <v>148</v>
      </c>
      <c r="O1192">
        <v>79</v>
      </c>
      <c r="P1192" t="s">
        <v>72</v>
      </c>
      <c r="Q1192" t="s">
        <v>72</v>
      </c>
      <c r="R1192">
        <v>66.900000000000006</v>
      </c>
      <c r="S1192">
        <v>156</v>
      </c>
      <c r="T1192" s="8">
        <f t="shared" si="37"/>
        <v>27.490138067061146</v>
      </c>
      <c r="U1192" s="13" t="str" cm="1">
        <f t="array" ref="U1192">IF(T1192="","",_xlfn.IFS(T1192&lt;18.5,"Bajo peso",T1192&lt;25,"Peso normal",T1192&lt;30,"Sobrepeso",T1192&lt;35,"Obesidad clase I",T1192&lt;40,"Obesidad clase II",T1192&gt;=40,"Obesidad clase III"))</f>
        <v>Sobrepeso</v>
      </c>
      <c r="V1192">
        <v>101</v>
      </c>
      <c r="X1192" t="s">
        <v>3463</v>
      </c>
      <c r="Y1192">
        <v>0.99</v>
      </c>
      <c r="AA1192">
        <v>70</v>
      </c>
      <c r="AB1192" s="9">
        <f t="shared" si="36"/>
        <v>70.335715063469053</v>
      </c>
      <c r="AD1192" t="s">
        <v>73</v>
      </c>
      <c r="AF1192" t="s">
        <v>73</v>
      </c>
      <c r="AH1192" t="s">
        <v>3464</v>
      </c>
      <c r="AI1192" t="s">
        <v>3464</v>
      </c>
      <c r="AJ1192" t="s">
        <v>3463</v>
      </c>
      <c r="AK1192" t="s">
        <v>3463</v>
      </c>
      <c r="AL1192" t="s">
        <v>3463</v>
      </c>
      <c r="AP1192" t="s">
        <v>3463</v>
      </c>
      <c r="AQ1192" t="s">
        <v>1617</v>
      </c>
      <c r="AR1192" t="s">
        <v>3595</v>
      </c>
      <c r="AT1192" t="s">
        <v>3463</v>
      </c>
      <c r="AV1192" t="s">
        <v>74</v>
      </c>
      <c r="AW1192" t="s">
        <v>3915</v>
      </c>
      <c r="AX1192" t="s">
        <v>3463</v>
      </c>
      <c r="AY1192" t="s">
        <v>3465</v>
      </c>
      <c r="AZ1192" t="s">
        <v>90</v>
      </c>
      <c r="BF1192" t="s">
        <v>3921</v>
      </c>
      <c r="BH1192" t="s">
        <v>4020</v>
      </c>
      <c r="BP1192" t="s">
        <v>4260</v>
      </c>
      <c r="BQ1192" t="s">
        <v>3463</v>
      </c>
      <c r="BR1192" t="s">
        <v>3463</v>
      </c>
      <c r="BS1192" t="s">
        <v>3465</v>
      </c>
      <c r="BT1192" t="s">
        <v>3465</v>
      </c>
      <c r="BU1192" t="s">
        <v>3463</v>
      </c>
      <c r="BV1192" t="s">
        <v>3463</v>
      </c>
      <c r="BW1192" t="s">
        <v>3463</v>
      </c>
      <c r="BX1192" t="s">
        <v>79</v>
      </c>
      <c r="BY1192" t="s">
        <v>79</v>
      </c>
      <c r="BZ1192" t="s">
        <v>79</v>
      </c>
      <c r="CA1192" s="10">
        <v>45912</v>
      </c>
    </row>
    <row r="1193" spans="1:79">
      <c r="A1193">
        <v>1206</v>
      </c>
      <c r="B1193">
        <v>124</v>
      </c>
      <c r="C1193">
        <v>39</v>
      </c>
      <c r="D1193" t="s">
        <v>3466</v>
      </c>
      <c r="E1193" t="s">
        <v>2416</v>
      </c>
      <c r="F1193" t="s">
        <v>2407</v>
      </c>
      <c r="G1193" s="12" t="s">
        <v>3465</v>
      </c>
      <c r="H1193" t="s">
        <v>88</v>
      </c>
      <c r="I1193">
        <v>75</v>
      </c>
      <c r="J1193">
        <v>71</v>
      </c>
      <c r="K1193">
        <v>149</v>
      </c>
      <c r="L1193">
        <v>91</v>
      </c>
      <c r="M1193" t="s">
        <v>72</v>
      </c>
      <c r="N1193">
        <v>138</v>
      </c>
      <c r="O1193">
        <v>87</v>
      </c>
      <c r="P1193" t="s">
        <v>82</v>
      </c>
      <c r="Q1193" t="s">
        <v>82</v>
      </c>
      <c r="R1193">
        <v>81.900000000000006</v>
      </c>
      <c r="S1193">
        <v>153</v>
      </c>
      <c r="T1193" s="8">
        <f t="shared" si="37"/>
        <v>34.986543637062674</v>
      </c>
      <c r="U1193" s="13" t="str" cm="1">
        <f t="array" ref="U1193">IF(T1193="","",_xlfn.IFS(T1193&lt;18.5,"Bajo peso",T1193&lt;25,"Peso normal",T1193&lt;30,"Sobrepeso",T1193&lt;35,"Obesidad clase I",T1193&lt;40,"Obesidad clase II",T1193&gt;=40,"Obesidad clase III"))</f>
        <v>Obesidad clase I</v>
      </c>
      <c r="V1193">
        <v>97</v>
      </c>
      <c r="X1193" t="s">
        <v>3463</v>
      </c>
      <c r="Y1193">
        <v>0.79</v>
      </c>
      <c r="AA1193">
        <v>90</v>
      </c>
      <c r="AB1193" s="9">
        <f t="shared" si="36"/>
        <v>97.520226056455655</v>
      </c>
      <c r="AD1193" t="s">
        <v>73</v>
      </c>
      <c r="AF1193" t="s">
        <v>73</v>
      </c>
      <c r="AH1193" t="s">
        <v>3463</v>
      </c>
      <c r="AI1193" t="s">
        <v>3463</v>
      </c>
      <c r="AJ1193" t="s">
        <v>3463</v>
      </c>
      <c r="AK1193" t="s">
        <v>3463</v>
      </c>
      <c r="AL1193" t="s">
        <v>3465</v>
      </c>
      <c r="AM1193" t="s">
        <v>2631</v>
      </c>
      <c r="AN1193" t="s">
        <v>3699</v>
      </c>
      <c r="AP1193" t="s">
        <v>3463</v>
      </c>
      <c r="AT1193" t="s">
        <v>3465</v>
      </c>
      <c r="AU1193" t="s">
        <v>2628</v>
      </c>
      <c r="AV1193" t="s">
        <v>74</v>
      </c>
      <c r="AW1193" t="s">
        <v>3915</v>
      </c>
      <c r="AX1193" t="s">
        <v>3463</v>
      </c>
      <c r="AY1193" t="s">
        <v>3465</v>
      </c>
      <c r="AZ1193" t="s">
        <v>90</v>
      </c>
      <c r="BF1193" t="s">
        <v>3921</v>
      </c>
      <c r="BH1193" t="s">
        <v>4020</v>
      </c>
      <c r="BP1193" t="s">
        <v>4260</v>
      </c>
      <c r="BQ1193" t="s">
        <v>3463</v>
      </c>
      <c r="BR1193" t="s">
        <v>3465</v>
      </c>
      <c r="BS1193" t="s">
        <v>3465</v>
      </c>
      <c r="BT1193" t="s">
        <v>3465</v>
      </c>
      <c r="BU1193" t="s">
        <v>3463</v>
      </c>
      <c r="BV1193" t="s">
        <v>3463</v>
      </c>
      <c r="BW1193" t="s">
        <v>3463</v>
      </c>
      <c r="BX1193" t="s">
        <v>79</v>
      </c>
      <c r="BY1193" t="s">
        <v>79</v>
      </c>
      <c r="BZ1193" t="s">
        <v>79</v>
      </c>
      <c r="CA1193" s="10">
        <v>45912</v>
      </c>
    </row>
    <row r="1194" spans="1:79">
      <c r="A1194">
        <v>1207</v>
      </c>
      <c r="B1194">
        <v>125</v>
      </c>
      <c r="C1194">
        <v>54</v>
      </c>
      <c r="D1194" t="s">
        <v>3466</v>
      </c>
      <c r="E1194" t="s">
        <v>2550</v>
      </c>
      <c r="F1194" t="s">
        <v>2407</v>
      </c>
      <c r="G1194" s="12" t="s">
        <v>3463</v>
      </c>
      <c r="I1194">
        <v>66</v>
      </c>
      <c r="J1194">
        <v>63</v>
      </c>
      <c r="K1194">
        <v>163</v>
      </c>
      <c r="L1194">
        <v>87</v>
      </c>
      <c r="M1194" t="s">
        <v>72</v>
      </c>
      <c r="N1194">
        <v>162</v>
      </c>
      <c r="O1194">
        <v>82</v>
      </c>
      <c r="P1194" t="s">
        <v>72</v>
      </c>
      <c r="Q1194" t="s">
        <v>72</v>
      </c>
      <c r="R1194">
        <v>99.4</v>
      </c>
      <c r="S1194">
        <v>161.5</v>
      </c>
      <c r="T1194" s="8">
        <f t="shared" si="37"/>
        <v>38.110209050216149</v>
      </c>
      <c r="U1194" s="13" t="str" cm="1">
        <f t="array" ref="U1194">IF(T1194="","",_xlfn.IFS(T1194&lt;18.5,"Bajo peso",T1194&lt;25,"Peso normal",T1194&lt;30,"Sobrepeso",T1194&lt;35,"Obesidad clase I",T1194&lt;40,"Obesidad clase II",T1194&gt;=40,"Obesidad clase III"))</f>
        <v>Obesidad clase II</v>
      </c>
      <c r="V1194">
        <v>202</v>
      </c>
      <c r="X1194" t="s">
        <v>3465</v>
      </c>
      <c r="Y1194">
        <v>0.84</v>
      </c>
      <c r="AA1194">
        <v>83</v>
      </c>
      <c r="AB1194" s="9">
        <f t="shared" si="36"/>
        <v>82.527169827239973</v>
      </c>
      <c r="AD1194" t="s">
        <v>73</v>
      </c>
      <c r="AF1194" t="s">
        <v>73</v>
      </c>
      <c r="AG1194" t="s">
        <v>3465</v>
      </c>
      <c r="AH1194" t="s">
        <v>3465</v>
      </c>
      <c r="AI1194" t="s">
        <v>3465</v>
      </c>
      <c r="AJ1194" t="s">
        <v>3463</v>
      </c>
      <c r="AK1194" t="s">
        <v>3463</v>
      </c>
      <c r="AL1194" t="s">
        <v>3465</v>
      </c>
      <c r="AM1194" t="s">
        <v>2632</v>
      </c>
      <c r="AN1194" t="s">
        <v>3788</v>
      </c>
      <c r="AP1194" t="s">
        <v>3463</v>
      </c>
      <c r="AQ1194" t="s">
        <v>2633</v>
      </c>
      <c r="AR1194" t="s">
        <v>3488</v>
      </c>
      <c r="AS1194" t="s">
        <v>3465</v>
      </c>
      <c r="AT1194" t="s">
        <v>3465</v>
      </c>
      <c r="AU1194" t="s">
        <v>80</v>
      </c>
      <c r="AV1194" t="s">
        <v>74</v>
      </c>
      <c r="AW1194" t="s">
        <v>3915</v>
      </c>
      <c r="AX1194" t="s">
        <v>3463</v>
      </c>
      <c r="AY1194" t="s">
        <v>3465</v>
      </c>
      <c r="AZ1194" t="s">
        <v>90</v>
      </c>
      <c r="BF1194" t="s">
        <v>3921</v>
      </c>
      <c r="BH1194" t="s">
        <v>4020</v>
      </c>
      <c r="BP1194" t="s">
        <v>4260</v>
      </c>
      <c r="BQ1194" t="s">
        <v>3463</v>
      </c>
      <c r="BR1194" t="s">
        <v>3463</v>
      </c>
      <c r="BS1194" t="s">
        <v>3463</v>
      </c>
      <c r="BT1194" t="s">
        <v>3463</v>
      </c>
      <c r="BU1194" t="s">
        <v>3463</v>
      </c>
      <c r="BV1194" t="s">
        <v>3463</v>
      </c>
      <c r="BW1194" t="s">
        <v>3463</v>
      </c>
      <c r="BX1194" t="s">
        <v>79</v>
      </c>
      <c r="BY1194" t="s">
        <v>87</v>
      </c>
      <c r="BZ1194" t="s">
        <v>79</v>
      </c>
      <c r="CA1194" s="10">
        <v>45912</v>
      </c>
    </row>
    <row r="1195" spans="1:79">
      <c r="A1195">
        <v>1208</v>
      </c>
      <c r="B1195">
        <v>126</v>
      </c>
      <c r="C1195">
        <v>64</v>
      </c>
      <c r="D1195" t="s">
        <v>3462</v>
      </c>
      <c r="E1195" t="s">
        <v>2416</v>
      </c>
      <c r="F1195" t="s">
        <v>2407</v>
      </c>
      <c r="G1195" s="12" t="s">
        <v>3465</v>
      </c>
      <c r="H1195" s="12" t="s">
        <v>88</v>
      </c>
      <c r="I1195">
        <v>53</v>
      </c>
      <c r="J1195">
        <v>56</v>
      </c>
      <c r="K1195">
        <v>160</v>
      </c>
      <c r="L1195">
        <v>93</v>
      </c>
      <c r="M1195" t="s">
        <v>72</v>
      </c>
      <c r="N1195">
        <v>166</v>
      </c>
      <c r="O1195">
        <v>107</v>
      </c>
      <c r="P1195" t="s">
        <v>72</v>
      </c>
      <c r="Q1195" t="s">
        <v>72</v>
      </c>
      <c r="R1195">
        <v>91.8</v>
      </c>
      <c r="S1195">
        <v>168</v>
      </c>
      <c r="T1195" s="8">
        <f t="shared" si="37"/>
        <v>32.525510204081634</v>
      </c>
      <c r="U1195" s="13" t="str" cm="1">
        <f t="array" ref="U1195">IF(T1195="","",_xlfn.IFS(T1195&lt;18.5,"Bajo peso",T1195&lt;25,"Peso normal",T1195&lt;30,"Sobrepeso",T1195&lt;35,"Obesidad clase I",T1195&lt;40,"Obesidad clase II",T1195&gt;=40,"Obesidad clase III"))</f>
        <v>Obesidad clase I</v>
      </c>
      <c r="V1195">
        <v>100</v>
      </c>
      <c r="X1195" t="s">
        <v>3463</v>
      </c>
      <c r="Y1195">
        <v>0.97</v>
      </c>
      <c r="AA1195">
        <v>87</v>
      </c>
      <c r="AB1195" s="9">
        <f t="shared" ref="AB1195:AB1258" si="38">IF(OR(C1195="",D1195="",Y1195=""),"",142*POWER(MIN(Y1195/IF(D1195="Mujer",0.7,0.9),1),IF(D1195="Mujer",-0.241,-0.302))*POWER(MAX(Y1195/IF(D1195="Mujer",0.7,0.9),1),-1.2)*POWER(0.9938,C1195)*IF(D1195="Mujer",1.012,1))</f>
        <v>87.174364247345835</v>
      </c>
      <c r="AD1195" t="s">
        <v>73</v>
      </c>
      <c r="AF1195" t="s">
        <v>73</v>
      </c>
      <c r="AH1195" t="s">
        <v>3463</v>
      </c>
      <c r="AI1195" t="s">
        <v>3465</v>
      </c>
      <c r="AJ1195" t="s">
        <v>3465</v>
      </c>
      <c r="AK1195" t="s">
        <v>3463</v>
      </c>
      <c r="AL1195" t="s">
        <v>3465</v>
      </c>
      <c r="AM1195" t="s">
        <v>2634</v>
      </c>
      <c r="AN1195" t="s">
        <v>3765</v>
      </c>
      <c r="AP1195" t="s">
        <v>3463</v>
      </c>
      <c r="AS1195" t="s">
        <v>3465</v>
      </c>
      <c r="AV1195" t="s">
        <v>74</v>
      </c>
      <c r="AW1195" t="s">
        <v>3915</v>
      </c>
      <c r="BA1195" t="s">
        <v>3920</v>
      </c>
      <c r="BB1195" t="s">
        <v>3485</v>
      </c>
      <c r="BF1195" t="s">
        <v>3921</v>
      </c>
      <c r="BH1195" t="s">
        <v>4029</v>
      </c>
      <c r="BI1195" t="s">
        <v>411</v>
      </c>
      <c r="BL1195" t="s">
        <v>2635</v>
      </c>
      <c r="BP1195" t="s">
        <v>4320</v>
      </c>
      <c r="BQ1195" t="s">
        <v>3463</v>
      </c>
      <c r="BR1195" t="s">
        <v>3465</v>
      </c>
      <c r="BS1195" t="s">
        <v>3463</v>
      </c>
      <c r="BT1195" t="s">
        <v>3463</v>
      </c>
      <c r="BU1195" t="s">
        <v>3463</v>
      </c>
      <c r="BV1195" t="s">
        <v>3463</v>
      </c>
      <c r="BW1195" t="s">
        <v>3463</v>
      </c>
      <c r="BX1195" t="s">
        <v>79</v>
      </c>
      <c r="BY1195" t="s">
        <v>79</v>
      </c>
      <c r="BZ1195" t="s">
        <v>95</v>
      </c>
      <c r="CA1195" s="10">
        <v>45912</v>
      </c>
    </row>
    <row r="1196" spans="1:79">
      <c r="A1196">
        <v>1209</v>
      </c>
      <c r="B1196">
        <v>127</v>
      </c>
      <c r="C1196">
        <v>45</v>
      </c>
      <c r="D1196" t="s">
        <v>3466</v>
      </c>
      <c r="E1196" t="s">
        <v>450</v>
      </c>
      <c r="F1196" t="s">
        <v>2407</v>
      </c>
      <c r="G1196" s="12" t="s">
        <v>3465</v>
      </c>
      <c r="H1196" s="12" t="s">
        <v>88</v>
      </c>
      <c r="I1196">
        <v>53</v>
      </c>
      <c r="J1196">
        <v>55</v>
      </c>
      <c r="K1196">
        <v>190</v>
      </c>
      <c r="L1196">
        <v>120</v>
      </c>
      <c r="M1196" t="s">
        <v>96</v>
      </c>
      <c r="N1196">
        <v>164</v>
      </c>
      <c r="O1196">
        <v>113</v>
      </c>
      <c r="P1196" t="s">
        <v>72</v>
      </c>
      <c r="Q1196" t="s">
        <v>72</v>
      </c>
      <c r="R1196">
        <v>104.05</v>
      </c>
      <c r="S1196">
        <v>162</v>
      </c>
      <c r="T1196" s="8">
        <f t="shared" si="37"/>
        <v>39.647157445511354</v>
      </c>
      <c r="U1196" s="13" t="str" cm="1">
        <f t="array" ref="U1196">IF(T1196="","",_xlfn.IFS(T1196&lt;18.5,"Bajo peso",T1196&lt;25,"Peso normal",T1196&lt;30,"Sobrepeso",T1196&lt;35,"Obesidad clase I",T1196&lt;40,"Obesidad clase II",T1196&gt;=40,"Obesidad clase III"))</f>
        <v>Obesidad clase II</v>
      </c>
      <c r="V1196">
        <v>251</v>
      </c>
      <c r="X1196" t="s">
        <v>3465</v>
      </c>
      <c r="Y1196">
        <v>1.31</v>
      </c>
      <c r="AA1196">
        <v>51</v>
      </c>
      <c r="AB1196" s="9">
        <f t="shared" si="38"/>
        <v>51.205381782355964</v>
      </c>
      <c r="AD1196" t="s">
        <v>158</v>
      </c>
      <c r="AF1196" t="s">
        <v>158</v>
      </c>
      <c r="AG1196" t="s">
        <v>3463</v>
      </c>
      <c r="AH1196" t="s">
        <v>3465</v>
      </c>
      <c r="AI1196" t="s">
        <v>3465</v>
      </c>
      <c r="AJ1196" t="s">
        <v>3463</v>
      </c>
      <c r="AK1196" t="s">
        <v>3463</v>
      </c>
      <c r="AL1196" t="s">
        <v>3463</v>
      </c>
      <c r="AP1196" t="s">
        <v>3463</v>
      </c>
      <c r="AS1196" t="s">
        <v>3463</v>
      </c>
      <c r="AT1196" t="s">
        <v>3465</v>
      </c>
      <c r="AU1196" t="s">
        <v>80</v>
      </c>
      <c r="AV1196" t="s">
        <v>126</v>
      </c>
      <c r="AW1196" t="s">
        <v>126</v>
      </c>
      <c r="AX1196" t="s">
        <v>3463</v>
      </c>
      <c r="AY1196" t="s">
        <v>3465</v>
      </c>
      <c r="AZ1196" t="s">
        <v>247</v>
      </c>
      <c r="BA1196" t="s">
        <v>3920</v>
      </c>
      <c r="BB1196" t="s">
        <v>3485</v>
      </c>
      <c r="BF1196" t="s">
        <v>3921</v>
      </c>
      <c r="BG1196" t="s">
        <v>2636</v>
      </c>
      <c r="BH1196" t="s">
        <v>4125</v>
      </c>
      <c r="BL1196" t="s">
        <v>2637</v>
      </c>
      <c r="BP1196" t="s">
        <v>4260</v>
      </c>
      <c r="BQ1196" t="s">
        <v>3463</v>
      </c>
      <c r="BR1196" t="s">
        <v>3463</v>
      </c>
      <c r="BS1196" t="s">
        <v>3463</v>
      </c>
      <c r="BT1196" t="s">
        <v>3463</v>
      </c>
      <c r="BU1196" t="s">
        <v>3463</v>
      </c>
      <c r="BV1196" t="s">
        <v>3463</v>
      </c>
      <c r="BW1196" t="s">
        <v>3463</v>
      </c>
      <c r="BX1196" t="s">
        <v>79</v>
      </c>
      <c r="BY1196" t="s">
        <v>87</v>
      </c>
      <c r="BZ1196" t="s">
        <v>79</v>
      </c>
      <c r="CA1196" s="10">
        <v>45912</v>
      </c>
    </row>
    <row r="1197" spans="1:79">
      <c r="A1197">
        <v>1210</v>
      </c>
      <c r="B1197">
        <v>128</v>
      </c>
      <c r="C1197">
        <v>60</v>
      </c>
      <c r="D1197" t="s">
        <v>3466</v>
      </c>
      <c r="F1197" t="s">
        <v>2407</v>
      </c>
      <c r="G1197" s="12" t="s">
        <v>3465</v>
      </c>
      <c r="H1197" t="s">
        <v>88</v>
      </c>
      <c r="I1197">
        <v>95</v>
      </c>
      <c r="K1197">
        <v>138</v>
      </c>
      <c r="L1197">
        <v>81</v>
      </c>
      <c r="M1197" t="s">
        <v>82</v>
      </c>
      <c r="P1197" t="s">
        <v>83</v>
      </c>
      <c r="Q1197" t="s">
        <v>82</v>
      </c>
      <c r="R1197">
        <v>87.3</v>
      </c>
      <c r="S1197">
        <v>155</v>
      </c>
      <c r="T1197" s="8">
        <f t="shared" si="37"/>
        <v>36.33714880332986</v>
      </c>
      <c r="U1197" s="13" t="str" cm="1">
        <f t="array" ref="U1197">IF(T1197="","",_xlfn.IFS(T1197&lt;18.5,"Bajo peso",T1197&lt;25,"Peso normal",T1197&lt;30,"Sobrepeso",T1197&lt;35,"Obesidad clase I",T1197&lt;40,"Obesidad clase II",T1197&gt;=40,"Obesidad clase III"))</f>
        <v>Obesidad clase II</v>
      </c>
      <c r="V1197">
        <v>152</v>
      </c>
      <c r="X1197" t="s">
        <v>3463</v>
      </c>
      <c r="Y1197">
        <v>1.1200000000000001</v>
      </c>
      <c r="AA1197">
        <v>56</v>
      </c>
      <c r="AB1197" s="9">
        <f t="shared" si="38"/>
        <v>56.294299879288253</v>
      </c>
      <c r="AD1197" t="s">
        <v>158</v>
      </c>
      <c r="AF1197" t="s">
        <v>158</v>
      </c>
      <c r="AH1197" t="s">
        <v>3463</v>
      </c>
      <c r="AI1197" t="s">
        <v>3463</v>
      </c>
      <c r="AJ1197" t="s">
        <v>3464</v>
      </c>
      <c r="AK1197" t="s">
        <v>3463</v>
      </c>
      <c r="AL1197" t="s">
        <v>3463</v>
      </c>
      <c r="AO1197" t="s">
        <v>3464</v>
      </c>
      <c r="AP1197" t="s">
        <v>3465</v>
      </c>
      <c r="AQ1197" t="s">
        <v>196</v>
      </c>
      <c r="AR1197" t="s">
        <v>3522</v>
      </c>
      <c r="AT1197" t="s">
        <v>3465</v>
      </c>
      <c r="AU1197" t="s">
        <v>80</v>
      </c>
      <c r="AV1197" t="s">
        <v>126</v>
      </c>
      <c r="AW1197" t="s">
        <v>126</v>
      </c>
      <c r="AX1197" t="s">
        <v>3463</v>
      </c>
      <c r="AY1197" t="s">
        <v>3465</v>
      </c>
      <c r="AZ1197" t="s">
        <v>90</v>
      </c>
      <c r="BF1197" t="s">
        <v>3921</v>
      </c>
      <c r="BG1197" t="s">
        <v>2638</v>
      </c>
      <c r="BH1197" t="s">
        <v>4215</v>
      </c>
      <c r="BI1197" t="s">
        <v>2639</v>
      </c>
      <c r="BK1197" t="s">
        <v>2640</v>
      </c>
      <c r="BL1197" t="s">
        <v>1722</v>
      </c>
      <c r="BP1197" t="s">
        <v>4256</v>
      </c>
      <c r="BQ1197" t="s">
        <v>3463</v>
      </c>
      <c r="BR1197" t="s">
        <v>3463</v>
      </c>
      <c r="BS1197" t="s">
        <v>3465</v>
      </c>
      <c r="BT1197" t="s">
        <v>3465</v>
      </c>
      <c r="BU1197" t="s">
        <v>3463</v>
      </c>
      <c r="BV1197" t="s">
        <v>3463</v>
      </c>
      <c r="BW1197" t="s">
        <v>3463</v>
      </c>
      <c r="BX1197" t="s">
        <v>79</v>
      </c>
      <c r="BY1197" t="s">
        <v>79</v>
      </c>
      <c r="BZ1197" t="s">
        <v>79</v>
      </c>
      <c r="CA1197" s="10">
        <v>45912</v>
      </c>
    </row>
    <row r="1198" spans="1:79">
      <c r="A1198">
        <v>1211</v>
      </c>
      <c r="B1198">
        <v>129</v>
      </c>
      <c r="C1198">
        <v>52</v>
      </c>
      <c r="D1198" t="s">
        <v>3462</v>
      </c>
      <c r="E1198" t="s">
        <v>2411</v>
      </c>
      <c r="F1198" t="s">
        <v>2407</v>
      </c>
      <c r="G1198" s="12" t="s">
        <v>3463</v>
      </c>
      <c r="I1198">
        <v>63</v>
      </c>
      <c r="K1198">
        <v>133</v>
      </c>
      <c r="L1198">
        <v>77</v>
      </c>
      <c r="M1198" t="s">
        <v>82</v>
      </c>
      <c r="P1198" t="s">
        <v>83</v>
      </c>
      <c r="Q1198" t="s">
        <v>82</v>
      </c>
      <c r="R1198">
        <v>70.3</v>
      </c>
      <c r="S1198">
        <v>173.5</v>
      </c>
      <c r="T1198" s="8">
        <f t="shared" si="37"/>
        <v>23.353736016410732</v>
      </c>
      <c r="U1198" s="13" t="str" cm="1">
        <f t="array" ref="U1198">IF(T1198="","",_xlfn.IFS(T1198&lt;18.5,"Bajo peso",T1198&lt;25,"Peso normal",T1198&lt;30,"Sobrepeso",T1198&lt;35,"Obesidad clase I",T1198&lt;40,"Obesidad clase II",T1198&gt;=40,"Obesidad clase III"))</f>
        <v>Peso normal</v>
      </c>
      <c r="V1198">
        <v>108</v>
      </c>
      <c r="X1198" t="s">
        <v>3463</v>
      </c>
      <c r="Y1198">
        <v>0.99</v>
      </c>
      <c r="AA1198">
        <v>90</v>
      </c>
      <c r="AB1198" s="9">
        <f t="shared" si="38"/>
        <v>91.656807760652896</v>
      </c>
      <c r="AD1198" t="s">
        <v>73</v>
      </c>
      <c r="AF1198" t="s">
        <v>73</v>
      </c>
      <c r="AH1198" t="s">
        <v>3463</v>
      </c>
      <c r="AI1198" t="s">
        <v>3463</v>
      </c>
      <c r="AJ1198" t="s">
        <v>3463</v>
      </c>
      <c r="AK1198" t="s">
        <v>3463</v>
      </c>
      <c r="AL1198" t="s">
        <v>3463</v>
      </c>
      <c r="AP1198" t="s">
        <v>3463</v>
      </c>
      <c r="AQ1198" t="s">
        <v>2023</v>
      </c>
      <c r="AR1198" t="s">
        <v>3493</v>
      </c>
      <c r="AV1198" t="s">
        <v>74</v>
      </c>
      <c r="AW1198" t="s">
        <v>3915</v>
      </c>
      <c r="BF1198" t="s">
        <v>3921</v>
      </c>
      <c r="BH1198" t="s">
        <v>4020</v>
      </c>
      <c r="BP1198" t="s">
        <v>4260</v>
      </c>
      <c r="BQ1198" t="s">
        <v>3463</v>
      </c>
      <c r="BR1198" t="s">
        <v>3463</v>
      </c>
      <c r="BS1198" t="s">
        <v>3463</v>
      </c>
      <c r="BT1198" t="s">
        <v>3463</v>
      </c>
      <c r="BU1198" t="s">
        <v>3463</v>
      </c>
      <c r="BV1198" t="s">
        <v>3463</v>
      </c>
      <c r="BW1198" t="s">
        <v>3463</v>
      </c>
      <c r="BX1198" t="s">
        <v>79</v>
      </c>
      <c r="BY1198" t="s">
        <v>79</v>
      </c>
      <c r="BZ1198" t="s">
        <v>79</v>
      </c>
      <c r="CA1198" s="10">
        <v>45912</v>
      </c>
    </row>
    <row r="1199" spans="1:79">
      <c r="A1199">
        <v>1212</v>
      </c>
      <c r="B1199">
        <v>130</v>
      </c>
      <c r="C1199">
        <v>65</v>
      </c>
      <c r="D1199" t="s">
        <v>3466</v>
      </c>
      <c r="E1199" t="s">
        <v>2641</v>
      </c>
      <c r="F1199" t="s">
        <v>2407</v>
      </c>
      <c r="G1199" s="12" t="s">
        <v>3463</v>
      </c>
      <c r="I1199">
        <v>76</v>
      </c>
      <c r="K1199">
        <v>130</v>
      </c>
      <c r="L1199">
        <v>69</v>
      </c>
      <c r="M1199" t="s">
        <v>82</v>
      </c>
      <c r="P1199" t="s">
        <v>83</v>
      </c>
      <c r="Q1199" t="s">
        <v>82</v>
      </c>
      <c r="R1199">
        <v>84.64</v>
      </c>
      <c r="S1199">
        <v>154</v>
      </c>
      <c r="T1199" s="8">
        <f t="shared" si="37"/>
        <v>35.688986338336989</v>
      </c>
      <c r="U1199" s="13" t="str" cm="1">
        <f t="array" ref="U1199">IF(T1199="","",_xlfn.IFS(T1199&lt;18.5,"Bajo peso",T1199&lt;25,"Peso normal",T1199&lt;30,"Sobrepeso",T1199&lt;35,"Obesidad clase I",T1199&lt;40,"Obesidad clase II",T1199&gt;=40,"Obesidad clase III"))</f>
        <v>Obesidad clase II</v>
      </c>
      <c r="V1199">
        <v>125</v>
      </c>
      <c r="X1199" t="s">
        <v>3463</v>
      </c>
      <c r="Y1199">
        <v>0.7</v>
      </c>
      <c r="AA1199">
        <v>90</v>
      </c>
      <c r="AB1199" s="9">
        <f t="shared" si="38"/>
        <v>95.91871754308319</v>
      </c>
      <c r="AD1199" t="s">
        <v>73</v>
      </c>
      <c r="AF1199" t="s">
        <v>73</v>
      </c>
      <c r="AG1199" t="s">
        <v>3465</v>
      </c>
      <c r="AH1199" t="s">
        <v>3463</v>
      </c>
      <c r="AI1199" t="s">
        <v>3463</v>
      </c>
      <c r="AJ1199" t="s">
        <v>3463</v>
      </c>
      <c r="AK1199" t="s">
        <v>3463</v>
      </c>
      <c r="AL1199" t="s">
        <v>3465</v>
      </c>
      <c r="AM1199" t="s">
        <v>2642</v>
      </c>
      <c r="AN1199" t="s">
        <v>3854</v>
      </c>
      <c r="AP1199" t="s">
        <v>3463</v>
      </c>
      <c r="AQ1199" t="s">
        <v>2643</v>
      </c>
      <c r="AR1199" t="s">
        <v>3516</v>
      </c>
      <c r="AT1199" t="s">
        <v>3465</v>
      </c>
      <c r="AU1199" t="s">
        <v>1899</v>
      </c>
      <c r="AV1199" t="s">
        <v>112</v>
      </c>
      <c r="AW1199" t="s">
        <v>3917</v>
      </c>
      <c r="AX1199" t="s">
        <v>3463</v>
      </c>
      <c r="AY1199" t="s">
        <v>3465</v>
      </c>
      <c r="AZ1199" t="s">
        <v>1110</v>
      </c>
      <c r="BF1199" t="s">
        <v>3921</v>
      </c>
      <c r="BH1199" t="s">
        <v>4020</v>
      </c>
      <c r="BP1199" t="s">
        <v>4260</v>
      </c>
      <c r="BQ1199" t="s">
        <v>3463</v>
      </c>
      <c r="BR1199" t="s">
        <v>3463</v>
      </c>
      <c r="BS1199" t="s">
        <v>3463</v>
      </c>
      <c r="BT1199" t="s">
        <v>3463</v>
      </c>
      <c r="BU1199" t="s">
        <v>3463</v>
      </c>
      <c r="BV1199" t="s">
        <v>3463</v>
      </c>
      <c r="BW1199" t="s">
        <v>3463</v>
      </c>
      <c r="BX1199" t="s">
        <v>518</v>
      </c>
      <c r="BY1199" t="s">
        <v>87</v>
      </c>
      <c r="BZ1199" t="s">
        <v>79</v>
      </c>
      <c r="CA1199" s="10">
        <v>45912</v>
      </c>
    </row>
    <row r="1200" spans="1:79">
      <c r="A1200">
        <v>1213</v>
      </c>
      <c r="B1200">
        <v>131</v>
      </c>
      <c r="C1200">
        <v>45</v>
      </c>
      <c r="D1200" t="s">
        <v>3466</v>
      </c>
      <c r="E1200" t="s">
        <v>2411</v>
      </c>
      <c r="F1200" t="s">
        <v>2407</v>
      </c>
      <c r="G1200" s="12" t="s">
        <v>3463</v>
      </c>
      <c r="I1200">
        <v>66</v>
      </c>
      <c r="K1200">
        <v>125</v>
      </c>
      <c r="L1200">
        <v>86</v>
      </c>
      <c r="M1200" t="s">
        <v>82</v>
      </c>
      <c r="P1200" t="s">
        <v>83</v>
      </c>
      <c r="Q1200" t="s">
        <v>82</v>
      </c>
      <c r="R1200">
        <v>73.3</v>
      </c>
      <c r="S1200">
        <v>153</v>
      </c>
      <c r="T1200" s="8">
        <f t="shared" si="37"/>
        <v>31.31274296210859</v>
      </c>
      <c r="U1200" s="13" t="str" cm="1">
        <f t="array" ref="U1200">IF(T1200="","",_xlfn.IFS(T1200&lt;18.5,"Bajo peso",T1200&lt;25,"Peso normal",T1200&lt;30,"Sobrepeso",T1200&lt;35,"Obesidad clase I",T1200&lt;40,"Obesidad clase II",T1200&gt;=40,"Obesidad clase III"))</f>
        <v>Obesidad clase I</v>
      </c>
      <c r="V1200">
        <v>98</v>
      </c>
      <c r="X1200" t="s">
        <v>3463</v>
      </c>
      <c r="Y1200">
        <v>1.1200000000000001</v>
      </c>
      <c r="AA1200">
        <v>62</v>
      </c>
      <c r="AB1200" s="9">
        <f t="shared" si="38"/>
        <v>61.798728001102646</v>
      </c>
      <c r="AD1200" t="s">
        <v>73</v>
      </c>
      <c r="AF1200" t="s">
        <v>73</v>
      </c>
      <c r="AH1200" t="s">
        <v>3463</v>
      </c>
      <c r="AI1200" t="s">
        <v>3463</v>
      </c>
      <c r="AJ1200" t="s">
        <v>3463</v>
      </c>
      <c r="AK1200" t="s">
        <v>3463</v>
      </c>
      <c r="AL1200" t="s">
        <v>3463</v>
      </c>
      <c r="AP1200" t="s">
        <v>3463</v>
      </c>
      <c r="AQ1200" t="s">
        <v>2644</v>
      </c>
      <c r="AR1200" t="s">
        <v>3488</v>
      </c>
      <c r="AT1200" t="s">
        <v>3465</v>
      </c>
      <c r="AU1200" t="s">
        <v>80</v>
      </c>
      <c r="AV1200" t="s">
        <v>74</v>
      </c>
      <c r="AW1200" t="s">
        <v>3915</v>
      </c>
      <c r="AX1200" t="s">
        <v>3463</v>
      </c>
      <c r="AY1200" t="s">
        <v>3465</v>
      </c>
      <c r="AZ1200" t="s">
        <v>2293</v>
      </c>
      <c r="BF1200" t="s">
        <v>3921</v>
      </c>
      <c r="BH1200" t="s">
        <v>4020</v>
      </c>
      <c r="BP1200" t="s">
        <v>4260</v>
      </c>
      <c r="BQ1200" t="s">
        <v>3465</v>
      </c>
      <c r="BR1200" t="s">
        <v>3465</v>
      </c>
      <c r="BS1200" t="s">
        <v>3463</v>
      </c>
      <c r="BT1200" t="s">
        <v>3463</v>
      </c>
      <c r="BU1200" t="s">
        <v>3463</v>
      </c>
      <c r="BV1200" t="s">
        <v>3463</v>
      </c>
      <c r="BW1200" t="s">
        <v>3463</v>
      </c>
      <c r="BX1200" t="s">
        <v>79</v>
      </c>
      <c r="BY1200" t="s">
        <v>87</v>
      </c>
      <c r="BZ1200" t="s">
        <v>79</v>
      </c>
      <c r="CA1200" s="10">
        <v>45912</v>
      </c>
    </row>
    <row r="1201" spans="1:79">
      <c r="A1201">
        <v>1214</v>
      </c>
      <c r="B1201">
        <v>132</v>
      </c>
      <c r="C1201">
        <v>72</v>
      </c>
      <c r="D1201" t="s">
        <v>3466</v>
      </c>
      <c r="E1201" t="s">
        <v>2645</v>
      </c>
      <c r="F1201" t="s">
        <v>2407</v>
      </c>
      <c r="G1201" s="12" t="s">
        <v>3463</v>
      </c>
      <c r="I1201">
        <v>74</v>
      </c>
      <c r="J1201">
        <v>74</v>
      </c>
      <c r="K1201">
        <v>179</v>
      </c>
      <c r="L1201">
        <v>70</v>
      </c>
      <c r="M1201" t="s">
        <v>72</v>
      </c>
      <c r="N1201">
        <v>171</v>
      </c>
      <c r="O1201">
        <v>81</v>
      </c>
      <c r="P1201" t="s">
        <v>72</v>
      </c>
      <c r="Q1201" t="s">
        <v>72</v>
      </c>
      <c r="R1201">
        <v>69.099999999999994</v>
      </c>
      <c r="S1201">
        <v>152</v>
      </c>
      <c r="T1201" s="8">
        <f t="shared" si="37"/>
        <v>29.908240997229917</v>
      </c>
      <c r="U1201" s="13" t="str" cm="1">
        <f t="array" ref="U1201">IF(T1201="","",_xlfn.IFS(T1201&lt;18.5,"Bajo peso",T1201&lt;25,"Peso normal",T1201&lt;30,"Sobrepeso",T1201&lt;35,"Obesidad clase I",T1201&lt;40,"Obesidad clase II",T1201&gt;=40,"Obesidad clase III"))</f>
        <v>Sobrepeso</v>
      </c>
      <c r="V1201">
        <v>127</v>
      </c>
      <c r="X1201" t="s">
        <v>3463</v>
      </c>
      <c r="Y1201">
        <v>1</v>
      </c>
      <c r="AA1201">
        <v>60</v>
      </c>
      <c r="AB1201" s="9">
        <f t="shared" si="38"/>
        <v>59.856863820027542</v>
      </c>
      <c r="AD1201" t="s">
        <v>73</v>
      </c>
      <c r="AF1201" t="s">
        <v>73</v>
      </c>
      <c r="AG1201" t="s">
        <v>3463</v>
      </c>
      <c r="AH1201" t="s">
        <v>3465</v>
      </c>
      <c r="AI1201" t="s">
        <v>3465</v>
      </c>
      <c r="AJ1201" t="s">
        <v>3463</v>
      </c>
      <c r="AK1201" t="s">
        <v>3463</v>
      </c>
      <c r="AL1201" t="s">
        <v>3464</v>
      </c>
      <c r="AQ1201" t="s">
        <v>1093</v>
      </c>
      <c r="AR1201" t="s">
        <v>3491</v>
      </c>
      <c r="AS1201" t="s">
        <v>3465</v>
      </c>
      <c r="AT1201" t="s">
        <v>3465</v>
      </c>
      <c r="AU1201" t="s">
        <v>125</v>
      </c>
      <c r="AV1201" t="s">
        <v>126</v>
      </c>
      <c r="AW1201" t="s">
        <v>126</v>
      </c>
      <c r="AX1201" t="s">
        <v>3463</v>
      </c>
      <c r="AY1201" t="s">
        <v>3465</v>
      </c>
      <c r="AZ1201" t="s">
        <v>90</v>
      </c>
      <c r="BA1201" t="s">
        <v>3920</v>
      </c>
      <c r="BB1201" t="s">
        <v>3485</v>
      </c>
      <c r="BF1201" t="s">
        <v>3921</v>
      </c>
      <c r="BG1201" t="s">
        <v>2646</v>
      </c>
      <c r="BH1201" t="s">
        <v>4021</v>
      </c>
      <c r="BL1201" t="s">
        <v>2647</v>
      </c>
      <c r="BP1201" t="s">
        <v>4320</v>
      </c>
      <c r="BQ1201" t="s">
        <v>3463</v>
      </c>
      <c r="BR1201" t="s">
        <v>3463</v>
      </c>
      <c r="BS1201" t="s">
        <v>3463</v>
      </c>
      <c r="BT1201" t="s">
        <v>3463</v>
      </c>
      <c r="BU1201" t="s">
        <v>3463</v>
      </c>
      <c r="BV1201" t="s">
        <v>3463</v>
      </c>
      <c r="BW1201" t="s">
        <v>3463</v>
      </c>
      <c r="BX1201" t="s">
        <v>79</v>
      </c>
      <c r="BY1201" t="s">
        <v>79</v>
      </c>
      <c r="BZ1201" t="s">
        <v>79</v>
      </c>
      <c r="CA1201" s="10">
        <v>45912</v>
      </c>
    </row>
    <row r="1202" spans="1:79">
      <c r="A1202">
        <v>1215</v>
      </c>
      <c r="B1202">
        <v>133</v>
      </c>
      <c r="C1202">
        <v>26</v>
      </c>
      <c r="D1202" t="s">
        <v>3466</v>
      </c>
      <c r="E1202" t="s">
        <v>2462</v>
      </c>
      <c r="F1202" t="s">
        <v>2407</v>
      </c>
      <c r="G1202" s="12" t="s">
        <v>3463</v>
      </c>
      <c r="H1202" s="12"/>
      <c r="I1202">
        <v>98</v>
      </c>
      <c r="K1202">
        <v>124</v>
      </c>
      <c r="L1202">
        <v>82</v>
      </c>
      <c r="M1202" t="s">
        <v>82</v>
      </c>
      <c r="P1202" t="s">
        <v>83</v>
      </c>
      <c r="Q1202" t="s">
        <v>82</v>
      </c>
      <c r="R1202">
        <v>53.8</v>
      </c>
      <c r="S1202">
        <v>158</v>
      </c>
      <c r="T1202" s="8">
        <f t="shared" si="37"/>
        <v>21.551033488223041</v>
      </c>
      <c r="U1202" s="13" t="str" cm="1">
        <f t="array" ref="U1202">IF(T1202="","",_xlfn.IFS(T1202&lt;18.5,"Bajo peso",T1202&lt;25,"Peso normal",T1202&lt;30,"Sobrepeso",T1202&lt;35,"Obesidad clase I",T1202&lt;40,"Obesidad clase II",T1202&gt;=40,"Obesidad clase III"))</f>
        <v>Peso normal</v>
      </c>
      <c r="V1202">
        <v>98</v>
      </c>
      <c r="X1202" t="s">
        <v>3463</v>
      </c>
      <c r="Y1202">
        <v>1.1100000000000001</v>
      </c>
      <c r="AA1202">
        <v>70</v>
      </c>
      <c r="AB1202" s="9">
        <f t="shared" si="38"/>
        <v>70.302817917562649</v>
      </c>
      <c r="AD1202" t="s">
        <v>73</v>
      </c>
      <c r="AF1202" t="s">
        <v>73</v>
      </c>
      <c r="AH1202" t="s">
        <v>3463</v>
      </c>
      <c r="AI1202" t="s">
        <v>3463</v>
      </c>
      <c r="AJ1202" t="s">
        <v>3463</v>
      </c>
      <c r="AK1202" t="s">
        <v>3463</v>
      </c>
      <c r="AL1202" t="s">
        <v>3463</v>
      </c>
      <c r="AP1202" t="s">
        <v>3463</v>
      </c>
      <c r="AQ1202" t="s">
        <v>399</v>
      </c>
      <c r="AR1202" t="s">
        <v>3505</v>
      </c>
      <c r="AT1202" t="s">
        <v>3463</v>
      </c>
      <c r="AV1202" t="s">
        <v>126</v>
      </c>
      <c r="AW1202" t="s">
        <v>126</v>
      </c>
      <c r="AX1202" t="s">
        <v>3463</v>
      </c>
      <c r="AY1202" t="s">
        <v>3465</v>
      </c>
      <c r="AZ1202" t="s">
        <v>90</v>
      </c>
      <c r="BF1202" t="s">
        <v>3921</v>
      </c>
      <c r="BH1202" t="s">
        <v>4020</v>
      </c>
      <c r="BP1202" t="s">
        <v>4260</v>
      </c>
      <c r="BQ1202" t="s">
        <v>3463</v>
      </c>
      <c r="BR1202" t="s">
        <v>3463</v>
      </c>
      <c r="BS1202" t="s">
        <v>3465</v>
      </c>
      <c r="BT1202" t="s">
        <v>3465</v>
      </c>
      <c r="BU1202" t="s">
        <v>3463</v>
      </c>
      <c r="BV1202" t="s">
        <v>3463</v>
      </c>
      <c r="BW1202" t="s">
        <v>3463</v>
      </c>
      <c r="BX1202" t="s">
        <v>79</v>
      </c>
      <c r="BY1202" t="s">
        <v>79</v>
      </c>
      <c r="BZ1202" t="s">
        <v>79</v>
      </c>
      <c r="CA1202" s="10">
        <v>45912</v>
      </c>
    </row>
    <row r="1203" spans="1:79">
      <c r="A1203">
        <v>1216</v>
      </c>
      <c r="B1203">
        <v>135</v>
      </c>
      <c r="C1203">
        <v>61</v>
      </c>
      <c r="D1203" t="s">
        <v>3466</v>
      </c>
      <c r="E1203" t="s">
        <v>2648</v>
      </c>
      <c r="F1203" t="s">
        <v>2407</v>
      </c>
      <c r="G1203" s="12" t="s">
        <v>3463</v>
      </c>
      <c r="I1203">
        <v>81</v>
      </c>
      <c r="J1203">
        <v>79</v>
      </c>
      <c r="K1203">
        <v>154</v>
      </c>
      <c r="L1203">
        <v>78</v>
      </c>
      <c r="M1203" t="s">
        <v>72</v>
      </c>
      <c r="N1203">
        <v>148</v>
      </c>
      <c r="O1203">
        <v>96</v>
      </c>
      <c r="P1203" t="s">
        <v>72</v>
      </c>
      <c r="Q1203" t="s">
        <v>72</v>
      </c>
      <c r="R1203">
        <v>82.9</v>
      </c>
      <c r="S1203">
        <v>152</v>
      </c>
      <c r="T1203" s="8">
        <f t="shared" si="37"/>
        <v>35.88123268698061</v>
      </c>
      <c r="U1203" s="13" t="str" cm="1">
        <f t="array" ref="U1203">IF(T1203="","",_xlfn.IFS(T1203&lt;18.5,"Bajo peso",T1203&lt;25,"Peso normal",T1203&lt;30,"Sobrepeso",T1203&lt;35,"Obesidad clase I",T1203&lt;40,"Obesidad clase II",T1203&gt;=40,"Obesidad clase III"))</f>
        <v>Obesidad clase II</v>
      </c>
      <c r="V1203">
        <v>197</v>
      </c>
      <c r="X1203" t="s">
        <v>3463</v>
      </c>
      <c r="Y1203">
        <v>0.72</v>
      </c>
      <c r="AA1203">
        <v>90</v>
      </c>
      <c r="AB1203" s="9">
        <f t="shared" si="38"/>
        <v>95.066180647707611</v>
      </c>
      <c r="AD1203" t="s">
        <v>73</v>
      </c>
      <c r="AF1203" t="s">
        <v>73</v>
      </c>
      <c r="AG1203" t="s">
        <v>3465</v>
      </c>
      <c r="AH1203" t="s">
        <v>3465</v>
      </c>
      <c r="AI1203" t="s">
        <v>3463</v>
      </c>
      <c r="AJ1203" t="s">
        <v>3463</v>
      </c>
      <c r="AK1203" t="s">
        <v>3465</v>
      </c>
      <c r="AL1203" t="s">
        <v>3465</v>
      </c>
      <c r="AM1203" t="s">
        <v>2649</v>
      </c>
      <c r="AN1203" t="s">
        <v>3855</v>
      </c>
      <c r="AP1203" t="s">
        <v>3463</v>
      </c>
      <c r="AQ1203" t="s">
        <v>2650</v>
      </c>
      <c r="AR1203" t="s">
        <v>3488</v>
      </c>
      <c r="AT1203" t="s">
        <v>3465</v>
      </c>
      <c r="AU1203" t="s">
        <v>1899</v>
      </c>
      <c r="AV1203" t="s">
        <v>74</v>
      </c>
      <c r="AW1203" t="s">
        <v>3915</v>
      </c>
      <c r="AX1203" t="s">
        <v>3463</v>
      </c>
      <c r="AY1203" t="s">
        <v>3465</v>
      </c>
      <c r="AZ1203" t="s">
        <v>90</v>
      </c>
      <c r="BB1203" t="s">
        <v>3485</v>
      </c>
      <c r="BC1203" t="s">
        <v>128</v>
      </c>
      <c r="BE1203" t="s">
        <v>2651</v>
      </c>
      <c r="BF1203" t="s">
        <v>3733</v>
      </c>
      <c r="BH1203" t="s">
        <v>4029</v>
      </c>
      <c r="BI1203" t="s">
        <v>411</v>
      </c>
      <c r="BL1203" t="s">
        <v>2652</v>
      </c>
      <c r="BP1203" t="s">
        <v>4527</v>
      </c>
      <c r="BQ1203" t="s">
        <v>3463</v>
      </c>
      <c r="BR1203" t="s">
        <v>3463</v>
      </c>
      <c r="BS1203" t="s">
        <v>3463</v>
      </c>
      <c r="BT1203" t="s">
        <v>3465</v>
      </c>
      <c r="BU1203" t="s">
        <v>3465</v>
      </c>
      <c r="BV1203" t="s">
        <v>3465</v>
      </c>
      <c r="BW1203" t="s">
        <v>3465</v>
      </c>
      <c r="BX1203" t="s">
        <v>79</v>
      </c>
      <c r="BY1203" t="s">
        <v>87</v>
      </c>
      <c r="BZ1203" t="s">
        <v>79</v>
      </c>
      <c r="CA1203" s="10">
        <v>45912</v>
      </c>
    </row>
    <row r="1204" spans="1:79">
      <c r="A1204">
        <v>1217</v>
      </c>
      <c r="B1204">
        <v>136</v>
      </c>
      <c r="C1204">
        <v>58</v>
      </c>
      <c r="D1204" t="s">
        <v>3466</v>
      </c>
      <c r="E1204" t="s">
        <v>450</v>
      </c>
      <c r="F1204" t="s">
        <v>2407</v>
      </c>
      <c r="G1204" s="12" t="s">
        <v>3465</v>
      </c>
      <c r="H1204" t="s">
        <v>88</v>
      </c>
      <c r="I1204">
        <v>76</v>
      </c>
      <c r="J1204">
        <v>78</v>
      </c>
      <c r="K1204">
        <v>185</v>
      </c>
      <c r="L1204">
        <v>102</v>
      </c>
      <c r="M1204" t="s">
        <v>96</v>
      </c>
      <c r="N1204">
        <v>181</v>
      </c>
      <c r="O1204">
        <v>92</v>
      </c>
      <c r="P1204" t="s">
        <v>96</v>
      </c>
      <c r="Q1204" t="s">
        <v>96</v>
      </c>
      <c r="R1204">
        <v>94.2</v>
      </c>
      <c r="S1204">
        <v>149</v>
      </c>
      <c r="T1204" s="8">
        <f t="shared" ref="T1204:T1267" si="39">IFERROR(R1204/(S1204^2)*10000,"")</f>
        <v>42.430521147696048</v>
      </c>
      <c r="U1204" s="13" t="str" cm="1">
        <f t="array" ref="U1204">IF(T1204="","",_xlfn.IFS(T1204&lt;18.5,"Bajo peso",T1204&lt;25,"Peso normal",T1204&lt;30,"Sobrepeso",T1204&lt;35,"Obesidad clase I",T1204&lt;40,"Obesidad clase II",T1204&gt;=40,"Obesidad clase III"))</f>
        <v>Obesidad clase III</v>
      </c>
      <c r="V1204">
        <v>98</v>
      </c>
      <c r="X1204" t="s">
        <v>3463</v>
      </c>
      <c r="Y1204">
        <v>0.92</v>
      </c>
      <c r="AA1204">
        <v>72</v>
      </c>
      <c r="AB1204" s="9">
        <f t="shared" si="38"/>
        <v>72.174315185971523</v>
      </c>
      <c r="AD1204" t="s">
        <v>73</v>
      </c>
      <c r="AF1204" t="s">
        <v>73</v>
      </c>
      <c r="AH1204" t="s">
        <v>3463</v>
      </c>
      <c r="AI1204" t="s">
        <v>3463</v>
      </c>
      <c r="AJ1204" t="s">
        <v>3463</v>
      </c>
      <c r="AK1204" t="s">
        <v>3463</v>
      </c>
      <c r="AL1204" t="s">
        <v>3463</v>
      </c>
      <c r="AO1204" t="s">
        <v>3463</v>
      </c>
      <c r="AP1204" t="s">
        <v>3465</v>
      </c>
      <c r="AQ1204" t="s">
        <v>159</v>
      </c>
      <c r="AR1204" t="s">
        <v>3491</v>
      </c>
      <c r="AT1204" t="s">
        <v>3465</v>
      </c>
      <c r="AU1204" t="s">
        <v>80</v>
      </c>
      <c r="AV1204" t="s">
        <v>126</v>
      </c>
      <c r="AW1204" t="s">
        <v>126</v>
      </c>
      <c r="AX1204" t="s">
        <v>3463</v>
      </c>
      <c r="AY1204" t="s">
        <v>3465</v>
      </c>
      <c r="AZ1204" t="s">
        <v>90</v>
      </c>
      <c r="BF1204" t="s">
        <v>3921</v>
      </c>
      <c r="BH1204" t="s">
        <v>4020</v>
      </c>
      <c r="BP1204" t="s">
        <v>4260</v>
      </c>
      <c r="BQ1204" t="s">
        <v>3463</v>
      </c>
      <c r="BR1204" t="s">
        <v>3465</v>
      </c>
      <c r="BS1204" t="s">
        <v>3463</v>
      </c>
      <c r="BT1204" t="s">
        <v>3465</v>
      </c>
      <c r="BU1204" t="s">
        <v>3463</v>
      </c>
      <c r="BV1204" t="s">
        <v>3463</v>
      </c>
      <c r="BW1204" t="s">
        <v>3463</v>
      </c>
      <c r="BX1204" t="s">
        <v>79</v>
      </c>
      <c r="BY1204" t="s">
        <v>79</v>
      </c>
      <c r="BZ1204" t="s">
        <v>79</v>
      </c>
      <c r="CA1204" s="10">
        <v>45912</v>
      </c>
    </row>
    <row r="1205" spans="1:79">
      <c r="A1205">
        <v>1218</v>
      </c>
      <c r="B1205">
        <v>137</v>
      </c>
      <c r="C1205">
        <v>69</v>
      </c>
      <c r="D1205" t="s">
        <v>3462</v>
      </c>
      <c r="F1205" t="s">
        <v>2407</v>
      </c>
      <c r="G1205" s="12" t="s">
        <v>3465</v>
      </c>
      <c r="H1205" s="12" t="s">
        <v>88</v>
      </c>
      <c r="I1205">
        <v>83</v>
      </c>
      <c r="J1205">
        <v>83</v>
      </c>
      <c r="K1205">
        <v>158</v>
      </c>
      <c r="L1205">
        <v>80</v>
      </c>
      <c r="M1205" t="s">
        <v>72</v>
      </c>
      <c r="N1205">
        <v>156</v>
      </c>
      <c r="O1205">
        <v>85</v>
      </c>
      <c r="P1205" t="s">
        <v>72</v>
      </c>
      <c r="Q1205" t="s">
        <v>72</v>
      </c>
      <c r="R1205">
        <v>77.099999999999994</v>
      </c>
      <c r="S1205">
        <v>167</v>
      </c>
      <c r="T1205" s="8">
        <f t="shared" si="39"/>
        <v>27.645308186023161</v>
      </c>
      <c r="U1205" s="13" t="str" cm="1">
        <f t="array" ref="U1205">IF(T1205="","",_xlfn.IFS(T1205&lt;18.5,"Bajo peso",T1205&lt;25,"Peso normal",T1205&lt;30,"Sobrepeso",T1205&lt;35,"Obesidad clase I",T1205&lt;40,"Obesidad clase II",T1205&gt;=40,"Obesidad clase III"))</f>
        <v>Sobrepeso</v>
      </c>
      <c r="V1205">
        <v>124</v>
      </c>
      <c r="X1205" t="s">
        <v>3463</v>
      </c>
      <c r="Y1205">
        <v>1.1000000000000001</v>
      </c>
      <c r="AA1205">
        <v>72</v>
      </c>
      <c r="AB1205" s="9">
        <f t="shared" si="38"/>
        <v>72.667230690477297</v>
      </c>
      <c r="AD1205" t="s">
        <v>73</v>
      </c>
      <c r="AF1205" t="s">
        <v>73</v>
      </c>
      <c r="AG1205" t="s">
        <v>3465</v>
      </c>
      <c r="AH1205" t="s">
        <v>3465</v>
      </c>
      <c r="AI1205" t="s">
        <v>3465</v>
      </c>
      <c r="AL1205" t="s">
        <v>3465</v>
      </c>
      <c r="AM1205" t="s">
        <v>2653</v>
      </c>
      <c r="AN1205" t="s">
        <v>3796</v>
      </c>
      <c r="AP1205" t="s">
        <v>3463</v>
      </c>
      <c r="AS1205" t="s">
        <v>3465</v>
      </c>
      <c r="AW1205" t="s">
        <v>3916</v>
      </c>
      <c r="BA1205" t="s">
        <v>3920</v>
      </c>
      <c r="BE1205" t="s">
        <v>2654</v>
      </c>
      <c r="BF1205" t="s">
        <v>3981</v>
      </c>
      <c r="BH1205" t="s">
        <v>4020</v>
      </c>
      <c r="BP1205" t="s">
        <v>4260</v>
      </c>
      <c r="BQ1205" t="s">
        <v>3463</v>
      </c>
      <c r="BR1205" t="s">
        <v>3463</v>
      </c>
      <c r="BS1205" t="s">
        <v>3463</v>
      </c>
      <c r="BT1205" t="s">
        <v>3463</v>
      </c>
      <c r="BU1205" t="s">
        <v>3463</v>
      </c>
      <c r="BV1205" t="s">
        <v>3463</v>
      </c>
      <c r="BW1205" t="s">
        <v>3463</v>
      </c>
      <c r="BX1205" t="s">
        <v>79</v>
      </c>
      <c r="BY1205" t="s">
        <v>87</v>
      </c>
      <c r="BZ1205" t="s">
        <v>79</v>
      </c>
      <c r="CA1205" s="10">
        <v>45912</v>
      </c>
    </row>
    <row r="1206" spans="1:79">
      <c r="A1206">
        <v>1219</v>
      </c>
      <c r="B1206">
        <v>138</v>
      </c>
      <c r="C1206">
        <v>42</v>
      </c>
      <c r="D1206" t="s">
        <v>3466</v>
      </c>
      <c r="E1206" t="s">
        <v>450</v>
      </c>
      <c r="F1206" t="s">
        <v>2407</v>
      </c>
      <c r="G1206" s="12" t="s">
        <v>3463</v>
      </c>
      <c r="H1206" s="12"/>
      <c r="I1206">
        <v>73</v>
      </c>
      <c r="J1206">
        <v>77</v>
      </c>
      <c r="K1206">
        <v>147</v>
      </c>
      <c r="L1206">
        <v>87</v>
      </c>
      <c r="M1206" t="s">
        <v>72</v>
      </c>
      <c r="N1206">
        <v>128</v>
      </c>
      <c r="O1206">
        <v>83</v>
      </c>
      <c r="P1206" t="s">
        <v>82</v>
      </c>
      <c r="Q1206" t="s">
        <v>82</v>
      </c>
      <c r="R1206">
        <v>70.95</v>
      </c>
      <c r="S1206">
        <v>160</v>
      </c>
      <c r="T1206" s="8">
        <f t="shared" si="39"/>
        <v>27.71484375</v>
      </c>
      <c r="U1206" s="13" t="str" cm="1">
        <f t="array" ref="U1206">IF(T1206="","",_xlfn.IFS(T1206&lt;18.5,"Bajo peso",T1206&lt;25,"Peso normal",T1206&lt;30,"Sobrepeso",T1206&lt;35,"Obesidad clase I",T1206&lt;40,"Obesidad clase II",T1206&gt;=40,"Obesidad clase III"))</f>
        <v>Sobrepeso</v>
      </c>
      <c r="V1206">
        <v>87</v>
      </c>
      <c r="X1206" t="s">
        <v>3463</v>
      </c>
      <c r="Y1206">
        <v>0.75</v>
      </c>
      <c r="AA1206">
        <v>90</v>
      </c>
      <c r="AB1206" s="9">
        <f t="shared" si="38"/>
        <v>101.87571505668149</v>
      </c>
      <c r="AD1206" t="s">
        <v>73</v>
      </c>
      <c r="AF1206" t="s">
        <v>73</v>
      </c>
      <c r="AH1206" t="s">
        <v>3463</v>
      </c>
      <c r="AI1206" t="s">
        <v>3463</v>
      </c>
      <c r="AJ1206" t="s">
        <v>3463</v>
      </c>
      <c r="AK1206" t="s">
        <v>3463</v>
      </c>
      <c r="AL1206" t="s">
        <v>3465</v>
      </c>
      <c r="AM1206" t="s">
        <v>2655</v>
      </c>
      <c r="AN1206" t="s">
        <v>3605</v>
      </c>
      <c r="AO1206" t="s">
        <v>3464</v>
      </c>
      <c r="AP1206" t="s">
        <v>3465</v>
      </c>
      <c r="AQ1206" t="s">
        <v>169</v>
      </c>
      <c r="AR1206" t="s">
        <v>3493</v>
      </c>
      <c r="AT1206" t="s">
        <v>3465</v>
      </c>
      <c r="AU1206" t="s">
        <v>125</v>
      </c>
      <c r="AV1206" t="s">
        <v>178</v>
      </c>
      <c r="AW1206" t="s">
        <v>3918</v>
      </c>
      <c r="AX1206" t="s">
        <v>3463</v>
      </c>
      <c r="AY1206" t="s">
        <v>3465</v>
      </c>
      <c r="AZ1206" t="s">
        <v>90</v>
      </c>
      <c r="BF1206" t="s">
        <v>3921</v>
      </c>
      <c r="BH1206" t="s">
        <v>4020</v>
      </c>
      <c r="BP1206" t="s">
        <v>4260</v>
      </c>
      <c r="BQ1206" t="s">
        <v>3465</v>
      </c>
      <c r="BR1206" t="s">
        <v>3463</v>
      </c>
      <c r="BS1206" t="s">
        <v>3463</v>
      </c>
      <c r="BT1206" t="s">
        <v>3463</v>
      </c>
      <c r="BU1206" t="s">
        <v>3463</v>
      </c>
      <c r="BV1206" t="s">
        <v>3463</v>
      </c>
      <c r="BW1206" t="s">
        <v>3463</v>
      </c>
      <c r="BX1206" t="s">
        <v>79</v>
      </c>
      <c r="BY1206" t="s">
        <v>79</v>
      </c>
      <c r="BZ1206" t="s">
        <v>79</v>
      </c>
      <c r="CA1206" s="10">
        <v>45912</v>
      </c>
    </row>
    <row r="1207" spans="1:79">
      <c r="A1207">
        <v>1220</v>
      </c>
      <c r="B1207">
        <v>139</v>
      </c>
      <c r="C1207">
        <v>57</v>
      </c>
      <c r="D1207" t="s">
        <v>3466</v>
      </c>
      <c r="E1207" t="s">
        <v>2416</v>
      </c>
      <c r="F1207" t="s">
        <v>2407</v>
      </c>
      <c r="G1207" s="12" t="s">
        <v>3465</v>
      </c>
      <c r="H1207" t="s">
        <v>88</v>
      </c>
      <c r="I1207">
        <v>68</v>
      </c>
      <c r="K1207">
        <v>136</v>
      </c>
      <c r="L1207">
        <v>47</v>
      </c>
      <c r="M1207" t="s">
        <v>82</v>
      </c>
      <c r="P1207" t="s">
        <v>83</v>
      </c>
      <c r="Q1207" t="s">
        <v>82</v>
      </c>
      <c r="R1207">
        <v>67.099999999999994</v>
      </c>
      <c r="S1207">
        <v>147.5</v>
      </c>
      <c r="T1207" s="8">
        <f t="shared" si="39"/>
        <v>30.84171215168055</v>
      </c>
      <c r="U1207" s="13" t="str" cm="1">
        <f t="array" ref="U1207">IF(T1207="","",_xlfn.IFS(T1207&lt;18.5,"Bajo peso",T1207&lt;25,"Peso normal",T1207&lt;30,"Sobrepeso",T1207&lt;35,"Obesidad clase I",T1207&lt;40,"Obesidad clase II",T1207&gt;=40,"Obesidad clase III"))</f>
        <v>Obesidad clase I</v>
      </c>
      <c r="V1207">
        <v>216</v>
      </c>
      <c r="X1207" t="s">
        <v>3465</v>
      </c>
      <c r="Y1207">
        <v>1.01</v>
      </c>
      <c r="AA1207">
        <v>65</v>
      </c>
      <c r="AB1207" s="9">
        <f t="shared" si="38"/>
        <v>64.929704101846895</v>
      </c>
      <c r="AD1207" t="s">
        <v>73</v>
      </c>
      <c r="AF1207" t="s">
        <v>73</v>
      </c>
      <c r="AG1207" t="s">
        <v>3465</v>
      </c>
      <c r="AH1207" t="s">
        <v>3465</v>
      </c>
      <c r="AI1207" t="s">
        <v>3463</v>
      </c>
      <c r="AL1207" t="s">
        <v>3465</v>
      </c>
      <c r="AM1207" t="s">
        <v>2656</v>
      </c>
      <c r="AN1207" t="s">
        <v>3856</v>
      </c>
      <c r="AP1207" t="s">
        <v>3463</v>
      </c>
      <c r="AQ1207" t="s">
        <v>2036</v>
      </c>
      <c r="AR1207" t="s">
        <v>3536</v>
      </c>
      <c r="AV1207" t="s">
        <v>74</v>
      </c>
      <c r="AW1207" t="s">
        <v>3915</v>
      </c>
      <c r="BB1207" t="s">
        <v>3485</v>
      </c>
      <c r="BE1207" t="s">
        <v>2657</v>
      </c>
      <c r="BF1207" t="s">
        <v>3982</v>
      </c>
      <c r="BH1207" t="s">
        <v>4029</v>
      </c>
      <c r="BL1207" t="s">
        <v>1374</v>
      </c>
      <c r="BP1207" t="s">
        <v>4260</v>
      </c>
      <c r="BQ1207" t="s">
        <v>3465</v>
      </c>
      <c r="BR1207" t="s">
        <v>3465</v>
      </c>
      <c r="BS1207" t="s">
        <v>3465</v>
      </c>
      <c r="BT1207" t="s">
        <v>3465</v>
      </c>
      <c r="BU1207" t="s">
        <v>3463</v>
      </c>
      <c r="BV1207" t="s">
        <v>3463</v>
      </c>
      <c r="BW1207" t="s">
        <v>3463</v>
      </c>
      <c r="BX1207" t="s">
        <v>79</v>
      </c>
      <c r="BY1207" t="s">
        <v>87</v>
      </c>
      <c r="BZ1207" t="s">
        <v>95</v>
      </c>
      <c r="CA1207" s="10">
        <v>45912</v>
      </c>
    </row>
    <row r="1208" spans="1:79">
      <c r="A1208">
        <v>1221</v>
      </c>
      <c r="B1208">
        <v>140</v>
      </c>
      <c r="C1208">
        <v>54</v>
      </c>
      <c r="D1208" t="s">
        <v>3466</v>
      </c>
      <c r="E1208" t="s">
        <v>2416</v>
      </c>
      <c r="F1208" t="s">
        <v>2407</v>
      </c>
      <c r="G1208" s="12" t="s">
        <v>3463</v>
      </c>
      <c r="H1208" s="12"/>
      <c r="I1208">
        <v>78</v>
      </c>
      <c r="J1208">
        <v>77</v>
      </c>
      <c r="K1208">
        <v>174</v>
      </c>
      <c r="L1208">
        <v>86</v>
      </c>
      <c r="M1208" t="s">
        <v>72</v>
      </c>
      <c r="N1208">
        <v>176</v>
      </c>
      <c r="O1208">
        <v>100</v>
      </c>
      <c r="P1208" t="s">
        <v>72</v>
      </c>
      <c r="Q1208" t="s">
        <v>72</v>
      </c>
      <c r="R1208">
        <v>63</v>
      </c>
      <c r="S1208">
        <v>151</v>
      </c>
      <c r="T1208" s="8">
        <f t="shared" si="39"/>
        <v>27.630367089162753</v>
      </c>
      <c r="U1208" s="13" t="str" cm="1">
        <f t="array" ref="U1208">IF(T1208="","",_xlfn.IFS(T1208&lt;18.5,"Bajo peso",T1208&lt;25,"Peso normal",T1208&lt;30,"Sobrepeso",T1208&lt;35,"Obesidad clase I",T1208&lt;40,"Obesidad clase II",T1208&gt;=40,"Obesidad clase III"))</f>
        <v>Sobrepeso</v>
      </c>
      <c r="V1208">
        <v>112</v>
      </c>
      <c r="X1208" t="s">
        <v>3463</v>
      </c>
      <c r="Y1208">
        <v>0.77</v>
      </c>
      <c r="AA1208">
        <v>70</v>
      </c>
      <c r="AB1208" s="9">
        <f t="shared" si="38"/>
        <v>91.610072071696436</v>
      </c>
      <c r="AD1208" t="s">
        <v>73</v>
      </c>
      <c r="AF1208" t="s">
        <v>73</v>
      </c>
      <c r="AH1208" t="s">
        <v>3463</v>
      </c>
      <c r="AI1208" t="s">
        <v>3463</v>
      </c>
      <c r="AJ1208" t="s">
        <v>3463</v>
      </c>
      <c r="AK1208" t="s">
        <v>3463</v>
      </c>
      <c r="AL1208" t="s">
        <v>3463</v>
      </c>
      <c r="AM1208" t="s">
        <v>2658</v>
      </c>
      <c r="AN1208" t="s">
        <v>3781</v>
      </c>
      <c r="AP1208" t="s">
        <v>3463</v>
      </c>
      <c r="AQ1208" t="s">
        <v>2659</v>
      </c>
      <c r="AR1208" t="s">
        <v>3553</v>
      </c>
      <c r="AT1208" t="s">
        <v>3465</v>
      </c>
      <c r="AU1208" t="s">
        <v>1899</v>
      </c>
      <c r="AV1208" t="s">
        <v>178</v>
      </c>
      <c r="AW1208" t="s">
        <v>3918</v>
      </c>
      <c r="AX1208" t="s">
        <v>3463</v>
      </c>
      <c r="AY1208" t="s">
        <v>3465</v>
      </c>
      <c r="AZ1208" t="s">
        <v>253</v>
      </c>
      <c r="BF1208" t="s">
        <v>3921</v>
      </c>
      <c r="BH1208" t="s">
        <v>4020</v>
      </c>
      <c r="BP1208" t="s">
        <v>4260</v>
      </c>
      <c r="BQ1208" t="s">
        <v>3463</v>
      </c>
      <c r="BR1208" t="s">
        <v>3465</v>
      </c>
      <c r="BS1208" t="s">
        <v>3465</v>
      </c>
      <c r="BT1208" t="s">
        <v>3465</v>
      </c>
      <c r="BU1208" t="s">
        <v>3463</v>
      </c>
      <c r="BV1208" t="s">
        <v>3463</v>
      </c>
      <c r="BW1208" t="s">
        <v>3463</v>
      </c>
      <c r="BX1208" t="s">
        <v>121</v>
      </c>
      <c r="BY1208" t="s">
        <v>79</v>
      </c>
      <c r="BZ1208" t="s">
        <v>79</v>
      </c>
      <c r="CA1208" s="10">
        <v>45912</v>
      </c>
    </row>
    <row r="1209" spans="1:79">
      <c r="A1209">
        <v>1222</v>
      </c>
      <c r="B1209">
        <v>141</v>
      </c>
      <c r="C1209">
        <v>43</v>
      </c>
      <c r="D1209" t="s">
        <v>3466</v>
      </c>
      <c r="E1209" t="s">
        <v>2660</v>
      </c>
      <c r="F1209" t="s">
        <v>2407</v>
      </c>
      <c r="G1209" s="12" t="s">
        <v>3463</v>
      </c>
      <c r="H1209" s="12"/>
      <c r="I1209">
        <v>84</v>
      </c>
      <c r="K1209">
        <v>116</v>
      </c>
      <c r="L1209">
        <v>83</v>
      </c>
      <c r="M1209" t="s">
        <v>82</v>
      </c>
      <c r="P1209" t="s">
        <v>83</v>
      </c>
      <c r="Q1209" t="s">
        <v>82</v>
      </c>
      <c r="R1209">
        <v>70.95</v>
      </c>
      <c r="S1209">
        <v>153.5</v>
      </c>
      <c r="T1209" s="8">
        <f t="shared" si="39"/>
        <v>30.11172532334561</v>
      </c>
      <c r="U1209" s="13" t="str" cm="1">
        <f t="array" ref="U1209">IF(T1209="","",_xlfn.IFS(T1209&lt;18.5,"Bajo peso",T1209&lt;25,"Peso normal",T1209&lt;30,"Sobrepeso",T1209&lt;35,"Obesidad clase I",T1209&lt;40,"Obesidad clase II",T1209&gt;=40,"Obesidad clase III"))</f>
        <v>Obesidad clase I</v>
      </c>
      <c r="V1209">
        <v>93</v>
      </c>
      <c r="X1209" t="s">
        <v>3463</v>
      </c>
      <c r="Y1209">
        <v>1.02</v>
      </c>
      <c r="AA1209">
        <v>70</v>
      </c>
      <c r="AB1209" s="9">
        <f t="shared" si="38"/>
        <v>70.00401874093464</v>
      </c>
      <c r="AD1209" t="s">
        <v>73</v>
      </c>
      <c r="AF1209" t="s">
        <v>73</v>
      </c>
      <c r="AH1209" t="s">
        <v>3463</v>
      </c>
      <c r="AI1209" t="s">
        <v>3463</v>
      </c>
      <c r="AJ1209" t="s">
        <v>3463</v>
      </c>
      <c r="AK1209" t="s">
        <v>3463</v>
      </c>
      <c r="AL1209" t="s">
        <v>3463</v>
      </c>
      <c r="AP1209" t="s">
        <v>3464</v>
      </c>
      <c r="AQ1209" t="s">
        <v>2661</v>
      </c>
      <c r="AR1209" t="s">
        <v>3493</v>
      </c>
      <c r="AT1209" t="s">
        <v>3463</v>
      </c>
      <c r="AV1209" t="s">
        <v>74</v>
      </c>
      <c r="AW1209" t="s">
        <v>3915</v>
      </c>
      <c r="AX1209" t="s">
        <v>3463</v>
      </c>
      <c r="AY1209" t="s">
        <v>3465</v>
      </c>
      <c r="AZ1209" t="s">
        <v>90</v>
      </c>
      <c r="BF1209" t="s">
        <v>3921</v>
      </c>
      <c r="BH1209" t="s">
        <v>4020</v>
      </c>
      <c r="BP1209" t="s">
        <v>4260</v>
      </c>
      <c r="BQ1209" t="s">
        <v>3463</v>
      </c>
      <c r="BR1209" t="s">
        <v>3465</v>
      </c>
      <c r="BS1209" t="s">
        <v>3465</v>
      </c>
      <c r="BT1209" t="s">
        <v>3465</v>
      </c>
      <c r="BU1209" t="s">
        <v>3463</v>
      </c>
      <c r="BV1209" t="s">
        <v>3463</v>
      </c>
      <c r="BW1209" t="s">
        <v>3463</v>
      </c>
      <c r="BX1209" t="s">
        <v>79</v>
      </c>
      <c r="BY1209" t="s">
        <v>79</v>
      </c>
      <c r="BZ1209" t="s">
        <v>79</v>
      </c>
      <c r="CA1209" s="10">
        <v>45912</v>
      </c>
    </row>
    <row r="1210" spans="1:79">
      <c r="A1210">
        <v>1223</v>
      </c>
      <c r="B1210">
        <v>142</v>
      </c>
      <c r="C1210">
        <v>42</v>
      </c>
      <c r="D1210" t="s">
        <v>3466</v>
      </c>
      <c r="E1210" t="s">
        <v>450</v>
      </c>
      <c r="F1210" t="s">
        <v>2407</v>
      </c>
      <c r="G1210" s="12" t="s">
        <v>3465</v>
      </c>
      <c r="H1210" s="12" t="s">
        <v>88</v>
      </c>
      <c r="I1210">
        <v>100</v>
      </c>
      <c r="J1210">
        <v>82</v>
      </c>
      <c r="K1210">
        <v>166</v>
      </c>
      <c r="L1210">
        <v>110</v>
      </c>
      <c r="M1210" t="s">
        <v>72</v>
      </c>
      <c r="N1210">
        <v>158</v>
      </c>
      <c r="O1210">
        <v>110</v>
      </c>
      <c r="P1210" t="s">
        <v>72</v>
      </c>
      <c r="Q1210" t="s">
        <v>72</v>
      </c>
      <c r="R1210">
        <v>93</v>
      </c>
      <c r="S1210">
        <v>154</v>
      </c>
      <c r="T1210" s="8">
        <f t="shared" si="39"/>
        <v>39.214032720526227</v>
      </c>
      <c r="U1210" s="13" t="str" cm="1">
        <f t="array" ref="U1210">IF(T1210="","",_xlfn.IFS(T1210&lt;18.5,"Bajo peso",T1210&lt;25,"Peso normal",T1210&lt;30,"Sobrepeso",T1210&lt;35,"Obesidad clase I",T1210&lt;40,"Obesidad clase II",T1210&gt;=40,"Obesidad clase III"))</f>
        <v>Obesidad clase II</v>
      </c>
      <c r="V1210">
        <v>105</v>
      </c>
      <c r="W1210">
        <v>105</v>
      </c>
      <c r="X1210" t="s">
        <v>3463</v>
      </c>
      <c r="Y1210">
        <v>1.5</v>
      </c>
      <c r="Z1210">
        <v>1.36</v>
      </c>
      <c r="AA1210">
        <v>44</v>
      </c>
      <c r="AB1210" s="9">
        <f t="shared" si="38"/>
        <v>44.343980564394755</v>
      </c>
      <c r="AC1210">
        <v>50</v>
      </c>
      <c r="AD1210" t="s">
        <v>218</v>
      </c>
      <c r="AE1210" t="s">
        <v>158</v>
      </c>
      <c r="AF1210" t="s">
        <v>158</v>
      </c>
      <c r="AH1210" t="s">
        <v>3463</v>
      </c>
      <c r="AI1210" t="s">
        <v>3463</v>
      </c>
      <c r="AJ1210" t="s">
        <v>3463</v>
      </c>
      <c r="AK1210" t="s">
        <v>3465</v>
      </c>
      <c r="AL1210" t="s">
        <v>3463</v>
      </c>
      <c r="AP1210" t="s">
        <v>3463</v>
      </c>
      <c r="AT1210" t="s">
        <v>3465</v>
      </c>
      <c r="AU1210" t="s">
        <v>80</v>
      </c>
      <c r="AV1210" t="s">
        <v>74</v>
      </c>
      <c r="AW1210" t="s">
        <v>3915</v>
      </c>
      <c r="AX1210" t="s">
        <v>3463</v>
      </c>
      <c r="AY1210" t="s">
        <v>3465</v>
      </c>
      <c r="AZ1210" t="s">
        <v>247</v>
      </c>
      <c r="BF1210" t="s">
        <v>3921</v>
      </c>
      <c r="BG1210" t="s">
        <v>2662</v>
      </c>
      <c r="BH1210" t="s">
        <v>4216</v>
      </c>
      <c r="BI1210" t="s">
        <v>2663</v>
      </c>
      <c r="BK1210" t="s">
        <v>2664</v>
      </c>
      <c r="BL1210" t="s">
        <v>2665</v>
      </c>
      <c r="BP1210" t="s">
        <v>4528</v>
      </c>
      <c r="BQ1210" t="s">
        <v>3463</v>
      </c>
      <c r="BR1210" t="s">
        <v>3465</v>
      </c>
      <c r="BS1210" t="s">
        <v>3465</v>
      </c>
      <c r="BT1210" t="s">
        <v>3465</v>
      </c>
      <c r="BU1210" t="s">
        <v>3463</v>
      </c>
      <c r="BV1210" t="s">
        <v>3463</v>
      </c>
      <c r="BW1210" t="s">
        <v>3463</v>
      </c>
      <c r="BX1210" t="s">
        <v>79</v>
      </c>
      <c r="BY1210" t="s">
        <v>79</v>
      </c>
      <c r="BZ1210" t="s">
        <v>79</v>
      </c>
      <c r="CA1210" s="10">
        <v>45912</v>
      </c>
    </row>
    <row r="1211" spans="1:79">
      <c r="A1211">
        <v>1224</v>
      </c>
      <c r="B1211">
        <v>143</v>
      </c>
      <c r="C1211">
        <v>63</v>
      </c>
      <c r="D1211" t="s">
        <v>3466</v>
      </c>
      <c r="E1211" t="s">
        <v>2462</v>
      </c>
      <c r="F1211" t="s">
        <v>2407</v>
      </c>
      <c r="G1211" s="12" t="s">
        <v>3465</v>
      </c>
      <c r="H1211" t="s">
        <v>88</v>
      </c>
      <c r="I1211">
        <v>100</v>
      </c>
      <c r="J1211">
        <v>99</v>
      </c>
      <c r="K1211">
        <v>135</v>
      </c>
      <c r="L1211">
        <v>92</v>
      </c>
      <c r="M1211" t="s">
        <v>72</v>
      </c>
      <c r="N1211">
        <v>124</v>
      </c>
      <c r="O1211">
        <v>94</v>
      </c>
      <c r="P1211" t="s">
        <v>72</v>
      </c>
      <c r="Q1211" t="s">
        <v>72</v>
      </c>
      <c r="R1211">
        <v>67.099999999999994</v>
      </c>
      <c r="S1211">
        <v>152</v>
      </c>
      <c r="T1211" s="8">
        <f t="shared" si="39"/>
        <v>29.042590027700829</v>
      </c>
      <c r="U1211" s="13" t="str" cm="1">
        <f t="array" ref="U1211">IF(T1211="","",_xlfn.IFS(T1211&lt;18.5,"Bajo peso",T1211&lt;25,"Peso normal",T1211&lt;30,"Sobrepeso",T1211&lt;35,"Obesidad clase I",T1211&lt;40,"Obesidad clase II",T1211&gt;=40,"Obesidad clase III"))</f>
        <v>Sobrepeso</v>
      </c>
      <c r="V1211">
        <v>91</v>
      </c>
      <c r="X1211" t="s">
        <v>3463</v>
      </c>
      <c r="Y1211">
        <v>1.3</v>
      </c>
      <c r="AA1211">
        <v>46</v>
      </c>
      <c r="AB1211" s="9">
        <f t="shared" si="38"/>
        <v>46.205215905486526</v>
      </c>
      <c r="AD1211" t="s">
        <v>158</v>
      </c>
      <c r="AF1211" t="s">
        <v>158</v>
      </c>
      <c r="AH1211" t="s">
        <v>3463</v>
      </c>
      <c r="AI1211" t="s">
        <v>3463</v>
      </c>
      <c r="AJ1211" t="s">
        <v>3463</v>
      </c>
      <c r="AK1211" t="s">
        <v>3463</v>
      </c>
      <c r="AL1211" t="s">
        <v>3465</v>
      </c>
      <c r="AM1211" t="s">
        <v>2666</v>
      </c>
      <c r="AN1211" t="s">
        <v>3857</v>
      </c>
      <c r="AP1211" t="s">
        <v>3463</v>
      </c>
      <c r="AT1211" t="s">
        <v>3465</v>
      </c>
      <c r="AU1211" t="s">
        <v>80</v>
      </c>
      <c r="AV1211" t="s">
        <v>112</v>
      </c>
      <c r="AW1211" t="s">
        <v>3917</v>
      </c>
      <c r="AX1211" t="s">
        <v>3463</v>
      </c>
      <c r="AY1211" t="s">
        <v>3465</v>
      </c>
      <c r="AZ1211" t="s">
        <v>90</v>
      </c>
      <c r="BF1211" t="s">
        <v>3921</v>
      </c>
      <c r="BG1211" t="s">
        <v>2667</v>
      </c>
      <c r="BH1211" t="s">
        <v>4217</v>
      </c>
      <c r="BI1211" t="s">
        <v>2668</v>
      </c>
      <c r="BK1211" t="s">
        <v>2669</v>
      </c>
      <c r="BP1211" t="s">
        <v>4529</v>
      </c>
      <c r="BQ1211" t="s">
        <v>3463</v>
      </c>
      <c r="BR1211" t="s">
        <v>3463</v>
      </c>
      <c r="BS1211" t="s">
        <v>3465</v>
      </c>
      <c r="BT1211" t="s">
        <v>3465</v>
      </c>
      <c r="BU1211" t="s">
        <v>3463</v>
      </c>
      <c r="BV1211" t="s">
        <v>3463</v>
      </c>
      <c r="BW1211" t="s">
        <v>3463</v>
      </c>
      <c r="BX1211" t="s">
        <v>79</v>
      </c>
      <c r="BY1211" t="s">
        <v>87</v>
      </c>
      <c r="BZ1211" t="s">
        <v>95</v>
      </c>
      <c r="CA1211" s="10">
        <v>45912</v>
      </c>
    </row>
    <row r="1212" spans="1:79">
      <c r="A1212">
        <v>1225</v>
      </c>
      <c r="B1212">
        <v>144</v>
      </c>
      <c r="C1212">
        <v>50</v>
      </c>
      <c r="D1212" t="s">
        <v>3462</v>
      </c>
      <c r="E1212" t="s">
        <v>2416</v>
      </c>
      <c r="F1212" t="s">
        <v>2407</v>
      </c>
      <c r="G1212" s="12" t="s">
        <v>3463</v>
      </c>
      <c r="I1212">
        <v>81</v>
      </c>
      <c r="J1212">
        <v>85</v>
      </c>
      <c r="K1212">
        <v>170</v>
      </c>
      <c r="L1212">
        <v>96</v>
      </c>
      <c r="M1212" t="s">
        <v>72</v>
      </c>
      <c r="N1212">
        <v>141</v>
      </c>
      <c r="O1212">
        <v>104</v>
      </c>
      <c r="P1212" t="s">
        <v>72</v>
      </c>
      <c r="Q1212" t="s">
        <v>72</v>
      </c>
      <c r="R1212">
        <v>75.400000000000006</v>
      </c>
      <c r="S1212">
        <v>167</v>
      </c>
      <c r="T1212" s="8">
        <f t="shared" si="39"/>
        <v>27.035748861558321</v>
      </c>
      <c r="U1212" s="13" t="str" cm="1">
        <f t="array" ref="U1212">IF(T1212="","",_xlfn.IFS(T1212&lt;18.5,"Bajo peso",T1212&lt;25,"Peso normal",T1212&lt;30,"Sobrepeso",T1212&lt;35,"Obesidad clase I",T1212&lt;40,"Obesidad clase II",T1212&gt;=40,"Obesidad clase III"))</f>
        <v>Sobrepeso</v>
      </c>
      <c r="V1212">
        <v>245</v>
      </c>
      <c r="X1212" t="s">
        <v>3465</v>
      </c>
      <c r="Y1212">
        <v>1.76</v>
      </c>
      <c r="AA1212">
        <v>47</v>
      </c>
      <c r="AB1212" s="9">
        <f t="shared" si="38"/>
        <v>46.527934644253385</v>
      </c>
      <c r="AD1212" t="s">
        <v>158</v>
      </c>
      <c r="AF1212" t="s">
        <v>158</v>
      </c>
      <c r="AG1212" t="s">
        <v>3465</v>
      </c>
      <c r="AH1212" t="s">
        <v>3465</v>
      </c>
      <c r="AI1212" t="s">
        <v>3465</v>
      </c>
      <c r="AJ1212" t="s">
        <v>3463</v>
      </c>
      <c r="AK1212" t="s">
        <v>3463</v>
      </c>
      <c r="AL1212" t="s">
        <v>3465</v>
      </c>
      <c r="AM1212" t="s">
        <v>2670</v>
      </c>
      <c r="AN1212" t="s">
        <v>3796</v>
      </c>
      <c r="AO1212" t="s">
        <v>3463</v>
      </c>
      <c r="AP1212" t="s">
        <v>3465</v>
      </c>
      <c r="AQ1212" t="s">
        <v>2671</v>
      </c>
      <c r="AR1212" t="s">
        <v>3488</v>
      </c>
      <c r="AS1212" t="s">
        <v>3465</v>
      </c>
      <c r="AV1212" t="s">
        <v>74</v>
      </c>
      <c r="AW1212" t="s">
        <v>3915</v>
      </c>
      <c r="BA1212" t="s">
        <v>3920</v>
      </c>
      <c r="BB1212" t="s">
        <v>3485</v>
      </c>
      <c r="BF1212" t="s">
        <v>3921</v>
      </c>
      <c r="BH1212" t="s">
        <v>4176</v>
      </c>
      <c r="BI1212" t="s">
        <v>411</v>
      </c>
      <c r="BK1212" t="s">
        <v>2672</v>
      </c>
      <c r="BL1212" t="s">
        <v>2673</v>
      </c>
      <c r="BP1212" t="s">
        <v>4466</v>
      </c>
      <c r="BQ1212" t="s">
        <v>3463</v>
      </c>
      <c r="BR1212" t="s">
        <v>3465</v>
      </c>
      <c r="BS1212" t="s">
        <v>3463</v>
      </c>
      <c r="BT1212" t="s">
        <v>3463</v>
      </c>
      <c r="BU1212" t="s">
        <v>3463</v>
      </c>
      <c r="BV1212" t="s">
        <v>3463</v>
      </c>
      <c r="BW1212" t="s">
        <v>3463</v>
      </c>
      <c r="BX1212" t="s">
        <v>79</v>
      </c>
      <c r="BY1212" t="s">
        <v>121</v>
      </c>
      <c r="BZ1212" t="s">
        <v>79</v>
      </c>
      <c r="CA1212" s="10">
        <v>45912</v>
      </c>
    </row>
    <row r="1213" spans="1:79">
      <c r="A1213">
        <v>1226</v>
      </c>
      <c r="B1213">
        <v>145</v>
      </c>
      <c r="C1213">
        <v>51</v>
      </c>
      <c r="D1213" t="s">
        <v>3466</v>
      </c>
      <c r="E1213" t="s">
        <v>2674</v>
      </c>
      <c r="F1213" t="s">
        <v>2407</v>
      </c>
      <c r="G1213" s="12" t="s">
        <v>3463</v>
      </c>
      <c r="I1213">
        <v>55</v>
      </c>
      <c r="J1213">
        <v>51</v>
      </c>
      <c r="K1213">
        <v>167</v>
      </c>
      <c r="L1213">
        <v>86</v>
      </c>
      <c r="M1213" t="s">
        <v>72</v>
      </c>
      <c r="N1213">
        <v>171</v>
      </c>
      <c r="O1213">
        <v>88</v>
      </c>
      <c r="P1213" t="s">
        <v>72</v>
      </c>
      <c r="Q1213" t="s">
        <v>72</v>
      </c>
      <c r="R1213">
        <v>69.45</v>
      </c>
      <c r="S1213">
        <v>151.5</v>
      </c>
      <c r="T1213" s="8">
        <f t="shared" si="39"/>
        <v>30.258471391693625</v>
      </c>
      <c r="U1213" s="13" t="str" cm="1">
        <f t="array" ref="U1213">IF(T1213="","",_xlfn.IFS(T1213&lt;18.5,"Bajo peso",T1213&lt;25,"Peso normal",T1213&lt;30,"Sobrepeso",T1213&lt;35,"Obesidad clase I",T1213&lt;40,"Obesidad clase II",T1213&gt;=40,"Obesidad clase III"))</f>
        <v>Obesidad clase I</v>
      </c>
      <c r="V1213">
        <v>104</v>
      </c>
      <c r="X1213" t="s">
        <v>3463</v>
      </c>
      <c r="Y1213">
        <v>1.17</v>
      </c>
      <c r="AA1213">
        <v>56</v>
      </c>
      <c r="AB1213" s="9">
        <f t="shared" si="38"/>
        <v>56.495269368660296</v>
      </c>
      <c r="AD1213" t="s">
        <v>158</v>
      </c>
      <c r="AF1213" t="s">
        <v>158</v>
      </c>
      <c r="AH1213" t="s">
        <v>3463</v>
      </c>
      <c r="AI1213" t="s">
        <v>3463</v>
      </c>
      <c r="AJ1213" t="s">
        <v>3463</v>
      </c>
      <c r="AK1213" t="s">
        <v>3463</v>
      </c>
      <c r="AL1213" t="s">
        <v>3465</v>
      </c>
      <c r="AM1213" t="s">
        <v>2675</v>
      </c>
      <c r="AN1213" t="s">
        <v>3858</v>
      </c>
      <c r="AO1213" t="s">
        <v>3463</v>
      </c>
      <c r="AP1213" t="s">
        <v>3463</v>
      </c>
      <c r="AQ1213" t="s">
        <v>2676</v>
      </c>
      <c r="AR1213" t="s">
        <v>3565</v>
      </c>
      <c r="AT1213" t="s">
        <v>3463</v>
      </c>
      <c r="AV1213" t="s">
        <v>74</v>
      </c>
      <c r="AW1213" t="s">
        <v>3915</v>
      </c>
      <c r="AX1213" t="s">
        <v>3463</v>
      </c>
      <c r="AY1213" t="s">
        <v>3465</v>
      </c>
      <c r="AZ1213" t="s">
        <v>90</v>
      </c>
      <c r="BE1213" t="s">
        <v>334</v>
      </c>
      <c r="BF1213" t="s">
        <v>334</v>
      </c>
      <c r="BG1213" t="s">
        <v>2677</v>
      </c>
      <c r="BH1213" t="s">
        <v>4218</v>
      </c>
      <c r="BI1213" t="s">
        <v>411</v>
      </c>
      <c r="BK1213" t="s">
        <v>1653</v>
      </c>
      <c r="BL1213" t="s">
        <v>2678</v>
      </c>
      <c r="BP1213" t="s">
        <v>4344</v>
      </c>
      <c r="BQ1213" t="s">
        <v>3463</v>
      </c>
      <c r="BR1213" t="s">
        <v>3465</v>
      </c>
      <c r="BS1213" t="s">
        <v>3463</v>
      </c>
      <c r="BT1213" t="s">
        <v>3463</v>
      </c>
      <c r="BU1213" t="s">
        <v>3463</v>
      </c>
      <c r="BV1213" t="s">
        <v>3463</v>
      </c>
      <c r="BW1213" t="s">
        <v>3463</v>
      </c>
      <c r="BX1213" t="s">
        <v>79</v>
      </c>
      <c r="BY1213" t="s">
        <v>79</v>
      </c>
      <c r="BZ1213" t="s">
        <v>79</v>
      </c>
      <c r="CA1213" s="10">
        <v>45912</v>
      </c>
    </row>
    <row r="1214" spans="1:79">
      <c r="A1214">
        <v>1227</v>
      </c>
      <c r="B1214">
        <v>146</v>
      </c>
      <c r="C1214">
        <v>62</v>
      </c>
      <c r="D1214" t="s">
        <v>3462</v>
      </c>
      <c r="E1214" t="s">
        <v>499</v>
      </c>
      <c r="F1214" t="s">
        <v>2407</v>
      </c>
      <c r="G1214" s="12" t="s">
        <v>3463</v>
      </c>
      <c r="I1214">
        <v>59</v>
      </c>
      <c r="J1214">
        <v>61</v>
      </c>
      <c r="K1214">
        <v>149</v>
      </c>
      <c r="L1214">
        <v>82</v>
      </c>
      <c r="M1214" t="s">
        <v>72</v>
      </c>
      <c r="N1214">
        <v>139</v>
      </c>
      <c r="O1214">
        <v>84</v>
      </c>
      <c r="P1214" t="s">
        <v>82</v>
      </c>
      <c r="Q1214" t="s">
        <v>82</v>
      </c>
      <c r="R1214">
        <v>94.6</v>
      </c>
      <c r="S1214">
        <v>171</v>
      </c>
      <c r="T1214" s="8">
        <f t="shared" si="39"/>
        <v>32.351834752573438</v>
      </c>
      <c r="U1214" s="13" t="str" cm="1">
        <f t="array" ref="U1214">IF(T1214="","",_xlfn.IFS(T1214&lt;18.5,"Bajo peso",T1214&lt;25,"Peso normal",T1214&lt;30,"Sobrepeso",T1214&lt;35,"Obesidad clase I",T1214&lt;40,"Obesidad clase II",T1214&gt;=40,"Obesidad clase III"))</f>
        <v>Obesidad clase I</v>
      </c>
      <c r="V1214">
        <v>92</v>
      </c>
      <c r="X1214" t="s">
        <v>3463</v>
      </c>
      <c r="Y1214">
        <v>1.28</v>
      </c>
      <c r="AA1214">
        <v>63</v>
      </c>
      <c r="AB1214" s="9">
        <f t="shared" si="38"/>
        <v>63.279774304169642</v>
      </c>
      <c r="AD1214" t="s">
        <v>73</v>
      </c>
      <c r="AF1214" t="s">
        <v>73</v>
      </c>
      <c r="AH1214" t="s">
        <v>3463</v>
      </c>
      <c r="AI1214" t="s">
        <v>3463</v>
      </c>
      <c r="AJ1214" t="s">
        <v>3464</v>
      </c>
      <c r="AK1214" t="s">
        <v>3463</v>
      </c>
      <c r="AL1214" t="s">
        <v>3465</v>
      </c>
      <c r="AM1214" t="s">
        <v>2679</v>
      </c>
      <c r="AN1214" t="s">
        <v>2679</v>
      </c>
      <c r="AO1214" t="s">
        <v>3464</v>
      </c>
      <c r="AP1214" t="s">
        <v>3465</v>
      </c>
      <c r="AQ1214" t="s">
        <v>1114</v>
      </c>
      <c r="AR1214" t="s">
        <v>3490</v>
      </c>
      <c r="AV1214" t="s">
        <v>112</v>
      </c>
      <c r="AW1214" t="s">
        <v>3917</v>
      </c>
      <c r="BF1214" t="s">
        <v>3921</v>
      </c>
      <c r="BH1214" t="s">
        <v>4020</v>
      </c>
      <c r="BP1214" t="s">
        <v>4260</v>
      </c>
      <c r="BQ1214" t="s">
        <v>3463</v>
      </c>
      <c r="BR1214" t="s">
        <v>3463</v>
      </c>
      <c r="BS1214" t="s">
        <v>3463</v>
      </c>
      <c r="BT1214" t="s">
        <v>3463</v>
      </c>
      <c r="BU1214" t="s">
        <v>3463</v>
      </c>
      <c r="BV1214" t="s">
        <v>3463</v>
      </c>
      <c r="BW1214" t="s">
        <v>3463</v>
      </c>
      <c r="BX1214" t="s">
        <v>79</v>
      </c>
      <c r="BY1214" t="s">
        <v>87</v>
      </c>
      <c r="BZ1214" t="s">
        <v>79</v>
      </c>
      <c r="CA1214" s="10">
        <v>45912</v>
      </c>
    </row>
    <row r="1215" spans="1:79">
      <c r="A1215">
        <v>1228</v>
      </c>
      <c r="B1215">
        <v>147</v>
      </c>
      <c r="C1215">
        <v>81</v>
      </c>
      <c r="D1215" t="s">
        <v>3466</v>
      </c>
      <c r="E1215" t="s">
        <v>450</v>
      </c>
      <c r="F1215" t="s">
        <v>2407</v>
      </c>
      <c r="G1215" s="12" t="s">
        <v>3465</v>
      </c>
      <c r="H1215" t="s">
        <v>88</v>
      </c>
      <c r="I1215">
        <v>70</v>
      </c>
      <c r="J1215">
        <v>68</v>
      </c>
      <c r="K1215">
        <v>153</v>
      </c>
      <c r="L1215">
        <v>82</v>
      </c>
      <c r="M1215" t="s">
        <v>72</v>
      </c>
      <c r="N1215">
        <v>118</v>
      </c>
      <c r="O1215">
        <v>77</v>
      </c>
      <c r="P1215" t="s">
        <v>80</v>
      </c>
      <c r="Q1215" t="s">
        <v>80</v>
      </c>
      <c r="R1215">
        <v>55.5</v>
      </c>
      <c r="S1215">
        <v>141</v>
      </c>
      <c r="T1215" s="8">
        <f t="shared" si="39"/>
        <v>27.91610079975856</v>
      </c>
      <c r="U1215" s="13" t="str" cm="1">
        <f t="array" ref="U1215">IF(T1215="","",_xlfn.IFS(T1215&lt;18.5,"Bajo peso",T1215&lt;25,"Peso normal",T1215&lt;30,"Sobrepeso",T1215&lt;35,"Obesidad clase I",T1215&lt;40,"Obesidad clase II",T1215&gt;=40,"Obesidad clase III"))</f>
        <v>Sobrepeso</v>
      </c>
      <c r="V1215">
        <v>105</v>
      </c>
      <c r="X1215" t="s">
        <v>3463</v>
      </c>
      <c r="Y1215">
        <v>1.0900000000000001</v>
      </c>
      <c r="AA1215">
        <v>51</v>
      </c>
      <c r="AB1215" s="9">
        <f t="shared" si="38"/>
        <v>51.037934773871726</v>
      </c>
      <c r="AD1215" t="s">
        <v>158</v>
      </c>
      <c r="AF1215" t="s">
        <v>158</v>
      </c>
      <c r="AH1215" t="s">
        <v>3463</v>
      </c>
      <c r="AI1215" t="s">
        <v>3463</v>
      </c>
      <c r="AJ1215" t="s">
        <v>3463</v>
      </c>
      <c r="AK1215" t="s">
        <v>3463</v>
      </c>
      <c r="AL1215" t="s">
        <v>3463</v>
      </c>
      <c r="AP1215" t="s">
        <v>3463</v>
      </c>
      <c r="AT1215" t="s">
        <v>3463</v>
      </c>
      <c r="AU1215" t="s">
        <v>80</v>
      </c>
      <c r="AV1215" t="s">
        <v>126</v>
      </c>
      <c r="AW1215" t="s">
        <v>126</v>
      </c>
      <c r="AX1215" t="s">
        <v>3463</v>
      </c>
      <c r="AY1215" t="s">
        <v>3463</v>
      </c>
      <c r="BF1215" t="s">
        <v>3921</v>
      </c>
      <c r="BG1215" t="s">
        <v>2680</v>
      </c>
      <c r="BH1215" t="s">
        <v>4029</v>
      </c>
      <c r="BL1215" t="s">
        <v>2681</v>
      </c>
      <c r="BP1215" t="s">
        <v>4530</v>
      </c>
      <c r="BQ1215" t="s">
        <v>3463</v>
      </c>
      <c r="BR1215" t="s">
        <v>3463</v>
      </c>
      <c r="BS1215" t="s">
        <v>3465</v>
      </c>
      <c r="BT1215" t="s">
        <v>3465</v>
      </c>
      <c r="BU1215" t="s">
        <v>3463</v>
      </c>
      <c r="BV1215" t="s">
        <v>3463</v>
      </c>
      <c r="BW1215" t="s">
        <v>3463</v>
      </c>
      <c r="BX1215" t="s">
        <v>654</v>
      </c>
      <c r="BY1215" t="s">
        <v>79</v>
      </c>
      <c r="BZ1215" t="s">
        <v>95</v>
      </c>
      <c r="CA1215" s="10">
        <v>45912</v>
      </c>
    </row>
    <row r="1216" spans="1:79">
      <c r="A1216">
        <v>1229</v>
      </c>
      <c r="B1216">
        <v>148</v>
      </c>
      <c r="C1216">
        <v>26</v>
      </c>
      <c r="D1216" t="s">
        <v>3462</v>
      </c>
      <c r="F1216" t="s">
        <v>2407</v>
      </c>
      <c r="G1216" s="12" t="s">
        <v>3465</v>
      </c>
      <c r="H1216" t="s">
        <v>88</v>
      </c>
      <c r="I1216">
        <v>60</v>
      </c>
      <c r="J1216">
        <v>65</v>
      </c>
      <c r="K1216">
        <v>155</v>
      </c>
      <c r="L1216">
        <v>88</v>
      </c>
      <c r="M1216" t="s">
        <v>72</v>
      </c>
      <c r="N1216">
        <v>149</v>
      </c>
      <c r="O1216">
        <v>94</v>
      </c>
      <c r="P1216" t="s">
        <v>72</v>
      </c>
      <c r="Q1216" t="s">
        <v>72</v>
      </c>
      <c r="R1216">
        <v>96.7</v>
      </c>
      <c r="S1216">
        <v>185</v>
      </c>
      <c r="T1216" s="8">
        <f t="shared" si="39"/>
        <v>28.254200146092039</v>
      </c>
      <c r="U1216" s="13" t="str" cm="1">
        <f t="array" ref="U1216">IF(T1216="","",_xlfn.IFS(T1216&lt;18.5,"Bajo peso",T1216&lt;25,"Peso normal",T1216&lt;30,"Sobrepeso",T1216&lt;35,"Obesidad clase I",T1216&lt;40,"Obesidad clase II",T1216&gt;=40,"Obesidad clase III"))</f>
        <v>Sobrepeso</v>
      </c>
      <c r="V1216">
        <v>102</v>
      </c>
      <c r="X1216" t="s">
        <v>3463</v>
      </c>
      <c r="Y1216">
        <v>1.07</v>
      </c>
      <c r="AA1216">
        <v>90</v>
      </c>
      <c r="AB1216" s="9">
        <f t="shared" si="38"/>
        <v>98.150524589496072</v>
      </c>
      <c r="AD1216" t="s">
        <v>73</v>
      </c>
      <c r="AF1216" t="s">
        <v>73</v>
      </c>
      <c r="AH1216" t="s">
        <v>3463</v>
      </c>
      <c r="AI1216" t="s">
        <v>3463</v>
      </c>
      <c r="AJ1216" t="s">
        <v>3463</v>
      </c>
      <c r="AK1216" t="s">
        <v>3463</v>
      </c>
      <c r="AL1216" t="s">
        <v>3463</v>
      </c>
      <c r="AP1216" t="s">
        <v>3463</v>
      </c>
      <c r="AQ1216" t="s">
        <v>2682</v>
      </c>
      <c r="AR1216" t="s">
        <v>3565</v>
      </c>
      <c r="AV1216" t="s">
        <v>126</v>
      </c>
      <c r="AW1216" t="s">
        <v>126</v>
      </c>
      <c r="BF1216" t="s">
        <v>3921</v>
      </c>
      <c r="BH1216" t="s">
        <v>4020</v>
      </c>
      <c r="BP1216" t="s">
        <v>4260</v>
      </c>
      <c r="BQ1216" t="s">
        <v>3463</v>
      </c>
      <c r="BR1216" t="s">
        <v>3465</v>
      </c>
      <c r="BS1216" t="s">
        <v>3465</v>
      </c>
      <c r="BT1216" t="s">
        <v>3465</v>
      </c>
      <c r="BU1216" t="s">
        <v>3463</v>
      </c>
      <c r="BV1216" t="s">
        <v>3463</v>
      </c>
      <c r="BW1216" t="s">
        <v>3463</v>
      </c>
      <c r="BX1216" t="s">
        <v>79</v>
      </c>
      <c r="BY1216" t="s">
        <v>79</v>
      </c>
      <c r="BZ1216" t="s">
        <v>79</v>
      </c>
      <c r="CA1216" s="10">
        <v>45912</v>
      </c>
    </row>
    <row r="1217" spans="1:79">
      <c r="A1217">
        <v>1230</v>
      </c>
      <c r="B1217">
        <v>149</v>
      </c>
      <c r="C1217">
        <v>37</v>
      </c>
      <c r="D1217" t="s">
        <v>3466</v>
      </c>
      <c r="E1217" t="s">
        <v>2416</v>
      </c>
      <c r="F1217" t="s">
        <v>2407</v>
      </c>
      <c r="G1217" s="12" t="s">
        <v>3463</v>
      </c>
      <c r="H1217" s="12"/>
      <c r="I1217">
        <v>71</v>
      </c>
      <c r="K1217">
        <v>131</v>
      </c>
      <c r="L1217">
        <v>81</v>
      </c>
      <c r="M1217" t="s">
        <v>82</v>
      </c>
      <c r="P1217" t="s">
        <v>83</v>
      </c>
      <c r="Q1217" t="s">
        <v>82</v>
      </c>
      <c r="R1217">
        <v>87.8</v>
      </c>
      <c r="S1217">
        <v>170</v>
      </c>
      <c r="T1217" s="8">
        <f t="shared" si="39"/>
        <v>30.38062283737024</v>
      </c>
      <c r="U1217" s="13" t="str" cm="1">
        <f t="array" ref="U1217">IF(T1217="","",_xlfn.IFS(T1217&lt;18.5,"Bajo peso",T1217&lt;25,"Peso normal",T1217&lt;30,"Sobrepeso",T1217&lt;35,"Obesidad clase I",T1217&lt;40,"Obesidad clase II",T1217&gt;=40,"Obesidad clase III"))</f>
        <v>Obesidad clase I</v>
      </c>
      <c r="V1217">
        <v>92</v>
      </c>
      <c r="X1217" t="s">
        <v>3463</v>
      </c>
      <c r="Y1217">
        <v>1.1100000000000001</v>
      </c>
      <c r="AA1217">
        <v>66</v>
      </c>
      <c r="AB1217" s="9">
        <f t="shared" si="38"/>
        <v>65.654069342051685</v>
      </c>
      <c r="AD1217" t="s">
        <v>73</v>
      </c>
      <c r="AF1217" t="s">
        <v>73</v>
      </c>
      <c r="AH1217" t="s">
        <v>3463</v>
      </c>
      <c r="AI1217" t="s">
        <v>3463</v>
      </c>
      <c r="AJ1217" t="s">
        <v>3463</v>
      </c>
      <c r="AK1217" t="s">
        <v>3463</v>
      </c>
      <c r="AL1217" t="s">
        <v>3465</v>
      </c>
      <c r="AM1217" t="s">
        <v>2683</v>
      </c>
      <c r="AN1217" t="s">
        <v>3859</v>
      </c>
      <c r="AP1217" t="s">
        <v>3463</v>
      </c>
      <c r="AQ1217" t="s">
        <v>2684</v>
      </c>
      <c r="AR1217" t="s">
        <v>3553</v>
      </c>
      <c r="AT1217" t="s">
        <v>3463</v>
      </c>
      <c r="AV1217" t="s">
        <v>112</v>
      </c>
      <c r="AW1217" t="s">
        <v>3917</v>
      </c>
      <c r="AX1217" t="s">
        <v>3463</v>
      </c>
      <c r="AY1217" t="s">
        <v>3463</v>
      </c>
      <c r="BF1217" t="s">
        <v>3921</v>
      </c>
      <c r="BH1217" t="s">
        <v>4020</v>
      </c>
      <c r="BP1217" t="s">
        <v>4260</v>
      </c>
      <c r="BQ1217" t="s">
        <v>3465</v>
      </c>
      <c r="BR1217" t="s">
        <v>3465</v>
      </c>
      <c r="BS1217" t="s">
        <v>3465</v>
      </c>
      <c r="BT1217" t="s">
        <v>3465</v>
      </c>
      <c r="BU1217" t="s">
        <v>3463</v>
      </c>
      <c r="BV1217" t="s">
        <v>3463</v>
      </c>
      <c r="BW1217" t="s">
        <v>3463</v>
      </c>
      <c r="BX1217" t="s">
        <v>518</v>
      </c>
      <c r="BY1217" t="s">
        <v>79</v>
      </c>
      <c r="BZ1217" t="s">
        <v>79</v>
      </c>
      <c r="CA1217" s="10">
        <v>45912</v>
      </c>
    </row>
    <row r="1218" spans="1:79">
      <c r="A1218">
        <v>1231</v>
      </c>
      <c r="B1218">
        <v>150</v>
      </c>
      <c r="C1218">
        <v>41</v>
      </c>
      <c r="D1218" t="s">
        <v>3462</v>
      </c>
      <c r="E1218" t="s">
        <v>2685</v>
      </c>
      <c r="F1218" t="s">
        <v>2407</v>
      </c>
      <c r="G1218" s="12" t="s">
        <v>3463</v>
      </c>
      <c r="H1218" s="12"/>
      <c r="I1218">
        <v>76</v>
      </c>
      <c r="K1218">
        <v>129</v>
      </c>
      <c r="L1218">
        <v>81</v>
      </c>
      <c r="M1218" t="s">
        <v>82</v>
      </c>
      <c r="P1218" t="s">
        <v>83</v>
      </c>
      <c r="Q1218" t="s">
        <v>82</v>
      </c>
      <c r="R1218">
        <v>118.2</v>
      </c>
      <c r="S1218">
        <v>174</v>
      </c>
      <c r="T1218" s="8">
        <f t="shared" si="39"/>
        <v>39.040824415378523</v>
      </c>
      <c r="U1218" s="13" t="str" cm="1">
        <f t="array" ref="U1218">IF(T1218="","",_xlfn.IFS(T1218&lt;18.5,"Bajo peso",T1218&lt;25,"Peso normal",T1218&lt;30,"Sobrepeso",T1218&lt;35,"Obesidad clase I",T1218&lt;40,"Obesidad clase II",T1218&gt;=40,"Obesidad clase III"))</f>
        <v>Obesidad clase II</v>
      </c>
      <c r="V1218">
        <v>100</v>
      </c>
      <c r="X1218" t="s">
        <v>3463</v>
      </c>
      <c r="Y1218">
        <v>1.65</v>
      </c>
      <c r="AA1218">
        <v>53</v>
      </c>
      <c r="AB1218" s="9">
        <f t="shared" si="38"/>
        <v>53.168855444594648</v>
      </c>
      <c r="AD1218" t="s">
        <v>158</v>
      </c>
      <c r="AF1218" t="s">
        <v>158</v>
      </c>
      <c r="AH1218" t="s">
        <v>3463</v>
      </c>
      <c r="AI1218" t="s">
        <v>3463</v>
      </c>
      <c r="AJ1218" t="s">
        <v>3463</v>
      </c>
      <c r="AK1218" t="s">
        <v>3463</v>
      </c>
      <c r="AL1218" t="s">
        <v>3463</v>
      </c>
      <c r="AP1218" t="s">
        <v>3463</v>
      </c>
      <c r="AV1218" t="s">
        <v>126</v>
      </c>
      <c r="AW1218" t="s">
        <v>126</v>
      </c>
      <c r="BC1218" t="s">
        <v>128</v>
      </c>
      <c r="BD1218" t="s">
        <v>105</v>
      </c>
      <c r="BF1218" t="s">
        <v>3921</v>
      </c>
      <c r="BH1218" t="s">
        <v>4029</v>
      </c>
      <c r="BI1218" t="s">
        <v>2686</v>
      </c>
      <c r="BK1218" t="s">
        <v>2687</v>
      </c>
      <c r="BL1218" t="s">
        <v>2688</v>
      </c>
      <c r="BP1218" t="s">
        <v>4531</v>
      </c>
      <c r="BQ1218" t="s">
        <v>3463</v>
      </c>
      <c r="BR1218" t="s">
        <v>3463</v>
      </c>
      <c r="BS1218" t="s">
        <v>3465</v>
      </c>
      <c r="BT1218" t="s">
        <v>3465</v>
      </c>
      <c r="BU1218" t="s">
        <v>3463</v>
      </c>
      <c r="BV1218" t="s">
        <v>3463</v>
      </c>
      <c r="BW1218" t="s">
        <v>3463</v>
      </c>
      <c r="BX1218" t="s">
        <v>79</v>
      </c>
      <c r="BY1218" t="s">
        <v>87</v>
      </c>
      <c r="BZ1218" t="s">
        <v>79</v>
      </c>
      <c r="CA1218" s="10">
        <v>45912</v>
      </c>
    </row>
    <row r="1219" spans="1:79">
      <c r="A1219">
        <v>1232</v>
      </c>
      <c r="B1219">
        <v>151</v>
      </c>
      <c r="C1219">
        <v>61</v>
      </c>
      <c r="D1219" t="s">
        <v>3462</v>
      </c>
      <c r="E1219" t="s">
        <v>2416</v>
      </c>
      <c r="F1219" t="s">
        <v>2407</v>
      </c>
      <c r="G1219" s="12" t="s">
        <v>3465</v>
      </c>
      <c r="H1219" t="s">
        <v>88</v>
      </c>
      <c r="I1219">
        <v>79</v>
      </c>
      <c r="J1219">
        <v>77</v>
      </c>
      <c r="K1219">
        <v>157</v>
      </c>
      <c r="L1219">
        <v>86</v>
      </c>
      <c r="M1219" t="s">
        <v>72</v>
      </c>
      <c r="N1219">
        <v>140</v>
      </c>
      <c r="O1219">
        <v>81</v>
      </c>
      <c r="P1219" t="s">
        <v>72</v>
      </c>
      <c r="Q1219" t="s">
        <v>72</v>
      </c>
      <c r="R1219">
        <v>85.8</v>
      </c>
      <c r="S1219">
        <v>156</v>
      </c>
      <c r="T1219" s="8">
        <f t="shared" si="39"/>
        <v>35.256410256410255</v>
      </c>
      <c r="U1219" s="13" t="str" cm="1">
        <f t="array" ref="U1219">IF(T1219="","",_xlfn.IFS(T1219&lt;18.5,"Bajo peso",T1219&lt;25,"Peso normal",T1219&lt;30,"Sobrepeso",T1219&lt;35,"Obesidad clase I",T1219&lt;40,"Obesidad clase II",T1219&gt;=40,"Obesidad clase III"))</f>
        <v>Obesidad clase II</v>
      </c>
      <c r="V1219">
        <v>113</v>
      </c>
      <c r="X1219" t="s">
        <v>3463</v>
      </c>
      <c r="Y1219">
        <v>0.96</v>
      </c>
      <c r="AA1219">
        <v>90</v>
      </c>
      <c r="AB1219" s="9">
        <f t="shared" si="38"/>
        <v>89.927477828086779</v>
      </c>
      <c r="AD1219" t="s">
        <v>73</v>
      </c>
      <c r="AF1219" t="s">
        <v>73</v>
      </c>
      <c r="AH1219" t="s">
        <v>3463</v>
      </c>
      <c r="AI1219" t="s">
        <v>3463</v>
      </c>
      <c r="AJ1219" t="s">
        <v>3463</v>
      </c>
      <c r="AK1219" t="s">
        <v>3463</v>
      </c>
      <c r="AL1219" t="s">
        <v>3463</v>
      </c>
      <c r="AP1219" t="s">
        <v>3463</v>
      </c>
      <c r="AV1219" t="s">
        <v>112</v>
      </c>
      <c r="AW1219" t="s">
        <v>3917</v>
      </c>
      <c r="BE1219" t="s">
        <v>2689</v>
      </c>
      <c r="BF1219" t="s">
        <v>2689</v>
      </c>
      <c r="BH1219" t="s">
        <v>4076</v>
      </c>
      <c r="BK1219" t="s">
        <v>68</v>
      </c>
      <c r="BL1219" t="s">
        <v>2690</v>
      </c>
      <c r="BP1219" t="s">
        <v>4336</v>
      </c>
      <c r="BQ1219" t="s">
        <v>3463</v>
      </c>
      <c r="BR1219" t="s">
        <v>3463</v>
      </c>
      <c r="BS1219" t="s">
        <v>3463</v>
      </c>
      <c r="BT1219" t="s">
        <v>3463</v>
      </c>
      <c r="BU1219" t="s">
        <v>3463</v>
      </c>
      <c r="BV1219" t="s">
        <v>3463</v>
      </c>
      <c r="BW1219" t="s">
        <v>3463</v>
      </c>
      <c r="BX1219" t="s">
        <v>79</v>
      </c>
      <c r="BY1219" t="s">
        <v>87</v>
      </c>
      <c r="BZ1219" t="s">
        <v>95</v>
      </c>
      <c r="CA1219" s="10">
        <v>45912</v>
      </c>
    </row>
    <row r="1220" spans="1:79">
      <c r="A1220">
        <v>1233</v>
      </c>
      <c r="B1220">
        <v>152</v>
      </c>
      <c r="C1220">
        <v>66</v>
      </c>
      <c r="D1220" t="s">
        <v>3462</v>
      </c>
      <c r="F1220" t="s">
        <v>2407</v>
      </c>
      <c r="G1220" s="12" t="s">
        <v>3463</v>
      </c>
      <c r="H1220" s="12"/>
      <c r="I1220">
        <v>91</v>
      </c>
      <c r="J1220">
        <v>84</v>
      </c>
      <c r="K1220">
        <v>175</v>
      </c>
      <c r="L1220">
        <v>111</v>
      </c>
      <c r="M1220" t="s">
        <v>72</v>
      </c>
      <c r="N1220">
        <v>180</v>
      </c>
      <c r="O1220">
        <v>92</v>
      </c>
      <c r="P1220" t="s">
        <v>96</v>
      </c>
      <c r="Q1220" t="s">
        <v>72</v>
      </c>
      <c r="R1220">
        <v>88.5</v>
      </c>
      <c r="S1220">
        <v>166</v>
      </c>
      <c r="T1220" s="8">
        <f t="shared" si="39"/>
        <v>32.116417477137468</v>
      </c>
      <c r="U1220" s="13" t="str" cm="1">
        <f t="array" ref="U1220">IF(T1220="","",_xlfn.IFS(T1220&lt;18.5,"Bajo peso",T1220&lt;25,"Peso normal",T1220&lt;30,"Sobrepeso",T1220&lt;35,"Obesidad clase I",T1220&lt;40,"Obesidad clase II",T1220&gt;=40,"Obesidad clase III"))</f>
        <v>Obesidad clase I</v>
      </c>
      <c r="V1220">
        <v>180</v>
      </c>
      <c r="X1220" t="s">
        <v>3463</v>
      </c>
      <c r="Y1220">
        <v>1.08</v>
      </c>
      <c r="AA1220">
        <v>76</v>
      </c>
      <c r="AB1220" s="9">
        <f t="shared" si="38"/>
        <v>75.684047246545518</v>
      </c>
      <c r="AD1220" t="s">
        <v>73</v>
      </c>
      <c r="AF1220" t="s">
        <v>73</v>
      </c>
      <c r="AH1220" t="s">
        <v>3463</v>
      </c>
      <c r="AI1220" t="s">
        <v>3465</v>
      </c>
      <c r="AJ1220" t="s">
        <v>3463</v>
      </c>
      <c r="AK1220" t="s">
        <v>3463</v>
      </c>
      <c r="AL1220" t="s">
        <v>3465</v>
      </c>
      <c r="AM1220" t="s">
        <v>2691</v>
      </c>
      <c r="AN1220" t="s">
        <v>3765</v>
      </c>
      <c r="AP1220" t="s">
        <v>3463</v>
      </c>
      <c r="AQ1220" t="s">
        <v>2692</v>
      </c>
      <c r="AR1220" t="s">
        <v>3488</v>
      </c>
      <c r="AS1220" t="s">
        <v>3465</v>
      </c>
      <c r="AV1220" t="s">
        <v>74</v>
      </c>
      <c r="AW1220" t="s">
        <v>3915</v>
      </c>
      <c r="BF1220" t="s">
        <v>3921</v>
      </c>
      <c r="BH1220" t="s">
        <v>4020</v>
      </c>
      <c r="BP1220" t="s">
        <v>4260</v>
      </c>
      <c r="BQ1220" t="s">
        <v>3463</v>
      </c>
      <c r="BR1220" t="s">
        <v>3465</v>
      </c>
      <c r="BS1220" t="s">
        <v>3465</v>
      </c>
      <c r="BT1220" t="s">
        <v>3465</v>
      </c>
      <c r="BU1220" t="s">
        <v>3463</v>
      </c>
      <c r="BV1220" t="s">
        <v>3463</v>
      </c>
      <c r="BW1220" t="s">
        <v>3463</v>
      </c>
      <c r="BX1220" t="s">
        <v>79</v>
      </c>
      <c r="BY1220" t="s">
        <v>487</v>
      </c>
      <c r="BZ1220" t="s">
        <v>79</v>
      </c>
      <c r="CA1220" s="10">
        <v>45912</v>
      </c>
    </row>
    <row r="1221" spans="1:79">
      <c r="A1221">
        <v>1234</v>
      </c>
      <c r="B1221">
        <v>153</v>
      </c>
      <c r="C1221">
        <v>87</v>
      </c>
      <c r="D1221" t="s">
        <v>3466</v>
      </c>
      <c r="E1221" t="s">
        <v>2411</v>
      </c>
      <c r="F1221" t="s">
        <v>2407</v>
      </c>
      <c r="G1221" s="12" t="s">
        <v>3465</v>
      </c>
      <c r="H1221" t="s">
        <v>88</v>
      </c>
      <c r="I1221">
        <v>78</v>
      </c>
      <c r="J1221">
        <v>75</v>
      </c>
      <c r="K1221">
        <v>160</v>
      </c>
      <c r="L1221">
        <v>80</v>
      </c>
      <c r="M1221" t="s">
        <v>72</v>
      </c>
      <c r="N1221">
        <v>160</v>
      </c>
      <c r="O1221">
        <v>71</v>
      </c>
      <c r="P1221" t="s">
        <v>72</v>
      </c>
      <c r="Q1221" t="s">
        <v>72</v>
      </c>
      <c r="R1221">
        <v>61.4</v>
      </c>
      <c r="S1221">
        <v>144</v>
      </c>
      <c r="T1221" s="8">
        <f t="shared" si="39"/>
        <v>29.610339506172838</v>
      </c>
      <c r="U1221" s="13" t="str" cm="1">
        <f t="array" ref="U1221">IF(T1221="","",_xlfn.IFS(T1221&lt;18.5,"Bajo peso",T1221&lt;25,"Peso normal",T1221&lt;30,"Sobrepeso",T1221&lt;35,"Obesidad clase I",T1221&lt;40,"Obesidad clase II",T1221&gt;=40,"Obesidad clase III"))</f>
        <v>Sobrepeso</v>
      </c>
      <c r="V1221">
        <v>112</v>
      </c>
      <c r="X1221" t="s">
        <v>3463</v>
      </c>
      <c r="Y1221">
        <v>0.99</v>
      </c>
      <c r="AA1221">
        <v>55</v>
      </c>
      <c r="AB1221" s="9">
        <f t="shared" si="38"/>
        <v>55.186977740493823</v>
      </c>
      <c r="AD1221" t="s">
        <v>158</v>
      </c>
      <c r="AF1221" t="s">
        <v>158</v>
      </c>
      <c r="AH1221" t="s">
        <v>3463</v>
      </c>
      <c r="AI1221" t="s">
        <v>3465</v>
      </c>
      <c r="AJ1221" t="s">
        <v>3463</v>
      </c>
      <c r="AK1221" t="s">
        <v>3463</v>
      </c>
      <c r="AL1221" t="s">
        <v>3465</v>
      </c>
      <c r="AM1221" t="s">
        <v>110</v>
      </c>
      <c r="AN1221" t="s">
        <v>110</v>
      </c>
      <c r="AP1221" t="s">
        <v>3463</v>
      </c>
      <c r="AS1221" t="s">
        <v>3465</v>
      </c>
      <c r="AT1221" t="s">
        <v>3463</v>
      </c>
      <c r="AV1221" t="s">
        <v>126</v>
      </c>
      <c r="AW1221" t="s">
        <v>126</v>
      </c>
      <c r="AX1221" t="s">
        <v>3463</v>
      </c>
      <c r="AY1221" t="s">
        <v>3463</v>
      </c>
      <c r="BA1221" t="s">
        <v>3920</v>
      </c>
      <c r="BD1221" t="s">
        <v>105</v>
      </c>
      <c r="BF1221" t="s">
        <v>3921</v>
      </c>
      <c r="BG1221" t="s">
        <v>129</v>
      </c>
      <c r="BH1221" t="s">
        <v>4107</v>
      </c>
      <c r="BI1221" t="s">
        <v>2693</v>
      </c>
      <c r="BK1221" t="s">
        <v>2694</v>
      </c>
      <c r="BL1221" t="s">
        <v>2695</v>
      </c>
      <c r="BP1221" t="s">
        <v>4532</v>
      </c>
      <c r="BQ1221" t="s">
        <v>3463</v>
      </c>
      <c r="BR1221" t="s">
        <v>3463</v>
      </c>
      <c r="BS1221" t="s">
        <v>3465</v>
      </c>
      <c r="BT1221" t="s">
        <v>3465</v>
      </c>
      <c r="BU1221" t="s">
        <v>3463</v>
      </c>
      <c r="BV1221" t="s">
        <v>3463</v>
      </c>
      <c r="BW1221" t="s">
        <v>3463</v>
      </c>
      <c r="BX1221" t="s">
        <v>121</v>
      </c>
      <c r="BY1221" t="s">
        <v>79</v>
      </c>
      <c r="BZ1221" t="s">
        <v>79</v>
      </c>
      <c r="CA1221" s="10">
        <v>45912</v>
      </c>
    </row>
    <row r="1222" spans="1:79">
      <c r="A1222">
        <v>1235</v>
      </c>
      <c r="B1222">
        <v>154</v>
      </c>
      <c r="C1222">
        <v>32</v>
      </c>
      <c r="D1222" t="s">
        <v>3466</v>
      </c>
      <c r="E1222" t="s">
        <v>2411</v>
      </c>
      <c r="F1222" t="s">
        <v>2407</v>
      </c>
      <c r="G1222" s="12" t="s">
        <v>3465</v>
      </c>
      <c r="H1222" t="s">
        <v>88</v>
      </c>
      <c r="I1222">
        <v>107</v>
      </c>
      <c r="K1222">
        <v>134</v>
      </c>
      <c r="L1222">
        <v>79</v>
      </c>
      <c r="M1222" t="s">
        <v>82</v>
      </c>
      <c r="P1222" t="s">
        <v>83</v>
      </c>
      <c r="Q1222" t="s">
        <v>82</v>
      </c>
      <c r="R1222">
        <v>77.3</v>
      </c>
      <c r="S1222">
        <v>161</v>
      </c>
      <c r="T1222" s="8">
        <f t="shared" si="39"/>
        <v>29.821380347980398</v>
      </c>
      <c r="U1222" s="13" t="str" cm="1">
        <f t="array" ref="U1222">IF(T1222="","",_xlfn.IFS(T1222&lt;18.5,"Bajo peso",T1222&lt;25,"Peso normal",T1222&lt;30,"Sobrepeso",T1222&lt;35,"Obesidad clase I",T1222&lt;40,"Obesidad clase II",T1222&gt;=40,"Obesidad clase III"))</f>
        <v>Sobrepeso</v>
      </c>
      <c r="V1222">
        <v>118</v>
      </c>
      <c r="X1222" t="s">
        <v>3463</v>
      </c>
      <c r="Y1222">
        <v>1.02</v>
      </c>
      <c r="AA1222">
        <v>75</v>
      </c>
      <c r="AB1222" s="9">
        <f t="shared" si="38"/>
        <v>74.96077291722942</v>
      </c>
      <c r="AD1222" t="s">
        <v>73</v>
      </c>
      <c r="AF1222" t="s">
        <v>73</v>
      </c>
      <c r="AH1222" t="s">
        <v>3463</v>
      </c>
      <c r="AI1222" t="s">
        <v>3463</v>
      </c>
      <c r="AJ1222" t="s">
        <v>3463</v>
      </c>
      <c r="AK1222" t="s">
        <v>3465</v>
      </c>
      <c r="AL1222" t="s">
        <v>3463</v>
      </c>
      <c r="AP1222" t="s">
        <v>3463</v>
      </c>
      <c r="AQ1222" t="s">
        <v>1093</v>
      </c>
      <c r="AR1222" t="s">
        <v>3491</v>
      </c>
      <c r="AV1222" t="s">
        <v>74</v>
      </c>
      <c r="AW1222" t="s">
        <v>3915</v>
      </c>
      <c r="AX1222" t="s">
        <v>3463</v>
      </c>
      <c r="AY1222" t="s">
        <v>3465</v>
      </c>
      <c r="AZ1222" t="s">
        <v>247</v>
      </c>
      <c r="BF1222" t="s">
        <v>3921</v>
      </c>
      <c r="BH1222" t="s">
        <v>4020</v>
      </c>
      <c r="BP1222" t="s">
        <v>4260</v>
      </c>
      <c r="BQ1222" t="s">
        <v>3463</v>
      </c>
      <c r="BR1222" t="s">
        <v>3465</v>
      </c>
      <c r="BS1222" t="s">
        <v>3463</v>
      </c>
      <c r="BT1222" t="s">
        <v>3465</v>
      </c>
      <c r="BU1222" t="s">
        <v>3463</v>
      </c>
      <c r="BV1222" t="s">
        <v>3463</v>
      </c>
      <c r="BW1222" t="s">
        <v>3463</v>
      </c>
      <c r="BX1222" t="s">
        <v>79</v>
      </c>
      <c r="BY1222" t="s">
        <v>87</v>
      </c>
      <c r="BZ1222" t="s">
        <v>79</v>
      </c>
      <c r="CA1222" s="10">
        <v>45912</v>
      </c>
    </row>
    <row r="1223" spans="1:79">
      <c r="A1223">
        <v>1236</v>
      </c>
      <c r="B1223">
        <v>155</v>
      </c>
      <c r="C1223">
        <v>30</v>
      </c>
      <c r="D1223" t="s">
        <v>3466</v>
      </c>
      <c r="E1223" t="s">
        <v>2416</v>
      </c>
      <c r="F1223" t="s">
        <v>2407</v>
      </c>
      <c r="G1223" s="12" t="s">
        <v>3465</v>
      </c>
      <c r="H1223" s="12" t="s">
        <v>88</v>
      </c>
      <c r="I1223">
        <v>80</v>
      </c>
      <c r="K1223">
        <v>114</v>
      </c>
      <c r="L1223">
        <v>82</v>
      </c>
      <c r="M1223" t="s">
        <v>82</v>
      </c>
      <c r="P1223" t="s">
        <v>83</v>
      </c>
      <c r="Q1223" t="s">
        <v>82</v>
      </c>
      <c r="R1223">
        <v>84.9</v>
      </c>
      <c r="S1223">
        <v>156</v>
      </c>
      <c r="T1223" s="8">
        <f t="shared" si="39"/>
        <v>34.88658777120316</v>
      </c>
      <c r="U1223" s="13" t="str" cm="1">
        <f t="array" ref="U1223">IF(T1223="","",_xlfn.IFS(T1223&lt;18.5,"Bajo peso",T1223&lt;25,"Peso normal",T1223&lt;30,"Sobrepeso",T1223&lt;35,"Obesidad clase I",T1223&lt;40,"Obesidad clase II",T1223&gt;=40,"Obesidad clase III"))</f>
        <v>Obesidad clase I</v>
      </c>
      <c r="V1223">
        <v>80</v>
      </c>
      <c r="X1223" t="s">
        <v>3463</v>
      </c>
      <c r="Y1223">
        <v>1.1299999999999999</v>
      </c>
      <c r="AA1223">
        <v>67</v>
      </c>
      <c r="AB1223" s="9">
        <f t="shared" si="38"/>
        <v>67.121575989020783</v>
      </c>
      <c r="AD1223" t="s">
        <v>73</v>
      </c>
      <c r="AF1223" t="s">
        <v>73</v>
      </c>
      <c r="AH1223" t="s">
        <v>3463</v>
      </c>
      <c r="AI1223" t="s">
        <v>3463</v>
      </c>
      <c r="AJ1223" t="s">
        <v>3463</v>
      </c>
      <c r="AK1223" t="s">
        <v>3463</v>
      </c>
      <c r="AL1223" t="s">
        <v>3463</v>
      </c>
      <c r="AP1223" t="s">
        <v>3463</v>
      </c>
      <c r="AQ1223" t="s">
        <v>2696</v>
      </c>
      <c r="AR1223" t="s">
        <v>3491</v>
      </c>
      <c r="AT1223" t="s">
        <v>3463</v>
      </c>
      <c r="AV1223" t="s">
        <v>74</v>
      </c>
      <c r="AW1223" t="s">
        <v>3915</v>
      </c>
      <c r="AX1223" t="s">
        <v>3463</v>
      </c>
      <c r="AY1223" t="s">
        <v>3465</v>
      </c>
      <c r="AZ1223" t="s">
        <v>247</v>
      </c>
      <c r="BF1223" t="s">
        <v>3921</v>
      </c>
      <c r="BH1223" t="s">
        <v>4020</v>
      </c>
      <c r="BP1223" t="s">
        <v>4260</v>
      </c>
      <c r="BQ1223" t="s">
        <v>3463</v>
      </c>
      <c r="BR1223" t="s">
        <v>3465</v>
      </c>
      <c r="BS1223" t="s">
        <v>3465</v>
      </c>
      <c r="BT1223" t="s">
        <v>3465</v>
      </c>
      <c r="BU1223" t="s">
        <v>3463</v>
      </c>
      <c r="BV1223" t="s">
        <v>3463</v>
      </c>
      <c r="BW1223" t="s">
        <v>3463</v>
      </c>
      <c r="BX1223" t="s">
        <v>79</v>
      </c>
      <c r="BY1223" t="s">
        <v>79</v>
      </c>
      <c r="BZ1223" t="s">
        <v>79</v>
      </c>
      <c r="CA1223" s="10">
        <v>45912</v>
      </c>
    </row>
    <row r="1224" spans="1:79">
      <c r="A1224">
        <v>1237</v>
      </c>
      <c r="B1224">
        <v>156</v>
      </c>
      <c r="C1224">
        <v>31</v>
      </c>
      <c r="D1224" t="s">
        <v>3462</v>
      </c>
      <c r="E1224" t="s">
        <v>2416</v>
      </c>
      <c r="F1224" t="s">
        <v>2407</v>
      </c>
      <c r="G1224" s="12" t="s">
        <v>3463</v>
      </c>
      <c r="H1224" s="12"/>
      <c r="I1224">
        <v>89</v>
      </c>
      <c r="K1224">
        <v>133</v>
      </c>
      <c r="L1224">
        <v>87</v>
      </c>
      <c r="M1224" t="s">
        <v>82</v>
      </c>
      <c r="P1224" t="s">
        <v>83</v>
      </c>
      <c r="Q1224" t="s">
        <v>82</v>
      </c>
      <c r="R1224">
        <v>202</v>
      </c>
      <c r="S1224">
        <v>186</v>
      </c>
      <c r="T1224" s="8">
        <f t="shared" si="39"/>
        <v>58.388252977222798</v>
      </c>
      <c r="U1224" s="13" t="str" cm="1">
        <f t="array" ref="U1224">IF(T1224="","",_xlfn.IFS(T1224&lt;18.5,"Bajo peso",T1224&lt;25,"Peso normal",T1224&lt;30,"Sobrepeso",T1224&lt;35,"Obesidad clase I",T1224&lt;40,"Obesidad clase II",T1224&gt;=40,"Obesidad clase III"))</f>
        <v>Obesidad clase III</v>
      </c>
      <c r="V1224">
        <v>98</v>
      </c>
      <c r="X1224" t="s">
        <v>3463</v>
      </c>
      <c r="Y1224">
        <v>1.72</v>
      </c>
      <c r="AA1224">
        <v>54</v>
      </c>
      <c r="AB1224" s="9">
        <f t="shared" si="38"/>
        <v>53.828711487634621</v>
      </c>
      <c r="AD1224" t="s">
        <v>158</v>
      </c>
      <c r="AF1224" t="s">
        <v>158</v>
      </c>
      <c r="AH1224" t="s">
        <v>3463</v>
      </c>
      <c r="AI1224" t="s">
        <v>3463</v>
      </c>
      <c r="AJ1224" t="s">
        <v>3463</v>
      </c>
      <c r="AK1224" t="s">
        <v>3463</v>
      </c>
      <c r="AL1224" t="s">
        <v>3465</v>
      </c>
      <c r="AM1224" t="s">
        <v>2697</v>
      </c>
      <c r="AN1224" t="s">
        <v>3781</v>
      </c>
      <c r="AP1224" t="s">
        <v>3463</v>
      </c>
      <c r="AQ1224" t="s">
        <v>2698</v>
      </c>
      <c r="AR1224" t="s">
        <v>3548</v>
      </c>
      <c r="AV1224" t="s">
        <v>126</v>
      </c>
      <c r="AW1224" t="s">
        <v>126</v>
      </c>
      <c r="BF1224" t="s">
        <v>3921</v>
      </c>
      <c r="BH1224" t="s">
        <v>4053</v>
      </c>
      <c r="BK1224" t="s">
        <v>2699</v>
      </c>
      <c r="BL1224" t="s">
        <v>2328</v>
      </c>
      <c r="BP1224" t="s">
        <v>4260</v>
      </c>
      <c r="BQ1224" t="s">
        <v>3463</v>
      </c>
      <c r="BR1224" t="s">
        <v>3465</v>
      </c>
      <c r="BS1224" t="s">
        <v>3463</v>
      </c>
      <c r="BT1224" t="s">
        <v>3463</v>
      </c>
      <c r="BU1224" t="s">
        <v>3463</v>
      </c>
      <c r="BV1224" t="s">
        <v>3463</v>
      </c>
      <c r="BW1224" t="s">
        <v>3463</v>
      </c>
      <c r="BX1224" t="s">
        <v>79</v>
      </c>
      <c r="BY1224" t="s">
        <v>87</v>
      </c>
      <c r="BZ1224" t="s">
        <v>95</v>
      </c>
      <c r="CA1224" s="10">
        <v>45912</v>
      </c>
    </row>
    <row r="1225" spans="1:79">
      <c r="A1225">
        <v>1238</v>
      </c>
      <c r="B1225">
        <v>157</v>
      </c>
      <c r="C1225">
        <v>58</v>
      </c>
      <c r="D1225" t="s">
        <v>3466</v>
      </c>
      <c r="E1225" t="s">
        <v>2411</v>
      </c>
      <c r="F1225" t="s">
        <v>2407</v>
      </c>
      <c r="G1225" s="12" t="s">
        <v>3465</v>
      </c>
      <c r="H1225" t="s">
        <v>88</v>
      </c>
      <c r="I1225">
        <v>92</v>
      </c>
      <c r="K1225">
        <v>132</v>
      </c>
      <c r="L1225">
        <v>71</v>
      </c>
      <c r="M1225" t="s">
        <v>82</v>
      </c>
      <c r="P1225" t="s">
        <v>83</v>
      </c>
      <c r="Q1225" t="s">
        <v>82</v>
      </c>
      <c r="R1225">
        <v>70.400000000000006</v>
      </c>
      <c r="S1225">
        <v>150.5</v>
      </c>
      <c r="T1225" s="8">
        <f t="shared" si="39"/>
        <v>31.081334643105485</v>
      </c>
      <c r="U1225" s="13" t="str" cm="1">
        <f t="array" ref="U1225">IF(T1225="","",_xlfn.IFS(T1225&lt;18.5,"Bajo peso",T1225&lt;25,"Peso normal",T1225&lt;30,"Sobrepeso",T1225&lt;35,"Obesidad clase I",T1225&lt;40,"Obesidad clase II",T1225&gt;=40,"Obesidad clase III"))</f>
        <v>Obesidad clase I</v>
      </c>
      <c r="V1225">
        <v>90</v>
      </c>
      <c r="X1225" t="s">
        <v>3463</v>
      </c>
      <c r="Y1225">
        <v>1.25</v>
      </c>
      <c r="AA1225">
        <v>50</v>
      </c>
      <c r="AB1225" s="9">
        <f t="shared" si="38"/>
        <v>49.961566755100876</v>
      </c>
      <c r="AD1225" t="s">
        <v>158</v>
      </c>
      <c r="AF1225" t="s">
        <v>158</v>
      </c>
      <c r="AH1225" t="s">
        <v>3463</v>
      </c>
      <c r="AI1225" t="s">
        <v>3463</v>
      </c>
      <c r="AJ1225" t="s">
        <v>3463</v>
      </c>
      <c r="AK1225" t="s">
        <v>3465</v>
      </c>
      <c r="AL1225" t="s">
        <v>3465</v>
      </c>
      <c r="AM1225" t="s">
        <v>2700</v>
      </c>
      <c r="AN1225" t="s">
        <v>3733</v>
      </c>
      <c r="AP1225" t="s">
        <v>3463</v>
      </c>
      <c r="AQ1225" t="s">
        <v>1567</v>
      </c>
      <c r="AR1225" t="s">
        <v>3491</v>
      </c>
      <c r="AT1225" t="s">
        <v>3465</v>
      </c>
      <c r="AU1225" t="s">
        <v>80</v>
      </c>
      <c r="AV1225" t="s">
        <v>74</v>
      </c>
      <c r="AW1225" t="s">
        <v>3915</v>
      </c>
      <c r="AX1225" t="s">
        <v>3463</v>
      </c>
      <c r="AY1225" t="s">
        <v>3463</v>
      </c>
      <c r="AZ1225" t="s">
        <v>958</v>
      </c>
      <c r="BE1225" t="s">
        <v>2701</v>
      </c>
      <c r="BF1225" t="s">
        <v>3733</v>
      </c>
      <c r="BH1225" t="s">
        <v>4053</v>
      </c>
      <c r="BK1225" t="s">
        <v>2702</v>
      </c>
      <c r="BL1225" t="s">
        <v>2328</v>
      </c>
      <c r="BP1225" t="s">
        <v>4260</v>
      </c>
      <c r="BQ1225" t="s">
        <v>3463</v>
      </c>
      <c r="BR1225" t="s">
        <v>3465</v>
      </c>
      <c r="BS1225" t="s">
        <v>3463</v>
      </c>
      <c r="BT1225" t="s">
        <v>3463</v>
      </c>
      <c r="BU1225" t="s">
        <v>3463</v>
      </c>
      <c r="BV1225" t="s">
        <v>3463</v>
      </c>
      <c r="BW1225" t="s">
        <v>3463</v>
      </c>
      <c r="BX1225" t="s">
        <v>79</v>
      </c>
      <c r="BY1225" t="s">
        <v>79</v>
      </c>
      <c r="BZ1225" t="s">
        <v>79</v>
      </c>
      <c r="CA1225" s="10">
        <v>45912</v>
      </c>
    </row>
    <row r="1226" spans="1:79">
      <c r="A1226">
        <v>1239</v>
      </c>
      <c r="B1226">
        <v>158</v>
      </c>
      <c r="C1226">
        <v>35</v>
      </c>
      <c r="D1226" t="s">
        <v>3466</v>
      </c>
      <c r="E1226" t="s">
        <v>2660</v>
      </c>
      <c r="F1226" t="s">
        <v>168</v>
      </c>
      <c r="G1226" s="12" t="s">
        <v>3465</v>
      </c>
      <c r="H1226" t="s">
        <v>88</v>
      </c>
      <c r="I1226">
        <v>83</v>
      </c>
      <c r="J1226">
        <v>74</v>
      </c>
      <c r="K1226">
        <v>139</v>
      </c>
      <c r="L1226">
        <v>79</v>
      </c>
      <c r="M1226" t="s">
        <v>82</v>
      </c>
      <c r="N1226">
        <v>128</v>
      </c>
      <c r="O1226">
        <v>70</v>
      </c>
      <c r="P1226" t="s">
        <v>118</v>
      </c>
      <c r="Q1226" t="s">
        <v>118</v>
      </c>
      <c r="R1226">
        <v>76.400000000000006</v>
      </c>
      <c r="S1226">
        <v>158.5</v>
      </c>
      <c r="T1226" s="8">
        <f t="shared" si="39"/>
        <v>30.411288797778866</v>
      </c>
      <c r="U1226" s="13" t="str" cm="1">
        <f t="array" ref="U1226">IF(T1226="","",_xlfn.IFS(T1226&lt;18.5,"Bajo peso",T1226&lt;25,"Peso normal",T1226&lt;30,"Sobrepeso",T1226&lt;35,"Obesidad clase I",T1226&lt;40,"Obesidad clase II",T1226&gt;=40,"Obesidad clase III"))</f>
        <v>Obesidad clase I</v>
      </c>
      <c r="V1226">
        <v>114</v>
      </c>
      <c r="X1226" t="s">
        <v>3463</v>
      </c>
      <c r="Y1226">
        <v>0.96</v>
      </c>
      <c r="AA1226">
        <v>79</v>
      </c>
      <c r="AB1226" s="9">
        <f t="shared" si="38"/>
        <v>79.127192996612749</v>
      </c>
      <c r="AD1226" t="s">
        <v>73</v>
      </c>
      <c r="AF1226" t="s">
        <v>73</v>
      </c>
      <c r="AH1226" t="s">
        <v>3463</v>
      </c>
      <c r="AI1226" t="s">
        <v>3463</v>
      </c>
      <c r="AJ1226" t="s">
        <v>3463</v>
      </c>
      <c r="AK1226" t="s">
        <v>3463</v>
      </c>
      <c r="AL1226" t="s">
        <v>3463</v>
      </c>
      <c r="AP1226" t="s">
        <v>3463</v>
      </c>
      <c r="AQ1226" t="s">
        <v>2703</v>
      </c>
      <c r="AR1226" t="s">
        <v>3569</v>
      </c>
      <c r="AV1226" t="s">
        <v>74</v>
      </c>
      <c r="AW1226" t="s">
        <v>3915</v>
      </c>
      <c r="AX1226" t="s">
        <v>3463</v>
      </c>
      <c r="AY1226" t="s">
        <v>3465</v>
      </c>
      <c r="AZ1226" t="s">
        <v>247</v>
      </c>
      <c r="BF1226" t="s">
        <v>3921</v>
      </c>
      <c r="BH1226" t="s">
        <v>4020</v>
      </c>
      <c r="BP1226" t="s">
        <v>4260</v>
      </c>
      <c r="BQ1226" t="s">
        <v>3463</v>
      </c>
      <c r="BR1226" t="s">
        <v>3465</v>
      </c>
      <c r="BS1226" t="s">
        <v>3465</v>
      </c>
      <c r="BT1226" t="s">
        <v>3465</v>
      </c>
      <c r="BU1226" t="s">
        <v>3463</v>
      </c>
      <c r="BV1226" t="s">
        <v>3463</v>
      </c>
      <c r="BW1226" t="s">
        <v>3463</v>
      </c>
      <c r="BX1226" t="s">
        <v>79</v>
      </c>
      <c r="BY1226" t="s">
        <v>79</v>
      </c>
      <c r="BZ1226" t="s">
        <v>79</v>
      </c>
      <c r="CA1226" s="10">
        <v>45912</v>
      </c>
    </row>
    <row r="1227" spans="1:79">
      <c r="A1227">
        <v>1240</v>
      </c>
      <c r="B1227">
        <v>160</v>
      </c>
      <c r="C1227">
        <v>30</v>
      </c>
      <c r="D1227" t="s">
        <v>3462</v>
      </c>
      <c r="E1227" t="s">
        <v>2416</v>
      </c>
      <c r="F1227" t="s">
        <v>2407</v>
      </c>
      <c r="G1227" s="12" t="s">
        <v>3463</v>
      </c>
      <c r="I1227">
        <v>70</v>
      </c>
      <c r="K1227">
        <v>133</v>
      </c>
      <c r="L1227">
        <v>79</v>
      </c>
      <c r="M1227" t="s">
        <v>82</v>
      </c>
      <c r="P1227" t="s">
        <v>83</v>
      </c>
      <c r="Q1227" t="s">
        <v>82</v>
      </c>
      <c r="R1227">
        <v>63</v>
      </c>
      <c r="S1227">
        <v>158.5</v>
      </c>
      <c r="T1227" s="8">
        <f t="shared" si="39"/>
        <v>25.077371652618694</v>
      </c>
      <c r="U1227" s="13" t="str" cm="1">
        <f t="array" ref="U1227">IF(T1227="","",_xlfn.IFS(T1227&lt;18.5,"Bajo peso",T1227&lt;25,"Peso normal",T1227&lt;30,"Sobrepeso",T1227&lt;35,"Obesidad clase I",T1227&lt;40,"Obesidad clase II",T1227&gt;=40,"Obesidad clase III"))</f>
        <v>Sobrepeso</v>
      </c>
      <c r="V1227">
        <v>92</v>
      </c>
      <c r="X1227" t="s">
        <v>3463</v>
      </c>
      <c r="Y1227">
        <v>1.49</v>
      </c>
      <c r="AA1227">
        <v>64</v>
      </c>
      <c r="AB1227" s="9">
        <f t="shared" si="38"/>
        <v>64.346600247869276</v>
      </c>
      <c r="AD1227" t="s">
        <v>73</v>
      </c>
      <c r="AF1227" t="s">
        <v>73</v>
      </c>
      <c r="AH1227" t="s">
        <v>3463</v>
      </c>
      <c r="AI1227" t="s">
        <v>3463</v>
      </c>
      <c r="AJ1227" t="s">
        <v>3463</v>
      </c>
      <c r="AK1227" t="s">
        <v>3463</v>
      </c>
      <c r="AL1227" t="s">
        <v>3465</v>
      </c>
      <c r="AM1227" t="s">
        <v>2704</v>
      </c>
      <c r="AN1227" t="s">
        <v>3700</v>
      </c>
      <c r="AP1227" t="s">
        <v>3463</v>
      </c>
      <c r="AQ1227" t="s">
        <v>1963</v>
      </c>
      <c r="AR1227" t="s">
        <v>3491</v>
      </c>
      <c r="AV1227" t="s">
        <v>126</v>
      </c>
      <c r="AW1227" t="s">
        <v>126</v>
      </c>
      <c r="BF1227" t="s">
        <v>3921</v>
      </c>
      <c r="BH1227" t="s">
        <v>4020</v>
      </c>
      <c r="BP1227" t="s">
        <v>4260</v>
      </c>
      <c r="BQ1227" t="s">
        <v>3463</v>
      </c>
      <c r="BR1227" t="s">
        <v>3465</v>
      </c>
      <c r="BS1227" t="s">
        <v>3465</v>
      </c>
      <c r="BT1227" t="s">
        <v>3465</v>
      </c>
      <c r="BU1227" t="s">
        <v>3463</v>
      </c>
      <c r="BV1227" t="s">
        <v>3463</v>
      </c>
      <c r="BW1227" t="s">
        <v>3463</v>
      </c>
      <c r="BX1227" t="s">
        <v>79</v>
      </c>
      <c r="BY1227" t="s">
        <v>87</v>
      </c>
      <c r="BZ1227" t="s">
        <v>79</v>
      </c>
      <c r="CA1227" s="10">
        <v>45912</v>
      </c>
    </row>
    <row r="1228" spans="1:79">
      <c r="A1228">
        <v>1241</v>
      </c>
      <c r="B1228">
        <v>161</v>
      </c>
      <c r="C1228">
        <v>43</v>
      </c>
      <c r="D1228" t="s">
        <v>3462</v>
      </c>
      <c r="F1228" t="s">
        <v>2407</v>
      </c>
      <c r="G1228" s="12" t="s">
        <v>3465</v>
      </c>
      <c r="H1228" s="12" t="s">
        <v>88</v>
      </c>
      <c r="I1228">
        <v>70</v>
      </c>
      <c r="K1228">
        <v>130</v>
      </c>
      <c r="L1228">
        <v>77</v>
      </c>
      <c r="M1228" t="s">
        <v>82</v>
      </c>
      <c r="P1228" t="s">
        <v>83</v>
      </c>
      <c r="Q1228" t="s">
        <v>82</v>
      </c>
      <c r="R1228">
        <v>73.400000000000006</v>
      </c>
      <c r="S1228">
        <v>158</v>
      </c>
      <c r="T1228" s="8">
        <f t="shared" si="39"/>
        <v>29.402339368690917</v>
      </c>
      <c r="U1228" s="13" t="str" cm="1">
        <f t="array" ref="U1228">IF(T1228="","",_xlfn.IFS(T1228&lt;18.5,"Bajo peso",T1228&lt;25,"Peso normal",T1228&lt;30,"Sobrepeso",T1228&lt;35,"Obesidad clase I",T1228&lt;40,"Obesidad clase II",T1228&gt;=40,"Obesidad clase III"))</f>
        <v>Sobrepeso</v>
      </c>
      <c r="V1228">
        <v>132</v>
      </c>
      <c r="X1228" t="s">
        <v>3463</v>
      </c>
      <c r="Y1228">
        <v>1.83</v>
      </c>
      <c r="AA1228">
        <v>45</v>
      </c>
      <c r="AB1228" s="9">
        <f t="shared" si="38"/>
        <v>46.376153159405256</v>
      </c>
      <c r="AD1228" t="s">
        <v>158</v>
      </c>
      <c r="AF1228" t="s">
        <v>158</v>
      </c>
      <c r="AH1228" t="s">
        <v>3463</v>
      </c>
      <c r="AI1228" t="s">
        <v>3463</v>
      </c>
      <c r="AJ1228" t="s">
        <v>3463</v>
      </c>
      <c r="AK1228" t="s">
        <v>3463</v>
      </c>
      <c r="AL1228" t="s">
        <v>3463</v>
      </c>
      <c r="AP1228" t="s">
        <v>3463</v>
      </c>
      <c r="AV1228" t="s">
        <v>74</v>
      </c>
      <c r="AW1228" t="s">
        <v>3915</v>
      </c>
      <c r="BF1228" t="s">
        <v>3921</v>
      </c>
      <c r="BG1228" t="s">
        <v>2705</v>
      </c>
      <c r="BH1228" t="s">
        <v>4156</v>
      </c>
      <c r="BK1228" t="s">
        <v>2706</v>
      </c>
      <c r="BL1228" t="s">
        <v>2707</v>
      </c>
      <c r="BP1228" t="s">
        <v>4533</v>
      </c>
      <c r="BQ1228" t="s">
        <v>3463</v>
      </c>
      <c r="BR1228" t="s">
        <v>3465</v>
      </c>
      <c r="BS1228" t="s">
        <v>3463</v>
      </c>
      <c r="BT1228" t="s">
        <v>3463</v>
      </c>
      <c r="BU1228" t="s">
        <v>3463</v>
      </c>
      <c r="BV1228" t="s">
        <v>3463</v>
      </c>
      <c r="BW1228" t="s">
        <v>3463</v>
      </c>
      <c r="BX1228" t="s">
        <v>79</v>
      </c>
      <c r="BY1228" t="s">
        <v>87</v>
      </c>
      <c r="BZ1228" t="s">
        <v>79</v>
      </c>
      <c r="CA1228" s="10">
        <v>45912</v>
      </c>
    </row>
    <row r="1229" spans="1:79">
      <c r="A1229">
        <v>1242</v>
      </c>
      <c r="B1229">
        <v>162</v>
      </c>
      <c r="C1229">
        <v>58</v>
      </c>
      <c r="D1229" t="s">
        <v>3466</v>
      </c>
      <c r="E1229" t="s">
        <v>2411</v>
      </c>
      <c r="F1229" t="s">
        <v>2407</v>
      </c>
      <c r="G1229" s="12" t="s">
        <v>3465</v>
      </c>
      <c r="H1229" s="12" t="s">
        <v>88</v>
      </c>
      <c r="I1229">
        <v>109</v>
      </c>
      <c r="J1229">
        <v>105</v>
      </c>
      <c r="K1229">
        <v>196</v>
      </c>
      <c r="L1229">
        <v>105</v>
      </c>
      <c r="M1229" t="s">
        <v>96</v>
      </c>
      <c r="N1229">
        <v>163</v>
      </c>
      <c r="O1229">
        <v>101</v>
      </c>
      <c r="P1229" t="s">
        <v>72</v>
      </c>
      <c r="Q1229" t="s">
        <v>72</v>
      </c>
      <c r="R1229">
        <v>91.4</v>
      </c>
      <c r="S1229">
        <v>160</v>
      </c>
      <c r="T1229" s="8">
        <f t="shared" si="39"/>
        <v>35.703125</v>
      </c>
      <c r="U1229" s="13" t="str" cm="1">
        <f t="array" ref="U1229">IF(T1229="","",_xlfn.IFS(T1229&lt;18.5,"Bajo peso",T1229&lt;25,"Peso normal",T1229&lt;30,"Sobrepeso",T1229&lt;35,"Obesidad clase I",T1229&lt;40,"Obesidad clase II",T1229&gt;=40,"Obesidad clase III"))</f>
        <v>Obesidad clase II</v>
      </c>
      <c r="V1229">
        <v>413</v>
      </c>
      <c r="W1229">
        <v>413</v>
      </c>
      <c r="X1229" t="s">
        <v>3465</v>
      </c>
      <c r="Y1229">
        <v>1.49</v>
      </c>
      <c r="Z1229">
        <v>1.37</v>
      </c>
      <c r="AA1229">
        <v>40</v>
      </c>
      <c r="AB1229" s="9">
        <f t="shared" si="38"/>
        <v>40.467329217719573</v>
      </c>
      <c r="AC1229">
        <v>45</v>
      </c>
      <c r="AD1229" t="s">
        <v>218</v>
      </c>
      <c r="AE1229" t="s">
        <v>158</v>
      </c>
      <c r="AF1229" t="s">
        <v>158</v>
      </c>
      <c r="AG1229" t="s">
        <v>3465</v>
      </c>
      <c r="AH1229" t="s">
        <v>3465</v>
      </c>
      <c r="AI1229" t="s">
        <v>3465</v>
      </c>
      <c r="AJ1229" t="s">
        <v>3463</v>
      </c>
      <c r="AK1229" t="s">
        <v>3463</v>
      </c>
      <c r="AL1229" t="s">
        <v>3465</v>
      </c>
      <c r="AM1229" t="s">
        <v>2708</v>
      </c>
      <c r="AN1229" t="s">
        <v>3860</v>
      </c>
      <c r="AP1229" t="s">
        <v>3463</v>
      </c>
      <c r="AQ1229" t="s">
        <v>2709</v>
      </c>
      <c r="AR1229" t="s">
        <v>3488</v>
      </c>
      <c r="AS1229" t="s">
        <v>3465</v>
      </c>
      <c r="AT1229" t="s">
        <v>3465</v>
      </c>
      <c r="AU1229" t="s">
        <v>80</v>
      </c>
      <c r="AV1229" t="s">
        <v>74</v>
      </c>
      <c r="AW1229" t="s">
        <v>3915</v>
      </c>
      <c r="AX1229" t="s">
        <v>3463</v>
      </c>
      <c r="AY1229" t="s">
        <v>3465</v>
      </c>
      <c r="AZ1229" t="s">
        <v>1446</v>
      </c>
      <c r="BA1229" t="s">
        <v>3920</v>
      </c>
      <c r="BB1229" t="s">
        <v>3485</v>
      </c>
      <c r="BE1229" t="s">
        <v>2710</v>
      </c>
      <c r="BF1229" t="s">
        <v>3934</v>
      </c>
      <c r="BG1229" t="s">
        <v>2711</v>
      </c>
      <c r="BH1229" t="s">
        <v>4144</v>
      </c>
      <c r="BI1229" t="s">
        <v>411</v>
      </c>
      <c r="BK1229" t="s">
        <v>2712</v>
      </c>
      <c r="BL1229" t="s">
        <v>2713</v>
      </c>
      <c r="BP1229" t="s">
        <v>4320</v>
      </c>
      <c r="BQ1229" t="s">
        <v>3463</v>
      </c>
      <c r="BR1229" t="s">
        <v>3463</v>
      </c>
      <c r="BS1229" t="s">
        <v>3463</v>
      </c>
      <c r="BT1229" t="s">
        <v>3463</v>
      </c>
      <c r="BU1229" t="s">
        <v>3463</v>
      </c>
      <c r="BV1229" t="s">
        <v>3463</v>
      </c>
      <c r="BW1229" t="s">
        <v>3463</v>
      </c>
      <c r="BX1229" t="s">
        <v>79</v>
      </c>
      <c r="BY1229" t="s">
        <v>109</v>
      </c>
      <c r="BZ1229" t="s">
        <v>79</v>
      </c>
      <c r="CA1229" s="10">
        <v>45912</v>
      </c>
    </row>
    <row r="1230" spans="1:79">
      <c r="A1230">
        <v>1243</v>
      </c>
      <c r="B1230">
        <v>163</v>
      </c>
      <c r="C1230">
        <v>60</v>
      </c>
      <c r="D1230" t="s">
        <v>3462</v>
      </c>
      <c r="E1230" t="s">
        <v>2416</v>
      </c>
      <c r="F1230" t="s">
        <v>2407</v>
      </c>
      <c r="G1230" s="12" t="s">
        <v>3465</v>
      </c>
      <c r="H1230" t="s">
        <v>88</v>
      </c>
      <c r="I1230">
        <v>56</v>
      </c>
      <c r="K1230">
        <v>108</v>
      </c>
      <c r="L1230">
        <v>61</v>
      </c>
      <c r="M1230" t="s">
        <v>80</v>
      </c>
      <c r="P1230" t="s">
        <v>83</v>
      </c>
      <c r="Q1230" t="s">
        <v>80</v>
      </c>
      <c r="R1230">
        <v>80.3</v>
      </c>
      <c r="S1230">
        <v>167</v>
      </c>
      <c r="T1230" s="8">
        <f t="shared" si="39"/>
        <v>28.7927139732511</v>
      </c>
      <c r="U1230" s="13" t="str" cm="1">
        <f t="array" ref="U1230">IF(T1230="","",_xlfn.IFS(T1230&lt;18.5,"Bajo peso",T1230&lt;25,"Peso normal",T1230&lt;30,"Sobrepeso",T1230&lt;35,"Obesidad clase I",T1230&lt;40,"Obesidad clase II",T1230&gt;=40,"Obesidad clase III"))</f>
        <v>Sobrepeso</v>
      </c>
      <c r="V1230">
        <v>116</v>
      </c>
      <c r="X1230" t="s">
        <v>3463</v>
      </c>
      <c r="Y1230">
        <v>1.42</v>
      </c>
      <c r="AA1230">
        <v>57</v>
      </c>
      <c r="AB1230" s="9">
        <f t="shared" si="38"/>
        <v>56.568268683880326</v>
      </c>
      <c r="AD1230" t="s">
        <v>158</v>
      </c>
      <c r="AF1230" t="s">
        <v>158</v>
      </c>
      <c r="AH1230" t="s">
        <v>3463</v>
      </c>
      <c r="AI1230" t="s">
        <v>3463</v>
      </c>
      <c r="AJ1230" t="s">
        <v>3463</v>
      </c>
      <c r="AK1230" t="s">
        <v>3463</v>
      </c>
      <c r="AL1230" t="s">
        <v>3463</v>
      </c>
      <c r="AP1230" t="s">
        <v>3463</v>
      </c>
      <c r="AV1230" t="s">
        <v>74</v>
      </c>
      <c r="AW1230" t="s">
        <v>3915</v>
      </c>
      <c r="BE1230" t="s">
        <v>2714</v>
      </c>
      <c r="BF1230" t="s">
        <v>3943</v>
      </c>
      <c r="BH1230" t="s">
        <v>4029</v>
      </c>
      <c r="BL1230" t="s">
        <v>2328</v>
      </c>
      <c r="BP1230" t="s">
        <v>4260</v>
      </c>
      <c r="BQ1230" t="s">
        <v>3465</v>
      </c>
      <c r="BR1230" t="s">
        <v>3465</v>
      </c>
      <c r="BS1230" t="s">
        <v>3463</v>
      </c>
      <c r="BT1230" t="s">
        <v>3463</v>
      </c>
      <c r="BU1230" t="s">
        <v>3463</v>
      </c>
      <c r="BV1230" t="s">
        <v>3463</v>
      </c>
      <c r="BW1230" t="s">
        <v>3463</v>
      </c>
      <c r="BX1230" t="s">
        <v>79</v>
      </c>
      <c r="BY1230" t="s">
        <v>79</v>
      </c>
      <c r="BZ1230" t="s">
        <v>79</v>
      </c>
      <c r="CA1230" s="10">
        <v>45912</v>
      </c>
    </row>
    <row r="1231" spans="1:79">
      <c r="A1231">
        <v>1244</v>
      </c>
      <c r="B1231">
        <v>164</v>
      </c>
      <c r="C1231">
        <v>25</v>
      </c>
      <c r="D1231" t="s">
        <v>3466</v>
      </c>
      <c r="E1231" t="s">
        <v>2411</v>
      </c>
      <c r="F1231" t="s">
        <v>2407</v>
      </c>
      <c r="G1231" s="12" t="s">
        <v>3463</v>
      </c>
      <c r="I1231">
        <v>83</v>
      </c>
      <c r="J1231">
        <v>79</v>
      </c>
      <c r="K1231">
        <v>140</v>
      </c>
      <c r="L1231">
        <v>89</v>
      </c>
      <c r="M1231" t="s">
        <v>72</v>
      </c>
      <c r="N1231">
        <v>143</v>
      </c>
      <c r="O1231">
        <v>89</v>
      </c>
      <c r="P1231" t="s">
        <v>72</v>
      </c>
      <c r="Q1231" t="s">
        <v>72</v>
      </c>
      <c r="R1231">
        <v>67.2</v>
      </c>
      <c r="S1231">
        <v>154</v>
      </c>
      <c r="T1231" s="8">
        <f t="shared" si="39"/>
        <v>28.335301062573791</v>
      </c>
      <c r="U1231" s="13" t="str" cm="1">
        <f t="array" ref="U1231">IF(T1231="","",_xlfn.IFS(T1231&lt;18.5,"Bajo peso",T1231&lt;25,"Peso normal",T1231&lt;30,"Sobrepeso",T1231&lt;35,"Obesidad clase I",T1231&lt;40,"Obesidad clase II",T1231&gt;=40,"Obesidad clase III"))</f>
        <v>Sobrepeso</v>
      </c>
      <c r="V1231">
        <v>83</v>
      </c>
      <c r="X1231" t="s">
        <v>3463</v>
      </c>
      <c r="Y1231">
        <v>1.27</v>
      </c>
      <c r="AA1231">
        <v>60</v>
      </c>
      <c r="AB1231" s="9">
        <f t="shared" si="38"/>
        <v>60.186189748588831</v>
      </c>
      <c r="AD1231" t="s">
        <v>73</v>
      </c>
      <c r="AF1231" t="s">
        <v>73</v>
      </c>
      <c r="AH1231" t="s">
        <v>3463</v>
      </c>
      <c r="AI1231" t="s">
        <v>3463</v>
      </c>
      <c r="AJ1231" t="s">
        <v>3463</v>
      </c>
      <c r="AK1231" t="s">
        <v>3463</v>
      </c>
      <c r="AL1231" t="s">
        <v>3463</v>
      </c>
      <c r="AO1231" t="s">
        <v>3465</v>
      </c>
      <c r="AP1231" t="s">
        <v>3465</v>
      </c>
      <c r="AQ1231" t="s">
        <v>2715</v>
      </c>
      <c r="AR1231" t="s">
        <v>3489</v>
      </c>
      <c r="AT1231" t="s">
        <v>3465</v>
      </c>
      <c r="AU1231" t="s">
        <v>80</v>
      </c>
      <c r="AV1231" t="s">
        <v>74</v>
      </c>
      <c r="AW1231" t="s">
        <v>3915</v>
      </c>
      <c r="AX1231" t="s">
        <v>3465</v>
      </c>
      <c r="AY1231" t="s">
        <v>3463</v>
      </c>
      <c r="BF1231" t="s">
        <v>3921</v>
      </c>
      <c r="BH1231" t="s">
        <v>4021</v>
      </c>
      <c r="BI1231" t="s">
        <v>76</v>
      </c>
      <c r="BK1231" t="s">
        <v>911</v>
      </c>
      <c r="BL1231" t="s">
        <v>2716</v>
      </c>
      <c r="BP1231" t="s">
        <v>4261</v>
      </c>
      <c r="BQ1231" t="s">
        <v>3463</v>
      </c>
      <c r="BR1231" t="s">
        <v>3465</v>
      </c>
      <c r="BS1231" t="s">
        <v>3463</v>
      </c>
      <c r="BT1231" t="s">
        <v>3463</v>
      </c>
      <c r="BU1231" t="s">
        <v>3463</v>
      </c>
      <c r="BV1231" t="s">
        <v>3463</v>
      </c>
      <c r="BW1231" t="s">
        <v>3463</v>
      </c>
      <c r="BX1231" t="s">
        <v>79</v>
      </c>
      <c r="BY1231" t="s">
        <v>121</v>
      </c>
      <c r="BZ1231" t="s">
        <v>79</v>
      </c>
      <c r="CA1231" s="10">
        <v>45912</v>
      </c>
    </row>
    <row r="1232" spans="1:79">
      <c r="A1232">
        <v>1245</v>
      </c>
      <c r="B1232">
        <v>165</v>
      </c>
      <c r="C1232">
        <v>24</v>
      </c>
      <c r="D1232" t="s">
        <v>3462</v>
      </c>
      <c r="F1232" t="s">
        <v>2407</v>
      </c>
      <c r="G1232" s="12" t="s">
        <v>3463</v>
      </c>
      <c r="H1232" s="12"/>
      <c r="I1232">
        <v>62</v>
      </c>
      <c r="J1232">
        <v>57</v>
      </c>
      <c r="K1232">
        <v>144</v>
      </c>
      <c r="L1232">
        <v>84</v>
      </c>
      <c r="M1232" t="s">
        <v>72</v>
      </c>
      <c r="N1232">
        <v>138</v>
      </c>
      <c r="O1232">
        <v>78</v>
      </c>
      <c r="P1232" t="s">
        <v>82</v>
      </c>
      <c r="Q1232" t="s">
        <v>82</v>
      </c>
      <c r="R1232">
        <v>76</v>
      </c>
      <c r="S1232">
        <v>168</v>
      </c>
      <c r="T1232" s="8">
        <f t="shared" si="39"/>
        <v>26.927437641723358</v>
      </c>
      <c r="U1232" s="13" t="str" cm="1">
        <f t="array" ref="U1232">IF(T1232="","",_xlfn.IFS(T1232&lt;18.5,"Bajo peso",T1232&lt;25,"Peso normal",T1232&lt;30,"Sobrepeso",T1232&lt;35,"Obesidad clase I",T1232&lt;40,"Obesidad clase II",T1232&gt;=40,"Obesidad clase III"))</f>
        <v>Sobrepeso</v>
      </c>
      <c r="V1232">
        <v>100</v>
      </c>
      <c r="X1232" t="s">
        <v>3463</v>
      </c>
      <c r="Y1232">
        <v>1.67</v>
      </c>
      <c r="AA1232">
        <v>58</v>
      </c>
      <c r="AB1232" s="9">
        <f t="shared" si="38"/>
        <v>58.249930048645595</v>
      </c>
      <c r="AD1232" t="s">
        <v>158</v>
      </c>
      <c r="AF1232" t="s">
        <v>158</v>
      </c>
      <c r="AH1232" t="s">
        <v>3463</v>
      </c>
      <c r="AI1232" t="s">
        <v>3463</v>
      </c>
      <c r="AJ1232" t="s">
        <v>3463</v>
      </c>
      <c r="AK1232" t="s">
        <v>3463</v>
      </c>
      <c r="AL1232" t="s">
        <v>3463</v>
      </c>
      <c r="AP1232" t="s">
        <v>3463</v>
      </c>
      <c r="AQ1232" t="s">
        <v>2717</v>
      </c>
      <c r="AR1232" t="s">
        <v>3491</v>
      </c>
      <c r="AV1232" t="s">
        <v>74</v>
      </c>
      <c r="AW1232" t="s">
        <v>3915</v>
      </c>
      <c r="BA1232" t="s">
        <v>3920</v>
      </c>
      <c r="BF1232" t="s">
        <v>3921</v>
      </c>
      <c r="BG1232" t="s">
        <v>2718</v>
      </c>
      <c r="BH1232" t="s">
        <v>4194</v>
      </c>
      <c r="BI1232" t="s">
        <v>2719</v>
      </c>
      <c r="BK1232" t="s">
        <v>2720</v>
      </c>
      <c r="BL1232" t="s">
        <v>2514</v>
      </c>
      <c r="BP1232" t="s">
        <v>4528</v>
      </c>
      <c r="BQ1232" t="s">
        <v>3463</v>
      </c>
      <c r="BR1232" t="s">
        <v>3465</v>
      </c>
      <c r="BS1232" t="s">
        <v>3465</v>
      </c>
      <c r="BT1232" t="s">
        <v>3465</v>
      </c>
      <c r="BU1232" t="s">
        <v>3463</v>
      </c>
      <c r="BV1232" t="s">
        <v>3463</v>
      </c>
      <c r="BW1232" t="s">
        <v>3463</v>
      </c>
      <c r="BX1232" t="s">
        <v>79</v>
      </c>
      <c r="BY1232" t="s">
        <v>79</v>
      </c>
      <c r="BZ1232" t="s">
        <v>79</v>
      </c>
      <c r="CA1232" s="10">
        <v>45912</v>
      </c>
    </row>
    <row r="1233" spans="1:79">
      <c r="A1233">
        <v>1246</v>
      </c>
      <c r="B1233">
        <v>166</v>
      </c>
      <c r="C1233">
        <v>76</v>
      </c>
      <c r="D1233" t="s">
        <v>3466</v>
      </c>
      <c r="E1233" t="s">
        <v>2416</v>
      </c>
      <c r="F1233" t="s">
        <v>2407</v>
      </c>
      <c r="G1233" s="12" t="s">
        <v>3463</v>
      </c>
      <c r="I1233">
        <v>75</v>
      </c>
      <c r="J1233">
        <v>75</v>
      </c>
      <c r="K1233">
        <v>157</v>
      </c>
      <c r="L1233">
        <v>75</v>
      </c>
      <c r="M1233" t="s">
        <v>72</v>
      </c>
      <c r="N1233">
        <v>176</v>
      </c>
      <c r="O1233">
        <v>90</v>
      </c>
      <c r="P1233" t="s">
        <v>72</v>
      </c>
      <c r="Q1233" t="s">
        <v>72</v>
      </c>
      <c r="R1233">
        <v>76</v>
      </c>
      <c r="S1233">
        <v>155</v>
      </c>
      <c r="T1233" s="8">
        <f t="shared" si="39"/>
        <v>31.633714880332985</v>
      </c>
      <c r="U1233" s="13" t="str" cm="1">
        <f t="array" ref="U1233">IF(T1233="","",_xlfn.IFS(T1233&lt;18.5,"Bajo peso",T1233&lt;25,"Peso normal",T1233&lt;30,"Sobrepeso",T1233&lt;35,"Obesidad clase I",T1233&lt;40,"Obesidad clase II",T1233&gt;=40,"Obesidad clase III"))</f>
        <v>Obesidad clase I</v>
      </c>
      <c r="V1233">
        <v>111</v>
      </c>
      <c r="W1233">
        <v>56</v>
      </c>
      <c r="X1233" t="s">
        <v>3463</v>
      </c>
      <c r="Y1233">
        <v>1.62</v>
      </c>
      <c r="AA1233">
        <v>33</v>
      </c>
      <c r="AB1233" s="9">
        <f t="shared" si="38"/>
        <v>32.725923479584182</v>
      </c>
      <c r="AC1233">
        <v>1.03</v>
      </c>
      <c r="AD1233" t="s">
        <v>218</v>
      </c>
      <c r="AE1233" t="s">
        <v>865</v>
      </c>
      <c r="AF1233" t="s">
        <v>218</v>
      </c>
      <c r="AI1233" t="s">
        <v>3465</v>
      </c>
      <c r="AJ1233" t="s">
        <v>3463</v>
      </c>
      <c r="AK1233" t="s">
        <v>3463</v>
      </c>
      <c r="AL1233" t="s">
        <v>3465</v>
      </c>
      <c r="AM1233" t="s">
        <v>2721</v>
      </c>
      <c r="AN1233" t="s">
        <v>3861</v>
      </c>
      <c r="AS1233" t="s">
        <v>3465</v>
      </c>
      <c r="AT1233" t="s">
        <v>3465</v>
      </c>
      <c r="AU1233" t="s">
        <v>125</v>
      </c>
      <c r="AV1233" t="s">
        <v>112</v>
      </c>
      <c r="AW1233" t="s">
        <v>3917</v>
      </c>
      <c r="AX1233" t="s">
        <v>3463</v>
      </c>
      <c r="AY1233" t="s">
        <v>3463</v>
      </c>
      <c r="BA1233" t="s">
        <v>3920</v>
      </c>
      <c r="BF1233" t="s">
        <v>3921</v>
      </c>
      <c r="BG1233" t="s">
        <v>2722</v>
      </c>
      <c r="BH1233" t="s">
        <v>4219</v>
      </c>
      <c r="BI1233" t="s">
        <v>2668</v>
      </c>
      <c r="BL1233" t="s">
        <v>2723</v>
      </c>
      <c r="BP1233" t="s">
        <v>4534</v>
      </c>
      <c r="BQ1233" t="s">
        <v>3463</v>
      </c>
      <c r="BR1233" t="s">
        <v>3463</v>
      </c>
      <c r="BS1233" t="s">
        <v>3465</v>
      </c>
      <c r="BT1233" t="s">
        <v>3465</v>
      </c>
      <c r="BU1233" t="s">
        <v>3463</v>
      </c>
      <c r="BV1233" t="s">
        <v>3463</v>
      </c>
      <c r="BW1233" t="s">
        <v>3463</v>
      </c>
      <c r="BX1233" t="s">
        <v>79</v>
      </c>
      <c r="BY1233" t="s">
        <v>79</v>
      </c>
      <c r="BZ1233" t="s">
        <v>79</v>
      </c>
      <c r="CA1233" s="10">
        <v>45912</v>
      </c>
    </row>
    <row r="1234" spans="1:79">
      <c r="A1234">
        <v>1247</v>
      </c>
      <c r="B1234">
        <v>167</v>
      </c>
      <c r="C1234">
        <v>44</v>
      </c>
      <c r="D1234" t="s">
        <v>3462</v>
      </c>
      <c r="E1234" t="s">
        <v>2550</v>
      </c>
      <c r="F1234" t="s">
        <v>2407</v>
      </c>
      <c r="G1234" s="12" t="s">
        <v>3465</v>
      </c>
      <c r="H1234" s="12" t="s">
        <v>88</v>
      </c>
      <c r="I1234">
        <v>87</v>
      </c>
      <c r="J1234">
        <v>86</v>
      </c>
      <c r="K1234">
        <v>142</v>
      </c>
      <c r="L1234">
        <v>85</v>
      </c>
      <c r="M1234" t="s">
        <v>72</v>
      </c>
      <c r="N1234">
        <v>131</v>
      </c>
      <c r="O1234">
        <v>86</v>
      </c>
      <c r="P1234" t="s">
        <v>82</v>
      </c>
      <c r="Q1234" t="s">
        <v>82</v>
      </c>
      <c r="R1234">
        <v>71.8</v>
      </c>
      <c r="S1234">
        <v>172</v>
      </c>
      <c r="T1234" s="8">
        <f t="shared" si="39"/>
        <v>24.269875608436994</v>
      </c>
      <c r="U1234" s="13" t="str" cm="1">
        <f t="array" ref="U1234">IF(T1234="","",_xlfn.IFS(T1234&lt;18.5,"Bajo peso",T1234&lt;25,"Peso normal",T1234&lt;30,"Sobrepeso",T1234&lt;35,"Obesidad clase I",T1234&lt;40,"Obesidad clase II",T1234&gt;=40,"Obesidad clase III"))</f>
        <v>Peso normal</v>
      </c>
      <c r="V1234">
        <v>148</v>
      </c>
      <c r="X1234" t="s">
        <v>3463</v>
      </c>
      <c r="Y1234">
        <v>1.06</v>
      </c>
      <c r="AA1234">
        <v>89</v>
      </c>
      <c r="AB1234" s="9">
        <f t="shared" si="38"/>
        <v>88.74992268948543</v>
      </c>
      <c r="AD1234" t="s">
        <v>73</v>
      </c>
      <c r="AF1234" t="s">
        <v>73</v>
      </c>
      <c r="AH1234" t="s">
        <v>3463</v>
      </c>
      <c r="AI1234" t="s">
        <v>3463</v>
      </c>
      <c r="AJ1234" t="s">
        <v>3463</v>
      </c>
      <c r="AK1234" t="s">
        <v>3463</v>
      </c>
      <c r="AL1234" t="s">
        <v>3465</v>
      </c>
      <c r="AM1234" t="s">
        <v>2342</v>
      </c>
      <c r="AN1234" t="s">
        <v>3791</v>
      </c>
      <c r="AP1234" t="s">
        <v>3463</v>
      </c>
      <c r="AQ1234" t="s">
        <v>2724</v>
      </c>
      <c r="AR1234" t="s">
        <v>3493</v>
      </c>
      <c r="AV1234" t="s">
        <v>74</v>
      </c>
      <c r="AW1234" t="s">
        <v>3915</v>
      </c>
      <c r="BE1234" t="s">
        <v>2725</v>
      </c>
      <c r="BF1234" t="s">
        <v>2725</v>
      </c>
      <c r="BH1234" t="s">
        <v>4029</v>
      </c>
      <c r="BK1234" t="s">
        <v>2726</v>
      </c>
      <c r="BP1234" t="s">
        <v>4260</v>
      </c>
      <c r="BQ1234" t="s">
        <v>3463</v>
      </c>
      <c r="BR1234" t="s">
        <v>3463</v>
      </c>
      <c r="BS1234" t="s">
        <v>3463</v>
      </c>
      <c r="BT1234" t="s">
        <v>3463</v>
      </c>
      <c r="BU1234" t="s">
        <v>3463</v>
      </c>
      <c r="BV1234" t="s">
        <v>3463</v>
      </c>
      <c r="BW1234" t="s">
        <v>3463</v>
      </c>
      <c r="BX1234" t="s">
        <v>79</v>
      </c>
      <c r="BY1234" t="s">
        <v>79</v>
      </c>
      <c r="BZ1234" t="s">
        <v>79</v>
      </c>
      <c r="CA1234" s="10">
        <v>45912</v>
      </c>
    </row>
    <row r="1235" spans="1:79">
      <c r="A1235">
        <v>1248</v>
      </c>
      <c r="B1235">
        <v>168</v>
      </c>
      <c r="C1235">
        <v>54</v>
      </c>
      <c r="D1235" t="s">
        <v>3466</v>
      </c>
      <c r="F1235" t="s">
        <v>2727</v>
      </c>
      <c r="G1235" s="12" t="s">
        <v>3465</v>
      </c>
      <c r="H1235" s="12" t="s">
        <v>88</v>
      </c>
      <c r="I1235">
        <v>84</v>
      </c>
      <c r="J1235">
        <v>87</v>
      </c>
      <c r="K1235">
        <v>174</v>
      </c>
      <c r="L1235">
        <v>98</v>
      </c>
      <c r="M1235" t="s">
        <v>72</v>
      </c>
      <c r="N1235">
        <v>122</v>
      </c>
      <c r="O1235">
        <v>92</v>
      </c>
      <c r="P1235" t="s">
        <v>72</v>
      </c>
      <c r="Q1235" t="s">
        <v>72</v>
      </c>
      <c r="R1235">
        <v>76.7</v>
      </c>
      <c r="S1235">
        <v>147.5</v>
      </c>
      <c r="T1235" s="8">
        <f t="shared" si="39"/>
        <v>35.254237288135599</v>
      </c>
      <c r="U1235" s="13" t="str" cm="1">
        <f t="array" ref="U1235">IF(T1235="","",_xlfn.IFS(T1235&lt;18.5,"Bajo peso",T1235&lt;25,"Peso normal",T1235&lt;30,"Sobrepeso",T1235&lt;35,"Obesidad clase I",T1235&lt;40,"Obesidad clase II",T1235&gt;=40,"Obesidad clase III"))</f>
        <v>Obesidad clase II</v>
      </c>
      <c r="V1235">
        <v>131</v>
      </c>
      <c r="X1235" t="s">
        <v>3463</v>
      </c>
      <c r="Y1235">
        <v>1.02</v>
      </c>
      <c r="AA1235">
        <v>65</v>
      </c>
      <c r="AB1235" s="9">
        <f t="shared" si="38"/>
        <v>65.375028153621827</v>
      </c>
      <c r="AD1235" t="s">
        <v>73</v>
      </c>
      <c r="AF1235" t="s">
        <v>73</v>
      </c>
      <c r="AH1235" t="s">
        <v>3463</v>
      </c>
      <c r="AI1235" t="s">
        <v>3465</v>
      </c>
      <c r="AJ1235" t="s">
        <v>3463</v>
      </c>
      <c r="AK1235" t="s">
        <v>3465</v>
      </c>
      <c r="AL1235" t="s">
        <v>3465</v>
      </c>
      <c r="AM1235" t="s">
        <v>2728</v>
      </c>
      <c r="AN1235" t="s">
        <v>3862</v>
      </c>
      <c r="AP1235" t="s">
        <v>3463</v>
      </c>
      <c r="AS1235" t="s">
        <v>3465</v>
      </c>
      <c r="AT1235" t="s">
        <v>3463</v>
      </c>
      <c r="AV1235" t="s">
        <v>74</v>
      </c>
      <c r="AW1235" t="s">
        <v>3915</v>
      </c>
      <c r="AX1235" t="s">
        <v>3463</v>
      </c>
      <c r="AY1235" t="s">
        <v>3465</v>
      </c>
      <c r="AZ1235" t="s">
        <v>90</v>
      </c>
      <c r="BF1235" t="s">
        <v>3921</v>
      </c>
      <c r="BH1235" t="s">
        <v>4020</v>
      </c>
      <c r="BP1235" t="s">
        <v>4260</v>
      </c>
      <c r="BQ1235" t="s">
        <v>3463</v>
      </c>
      <c r="BR1235" t="s">
        <v>3465</v>
      </c>
      <c r="BS1235" t="s">
        <v>3463</v>
      </c>
      <c r="BT1235" t="s">
        <v>3465</v>
      </c>
      <c r="BU1235" t="s">
        <v>3463</v>
      </c>
      <c r="BV1235" t="s">
        <v>3463</v>
      </c>
      <c r="BW1235" t="s">
        <v>3463</v>
      </c>
      <c r="BX1235" t="s">
        <v>518</v>
      </c>
      <c r="BY1235" t="s">
        <v>79</v>
      </c>
      <c r="BZ1235" t="s">
        <v>79</v>
      </c>
      <c r="CA1235" s="10">
        <v>45912</v>
      </c>
    </row>
    <row r="1236" spans="1:79">
      <c r="A1236">
        <v>1249</v>
      </c>
      <c r="B1236">
        <v>169</v>
      </c>
      <c r="C1236">
        <v>49</v>
      </c>
      <c r="D1236" t="s">
        <v>3466</v>
      </c>
      <c r="E1236" t="s">
        <v>2729</v>
      </c>
      <c r="F1236" t="s">
        <v>2407</v>
      </c>
      <c r="G1236" s="12" t="s">
        <v>3463</v>
      </c>
      <c r="H1236" s="12"/>
      <c r="I1236">
        <v>70</v>
      </c>
      <c r="K1236">
        <v>106</v>
      </c>
      <c r="L1236">
        <v>69</v>
      </c>
      <c r="M1236" t="s">
        <v>80</v>
      </c>
      <c r="P1236" t="s">
        <v>83</v>
      </c>
      <c r="Q1236" t="s">
        <v>80</v>
      </c>
      <c r="R1236">
        <v>70</v>
      </c>
      <c r="S1236">
        <v>164</v>
      </c>
      <c r="T1236" s="8">
        <f t="shared" si="39"/>
        <v>26.026174895895302</v>
      </c>
      <c r="U1236" s="13" t="str" cm="1">
        <f t="array" ref="U1236">IF(T1236="","",_xlfn.IFS(T1236&lt;18.5,"Bajo peso",T1236&lt;25,"Peso normal",T1236&lt;30,"Sobrepeso",T1236&lt;35,"Obesidad clase I",T1236&lt;40,"Obesidad clase II",T1236&gt;=40,"Obesidad clase III"))</f>
        <v>Sobrepeso</v>
      </c>
      <c r="V1236">
        <v>93</v>
      </c>
      <c r="X1236" t="s">
        <v>3463</v>
      </c>
      <c r="Y1236">
        <v>1.02</v>
      </c>
      <c r="AA1236">
        <v>67</v>
      </c>
      <c r="AB1236" s="9">
        <f t="shared" si="38"/>
        <v>67.439901430382648</v>
      </c>
      <c r="AD1236" t="s">
        <v>73</v>
      </c>
      <c r="AF1236" t="s">
        <v>73</v>
      </c>
      <c r="AH1236" t="s">
        <v>3463</v>
      </c>
      <c r="AI1236" t="s">
        <v>3463</v>
      </c>
      <c r="AJ1236" t="s">
        <v>3463</v>
      </c>
      <c r="AK1236" t="s">
        <v>3463</v>
      </c>
      <c r="AL1236" t="s">
        <v>3463</v>
      </c>
      <c r="AO1236" t="s">
        <v>3463</v>
      </c>
      <c r="AP1236" t="s">
        <v>3463</v>
      </c>
      <c r="AQ1236" t="s">
        <v>2730</v>
      </c>
      <c r="AR1236" t="s">
        <v>3491</v>
      </c>
      <c r="AV1236" t="s">
        <v>74</v>
      </c>
      <c r="AW1236" t="s">
        <v>3915</v>
      </c>
      <c r="AX1236" t="s">
        <v>3463</v>
      </c>
      <c r="AY1236" t="s">
        <v>3465</v>
      </c>
      <c r="AZ1236" t="s">
        <v>137</v>
      </c>
      <c r="BF1236" t="s">
        <v>3921</v>
      </c>
      <c r="BH1236" t="s">
        <v>4020</v>
      </c>
      <c r="BP1236" t="s">
        <v>4260</v>
      </c>
      <c r="BQ1236" t="s">
        <v>3463</v>
      </c>
      <c r="BR1236" t="s">
        <v>3463</v>
      </c>
      <c r="BS1236" t="s">
        <v>3465</v>
      </c>
      <c r="BT1236" t="s">
        <v>3465</v>
      </c>
      <c r="BU1236" t="s">
        <v>3463</v>
      </c>
      <c r="BV1236" t="s">
        <v>3463</v>
      </c>
      <c r="BW1236" t="s">
        <v>3463</v>
      </c>
      <c r="BX1236" t="s">
        <v>79</v>
      </c>
      <c r="BY1236" t="s">
        <v>79</v>
      </c>
      <c r="BZ1236" t="s">
        <v>79</v>
      </c>
      <c r="CA1236" s="10">
        <v>45912</v>
      </c>
    </row>
    <row r="1237" spans="1:79">
      <c r="A1237">
        <v>1250</v>
      </c>
      <c r="B1237">
        <v>170</v>
      </c>
      <c r="C1237">
        <v>76</v>
      </c>
      <c r="D1237" t="s">
        <v>3462</v>
      </c>
      <c r="F1237" t="s">
        <v>2407</v>
      </c>
      <c r="G1237" s="12" t="s">
        <v>3463</v>
      </c>
      <c r="I1237">
        <v>68</v>
      </c>
      <c r="K1237">
        <v>147</v>
      </c>
      <c r="L1237">
        <v>70</v>
      </c>
      <c r="M1237" t="s">
        <v>72</v>
      </c>
      <c r="P1237" t="s">
        <v>83</v>
      </c>
      <c r="Q1237" t="s">
        <v>72</v>
      </c>
      <c r="R1237">
        <v>107</v>
      </c>
      <c r="S1237">
        <v>161.5</v>
      </c>
      <c r="T1237" s="8">
        <f t="shared" si="39"/>
        <v>41.024068092284985</v>
      </c>
      <c r="U1237" s="13" t="str" cm="1">
        <f t="array" ref="U1237">IF(T1237="","",_xlfn.IFS(T1237&lt;18.5,"Bajo peso",T1237&lt;25,"Peso normal",T1237&lt;30,"Sobrepeso",T1237&lt;35,"Obesidad clase I",T1237&lt;40,"Obesidad clase II",T1237&gt;=40,"Obesidad clase III"))</f>
        <v>Obesidad clase III</v>
      </c>
      <c r="V1237">
        <v>89</v>
      </c>
      <c r="X1237" t="s">
        <v>3463</v>
      </c>
      <c r="Y1237">
        <v>1.34</v>
      </c>
      <c r="Z1237">
        <v>1.34</v>
      </c>
      <c r="AA1237">
        <v>55</v>
      </c>
      <c r="AB1237" s="9">
        <f t="shared" si="38"/>
        <v>54.900591148996853</v>
      </c>
      <c r="AC1237">
        <v>44</v>
      </c>
      <c r="AD1237" t="s">
        <v>158</v>
      </c>
      <c r="AE1237" t="s">
        <v>218</v>
      </c>
      <c r="AF1237" t="s">
        <v>158</v>
      </c>
      <c r="AH1237" t="s">
        <v>3463</v>
      </c>
      <c r="AI1237" t="s">
        <v>3465</v>
      </c>
      <c r="AJ1237" t="s">
        <v>3463</v>
      </c>
      <c r="AK1237" t="s">
        <v>3463</v>
      </c>
      <c r="AL1237" t="s">
        <v>3465</v>
      </c>
      <c r="AM1237" t="s">
        <v>2731</v>
      </c>
      <c r="AN1237" t="s">
        <v>3863</v>
      </c>
      <c r="AP1237" t="s">
        <v>3463</v>
      </c>
      <c r="AS1237" t="s">
        <v>3465</v>
      </c>
      <c r="AV1237" t="s">
        <v>74</v>
      </c>
      <c r="AW1237" t="s">
        <v>3915</v>
      </c>
      <c r="BA1237" t="s">
        <v>3920</v>
      </c>
      <c r="BC1237" t="s">
        <v>128</v>
      </c>
      <c r="BF1237" t="s">
        <v>3921</v>
      </c>
      <c r="BG1237" t="s">
        <v>2732</v>
      </c>
      <c r="BH1237" t="s">
        <v>4220</v>
      </c>
      <c r="BI1237" t="s">
        <v>2733</v>
      </c>
      <c r="BL1237" t="s">
        <v>1383</v>
      </c>
      <c r="BP1237" t="s">
        <v>4535</v>
      </c>
      <c r="BQ1237" t="s">
        <v>3463</v>
      </c>
      <c r="BR1237" t="s">
        <v>3465</v>
      </c>
      <c r="BS1237" t="s">
        <v>3463</v>
      </c>
      <c r="BT1237" t="s">
        <v>3463</v>
      </c>
      <c r="BU1237" t="s">
        <v>3463</v>
      </c>
      <c r="BV1237" t="s">
        <v>3463</v>
      </c>
      <c r="BW1237" t="s">
        <v>3463</v>
      </c>
      <c r="BX1237" t="s">
        <v>79</v>
      </c>
      <c r="BY1237" t="s">
        <v>79</v>
      </c>
      <c r="BZ1237" t="s">
        <v>95</v>
      </c>
      <c r="CA1237" s="10">
        <v>45912</v>
      </c>
    </row>
    <row r="1238" spans="1:79">
      <c r="A1238">
        <v>1251</v>
      </c>
      <c r="B1238">
        <v>171</v>
      </c>
      <c r="C1238">
        <v>39</v>
      </c>
      <c r="D1238" t="s">
        <v>3466</v>
      </c>
      <c r="E1238" t="s">
        <v>2411</v>
      </c>
      <c r="F1238" t="s">
        <v>2407</v>
      </c>
      <c r="G1238" s="12" t="s">
        <v>3463</v>
      </c>
      <c r="H1238" s="12"/>
      <c r="I1238">
        <v>66</v>
      </c>
      <c r="J1238">
        <v>69</v>
      </c>
      <c r="K1238">
        <v>145</v>
      </c>
      <c r="L1238">
        <v>71</v>
      </c>
      <c r="M1238" t="s">
        <v>72</v>
      </c>
      <c r="N1238">
        <v>131</v>
      </c>
      <c r="O1238">
        <v>75</v>
      </c>
      <c r="P1238" t="s">
        <v>82</v>
      </c>
      <c r="Q1238" t="s">
        <v>82</v>
      </c>
      <c r="R1238">
        <v>75.2</v>
      </c>
      <c r="S1238">
        <v>152</v>
      </c>
      <c r="T1238" s="8">
        <f t="shared" si="39"/>
        <v>32.548476454293635</v>
      </c>
      <c r="U1238" s="13" t="str" cm="1">
        <f t="array" ref="U1238">IF(T1238="","",_xlfn.IFS(T1238&lt;18.5,"Bajo peso",T1238&lt;25,"Peso normal",T1238&lt;30,"Sobrepeso",T1238&lt;35,"Obesidad clase I",T1238&lt;40,"Obesidad clase II",T1238&gt;=40,"Obesidad clase III"))</f>
        <v>Obesidad clase I</v>
      </c>
      <c r="V1238">
        <v>89</v>
      </c>
      <c r="X1238" t="s">
        <v>3463</v>
      </c>
      <c r="Y1238">
        <v>0.95</v>
      </c>
      <c r="AA1238">
        <v>78</v>
      </c>
      <c r="AB1238" s="9">
        <f t="shared" si="38"/>
        <v>78.158979903592211</v>
      </c>
      <c r="AD1238" t="s">
        <v>73</v>
      </c>
      <c r="AF1238" t="s">
        <v>73</v>
      </c>
      <c r="AH1238" t="s">
        <v>3463</v>
      </c>
      <c r="AI1238" t="s">
        <v>3463</v>
      </c>
      <c r="AJ1238" t="s">
        <v>3463</v>
      </c>
      <c r="AK1238" t="s">
        <v>3463</v>
      </c>
      <c r="AL1238" t="s">
        <v>3465</v>
      </c>
      <c r="AM1238" t="s">
        <v>451</v>
      </c>
      <c r="AN1238" t="s">
        <v>3725</v>
      </c>
      <c r="AP1238" t="s">
        <v>3463</v>
      </c>
      <c r="AQ1238" t="s">
        <v>1567</v>
      </c>
      <c r="AR1238" t="s">
        <v>3491</v>
      </c>
      <c r="AT1238" t="s">
        <v>3465</v>
      </c>
      <c r="AU1238" t="s">
        <v>80</v>
      </c>
      <c r="AV1238" t="s">
        <v>74</v>
      </c>
      <c r="AW1238" t="s">
        <v>3915</v>
      </c>
      <c r="AX1238" t="s">
        <v>3463</v>
      </c>
      <c r="AY1238" t="s">
        <v>3463</v>
      </c>
      <c r="BE1238" t="s">
        <v>68</v>
      </c>
      <c r="BF1238" t="s">
        <v>68</v>
      </c>
      <c r="BG1238" t="s">
        <v>2734</v>
      </c>
      <c r="BH1238" t="s">
        <v>4221</v>
      </c>
      <c r="BK1238" t="s">
        <v>2735</v>
      </c>
      <c r="BL1238" t="s">
        <v>2206</v>
      </c>
      <c r="BP1238" t="s">
        <v>4310</v>
      </c>
      <c r="BQ1238" t="s">
        <v>3463</v>
      </c>
      <c r="BR1238" t="s">
        <v>3465</v>
      </c>
      <c r="BS1238" t="s">
        <v>3463</v>
      </c>
      <c r="BT1238" t="s">
        <v>3463</v>
      </c>
      <c r="BU1238" t="s">
        <v>3463</v>
      </c>
      <c r="BV1238" t="s">
        <v>3463</v>
      </c>
      <c r="BW1238" t="s">
        <v>3463</v>
      </c>
      <c r="BX1238" t="s">
        <v>121</v>
      </c>
      <c r="BY1238" t="s">
        <v>87</v>
      </c>
      <c r="BZ1238" t="s">
        <v>95</v>
      </c>
      <c r="CA1238" s="10">
        <v>45912</v>
      </c>
    </row>
    <row r="1239" spans="1:79">
      <c r="A1239">
        <v>1252</v>
      </c>
      <c r="B1239">
        <v>172</v>
      </c>
      <c r="C1239">
        <v>73</v>
      </c>
      <c r="D1239" t="s">
        <v>3462</v>
      </c>
      <c r="E1239" t="s">
        <v>2550</v>
      </c>
      <c r="F1239" t="s">
        <v>2407</v>
      </c>
      <c r="G1239" s="12" t="s">
        <v>3463</v>
      </c>
      <c r="H1239" s="12"/>
      <c r="I1239">
        <v>68</v>
      </c>
      <c r="K1239">
        <v>136</v>
      </c>
      <c r="L1239">
        <v>75</v>
      </c>
      <c r="M1239" t="s">
        <v>82</v>
      </c>
      <c r="P1239" t="s">
        <v>83</v>
      </c>
      <c r="Q1239" t="s">
        <v>82</v>
      </c>
      <c r="R1239">
        <v>75.2</v>
      </c>
      <c r="S1239">
        <v>159</v>
      </c>
      <c r="T1239" s="8">
        <f t="shared" si="39"/>
        <v>29.745658795142599</v>
      </c>
      <c r="U1239" s="13" t="str" cm="1">
        <f t="array" ref="U1239">IF(T1239="","",_xlfn.IFS(T1239&lt;18.5,"Bajo peso",T1239&lt;25,"Peso normal",T1239&lt;30,"Sobrepeso",T1239&lt;35,"Obesidad clase I",T1239&lt;40,"Obesidad clase II",T1239&gt;=40,"Obesidad clase III"))</f>
        <v>Sobrepeso</v>
      </c>
      <c r="V1239">
        <v>193</v>
      </c>
      <c r="X1239" t="s">
        <v>3463</v>
      </c>
      <c r="Y1239">
        <v>1.21</v>
      </c>
      <c r="AA1239">
        <v>63</v>
      </c>
      <c r="AB1239" s="9">
        <f t="shared" si="38"/>
        <v>63.221290591189728</v>
      </c>
      <c r="AD1239" t="s">
        <v>73</v>
      </c>
      <c r="AF1239" t="s">
        <v>73</v>
      </c>
      <c r="AG1239" t="s">
        <v>3465</v>
      </c>
      <c r="AH1239" t="s">
        <v>3465</v>
      </c>
      <c r="AI1239" t="s">
        <v>3465</v>
      </c>
      <c r="AJ1239" t="s">
        <v>3463</v>
      </c>
      <c r="AK1239" t="s">
        <v>3463</v>
      </c>
      <c r="AL1239" t="s">
        <v>3465</v>
      </c>
      <c r="AM1239" t="s">
        <v>697</v>
      </c>
      <c r="AN1239" t="s">
        <v>697</v>
      </c>
      <c r="AP1239" t="s">
        <v>3463</v>
      </c>
      <c r="AQ1239" t="s">
        <v>2736</v>
      </c>
      <c r="AR1239" t="s">
        <v>3569</v>
      </c>
      <c r="AS1239" t="s">
        <v>3465</v>
      </c>
      <c r="AV1239" t="s">
        <v>74</v>
      </c>
      <c r="AW1239" t="s">
        <v>3915</v>
      </c>
      <c r="BA1239" t="s">
        <v>3920</v>
      </c>
      <c r="BB1239" t="s">
        <v>3485</v>
      </c>
      <c r="BE1239" t="s">
        <v>2203</v>
      </c>
      <c r="BF1239" t="s">
        <v>2203</v>
      </c>
      <c r="BG1239" t="s">
        <v>2737</v>
      </c>
      <c r="BH1239" t="s">
        <v>4016</v>
      </c>
      <c r="BI1239" t="s">
        <v>411</v>
      </c>
      <c r="BK1239" t="s">
        <v>2738</v>
      </c>
      <c r="BL1239" t="s">
        <v>2739</v>
      </c>
      <c r="BP1239" t="s">
        <v>4256</v>
      </c>
      <c r="BQ1239" t="s">
        <v>3463</v>
      </c>
      <c r="BR1239" t="s">
        <v>3465</v>
      </c>
      <c r="BS1239" t="s">
        <v>3463</v>
      </c>
      <c r="BT1239" t="s">
        <v>3465</v>
      </c>
      <c r="BU1239" t="s">
        <v>3463</v>
      </c>
      <c r="BV1239" t="s">
        <v>3463</v>
      </c>
      <c r="BW1239" t="s">
        <v>3463</v>
      </c>
      <c r="BX1239" t="s">
        <v>79</v>
      </c>
      <c r="BY1239" t="s">
        <v>87</v>
      </c>
      <c r="BZ1239" t="s">
        <v>95</v>
      </c>
      <c r="CA1239" s="10">
        <v>45912</v>
      </c>
    </row>
    <row r="1240" spans="1:79">
      <c r="A1240">
        <v>1253</v>
      </c>
      <c r="B1240">
        <v>173</v>
      </c>
      <c r="C1240">
        <v>40</v>
      </c>
      <c r="D1240" t="s">
        <v>3466</v>
      </c>
      <c r="F1240" t="s">
        <v>2407</v>
      </c>
      <c r="G1240" s="12" t="s">
        <v>3465</v>
      </c>
      <c r="H1240" t="s">
        <v>88</v>
      </c>
      <c r="I1240">
        <v>76</v>
      </c>
      <c r="K1240">
        <v>124</v>
      </c>
      <c r="L1240">
        <v>82</v>
      </c>
      <c r="M1240" t="s">
        <v>82</v>
      </c>
      <c r="P1240" t="s">
        <v>83</v>
      </c>
      <c r="Q1240" t="s">
        <v>82</v>
      </c>
      <c r="R1240">
        <v>76.7</v>
      </c>
      <c r="S1240">
        <v>163.5</v>
      </c>
      <c r="T1240" s="8">
        <f t="shared" si="39"/>
        <v>28.691935770464514</v>
      </c>
      <c r="U1240" s="13" t="str" cm="1">
        <f t="array" ref="U1240">IF(T1240="","",_xlfn.IFS(T1240&lt;18.5,"Bajo peso",T1240&lt;25,"Peso normal",T1240&lt;30,"Sobrepeso",T1240&lt;35,"Obesidad clase I",T1240&lt;40,"Obesidad clase II",T1240&gt;=40,"Obesidad clase III"))</f>
        <v>Sobrepeso</v>
      </c>
      <c r="V1240">
        <v>82</v>
      </c>
      <c r="X1240" t="s">
        <v>3463</v>
      </c>
      <c r="Y1240">
        <v>1.24</v>
      </c>
      <c r="AA1240">
        <v>57</v>
      </c>
      <c r="AB1240" s="9">
        <f t="shared" si="38"/>
        <v>56.420922027077957</v>
      </c>
      <c r="AD1240" t="s">
        <v>158</v>
      </c>
      <c r="AF1240" t="s">
        <v>158</v>
      </c>
      <c r="AH1240" t="s">
        <v>3463</v>
      </c>
      <c r="AI1240" t="s">
        <v>3463</v>
      </c>
      <c r="AJ1240" t="s">
        <v>3463</v>
      </c>
      <c r="AK1240" t="s">
        <v>3465</v>
      </c>
      <c r="AL1240" t="s">
        <v>3465</v>
      </c>
      <c r="AM1240" t="s">
        <v>2740</v>
      </c>
      <c r="AN1240" t="s">
        <v>3835</v>
      </c>
      <c r="AP1240" t="s">
        <v>3463</v>
      </c>
      <c r="AQ1240" t="s">
        <v>2741</v>
      </c>
      <c r="AR1240" t="s">
        <v>3488</v>
      </c>
      <c r="AT1240" t="s">
        <v>3463</v>
      </c>
      <c r="AV1240" t="s">
        <v>178</v>
      </c>
      <c r="AW1240" t="s">
        <v>3918</v>
      </c>
      <c r="AX1240" t="s">
        <v>3463</v>
      </c>
      <c r="AY1240" t="s">
        <v>3465</v>
      </c>
      <c r="AZ1240" t="s">
        <v>104</v>
      </c>
      <c r="BC1240" t="s">
        <v>128</v>
      </c>
      <c r="BF1240" t="s">
        <v>3921</v>
      </c>
      <c r="BH1240" t="s">
        <v>4029</v>
      </c>
      <c r="BK1240" t="s">
        <v>2742</v>
      </c>
      <c r="BL1240" t="s">
        <v>2743</v>
      </c>
      <c r="BP1240" t="s">
        <v>4310</v>
      </c>
      <c r="BQ1240" t="s">
        <v>3463</v>
      </c>
      <c r="BR1240" t="s">
        <v>3465</v>
      </c>
      <c r="BS1240" t="s">
        <v>3465</v>
      </c>
      <c r="BT1240" t="s">
        <v>3465</v>
      </c>
      <c r="BU1240" t="s">
        <v>3463</v>
      </c>
      <c r="BV1240" t="s">
        <v>3463</v>
      </c>
      <c r="BW1240" t="s">
        <v>3463</v>
      </c>
      <c r="BX1240" t="s">
        <v>79</v>
      </c>
      <c r="BY1240" t="s">
        <v>79</v>
      </c>
      <c r="BZ1240" t="s">
        <v>79</v>
      </c>
      <c r="CA1240" s="10">
        <v>45912</v>
      </c>
    </row>
    <row r="1241" spans="1:79">
      <c r="A1241">
        <v>1254</v>
      </c>
      <c r="B1241">
        <v>174</v>
      </c>
      <c r="C1241">
        <v>35</v>
      </c>
      <c r="D1241" t="s">
        <v>3466</v>
      </c>
      <c r="E1241" t="s">
        <v>450</v>
      </c>
      <c r="F1241" t="s">
        <v>2407</v>
      </c>
      <c r="G1241" s="12" t="s">
        <v>3463</v>
      </c>
      <c r="H1241" s="12"/>
      <c r="I1241">
        <v>75</v>
      </c>
      <c r="K1241">
        <v>130</v>
      </c>
      <c r="L1241">
        <v>71</v>
      </c>
      <c r="M1241" t="s">
        <v>82</v>
      </c>
      <c r="P1241" t="s">
        <v>83</v>
      </c>
      <c r="Q1241" t="s">
        <v>82</v>
      </c>
      <c r="R1241">
        <v>53.9</v>
      </c>
      <c r="S1241">
        <v>152</v>
      </c>
      <c r="T1241" s="8">
        <f t="shared" si="39"/>
        <v>23.329293628808866</v>
      </c>
      <c r="U1241" s="13" t="str" cm="1">
        <f t="array" ref="U1241">IF(T1241="","",_xlfn.IFS(T1241&lt;18.5,"Bajo peso",T1241&lt;25,"Peso normal",T1241&lt;30,"Sobrepeso",T1241&lt;35,"Obesidad clase I",T1241&lt;40,"Obesidad clase II",T1241&gt;=40,"Obesidad clase III"))</f>
        <v>Peso normal</v>
      </c>
      <c r="V1241">
        <v>100</v>
      </c>
      <c r="X1241" t="s">
        <v>3463</v>
      </c>
      <c r="Y1241">
        <v>1.44</v>
      </c>
      <c r="AA1241">
        <v>49</v>
      </c>
      <c r="AB1241" s="9">
        <f t="shared" si="38"/>
        <v>48.642540450345443</v>
      </c>
      <c r="AD1241" t="s">
        <v>158</v>
      </c>
      <c r="AF1241" t="s">
        <v>158</v>
      </c>
      <c r="AH1241" t="s">
        <v>3463</v>
      </c>
      <c r="AI1241" t="s">
        <v>3463</v>
      </c>
      <c r="AJ1241" t="s">
        <v>3463</v>
      </c>
      <c r="AK1241" t="s">
        <v>3463</v>
      </c>
      <c r="AL1241" t="s">
        <v>3463</v>
      </c>
      <c r="AP1241" t="s">
        <v>3464</v>
      </c>
      <c r="AV1241" t="s">
        <v>74</v>
      </c>
      <c r="AW1241" t="s">
        <v>3915</v>
      </c>
      <c r="AX1241" t="s">
        <v>3463</v>
      </c>
      <c r="AY1241" t="s">
        <v>3465</v>
      </c>
      <c r="AZ1241" t="s">
        <v>247</v>
      </c>
      <c r="BF1241" t="s">
        <v>3921</v>
      </c>
      <c r="BH1241" t="s">
        <v>4020</v>
      </c>
      <c r="BP1241" t="s">
        <v>4260</v>
      </c>
      <c r="BQ1241" t="s">
        <v>3463</v>
      </c>
      <c r="BR1241" t="s">
        <v>3465</v>
      </c>
      <c r="BS1241" t="s">
        <v>3465</v>
      </c>
      <c r="BT1241" t="s">
        <v>3465</v>
      </c>
      <c r="BU1241" t="s">
        <v>3463</v>
      </c>
      <c r="BV1241" t="s">
        <v>3463</v>
      </c>
      <c r="BW1241" t="s">
        <v>3463</v>
      </c>
      <c r="BX1241" t="s">
        <v>79</v>
      </c>
      <c r="BY1241" t="s">
        <v>79</v>
      </c>
      <c r="BZ1241" t="s">
        <v>95</v>
      </c>
      <c r="CA1241" s="10">
        <v>45912</v>
      </c>
    </row>
    <row r="1242" spans="1:79">
      <c r="A1242">
        <v>1255</v>
      </c>
      <c r="B1242">
        <v>175</v>
      </c>
      <c r="C1242">
        <v>52</v>
      </c>
      <c r="D1242" t="s">
        <v>3462</v>
      </c>
      <c r="E1242" t="s">
        <v>450</v>
      </c>
      <c r="F1242" t="s">
        <v>2407</v>
      </c>
      <c r="G1242" s="12" t="s">
        <v>3465</v>
      </c>
      <c r="H1242" s="12" t="s">
        <v>88</v>
      </c>
      <c r="I1242">
        <v>54</v>
      </c>
      <c r="J1242">
        <v>54</v>
      </c>
      <c r="K1242">
        <v>150</v>
      </c>
      <c r="L1242">
        <v>92</v>
      </c>
      <c r="M1242" t="s">
        <v>72</v>
      </c>
      <c r="N1242">
        <v>144</v>
      </c>
      <c r="O1242">
        <v>88</v>
      </c>
      <c r="P1242" t="s">
        <v>72</v>
      </c>
      <c r="Q1242" t="s">
        <v>72</v>
      </c>
      <c r="R1242">
        <v>81.55</v>
      </c>
      <c r="S1242">
        <v>180</v>
      </c>
      <c r="T1242" s="8">
        <f t="shared" si="39"/>
        <v>25.16975308641975</v>
      </c>
      <c r="U1242" s="13" t="str" cm="1">
        <f t="array" ref="U1242">IF(T1242="","",_xlfn.IFS(T1242&lt;18.5,"Bajo peso",T1242&lt;25,"Peso normal",T1242&lt;30,"Sobrepeso",T1242&lt;35,"Obesidad clase I",T1242&lt;40,"Obesidad clase II",T1242&gt;=40,"Obesidad clase III"))</f>
        <v>Sobrepeso</v>
      </c>
      <c r="V1242">
        <v>94</v>
      </c>
      <c r="X1242" t="s">
        <v>3463</v>
      </c>
      <c r="Y1242">
        <v>0.4</v>
      </c>
      <c r="AA1242">
        <v>90</v>
      </c>
      <c r="AB1242" s="9">
        <f t="shared" si="38"/>
        <v>131.27894264797359</v>
      </c>
      <c r="AD1242" t="s">
        <v>73</v>
      </c>
      <c r="AF1242" t="s">
        <v>73</v>
      </c>
      <c r="AH1242" t="s">
        <v>3463</v>
      </c>
      <c r="AI1242" t="s">
        <v>3465</v>
      </c>
      <c r="AJ1242" t="s">
        <v>3463</v>
      </c>
      <c r="AK1242" t="s">
        <v>3463</v>
      </c>
      <c r="AL1242" t="s">
        <v>3463</v>
      </c>
      <c r="AP1242" t="s">
        <v>3463</v>
      </c>
      <c r="AQ1242" t="s">
        <v>451</v>
      </c>
      <c r="AR1242" t="s">
        <v>3490</v>
      </c>
      <c r="AS1242" t="s">
        <v>3465</v>
      </c>
      <c r="AV1242" t="s">
        <v>126</v>
      </c>
      <c r="AW1242" t="s">
        <v>126</v>
      </c>
      <c r="BF1242" t="s">
        <v>3921</v>
      </c>
      <c r="BH1242" t="s">
        <v>4020</v>
      </c>
      <c r="BP1242" t="s">
        <v>4260</v>
      </c>
      <c r="BQ1242" t="s">
        <v>3463</v>
      </c>
      <c r="BR1242" t="s">
        <v>3465</v>
      </c>
      <c r="BS1242" t="s">
        <v>3465</v>
      </c>
      <c r="BT1242" t="s">
        <v>3465</v>
      </c>
      <c r="BU1242" t="s">
        <v>3463</v>
      </c>
      <c r="BV1242" t="s">
        <v>3463</v>
      </c>
      <c r="BW1242" t="s">
        <v>3463</v>
      </c>
      <c r="BX1242" t="s">
        <v>79</v>
      </c>
      <c r="BY1242" t="s">
        <v>87</v>
      </c>
      <c r="BZ1242" t="s">
        <v>79</v>
      </c>
      <c r="CA1242" s="10">
        <v>45912</v>
      </c>
    </row>
    <row r="1243" spans="1:79">
      <c r="A1243">
        <v>1256</v>
      </c>
      <c r="B1243">
        <v>176</v>
      </c>
      <c r="C1243">
        <v>31</v>
      </c>
      <c r="D1243" t="s">
        <v>3462</v>
      </c>
      <c r="E1243" t="s">
        <v>450</v>
      </c>
      <c r="F1243" t="s">
        <v>2407</v>
      </c>
      <c r="G1243" s="12" t="s">
        <v>3463</v>
      </c>
      <c r="H1243" s="12"/>
      <c r="I1243">
        <v>53</v>
      </c>
      <c r="K1243">
        <v>113</v>
      </c>
      <c r="L1243">
        <v>65</v>
      </c>
      <c r="M1243" t="s">
        <v>80</v>
      </c>
      <c r="P1243" t="s">
        <v>83</v>
      </c>
      <c r="Q1243" t="s">
        <v>80</v>
      </c>
      <c r="R1243">
        <v>82.9</v>
      </c>
      <c r="S1243">
        <v>182</v>
      </c>
      <c r="T1243" s="8">
        <f t="shared" si="39"/>
        <v>25.027170631566239</v>
      </c>
      <c r="U1243" s="13" t="str" cm="1">
        <f t="array" ref="U1243">IF(T1243="","",_xlfn.IFS(T1243&lt;18.5,"Bajo peso",T1243&lt;25,"Peso normal",T1243&lt;30,"Sobrepeso",T1243&lt;35,"Obesidad clase I",T1243&lt;40,"Obesidad clase II",T1243&gt;=40,"Obesidad clase III"))</f>
        <v>Sobrepeso</v>
      </c>
      <c r="V1243">
        <v>115</v>
      </c>
      <c r="X1243" t="s">
        <v>3463</v>
      </c>
      <c r="Y1243">
        <v>1.08</v>
      </c>
      <c r="AA1243">
        <v>90</v>
      </c>
      <c r="AB1243" s="9">
        <f t="shared" si="38"/>
        <v>94.089164879535375</v>
      </c>
      <c r="AD1243" t="s">
        <v>73</v>
      </c>
      <c r="AF1243" t="s">
        <v>73</v>
      </c>
      <c r="AH1243" t="s">
        <v>3463</v>
      </c>
      <c r="AI1243" t="s">
        <v>3463</v>
      </c>
      <c r="AJ1243" t="s">
        <v>3463</v>
      </c>
      <c r="AK1243" t="s">
        <v>3463</v>
      </c>
      <c r="AL1243" t="s">
        <v>3463</v>
      </c>
      <c r="AP1243" t="s">
        <v>3463</v>
      </c>
      <c r="AV1243" t="s">
        <v>74</v>
      </c>
      <c r="AW1243" t="s">
        <v>3915</v>
      </c>
      <c r="BF1243" t="s">
        <v>3921</v>
      </c>
      <c r="BH1243" t="s">
        <v>4020</v>
      </c>
      <c r="BP1243" t="s">
        <v>4260</v>
      </c>
      <c r="BQ1243" t="s">
        <v>3463</v>
      </c>
      <c r="BR1243" t="s">
        <v>3465</v>
      </c>
      <c r="BS1243" t="s">
        <v>3465</v>
      </c>
      <c r="BT1243" t="s">
        <v>3465</v>
      </c>
      <c r="BU1243" t="s">
        <v>3463</v>
      </c>
      <c r="BV1243" t="s">
        <v>3463</v>
      </c>
      <c r="BW1243" t="s">
        <v>3463</v>
      </c>
      <c r="BX1243" t="s">
        <v>79</v>
      </c>
      <c r="BY1243" t="s">
        <v>79</v>
      </c>
      <c r="BZ1243" t="s">
        <v>79</v>
      </c>
      <c r="CA1243" s="10">
        <v>45912</v>
      </c>
    </row>
    <row r="1244" spans="1:79">
      <c r="A1244">
        <v>1257</v>
      </c>
      <c r="B1244">
        <v>177</v>
      </c>
      <c r="C1244">
        <v>41</v>
      </c>
      <c r="D1244" t="s">
        <v>3462</v>
      </c>
      <c r="E1244" t="s">
        <v>2411</v>
      </c>
      <c r="F1244" t="s">
        <v>2407</v>
      </c>
      <c r="G1244" s="12" t="s">
        <v>3465</v>
      </c>
      <c r="H1244" t="s">
        <v>88</v>
      </c>
      <c r="I1244">
        <v>91</v>
      </c>
      <c r="K1244">
        <v>136</v>
      </c>
      <c r="L1244">
        <v>82</v>
      </c>
      <c r="M1244" t="s">
        <v>82</v>
      </c>
      <c r="P1244" t="s">
        <v>83</v>
      </c>
      <c r="Q1244" t="s">
        <v>82</v>
      </c>
      <c r="R1244">
        <v>66</v>
      </c>
      <c r="S1244">
        <v>169.5</v>
      </c>
      <c r="T1244" s="8">
        <f t="shared" si="39"/>
        <v>22.97230271229801</v>
      </c>
      <c r="U1244" s="13" t="str" cm="1">
        <f t="array" ref="U1244">IF(T1244="","",_xlfn.IFS(T1244&lt;18.5,"Bajo peso",T1244&lt;25,"Peso normal",T1244&lt;30,"Sobrepeso",T1244&lt;35,"Obesidad clase I",T1244&lt;40,"Obesidad clase II",T1244&gt;=40,"Obesidad clase III"))</f>
        <v>Peso normal</v>
      </c>
      <c r="V1244">
        <v>147</v>
      </c>
      <c r="X1244" t="s">
        <v>3463</v>
      </c>
      <c r="Y1244">
        <v>1.1599999999999999</v>
      </c>
      <c r="AA1244">
        <v>81</v>
      </c>
      <c r="AB1244" s="9">
        <f t="shared" si="38"/>
        <v>81.149987530390504</v>
      </c>
      <c r="AD1244" t="s">
        <v>73</v>
      </c>
      <c r="AF1244" t="s">
        <v>73</v>
      </c>
      <c r="AH1244" t="s">
        <v>3464</v>
      </c>
      <c r="AI1244" t="s">
        <v>3464</v>
      </c>
      <c r="AJ1244" t="s">
        <v>3465</v>
      </c>
      <c r="AK1244" t="s">
        <v>3463</v>
      </c>
      <c r="AL1244" t="s">
        <v>3463</v>
      </c>
      <c r="AP1244" t="s">
        <v>3463</v>
      </c>
      <c r="AQ1244" t="s">
        <v>136</v>
      </c>
      <c r="AR1244" t="s">
        <v>3488</v>
      </c>
      <c r="AV1244" t="s">
        <v>74</v>
      </c>
      <c r="AW1244" t="s">
        <v>3915</v>
      </c>
      <c r="BF1244" t="s">
        <v>3921</v>
      </c>
      <c r="BH1244" t="s">
        <v>4020</v>
      </c>
      <c r="BP1244" t="s">
        <v>4260</v>
      </c>
      <c r="BQ1244" t="s">
        <v>3465</v>
      </c>
      <c r="BR1244" t="s">
        <v>3463</v>
      </c>
      <c r="BS1244" t="s">
        <v>3465</v>
      </c>
      <c r="BT1244" t="s">
        <v>3465</v>
      </c>
      <c r="BU1244" t="s">
        <v>3463</v>
      </c>
      <c r="BV1244" t="s">
        <v>3463</v>
      </c>
      <c r="BW1244" t="s">
        <v>3463</v>
      </c>
      <c r="BX1244" t="s">
        <v>79</v>
      </c>
      <c r="BY1244" t="s">
        <v>79</v>
      </c>
      <c r="BZ1244" t="s">
        <v>79</v>
      </c>
      <c r="CA1244" s="10">
        <v>45912</v>
      </c>
    </row>
    <row r="1245" spans="1:79">
      <c r="A1245">
        <v>1258</v>
      </c>
      <c r="B1245">
        <v>178</v>
      </c>
      <c r="C1245">
        <v>25</v>
      </c>
      <c r="D1245" t="s">
        <v>3462</v>
      </c>
      <c r="E1245" t="s">
        <v>1038</v>
      </c>
      <c r="F1245" t="s">
        <v>2407</v>
      </c>
      <c r="G1245" s="12" t="s">
        <v>3465</v>
      </c>
      <c r="H1245" t="s">
        <v>88</v>
      </c>
      <c r="I1245">
        <v>97</v>
      </c>
      <c r="K1245">
        <v>134</v>
      </c>
      <c r="L1245">
        <v>74</v>
      </c>
      <c r="M1245" t="s">
        <v>82</v>
      </c>
      <c r="P1245" t="s">
        <v>83</v>
      </c>
      <c r="Q1245" t="s">
        <v>82</v>
      </c>
      <c r="R1245">
        <v>91.8</v>
      </c>
      <c r="S1245">
        <v>167</v>
      </c>
      <c r="T1245" s="8">
        <f t="shared" si="39"/>
        <v>32.916203521101508</v>
      </c>
      <c r="U1245" s="13" t="str" cm="1">
        <f t="array" ref="U1245">IF(T1245="","",_xlfn.IFS(T1245&lt;18.5,"Bajo peso",T1245&lt;25,"Peso normal",T1245&lt;30,"Sobrepeso",T1245&lt;35,"Obesidad clase I",T1245&lt;40,"Obesidad clase II",T1245&gt;=40,"Obesidad clase III"))</f>
        <v>Obesidad clase I</v>
      </c>
      <c r="V1245">
        <v>93</v>
      </c>
      <c r="X1245" t="s">
        <v>3463</v>
      </c>
      <c r="Y1245">
        <v>1.32</v>
      </c>
      <c r="AA1245">
        <v>76</v>
      </c>
      <c r="AB1245" s="9">
        <f t="shared" si="38"/>
        <v>76.765387851164078</v>
      </c>
      <c r="AD1245" t="s">
        <v>73</v>
      </c>
      <c r="AF1245" t="s">
        <v>73</v>
      </c>
      <c r="AH1245" t="s">
        <v>3463</v>
      </c>
      <c r="AI1245" t="s">
        <v>3463</v>
      </c>
      <c r="AJ1245" t="s">
        <v>3463</v>
      </c>
      <c r="AK1245" t="s">
        <v>3463</v>
      </c>
      <c r="AL1245" t="s">
        <v>3463</v>
      </c>
      <c r="AP1245" t="s">
        <v>3463</v>
      </c>
      <c r="AQ1245" t="s">
        <v>169</v>
      </c>
      <c r="AR1245" t="s">
        <v>3493</v>
      </c>
      <c r="AV1245" t="s">
        <v>178</v>
      </c>
      <c r="AW1245" t="s">
        <v>3918</v>
      </c>
      <c r="BF1245" t="s">
        <v>3921</v>
      </c>
      <c r="BH1245" t="s">
        <v>4020</v>
      </c>
      <c r="BP1245" t="s">
        <v>4260</v>
      </c>
      <c r="BQ1245" t="s">
        <v>3465</v>
      </c>
      <c r="BR1245" t="s">
        <v>3465</v>
      </c>
      <c r="BS1245" t="s">
        <v>3463</v>
      </c>
      <c r="BT1245" t="s">
        <v>3463</v>
      </c>
      <c r="BU1245" t="s">
        <v>3463</v>
      </c>
      <c r="BV1245" t="s">
        <v>3463</v>
      </c>
      <c r="BW1245" t="s">
        <v>3463</v>
      </c>
      <c r="BX1245" t="s">
        <v>79</v>
      </c>
      <c r="BY1245" t="s">
        <v>79</v>
      </c>
      <c r="BZ1245" t="s">
        <v>79</v>
      </c>
      <c r="CA1245" s="10">
        <v>45912</v>
      </c>
    </row>
    <row r="1246" spans="1:79">
      <c r="A1246">
        <v>1259</v>
      </c>
      <c r="B1246">
        <v>179</v>
      </c>
      <c r="C1246">
        <v>43</v>
      </c>
      <c r="D1246" t="s">
        <v>3462</v>
      </c>
      <c r="E1246" t="s">
        <v>2411</v>
      </c>
      <c r="F1246" t="s">
        <v>2407</v>
      </c>
      <c r="G1246" s="12" t="s">
        <v>3465</v>
      </c>
      <c r="H1246" t="s">
        <v>88</v>
      </c>
      <c r="I1246">
        <v>78</v>
      </c>
      <c r="J1246">
        <v>81</v>
      </c>
      <c r="K1246">
        <v>151</v>
      </c>
      <c r="L1246">
        <v>86</v>
      </c>
      <c r="M1246" t="s">
        <v>72</v>
      </c>
      <c r="N1246">
        <v>149</v>
      </c>
      <c r="O1246">
        <v>91</v>
      </c>
      <c r="P1246" t="s">
        <v>72</v>
      </c>
      <c r="Q1246" t="s">
        <v>72</v>
      </c>
      <c r="R1246">
        <v>79.3</v>
      </c>
      <c r="S1246">
        <v>184</v>
      </c>
      <c r="T1246" s="8">
        <f t="shared" si="39"/>
        <v>23.42273156899811</v>
      </c>
      <c r="U1246" s="13" t="str" cm="1">
        <f t="array" ref="U1246">IF(T1246="","",_xlfn.IFS(T1246&lt;18.5,"Bajo peso",T1246&lt;25,"Peso normal",T1246&lt;30,"Sobrepeso",T1246&lt;35,"Obesidad clase I",T1246&lt;40,"Obesidad clase II",T1246&gt;=40,"Obesidad clase III"))</f>
        <v>Peso normal</v>
      </c>
      <c r="V1246">
        <v>112</v>
      </c>
      <c r="X1246" t="s">
        <v>3463</v>
      </c>
      <c r="Y1246">
        <v>1.42</v>
      </c>
      <c r="AA1246">
        <v>63</v>
      </c>
      <c r="AB1246" s="9">
        <f t="shared" si="38"/>
        <v>62.876739929854217</v>
      </c>
      <c r="AD1246" t="s">
        <v>73</v>
      </c>
      <c r="AF1246" t="s">
        <v>73</v>
      </c>
      <c r="AH1246" t="s">
        <v>3463</v>
      </c>
      <c r="AI1246" t="s">
        <v>3463</v>
      </c>
      <c r="AJ1246" t="s">
        <v>3463</v>
      </c>
      <c r="AK1246" t="s">
        <v>3463</v>
      </c>
      <c r="AL1246" t="s">
        <v>3463</v>
      </c>
      <c r="AP1246" t="s">
        <v>3463</v>
      </c>
      <c r="AQ1246" t="s">
        <v>2744</v>
      </c>
      <c r="AR1246" t="s">
        <v>3560</v>
      </c>
      <c r="AV1246" t="s">
        <v>74</v>
      </c>
      <c r="AW1246" t="s">
        <v>3915</v>
      </c>
      <c r="BF1246" t="s">
        <v>3921</v>
      </c>
      <c r="BH1246" t="s">
        <v>4020</v>
      </c>
      <c r="BP1246" t="s">
        <v>4260</v>
      </c>
      <c r="BQ1246" t="s">
        <v>3463</v>
      </c>
      <c r="BR1246" t="s">
        <v>3465</v>
      </c>
      <c r="BS1246" t="s">
        <v>3463</v>
      </c>
      <c r="BT1246" t="s">
        <v>3463</v>
      </c>
      <c r="BU1246" t="s">
        <v>3463</v>
      </c>
      <c r="BV1246" t="s">
        <v>3463</v>
      </c>
      <c r="BW1246" t="s">
        <v>3463</v>
      </c>
      <c r="BX1246" t="s">
        <v>79</v>
      </c>
      <c r="BY1246" t="s">
        <v>79</v>
      </c>
      <c r="BZ1246" t="s">
        <v>79</v>
      </c>
      <c r="CA1246" s="10">
        <v>45912</v>
      </c>
    </row>
    <row r="1247" spans="1:79">
      <c r="A1247">
        <v>1260</v>
      </c>
      <c r="B1247">
        <v>180</v>
      </c>
      <c r="C1247">
        <v>28</v>
      </c>
      <c r="D1247" t="s">
        <v>3466</v>
      </c>
      <c r="E1247" t="s">
        <v>2411</v>
      </c>
      <c r="F1247" t="s">
        <v>2407</v>
      </c>
      <c r="G1247" s="12" t="s">
        <v>3463</v>
      </c>
      <c r="H1247" s="12"/>
      <c r="I1247">
        <v>65</v>
      </c>
      <c r="K1247">
        <v>105</v>
      </c>
      <c r="L1247">
        <v>58</v>
      </c>
      <c r="M1247" t="s">
        <v>80</v>
      </c>
      <c r="P1247" t="s">
        <v>83</v>
      </c>
      <c r="Q1247" t="s">
        <v>80</v>
      </c>
      <c r="R1247">
        <v>73.7</v>
      </c>
      <c r="S1247">
        <v>155</v>
      </c>
      <c r="T1247" s="8">
        <f t="shared" si="39"/>
        <v>30.676378772112383</v>
      </c>
      <c r="U1247" s="13" t="str" cm="1">
        <f t="array" ref="U1247">IF(T1247="","",_xlfn.IFS(T1247&lt;18.5,"Bajo peso",T1247&lt;25,"Peso normal",T1247&lt;30,"Sobrepeso",T1247&lt;35,"Obesidad clase I",T1247&lt;40,"Obesidad clase II",T1247&gt;=40,"Obesidad clase III"))</f>
        <v>Obesidad clase I</v>
      </c>
      <c r="V1247">
        <v>65</v>
      </c>
      <c r="X1247" t="s">
        <v>3463</v>
      </c>
      <c r="Y1247">
        <v>1.54</v>
      </c>
      <c r="AA1247">
        <v>47</v>
      </c>
      <c r="AB1247" s="9">
        <f t="shared" si="38"/>
        <v>46.87415236465597</v>
      </c>
      <c r="AD1247" t="s">
        <v>158</v>
      </c>
      <c r="AF1247" t="s">
        <v>158</v>
      </c>
      <c r="AH1247" t="s">
        <v>3463</v>
      </c>
      <c r="AI1247" t="s">
        <v>3463</v>
      </c>
      <c r="AJ1247" t="s">
        <v>3463</v>
      </c>
      <c r="AK1247" t="s">
        <v>3463</v>
      </c>
      <c r="AL1247" t="s">
        <v>3463</v>
      </c>
      <c r="AO1247" t="s">
        <v>3463</v>
      </c>
      <c r="AP1247" t="s">
        <v>3465</v>
      </c>
      <c r="AQ1247" t="s">
        <v>2745</v>
      </c>
      <c r="AR1247" t="s">
        <v>3596</v>
      </c>
      <c r="AV1247" t="s">
        <v>74</v>
      </c>
      <c r="AW1247" t="s">
        <v>3915</v>
      </c>
      <c r="AX1247" t="s">
        <v>3463</v>
      </c>
      <c r="AY1247" t="s">
        <v>3465</v>
      </c>
      <c r="BF1247" t="s">
        <v>3921</v>
      </c>
      <c r="BG1247" t="s">
        <v>2746</v>
      </c>
      <c r="BH1247" t="s">
        <v>4222</v>
      </c>
      <c r="BI1247" t="s">
        <v>2747</v>
      </c>
      <c r="BK1247" t="s">
        <v>2748</v>
      </c>
      <c r="BL1247" t="s">
        <v>2749</v>
      </c>
      <c r="BP1247" t="s">
        <v>4536</v>
      </c>
      <c r="BQ1247" t="s">
        <v>3463</v>
      </c>
      <c r="BR1247" t="s">
        <v>3463</v>
      </c>
      <c r="BS1247" t="s">
        <v>3465</v>
      </c>
      <c r="BT1247" t="s">
        <v>3465</v>
      </c>
      <c r="BU1247" t="s">
        <v>3463</v>
      </c>
      <c r="BV1247" t="s">
        <v>3463</v>
      </c>
      <c r="BW1247" t="s">
        <v>3463</v>
      </c>
      <c r="BX1247" t="s">
        <v>121</v>
      </c>
      <c r="BY1247" t="s">
        <v>79</v>
      </c>
      <c r="BZ1247" t="s">
        <v>79</v>
      </c>
      <c r="CA1247" s="10">
        <v>45912</v>
      </c>
    </row>
    <row r="1248" spans="1:79">
      <c r="A1248">
        <v>1261</v>
      </c>
      <c r="B1248">
        <v>181</v>
      </c>
      <c r="C1248">
        <v>31</v>
      </c>
      <c r="D1248" t="s">
        <v>3466</v>
      </c>
      <c r="E1248" t="s">
        <v>2750</v>
      </c>
      <c r="F1248" t="s">
        <v>2407</v>
      </c>
      <c r="G1248" s="12" t="s">
        <v>3465</v>
      </c>
      <c r="H1248" s="12" t="s">
        <v>88</v>
      </c>
      <c r="I1248">
        <v>71</v>
      </c>
      <c r="K1248">
        <v>114</v>
      </c>
      <c r="L1248">
        <v>66</v>
      </c>
      <c r="M1248" t="s">
        <v>80</v>
      </c>
      <c r="P1248" t="s">
        <v>83</v>
      </c>
      <c r="Q1248" t="s">
        <v>80</v>
      </c>
      <c r="R1248">
        <v>66.599999999999994</v>
      </c>
      <c r="S1248">
        <v>161</v>
      </c>
      <c r="T1248" s="8">
        <f t="shared" si="39"/>
        <v>25.693453184676514</v>
      </c>
      <c r="U1248" s="13" t="str" cm="1">
        <f t="array" ref="U1248">IF(T1248="","",_xlfn.IFS(T1248&lt;18.5,"Bajo peso",T1248&lt;25,"Peso normal",T1248&lt;30,"Sobrepeso",T1248&lt;35,"Obesidad clase I",T1248&lt;40,"Obesidad clase II",T1248&gt;=40,"Obesidad clase III"))</f>
        <v>Sobrepeso</v>
      </c>
      <c r="V1248">
        <v>85</v>
      </c>
      <c r="X1248" t="s">
        <v>3463</v>
      </c>
      <c r="Y1248">
        <v>0.89</v>
      </c>
      <c r="AA1248">
        <v>89</v>
      </c>
      <c r="AB1248" s="9">
        <f t="shared" si="38"/>
        <v>88.835645346680536</v>
      </c>
      <c r="AD1248" t="s">
        <v>73</v>
      </c>
      <c r="AF1248" t="s">
        <v>73</v>
      </c>
      <c r="AH1248" t="s">
        <v>3463</v>
      </c>
      <c r="AI1248" t="s">
        <v>3463</v>
      </c>
      <c r="AJ1248" t="s">
        <v>3463</v>
      </c>
      <c r="AK1248" t="s">
        <v>3463</v>
      </c>
      <c r="AL1248" t="s">
        <v>3463</v>
      </c>
      <c r="AM1248" t="s">
        <v>2751</v>
      </c>
      <c r="AN1248" t="s">
        <v>3834</v>
      </c>
      <c r="AP1248" t="s">
        <v>3463</v>
      </c>
      <c r="AQ1248" t="s">
        <v>169</v>
      </c>
      <c r="AR1248" t="s">
        <v>3493</v>
      </c>
      <c r="AV1248" t="s">
        <v>126</v>
      </c>
      <c r="AW1248" t="s">
        <v>126</v>
      </c>
      <c r="AX1248" t="s">
        <v>3463</v>
      </c>
      <c r="AY1248" t="s">
        <v>3465</v>
      </c>
      <c r="AZ1248" t="s">
        <v>247</v>
      </c>
      <c r="BF1248" t="s">
        <v>3921</v>
      </c>
      <c r="BH1248" t="s">
        <v>4020</v>
      </c>
      <c r="BP1248" t="s">
        <v>4260</v>
      </c>
      <c r="BQ1248" t="s">
        <v>3463</v>
      </c>
      <c r="BR1248" t="s">
        <v>3463</v>
      </c>
      <c r="BS1248" t="s">
        <v>3465</v>
      </c>
      <c r="BT1248" t="s">
        <v>3465</v>
      </c>
      <c r="BU1248" t="s">
        <v>3463</v>
      </c>
      <c r="BV1248" t="s">
        <v>3463</v>
      </c>
      <c r="BW1248" t="s">
        <v>3463</v>
      </c>
      <c r="BX1248" t="s">
        <v>518</v>
      </c>
      <c r="BY1248" t="s">
        <v>79</v>
      </c>
      <c r="BZ1248" t="s">
        <v>79</v>
      </c>
      <c r="CA1248" s="10">
        <v>45912</v>
      </c>
    </row>
    <row r="1249" spans="1:79">
      <c r="A1249">
        <v>1262</v>
      </c>
      <c r="B1249">
        <v>182</v>
      </c>
      <c r="C1249">
        <v>35</v>
      </c>
      <c r="D1249" t="s">
        <v>3462</v>
      </c>
      <c r="E1249" t="s">
        <v>2550</v>
      </c>
      <c r="F1249" t="s">
        <v>2407</v>
      </c>
      <c r="G1249" s="12" t="s">
        <v>3465</v>
      </c>
      <c r="H1249" t="s">
        <v>88</v>
      </c>
      <c r="I1249">
        <v>72</v>
      </c>
      <c r="J1249">
        <v>66</v>
      </c>
      <c r="K1249">
        <v>145</v>
      </c>
      <c r="L1249">
        <v>68</v>
      </c>
      <c r="M1249" t="s">
        <v>72</v>
      </c>
      <c r="N1249">
        <v>139</v>
      </c>
      <c r="O1249">
        <v>65</v>
      </c>
      <c r="P1249" t="s">
        <v>82</v>
      </c>
      <c r="Q1249" t="s">
        <v>82</v>
      </c>
      <c r="R1249">
        <v>95.4</v>
      </c>
      <c r="S1249">
        <v>177</v>
      </c>
      <c r="T1249" s="8">
        <f t="shared" si="39"/>
        <v>30.451019821890263</v>
      </c>
      <c r="U1249" s="13" t="str" cm="1">
        <f t="array" ref="U1249">IF(T1249="","",_xlfn.IFS(T1249&lt;18.5,"Bajo peso",T1249&lt;25,"Peso normal",T1249&lt;30,"Sobrepeso",T1249&lt;35,"Obesidad clase I",T1249&lt;40,"Obesidad clase II",T1249&gt;=40,"Obesidad clase III"))</f>
        <v>Obesidad clase I</v>
      </c>
      <c r="V1249">
        <v>94</v>
      </c>
      <c r="X1249" t="s">
        <v>3463</v>
      </c>
      <c r="Y1249">
        <v>0.39</v>
      </c>
      <c r="AA1249">
        <v>90</v>
      </c>
      <c r="AB1249" s="9">
        <f t="shared" si="38"/>
        <v>147.03908965103162</v>
      </c>
      <c r="AD1249" t="s">
        <v>73</v>
      </c>
      <c r="AF1249" t="s">
        <v>73</v>
      </c>
      <c r="AH1249" t="s">
        <v>3463</v>
      </c>
      <c r="AI1249" t="s">
        <v>3463</v>
      </c>
      <c r="AJ1249" t="s">
        <v>3463</v>
      </c>
      <c r="AK1249" t="s">
        <v>3463</v>
      </c>
      <c r="AL1249" t="s">
        <v>3463</v>
      </c>
      <c r="AP1249" t="s">
        <v>3463</v>
      </c>
      <c r="AV1249" t="s">
        <v>74</v>
      </c>
      <c r="AW1249" t="s">
        <v>3915</v>
      </c>
      <c r="BF1249" t="s">
        <v>3921</v>
      </c>
      <c r="BH1249" t="s">
        <v>4020</v>
      </c>
      <c r="BP1249" t="s">
        <v>4260</v>
      </c>
      <c r="BQ1249" t="s">
        <v>3465</v>
      </c>
      <c r="BR1249" t="s">
        <v>3465</v>
      </c>
      <c r="BS1249" t="s">
        <v>3463</v>
      </c>
      <c r="BT1249" t="s">
        <v>3465</v>
      </c>
      <c r="BU1249" t="s">
        <v>3463</v>
      </c>
      <c r="BV1249" t="s">
        <v>3463</v>
      </c>
      <c r="BW1249" t="s">
        <v>3463</v>
      </c>
      <c r="BX1249" t="s">
        <v>79</v>
      </c>
      <c r="BY1249" t="s">
        <v>79</v>
      </c>
      <c r="BZ1249" t="s">
        <v>79</v>
      </c>
      <c r="CA1249" s="10">
        <v>45912</v>
      </c>
    </row>
    <row r="1250" spans="1:79">
      <c r="A1250">
        <v>1263</v>
      </c>
      <c r="B1250">
        <v>183</v>
      </c>
      <c r="C1250">
        <v>52</v>
      </c>
      <c r="D1250" t="s">
        <v>3466</v>
      </c>
      <c r="F1250" t="s">
        <v>2407</v>
      </c>
      <c r="G1250" s="12" t="s">
        <v>3465</v>
      </c>
      <c r="H1250" t="s">
        <v>88</v>
      </c>
      <c r="I1250">
        <v>125</v>
      </c>
      <c r="J1250">
        <v>118</v>
      </c>
      <c r="K1250">
        <v>198</v>
      </c>
      <c r="L1250">
        <v>111</v>
      </c>
      <c r="M1250" t="s">
        <v>96</v>
      </c>
      <c r="N1250">
        <v>170</v>
      </c>
      <c r="O1250">
        <v>114</v>
      </c>
      <c r="P1250" t="s">
        <v>72</v>
      </c>
      <c r="Q1250" t="s">
        <v>72</v>
      </c>
      <c r="R1250">
        <v>106</v>
      </c>
      <c r="S1250">
        <v>163</v>
      </c>
      <c r="T1250" s="8">
        <f t="shared" si="39"/>
        <v>39.896119537807216</v>
      </c>
      <c r="U1250" s="13" t="str" cm="1">
        <f t="array" ref="U1250">IF(T1250="","",_xlfn.IFS(T1250&lt;18.5,"Bajo peso",T1250&lt;25,"Peso normal",T1250&lt;30,"Sobrepeso",T1250&lt;35,"Obesidad clase I",T1250&lt;40,"Obesidad clase II",T1250&gt;=40,"Obesidad clase III"))</f>
        <v>Obesidad clase II</v>
      </c>
      <c r="V1250">
        <v>99</v>
      </c>
      <c r="X1250" t="s">
        <v>3463</v>
      </c>
      <c r="Y1250">
        <v>1.23</v>
      </c>
      <c r="AA1250">
        <v>53</v>
      </c>
      <c r="AB1250" s="9">
        <f t="shared" si="38"/>
        <v>52.874707326514923</v>
      </c>
      <c r="AD1250" t="s">
        <v>158</v>
      </c>
      <c r="AF1250" t="s">
        <v>158</v>
      </c>
      <c r="AH1250" t="s">
        <v>3463</v>
      </c>
      <c r="AI1250" t="s">
        <v>3465</v>
      </c>
      <c r="AJ1250" t="s">
        <v>3463</v>
      </c>
      <c r="AK1250" t="s">
        <v>3463</v>
      </c>
      <c r="AL1250" t="s">
        <v>3465</v>
      </c>
      <c r="AM1250" t="s">
        <v>2752</v>
      </c>
      <c r="AN1250" t="s">
        <v>3765</v>
      </c>
      <c r="AP1250" t="s">
        <v>3463</v>
      </c>
      <c r="AQ1250" t="s">
        <v>2753</v>
      </c>
      <c r="AR1250" t="s">
        <v>3561</v>
      </c>
      <c r="AS1250" t="s">
        <v>3465</v>
      </c>
      <c r="AT1250" t="s">
        <v>3465</v>
      </c>
      <c r="AU1250" t="s">
        <v>125</v>
      </c>
      <c r="AV1250" t="s">
        <v>126</v>
      </c>
      <c r="AW1250" t="s">
        <v>126</v>
      </c>
      <c r="AX1250" t="s">
        <v>3463</v>
      </c>
      <c r="AY1250" t="s">
        <v>3465</v>
      </c>
      <c r="AZ1250" t="s">
        <v>1007</v>
      </c>
      <c r="BA1250" t="s">
        <v>3920</v>
      </c>
      <c r="BE1250" t="s">
        <v>2754</v>
      </c>
      <c r="BF1250" t="s">
        <v>3983</v>
      </c>
      <c r="BH1250" t="s">
        <v>4068</v>
      </c>
      <c r="BK1250" t="s">
        <v>2755</v>
      </c>
      <c r="BL1250" t="s">
        <v>2756</v>
      </c>
      <c r="BP1250" t="s">
        <v>4537</v>
      </c>
      <c r="BQ1250" t="s">
        <v>3463</v>
      </c>
      <c r="BR1250" t="s">
        <v>3463</v>
      </c>
      <c r="BS1250" t="s">
        <v>3465</v>
      </c>
      <c r="BT1250" t="s">
        <v>3465</v>
      </c>
      <c r="BU1250" t="s">
        <v>3463</v>
      </c>
      <c r="BV1250" t="s">
        <v>3463</v>
      </c>
      <c r="BW1250" t="s">
        <v>3463</v>
      </c>
      <c r="BX1250" t="s">
        <v>79</v>
      </c>
      <c r="BY1250" t="s">
        <v>79</v>
      </c>
      <c r="BZ1250" t="s">
        <v>79</v>
      </c>
      <c r="CA1250" s="10">
        <v>45912</v>
      </c>
    </row>
    <row r="1251" spans="1:79">
      <c r="A1251">
        <v>1264</v>
      </c>
      <c r="B1251">
        <v>184</v>
      </c>
      <c r="C1251">
        <v>52</v>
      </c>
      <c r="D1251" t="s">
        <v>3462</v>
      </c>
      <c r="E1251" t="s">
        <v>450</v>
      </c>
      <c r="F1251" t="s">
        <v>2407</v>
      </c>
      <c r="G1251" s="12" t="s">
        <v>3463</v>
      </c>
      <c r="I1251">
        <v>84</v>
      </c>
      <c r="K1251">
        <v>136</v>
      </c>
      <c r="L1251">
        <v>90</v>
      </c>
      <c r="M1251" t="s">
        <v>72</v>
      </c>
      <c r="P1251" t="s">
        <v>83</v>
      </c>
      <c r="Q1251" t="s">
        <v>72</v>
      </c>
      <c r="R1251">
        <v>91.5</v>
      </c>
      <c r="S1251">
        <v>169</v>
      </c>
      <c r="T1251" s="8">
        <f t="shared" si="39"/>
        <v>32.036693393088477</v>
      </c>
      <c r="U1251" s="13" t="str" cm="1">
        <f t="array" ref="U1251">IF(T1251="","",_xlfn.IFS(T1251&lt;18.5,"Bajo peso",T1251&lt;25,"Peso normal",T1251&lt;30,"Sobrepeso",T1251&lt;35,"Obesidad clase I",T1251&lt;40,"Obesidad clase II",T1251&gt;=40,"Obesidad clase III"))</f>
        <v>Obesidad clase I</v>
      </c>
      <c r="V1251">
        <v>123</v>
      </c>
      <c r="X1251" t="s">
        <v>3463</v>
      </c>
      <c r="Y1251">
        <v>1.1499999999999999</v>
      </c>
      <c r="AA1251">
        <v>77</v>
      </c>
      <c r="AB1251" s="9">
        <f t="shared" si="38"/>
        <v>76.575449107501896</v>
      </c>
      <c r="AD1251" t="s">
        <v>73</v>
      </c>
      <c r="AF1251" t="s">
        <v>73</v>
      </c>
      <c r="AG1251" t="s">
        <v>3463</v>
      </c>
      <c r="AH1251" t="s">
        <v>3465</v>
      </c>
      <c r="AI1251" t="s">
        <v>3463</v>
      </c>
      <c r="AJ1251" t="s">
        <v>3463</v>
      </c>
      <c r="AK1251" t="s">
        <v>3463</v>
      </c>
      <c r="AL1251" t="s">
        <v>3463</v>
      </c>
      <c r="AP1251" t="s">
        <v>3463</v>
      </c>
      <c r="AQ1251" t="s">
        <v>2367</v>
      </c>
      <c r="AR1251" t="s">
        <v>3530</v>
      </c>
      <c r="AV1251" t="s">
        <v>126</v>
      </c>
      <c r="AW1251" t="s">
        <v>126</v>
      </c>
      <c r="BB1251" t="s">
        <v>3485</v>
      </c>
      <c r="BF1251" t="s">
        <v>3921</v>
      </c>
      <c r="BH1251" t="s">
        <v>4029</v>
      </c>
      <c r="BL1251" t="s">
        <v>2328</v>
      </c>
      <c r="BP1251" t="s">
        <v>4260</v>
      </c>
      <c r="BQ1251" t="s">
        <v>3463</v>
      </c>
      <c r="BR1251" t="s">
        <v>3463</v>
      </c>
      <c r="BS1251" t="s">
        <v>3463</v>
      </c>
      <c r="BT1251" t="s">
        <v>3463</v>
      </c>
      <c r="BU1251" t="s">
        <v>3463</v>
      </c>
      <c r="BV1251" t="s">
        <v>3463</v>
      </c>
      <c r="BW1251" t="s">
        <v>3463</v>
      </c>
      <c r="BX1251" t="s">
        <v>79</v>
      </c>
      <c r="BY1251" t="s">
        <v>87</v>
      </c>
      <c r="BZ1251" t="s">
        <v>95</v>
      </c>
      <c r="CA1251" s="10">
        <v>45912</v>
      </c>
    </row>
    <row r="1252" spans="1:79">
      <c r="A1252">
        <v>1265</v>
      </c>
      <c r="B1252">
        <v>185</v>
      </c>
      <c r="C1252">
        <v>48</v>
      </c>
      <c r="D1252" t="s">
        <v>3466</v>
      </c>
      <c r="E1252" t="s">
        <v>2416</v>
      </c>
      <c r="F1252" t="s">
        <v>2407</v>
      </c>
      <c r="G1252" s="12" t="s">
        <v>3463</v>
      </c>
      <c r="I1252">
        <v>86</v>
      </c>
      <c r="J1252">
        <v>83</v>
      </c>
      <c r="K1252">
        <v>141</v>
      </c>
      <c r="L1252">
        <v>79</v>
      </c>
      <c r="M1252" t="s">
        <v>72</v>
      </c>
      <c r="N1252">
        <v>134</v>
      </c>
      <c r="O1252">
        <v>77</v>
      </c>
      <c r="P1252" t="s">
        <v>82</v>
      </c>
      <c r="Q1252" t="s">
        <v>82</v>
      </c>
      <c r="R1252">
        <v>70.7</v>
      </c>
      <c r="S1252">
        <v>154</v>
      </c>
      <c r="T1252" s="8">
        <f t="shared" si="39"/>
        <v>29.811097992916178</v>
      </c>
      <c r="U1252" s="13" t="str" cm="1">
        <f t="array" ref="U1252">IF(T1252="","",_xlfn.IFS(T1252&lt;18.5,"Bajo peso",T1252&lt;25,"Peso normal",T1252&lt;30,"Sobrepeso",T1252&lt;35,"Obesidad clase I",T1252&lt;40,"Obesidad clase II",T1252&gt;=40,"Obesidad clase III"))</f>
        <v>Sobrepeso</v>
      </c>
      <c r="V1252">
        <v>88</v>
      </c>
      <c r="X1252" t="s">
        <v>3463</v>
      </c>
      <c r="Y1252">
        <v>1.03</v>
      </c>
      <c r="AA1252">
        <v>67</v>
      </c>
      <c r="AB1252" s="9">
        <f t="shared" si="38"/>
        <v>67.070797592500028</v>
      </c>
      <c r="AD1252" t="s">
        <v>73</v>
      </c>
      <c r="AF1252" t="s">
        <v>73</v>
      </c>
      <c r="AH1252" t="s">
        <v>3463</v>
      </c>
      <c r="AI1252" t="s">
        <v>3463</v>
      </c>
      <c r="AJ1252" t="s">
        <v>3463</v>
      </c>
      <c r="AK1252" t="s">
        <v>3463</v>
      </c>
      <c r="AL1252" t="s">
        <v>3465</v>
      </c>
      <c r="AM1252" t="s">
        <v>2757</v>
      </c>
      <c r="AN1252" t="s">
        <v>3609</v>
      </c>
      <c r="AP1252" t="s">
        <v>3463</v>
      </c>
      <c r="AQ1252" t="s">
        <v>2758</v>
      </c>
      <c r="AR1252" t="s">
        <v>3491</v>
      </c>
      <c r="AT1252" t="s">
        <v>3465</v>
      </c>
      <c r="AU1252" t="s">
        <v>1899</v>
      </c>
      <c r="AV1252" t="s">
        <v>74</v>
      </c>
      <c r="AW1252" t="s">
        <v>3915</v>
      </c>
      <c r="AX1252" t="s">
        <v>3465</v>
      </c>
      <c r="AY1252" t="s">
        <v>3463</v>
      </c>
      <c r="AZ1252" t="s">
        <v>2759</v>
      </c>
      <c r="BF1252" t="s">
        <v>3921</v>
      </c>
      <c r="BG1252" t="s">
        <v>2760</v>
      </c>
      <c r="BH1252" t="s">
        <v>4223</v>
      </c>
      <c r="BI1252" t="s">
        <v>2747</v>
      </c>
      <c r="BK1252" t="s">
        <v>2761</v>
      </c>
      <c r="BL1252" t="s">
        <v>1383</v>
      </c>
      <c r="BP1252" t="s">
        <v>4529</v>
      </c>
      <c r="BQ1252" t="s">
        <v>3465</v>
      </c>
      <c r="BR1252" t="s">
        <v>3465</v>
      </c>
      <c r="BS1252" t="s">
        <v>3465</v>
      </c>
      <c r="BT1252" t="s">
        <v>3465</v>
      </c>
      <c r="BU1252" t="s">
        <v>3463</v>
      </c>
      <c r="BV1252" t="s">
        <v>3463</v>
      </c>
      <c r="BW1252" t="s">
        <v>3463</v>
      </c>
      <c r="BX1252" t="s">
        <v>79</v>
      </c>
      <c r="BY1252" t="s">
        <v>79</v>
      </c>
      <c r="BZ1252" t="s">
        <v>95</v>
      </c>
      <c r="CA1252" s="10">
        <v>45912</v>
      </c>
    </row>
    <row r="1253" spans="1:79">
      <c r="A1253">
        <v>1266</v>
      </c>
      <c r="B1253">
        <v>186</v>
      </c>
      <c r="C1253">
        <v>30</v>
      </c>
      <c r="D1253" t="s">
        <v>3466</v>
      </c>
      <c r="E1253" t="s">
        <v>2660</v>
      </c>
      <c r="F1253" t="s">
        <v>2407</v>
      </c>
      <c r="G1253" s="12" t="s">
        <v>3463</v>
      </c>
      <c r="H1253" s="12"/>
      <c r="I1253">
        <v>88</v>
      </c>
      <c r="J1253">
        <v>95</v>
      </c>
      <c r="K1253">
        <v>144</v>
      </c>
      <c r="L1253">
        <v>75</v>
      </c>
      <c r="M1253" t="s">
        <v>72</v>
      </c>
      <c r="N1253">
        <v>116</v>
      </c>
      <c r="O1253">
        <v>63</v>
      </c>
      <c r="P1253" t="s">
        <v>80</v>
      </c>
      <c r="Q1253" t="s">
        <v>80</v>
      </c>
      <c r="R1253">
        <v>72.3</v>
      </c>
      <c r="S1253">
        <v>160</v>
      </c>
      <c r="T1253" s="8">
        <f t="shared" si="39"/>
        <v>28.2421875</v>
      </c>
      <c r="U1253" s="13" t="str" cm="1">
        <f t="array" ref="U1253">IF(T1253="","",_xlfn.IFS(T1253&lt;18.5,"Bajo peso",T1253&lt;25,"Peso normal",T1253&lt;30,"Sobrepeso",T1253&lt;35,"Obesidad clase I",T1253&lt;40,"Obesidad clase II",T1253&gt;=40,"Obesidad clase III"))</f>
        <v>Sobrepeso</v>
      </c>
      <c r="V1253">
        <v>93</v>
      </c>
      <c r="X1253" t="s">
        <v>3463</v>
      </c>
      <c r="Y1253">
        <v>1.19</v>
      </c>
      <c r="AA1253">
        <v>64</v>
      </c>
      <c r="AB1253" s="9">
        <f t="shared" si="38"/>
        <v>63.081196681819229</v>
      </c>
      <c r="AD1253" t="s">
        <v>73</v>
      </c>
      <c r="AF1253" t="s">
        <v>73</v>
      </c>
      <c r="AH1253" t="s">
        <v>3463</v>
      </c>
      <c r="AI1253" t="s">
        <v>3463</v>
      </c>
      <c r="AJ1253" t="s">
        <v>3463</v>
      </c>
      <c r="AK1253" t="s">
        <v>3465</v>
      </c>
      <c r="AL1253" t="s">
        <v>3465</v>
      </c>
      <c r="AM1253" t="s">
        <v>2762</v>
      </c>
      <c r="AN1253" t="s">
        <v>1815</v>
      </c>
      <c r="AO1253" t="s">
        <v>3463</v>
      </c>
      <c r="AP1253" t="s">
        <v>3465</v>
      </c>
      <c r="AQ1253" t="s">
        <v>2763</v>
      </c>
      <c r="AR1253" t="s">
        <v>3529</v>
      </c>
      <c r="AV1253" t="s">
        <v>74</v>
      </c>
      <c r="AW1253" t="s">
        <v>3915</v>
      </c>
      <c r="AX1253" t="s">
        <v>3465</v>
      </c>
      <c r="AY1253" t="s">
        <v>3465</v>
      </c>
      <c r="AZ1253" t="s">
        <v>247</v>
      </c>
      <c r="BF1253" t="s">
        <v>3921</v>
      </c>
      <c r="BH1253" t="s">
        <v>4020</v>
      </c>
      <c r="BP1253" t="s">
        <v>4260</v>
      </c>
      <c r="BQ1253" t="s">
        <v>3463</v>
      </c>
      <c r="BR1253" t="s">
        <v>3463</v>
      </c>
      <c r="BS1253" t="s">
        <v>3463</v>
      </c>
      <c r="BT1253" t="s">
        <v>3465</v>
      </c>
      <c r="BU1253" t="s">
        <v>3463</v>
      </c>
      <c r="BV1253" t="s">
        <v>3463</v>
      </c>
      <c r="BW1253" t="s">
        <v>3463</v>
      </c>
      <c r="BX1253" t="s">
        <v>518</v>
      </c>
      <c r="BY1253" t="s">
        <v>79</v>
      </c>
      <c r="BZ1253" t="s">
        <v>79</v>
      </c>
      <c r="CA1253" s="10">
        <v>45912</v>
      </c>
    </row>
    <row r="1254" spans="1:79">
      <c r="A1254">
        <v>1267</v>
      </c>
      <c r="B1254">
        <v>187</v>
      </c>
      <c r="C1254">
        <v>29</v>
      </c>
      <c r="D1254" t="s">
        <v>3466</v>
      </c>
      <c r="E1254" t="s">
        <v>2416</v>
      </c>
      <c r="F1254" t="s">
        <v>2407</v>
      </c>
      <c r="G1254" s="12" t="s">
        <v>3465</v>
      </c>
      <c r="H1254" t="s">
        <v>88</v>
      </c>
      <c r="I1254">
        <v>100</v>
      </c>
      <c r="K1254">
        <v>136</v>
      </c>
      <c r="L1254">
        <v>86</v>
      </c>
      <c r="M1254" t="s">
        <v>82</v>
      </c>
      <c r="P1254" t="s">
        <v>83</v>
      </c>
      <c r="Q1254" t="s">
        <v>82</v>
      </c>
      <c r="R1254">
        <v>55.4</v>
      </c>
      <c r="S1254">
        <v>161</v>
      </c>
      <c r="T1254" s="8">
        <f t="shared" si="39"/>
        <v>21.372632228694879</v>
      </c>
      <c r="U1254" s="13" t="str" cm="1">
        <f t="array" ref="U1254">IF(T1254="","",_xlfn.IFS(T1254&lt;18.5,"Bajo peso",T1254&lt;25,"Peso normal",T1254&lt;30,"Sobrepeso",T1254&lt;35,"Obesidad clase I",T1254&lt;40,"Obesidad clase II",T1254&gt;=40,"Obesidad clase III"))</f>
        <v>Peso normal</v>
      </c>
      <c r="V1254">
        <v>88</v>
      </c>
      <c r="X1254" t="s">
        <v>3463</v>
      </c>
      <c r="Y1254">
        <v>1.05</v>
      </c>
      <c r="AA1254">
        <v>74</v>
      </c>
      <c r="AB1254" s="9">
        <f t="shared" si="38"/>
        <v>73.761565564117973</v>
      </c>
      <c r="AD1254" t="s">
        <v>73</v>
      </c>
      <c r="AF1254" t="s">
        <v>73</v>
      </c>
      <c r="AH1254" t="s">
        <v>3463</v>
      </c>
      <c r="AI1254" t="s">
        <v>3463</v>
      </c>
      <c r="AJ1254" t="s">
        <v>3463</v>
      </c>
      <c r="AK1254" t="s">
        <v>3465</v>
      </c>
      <c r="AL1254" t="s">
        <v>3465</v>
      </c>
      <c r="AM1254" t="s">
        <v>2764</v>
      </c>
      <c r="AN1254" t="s">
        <v>3854</v>
      </c>
      <c r="AP1254" t="s">
        <v>3463</v>
      </c>
      <c r="AQ1254" t="s">
        <v>2765</v>
      </c>
      <c r="AR1254" t="s">
        <v>3491</v>
      </c>
      <c r="AT1254" t="s">
        <v>3463</v>
      </c>
      <c r="AV1254" t="s">
        <v>74</v>
      </c>
      <c r="AW1254" t="s">
        <v>3915</v>
      </c>
      <c r="AX1254" t="s">
        <v>3463</v>
      </c>
      <c r="AY1254" t="s">
        <v>3465</v>
      </c>
      <c r="AZ1254" t="s">
        <v>90</v>
      </c>
      <c r="BF1254" t="s">
        <v>3921</v>
      </c>
      <c r="BG1254" t="s">
        <v>2766</v>
      </c>
      <c r="BH1254" t="s">
        <v>4086</v>
      </c>
      <c r="BK1254" t="s">
        <v>703</v>
      </c>
      <c r="BL1254" t="s">
        <v>2767</v>
      </c>
      <c r="BP1254" t="s">
        <v>4260</v>
      </c>
      <c r="BQ1254" t="s">
        <v>3463</v>
      </c>
      <c r="BR1254" t="s">
        <v>3465</v>
      </c>
      <c r="BS1254" t="s">
        <v>3463</v>
      </c>
      <c r="BT1254" t="s">
        <v>3465</v>
      </c>
      <c r="BU1254" t="s">
        <v>3463</v>
      </c>
      <c r="BV1254" t="s">
        <v>3463</v>
      </c>
      <c r="BW1254" t="s">
        <v>3463</v>
      </c>
      <c r="BX1254" t="s">
        <v>79</v>
      </c>
      <c r="BY1254" t="s">
        <v>79</v>
      </c>
      <c r="BZ1254" t="s">
        <v>79</v>
      </c>
      <c r="CA1254" s="10">
        <v>45912</v>
      </c>
    </row>
    <row r="1255" spans="1:79">
      <c r="A1255">
        <v>1268</v>
      </c>
      <c r="B1255">
        <v>188</v>
      </c>
      <c r="C1255">
        <v>30</v>
      </c>
      <c r="D1255" t="s">
        <v>3466</v>
      </c>
      <c r="E1255" t="s">
        <v>2768</v>
      </c>
      <c r="F1255" t="s">
        <v>71</v>
      </c>
      <c r="G1255" s="12" t="s">
        <v>3463</v>
      </c>
      <c r="H1255" s="12"/>
      <c r="I1255">
        <v>90</v>
      </c>
      <c r="K1255">
        <v>129</v>
      </c>
      <c r="L1255">
        <v>79</v>
      </c>
      <c r="M1255" t="s">
        <v>118</v>
      </c>
      <c r="P1255" t="s">
        <v>83</v>
      </c>
      <c r="Q1255" t="s">
        <v>118</v>
      </c>
      <c r="R1255">
        <v>129.94999999999999</v>
      </c>
      <c r="S1255">
        <v>162</v>
      </c>
      <c r="T1255" s="8">
        <f t="shared" si="39"/>
        <v>49.516079865874104</v>
      </c>
      <c r="U1255" s="13" t="str" cm="1">
        <f t="array" ref="U1255">IF(T1255="","",_xlfn.IFS(T1255&lt;18.5,"Bajo peso",T1255&lt;25,"Peso normal",T1255&lt;30,"Sobrepeso",T1255&lt;35,"Obesidad clase I",T1255&lt;40,"Obesidad clase II",T1255&gt;=40,"Obesidad clase III"))</f>
        <v>Obesidad clase III</v>
      </c>
      <c r="V1255">
        <v>89</v>
      </c>
      <c r="X1255" t="s">
        <v>3463</v>
      </c>
      <c r="Y1255">
        <v>1.33</v>
      </c>
      <c r="AA1255">
        <v>55</v>
      </c>
      <c r="AB1255" s="9">
        <f t="shared" si="38"/>
        <v>55.199393761551676</v>
      </c>
      <c r="AD1255" t="s">
        <v>158</v>
      </c>
      <c r="AF1255" t="s">
        <v>158</v>
      </c>
      <c r="AH1255" t="s">
        <v>3463</v>
      </c>
      <c r="AI1255" t="s">
        <v>3463</v>
      </c>
      <c r="AJ1255" t="s">
        <v>3463</v>
      </c>
      <c r="AK1255" t="s">
        <v>3465</v>
      </c>
      <c r="AL1255" t="s">
        <v>3465</v>
      </c>
      <c r="AM1255" t="s">
        <v>1511</v>
      </c>
      <c r="AN1255" t="s">
        <v>1511</v>
      </c>
      <c r="AP1255" t="s">
        <v>3463</v>
      </c>
      <c r="AQ1255" t="s">
        <v>2769</v>
      </c>
      <c r="AR1255" t="s">
        <v>3488</v>
      </c>
      <c r="AV1255" t="s">
        <v>74</v>
      </c>
      <c r="AW1255" t="s">
        <v>3915</v>
      </c>
      <c r="AX1255" t="s">
        <v>3463</v>
      </c>
      <c r="AY1255" t="s">
        <v>3465</v>
      </c>
      <c r="AZ1255" t="s">
        <v>90</v>
      </c>
      <c r="BC1255" t="s">
        <v>128</v>
      </c>
      <c r="BF1255" t="s">
        <v>3921</v>
      </c>
      <c r="BG1255" t="s">
        <v>2770</v>
      </c>
      <c r="BH1255" t="s">
        <v>4129</v>
      </c>
      <c r="BI1255" t="s">
        <v>2733</v>
      </c>
      <c r="BK1255" t="s">
        <v>2735</v>
      </c>
      <c r="BL1255" t="s">
        <v>2771</v>
      </c>
      <c r="BP1255" t="s">
        <v>4316</v>
      </c>
      <c r="BQ1255" t="s">
        <v>3463</v>
      </c>
      <c r="BR1255" t="s">
        <v>3465</v>
      </c>
      <c r="BS1255" t="s">
        <v>3463</v>
      </c>
      <c r="BT1255" t="s">
        <v>3463</v>
      </c>
      <c r="BU1255" t="s">
        <v>3463</v>
      </c>
      <c r="BV1255" t="s">
        <v>3463</v>
      </c>
      <c r="BW1255" t="s">
        <v>3463</v>
      </c>
      <c r="BX1255" t="s">
        <v>79</v>
      </c>
      <c r="BY1255" t="s">
        <v>79</v>
      </c>
      <c r="BZ1255" t="s">
        <v>79</v>
      </c>
      <c r="CA1255" s="10">
        <v>45912</v>
      </c>
    </row>
    <row r="1256" spans="1:79">
      <c r="A1256">
        <v>1269</v>
      </c>
      <c r="B1256">
        <v>189</v>
      </c>
      <c r="C1256">
        <v>26</v>
      </c>
      <c r="D1256" t="s">
        <v>3462</v>
      </c>
      <c r="E1256" t="s">
        <v>450</v>
      </c>
      <c r="F1256" t="s">
        <v>2407</v>
      </c>
      <c r="G1256" s="12" t="s">
        <v>3463</v>
      </c>
      <c r="I1256">
        <v>64</v>
      </c>
      <c r="K1256">
        <v>130</v>
      </c>
      <c r="L1256">
        <v>78</v>
      </c>
      <c r="M1256" t="s">
        <v>82</v>
      </c>
      <c r="P1256" t="s">
        <v>83</v>
      </c>
      <c r="Q1256" t="s">
        <v>82</v>
      </c>
      <c r="R1256">
        <v>76.599999999999994</v>
      </c>
      <c r="S1256">
        <v>165</v>
      </c>
      <c r="T1256" s="8">
        <f t="shared" si="39"/>
        <v>28.13590449954086</v>
      </c>
      <c r="U1256" s="13" t="str" cm="1">
        <f t="array" ref="U1256">IF(T1256="","",_xlfn.IFS(T1256&lt;18.5,"Bajo peso",T1256&lt;25,"Peso normal",T1256&lt;30,"Sobrepeso",T1256&lt;35,"Obesidad clase I",T1256&lt;40,"Obesidad clase II",T1256&gt;=40,"Obesidad clase III"))</f>
        <v>Sobrepeso</v>
      </c>
      <c r="V1256">
        <v>95</v>
      </c>
      <c r="X1256" t="s">
        <v>3463</v>
      </c>
      <c r="Y1256">
        <v>1.38</v>
      </c>
      <c r="AA1256">
        <v>73</v>
      </c>
      <c r="AB1256" s="9">
        <f t="shared" si="38"/>
        <v>72.326634113952935</v>
      </c>
      <c r="AD1256" t="s">
        <v>73</v>
      </c>
      <c r="AF1256" t="s">
        <v>73</v>
      </c>
      <c r="AH1256" t="s">
        <v>3463</v>
      </c>
      <c r="AI1256" t="s">
        <v>3463</v>
      </c>
      <c r="AJ1256" t="s">
        <v>3463</v>
      </c>
      <c r="AK1256" t="s">
        <v>3463</v>
      </c>
      <c r="AL1256" t="s">
        <v>3463</v>
      </c>
      <c r="AP1256" t="s">
        <v>3463</v>
      </c>
      <c r="AQ1256" t="s">
        <v>169</v>
      </c>
      <c r="AR1256" t="s">
        <v>3493</v>
      </c>
      <c r="AV1256" t="s">
        <v>126</v>
      </c>
      <c r="AW1256" t="s">
        <v>126</v>
      </c>
      <c r="BF1256" t="s">
        <v>3921</v>
      </c>
      <c r="BH1256" t="s">
        <v>4020</v>
      </c>
      <c r="BP1256" t="s">
        <v>4260</v>
      </c>
      <c r="BQ1256" t="s">
        <v>3463</v>
      </c>
      <c r="BR1256" t="s">
        <v>3465</v>
      </c>
      <c r="BS1256" t="s">
        <v>3463</v>
      </c>
      <c r="BT1256" t="s">
        <v>3463</v>
      </c>
      <c r="BU1256" t="s">
        <v>3463</v>
      </c>
      <c r="BV1256" t="s">
        <v>3463</v>
      </c>
      <c r="BX1256" t="s">
        <v>79</v>
      </c>
      <c r="BY1256" t="s">
        <v>87</v>
      </c>
      <c r="BZ1256" t="s">
        <v>79</v>
      </c>
      <c r="CA1256" s="10">
        <v>45912</v>
      </c>
    </row>
    <row r="1257" spans="1:79">
      <c r="A1257">
        <v>1270</v>
      </c>
      <c r="B1257">
        <v>190</v>
      </c>
      <c r="C1257">
        <v>42</v>
      </c>
      <c r="D1257" t="s">
        <v>3462</v>
      </c>
      <c r="E1257" t="s">
        <v>2592</v>
      </c>
      <c r="F1257" t="s">
        <v>2407</v>
      </c>
      <c r="G1257" s="12" t="s">
        <v>3465</v>
      </c>
      <c r="H1257" s="12" t="s">
        <v>88</v>
      </c>
      <c r="I1257">
        <v>79</v>
      </c>
      <c r="K1257">
        <v>138</v>
      </c>
      <c r="L1257">
        <v>82</v>
      </c>
      <c r="M1257" t="s">
        <v>82</v>
      </c>
      <c r="P1257" t="s">
        <v>83</v>
      </c>
      <c r="Q1257" t="s">
        <v>82</v>
      </c>
      <c r="R1257">
        <v>81</v>
      </c>
      <c r="S1257">
        <v>159</v>
      </c>
      <c r="T1257" s="8">
        <f t="shared" si="39"/>
        <v>32.039871840512639</v>
      </c>
      <c r="U1257" s="13" t="str" cm="1">
        <f t="array" ref="U1257">IF(T1257="","",_xlfn.IFS(T1257&lt;18.5,"Bajo peso",T1257&lt;25,"Peso normal",T1257&lt;30,"Sobrepeso",T1257&lt;35,"Obesidad clase I",T1257&lt;40,"Obesidad clase II",T1257&gt;=40,"Obesidad clase III"))</f>
        <v>Obesidad clase I</v>
      </c>
      <c r="V1257">
        <v>115</v>
      </c>
      <c r="X1257" t="s">
        <v>3463</v>
      </c>
      <c r="Y1257">
        <v>1.38</v>
      </c>
      <c r="AA1257">
        <v>66</v>
      </c>
      <c r="AB1257" s="9">
        <f t="shared" si="38"/>
        <v>65.475998974797548</v>
      </c>
      <c r="AD1257" t="s">
        <v>73</v>
      </c>
      <c r="AF1257" t="s">
        <v>73</v>
      </c>
      <c r="AH1257" t="s">
        <v>3463</v>
      </c>
      <c r="AI1257" t="s">
        <v>3463</v>
      </c>
      <c r="AJ1257" t="s">
        <v>3463</v>
      </c>
      <c r="AK1257" t="s">
        <v>3463</v>
      </c>
      <c r="AL1257" t="s">
        <v>3463</v>
      </c>
      <c r="AP1257" t="s">
        <v>3463</v>
      </c>
      <c r="AQ1257" t="s">
        <v>2772</v>
      </c>
      <c r="AR1257" t="s">
        <v>3491</v>
      </c>
      <c r="AV1257" t="s">
        <v>126</v>
      </c>
      <c r="AW1257" t="s">
        <v>126</v>
      </c>
      <c r="BF1257" t="s">
        <v>3921</v>
      </c>
      <c r="BG1257" t="s">
        <v>2773</v>
      </c>
      <c r="BH1257" t="s">
        <v>4082</v>
      </c>
      <c r="BI1257" t="s">
        <v>2733</v>
      </c>
      <c r="BK1257" t="s">
        <v>2774</v>
      </c>
      <c r="BL1257" t="s">
        <v>1383</v>
      </c>
      <c r="BP1257" t="s">
        <v>4519</v>
      </c>
      <c r="BQ1257" t="s">
        <v>3463</v>
      </c>
      <c r="BR1257" t="s">
        <v>3465</v>
      </c>
      <c r="BS1257" t="s">
        <v>3463</v>
      </c>
      <c r="BT1257" t="s">
        <v>3463</v>
      </c>
      <c r="BU1257" t="s">
        <v>3463</v>
      </c>
      <c r="BV1257" t="s">
        <v>3463</v>
      </c>
      <c r="BW1257" t="s">
        <v>3463</v>
      </c>
      <c r="BX1257" t="s">
        <v>79</v>
      </c>
      <c r="BY1257" t="s">
        <v>87</v>
      </c>
      <c r="BZ1257" t="s">
        <v>95</v>
      </c>
      <c r="CA1257" s="10">
        <v>45912</v>
      </c>
    </row>
    <row r="1258" spans="1:79">
      <c r="A1258">
        <v>1271</v>
      </c>
      <c r="B1258">
        <v>191</v>
      </c>
      <c r="C1258">
        <v>27</v>
      </c>
      <c r="D1258" t="s">
        <v>3466</v>
      </c>
      <c r="E1258" t="s">
        <v>2411</v>
      </c>
      <c r="F1258" t="s">
        <v>2407</v>
      </c>
      <c r="G1258" s="12" t="s">
        <v>3465</v>
      </c>
      <c r="H1258" s="12" t="s">
        <v>88</v>
      </c>
      <c r="I1258">
        <v>84</v>
      </c>
      <c r="K1258">
        <v>136</v>
      </c>
      <c r="L1258">
        <v>84</v>
      </c>
      <c r="M1258" t="s">
        <v>82</v>
      </c>
      <c r="P1258" t="s">
        <v>83</v>
      </c>
      <c r="Q1258" t="s">
        <v>82</v>
      </c>
      <c r="R1258">
        <v>93.7</v>
      </c>
      <c r="S1258">
        <v>157</v>
      </c>
      <c r="T1258" s="8">
        <f t="shared" si="39"/>
        <v>38.013712523834641</v>
      </c>
      <c r="U1258" s="13" t="str" cm="1">
        <f t="array" ref="U1258">IF(T1258="","",_xlfn.IFS(T1258&lt;18.5,"Bajo peso",T1258&lt;25,"Peso normal",T1258&lt;30,"Sobrepeso",T1258&lt;35,"Obesidad clase I",T1258&lt;40,"Obesidad clase II",T1258&gt;=40,"Obesidad clase III"))</f>
        <v>Obesidad clase II</v>
      </c>
      <c r="V1258">
        <v>82</v>
      </c>
      <c r="X1258" t="s">
        <v>3463</v>
      </c>
      <c r="Y1258">
        <v>0.99</v>
      </c>
      <c r="AA1258">
        <v>81</v>
      </c>
      <c r="AB1258" s="9">
        <f t="shared" si="38"/>
        <v>80.148807756212662</v>
      </c>
      <c r="AD1258" t="s">
        <v>73</v>
      </c>
      <c r="AF1258" t="s">
        <v>73</v>
      </c>
      <c r="AH1258" t="s">
        <v>3463</v>
      </c>
      <c r="AI1258" t="s">
        <v>3463</v>
      </c>
      <c r="AJ1258" t="s">
        <v>3465</v>
      </c>
      <c r="AK1258" t="s">
        <v>3463</v>
      </c>
      <c r="AL1258" t="s">
        <v>3463</v>
      </c>
      <c r="AP1258" t="s">
        <v>3463</v>
      </c>
      <c r="AQ1258" t="s">
        <v>2775</v>
      </c>
      <c r="AR1258" t="s">
        <v>3569</v>
      </c>
      <c r="AV1258" t="s">
        <v>126</v>
      </c>
      <c r="AW1258" t="s">
        <v>126</v>
      </c>
      <c r="AX1258" t="s">
        <v>3463</v>
      </c>
      <c r="AY1258" t="s">
        <v>3463</v>
      </c>
      <c r="BF1258" t="s">
        <v>3921</v>
      </c>
      <c r="BH1258" t="s">
        <v>4020</v>
      </c>
      <c r="BP1258" t="s">
        <v>4260</v>
      </c>
      <c r="BQ1258" t="s">
        <v>3463</v>
      </c>
      <c r="BR1258" t="s">
        <v>3463</v>
      </c>
      <c r="BS1258" t="s">
        <v>3465</v>
      </c>
      <c r="BT1258" t="s">
        <v>3465</v>
      </c>
      <c r="BU1258" t="s">
        <v>3463</v>
      </c>
      <c r="BV1258" t="s">
        <v>3463</v>
      </c>
      <c r="BW1258" t="s">
        <v>3463</v>
      </c>
      <c r="BX1258" t="s">
        <v>79</v>
      </c>
      <c r="BY1258" t="s">
        <v>79</v>
      </c>
      <c r="BZ1258" t="s">
        <v>79</v>
      </c>
      <c r="CA1258" s="10">
        <v>45912</v>
      </c>
    </row>
    <row r="1259" spans="1:79">
      <c r="A1259">
        <v>1272</v>
      </c>
      <c r="B1259">
        <v>192</v>
      </c>
      <c r="C1259">
        <v>69</v>
      </c>
      <c r="D1259" t="s">
        <v>3466</v>
      </c>
      <c r="E1259" t="s">
        <v>450</v>
      </c>
      <c r="F1259" t="s">
        <v>2407</v>
      </c>
      <c r="G1259" s="12" t="s">
        <v>3465</v>
      </c>
      <c r="H1259" s="12" t="s">
        <v>88</v>
      </c>
      <c r="I1259">
        <v>75</v>
      </c>
      <c r="J1259">
        <v>81</v>
      </c>
      <c r="K1259">
        <v>146</v>
      </c>
      <c r="L1259">
        <v>63</v>
      </c>
      <c r="M1259" t="s">
        <v>72</v>
      </c>
      <c r="N1259">
        <v>130</v>
      </c>
      <c r="O1259">
        <v>66</v>
      </c>
      <c r="P1259" t="s">
        <v>82</v>
      </c>
      <c r="Q1259" t="s">
        <v>82</v>
      </c>
      <c r="R1259">
        <v>59.8</v>
      </c>
      <c r="S1259">
        <v>146</v>
      </c>
      <c r="T1259" s="8">
        <f t="shared" si="39"/>
        <v>28.054043910677425</v>
      </c>
      <c r="U1259" s="13" t="str" cm="1">
        <f t="array" ref="U1259">IF(T1259="","",_xlfn.IFS(T1259&lt;18.5,"Bajo peso",T1259&lt;25,"Peso normal",T1259&lt;30,"Sobrepeso",T1259&lt;35,"Obesidad clase I",T1259&lt;40,"Obesidad clase II",T1259&gt;=40,"Obesidad clase III"))</f>
        <v>Sobrepeso</v>
      </c>
      <c r="V1259">
        <v>102</v>
      </c>
      <c r="X1259" t="s">
        <v>3463</v>
      </c>
      <c r="Y1259">
        <v>1.38</v>
      </c>
      <c r="Z1259">
        <v>1.23</v>
      </c>
      <c r="AA1259">
        <v>42</v>
      </c>
      <c r="AB1259" s="9">
        <f t="shared" ref="AB1259:AB1322" si="40">IF(OR(C1259="",D1259="",Y1259=""),"",142*POWER(MIN(Y1259/IF(D1259="Mujer",0.7,0.9),1),IF(D1259="Mujer",-0.241,-0.302))*POWER(MAX(Y1259/IF(D1259="Mujer",0.7,0.9),1),-1.2)*POWER(0.9938,C1259)*IF(D1259="Mujer",1.012,1))</f>
        <v>41.434497615100526</v>
      </c>
      <c r="AC1259">
        <v>48</v>
      </c>
      <c r="AD1259" t="s">
        <v>218</v>
      </c>
      <c r="AE1259" t="s">
        <v>158</v>
      </c>
      <c r="AF1259" t="s">
        <v>158</v>
      </c>
      <c r="AI1259" t="s">
        <v>3465</v>
      </c>
      <c r="AJ1259" t="s">
        <v>3463</v>
      </c>
      <c r="AK1259" t="s">
        <v>3463</v>
      </c>
      <c r="AL1259" t="s">
        <v>3463</v>
      </c>
      <c r="AP1259" t="s">
        <v>3463</v>
      </c>
      <c r="AS1259" t="s">
        <v>3465</v>
      </c>
      <c r="AT1259" t="s">
        <v>3465</v>
      </c>
      <c r="AU1259" t="s">
        <v>80</v>
      </c>
      <c r="AV1259" t="s">
        <v>126</v>
      </c>
      <c r="AW1259" t="s">
        <v>126</v>
      </c>
      <c r="AX1259" t="s">
        <v>3465</v>
      </c>
      <c r="AY1259" t="s">
        <v>3463</v>
      </c>
      <c r="BA1259" t="s">
        <v>3920</v>
      </c>
      <c r="BE1259" t="s">
        <v>116</v>
      </c>
      <c r="BF1259" t="s">
        <v>116</v>
      </c>
      <c r="BH1259" t="s">
        <v>4053</v>
      </c>
      <c r="BK1259" t="s">
        <v>2776</v>
      </c>
      <c r="BL1259" t="s">
        <v>2777</v>
      </c>
      <c r="BP1259" t="s">
        <v>4383</v>
      </c>
      <c r="BQ1259" t="s">
        <v>3463</v>
      </c>
      <c r="BR1259" t="s">
        <v>3465</v>
      </c>
      <c r="BS1259" t="s">
        <v>3463</v>
      </c>
      <c r="BT1259" t="s">
        <v>3463</v>
      </c>
      <c r="BU1259" t="s">
        <v>3463</v>
      </c>
      <c r="BV1259" t="s">
        <v>3463</v>
      </c>
      <c r="BW1259" t="s">
        <v>3463</v>
      </c>
      <c r="BX1259" t="s">
        <v>79</v>
      </c>
      <c r="BY1259" t="s">
        <v>79</v>
      </c>
      <c r="BZ1259" t="s">
        <v>79</v>
      </c>
      <c r="CA1259" s="10">
        <v>45912</v>
      </c>
    </row>
    <row r="1260" spans="1:79">
      <c r="A1260">
        <v>1273</v>
      </c>
      <c r="B1260">
        <v>193</v>
      </c>
      <c r="C1260">
        <v>56</v>
      </c>
      <c r="D1260" t="s">
        <v>3462</v>
      </c>
      <c r="F1260" t="s">
        <v>2407</v>
      </c>
      <c r="G1260" s="12" t="s">
        <v>3465</v>
      </c>
      <c r="H1260" t="s">
        <v>88</v>
      </c>
      <c r="I1260">
        <v>52</v>
      </c>
      <c r="J1260">
        <v>50</v>
      </c>
      <c r="K1260">
        <v>146</v>
      </c>
      <c r="L1260">
        <v>88</v>
      </c>
      <c r="M1260" t="s">
        <v>72</v>
      </c>
      <c r="N1260">
        <v>133</v>
      </c>
      <c r="O1260">
        <v>79</v>
      </c>
      <c r="P1260" t="s">
        <v>82</v>
      </c>
      <c r="Q1260" t="s">
        <v>82</v>
      </c>
      <c r="R1260">
        <v>83.3</v>
      </c>
      <c r="S1260">
        <v>165</v>
      </c>
      <c r="T1260" s="8">
        <f t="shared" si="39"/>
        <v>30.596877869605144</v>
      </c>
      <c r="U1260" s="13" t="str" cm="1">
        <f t="array" ref="U1260">IF(T1260="","",_xlfn.IFS(T1260&lt;18.5,"Bajo peso",T1260&lt;25,"Peso normal",T1260&lt;30,"Sobrepeso",T1260&lt;35,"Obesidad clase I",T1260&lt;40,"Obesidad clase II",T1260&gt;=40,"Obesidad clase III"))</f>
        <v>Obesidad clase I</v>
      </c>
      <c r="V1260">
        <v>89</v>
      </c>
      <c r="X1260" t="s">
        <v>3463</v>
      </c>
      <c r="Y1260">
        <v>1.52</v>
      </c>
      <c r="AA1260">
        <v>54</v>
      </c>
      <c r="AB1260" s="9">
        <f t="shared" si="40"/>
        <v>53.445436095705453</v>
      </c>
      <c r="AD1260" t="s">
        <v>158</v>
      </c>
      <c r="AF1260" t="s">
        <v>158</v>
      </c>
      <c r="AH1260" t="s">
        <v>3463</v>
      </c>
      <c r="AI1260" t="s">
        <v>3463</v>
      </c>
      <c r="AJ1260" t="s">
        <v>3463</v>
      </c>
      <c r="AK1260" t="s">
        <v>3463</v>
      </c>
      <c r="AL1260" t="s">
        <v>3465</v>
      </c>
      <c r="AM1260" t="s">
        <v>2778</v>
      </c>
      <c r="AN1260" t="s">
        <v>334</v>
      </c>
      <c r="AP1260" t="s">
        <v>3463</v>
      </c>
      <c r="AV1260" t="s">
        <v>74</v>
      </c>
      <c r="AW1260" t="s">
        <v>3915</v>
      </c>
      <c r="BF1260" t="s">
        <v>3921</v>
      </c>
      <c r="BH1260" t="s">
        <v>4020</v>
      </c>
      <c r="BP1260" t="s">
        <v>4260</v>
      </c>
      <c r="BQ1260" t="s">
        <v>3463</v>
      </c>
      <c r="BR1260" t="s">
        <v>3463</v>
      </c>
      <c r="BS1260" t="s">
        <v>3463</v>
      </c>
      <c r="BT1260" t="s">
        <v>3463</v>
      </c>
      <c r="BU1260" t="s">
        <v>3463</v>
      </c>
      <c r="BV1260" t="s">
        <v>3463</v>
      </c>
      <c r="BW1260" t="s">
        <v>3463</v>
      </c>
      <c r="BX1260" t="s">
        <v>79</v>
      </c>
      <c r="BY1260" t="s">
        <v>79</v>
      </c>
      <c r="BZ1260" t="s">
        <v>79</v>
      </c>
      <c r="CA1260" s="10">
        <v>45912</v>
      </c>
    </row>
    <row r="1261" spans="1:79">
      <c r="A1261">
        <v>1274</v>
      </c>
      <c r="B1261">
        <v>194</v>
      </c>
      <c r="C1261">
        <v>35</v>
      </c>
      <c r="D1261" t="s">
        <v>3466</v>
      </c>
      <c r="E1261" t="s">
        <v>2462</v>
      </c>
      <c r="F1261" t="s">
        <v>2407</v>
      </c>
      <c r="G1261" s="12" t="s">
        <v>3463</v>
      </c>
      <c r="H1261" s="12"/>
      <c r="I1261">
        <v>88</v>
      </c>
      <c r="K1261">
        <v>131</v>
      </c>
      <c r="L1261">
        <v>82</v>
      </c>
      <c r="M1261" t="s">
        <v>82</v>
      </c>
      <c r="P1261" t="s">
        <v>83</v>
      </c>
      <c r="Q1261" t="s">
        <v>82</v>
      </c>
      <c r="R1261">
        <v>87.2</v>
      </c>
      <c r="S1261">
        <v>148</v>
      </c>
      <c r="T1261" s="8">
        <f t="shared" si="39"/>
        <v>39.810080350620886</v>
      </c>
      <c r="U1261" s="13" t="str" cm="1">
        <f t="array" ref="U1261">IF(T1261="","",_xlfn.IFS(T1261&lt;18.5,"Bajo peso",T1261&lt;25,"Peso normal",T1261&lt;30,"Sobrepeso",T1261&lt;35,"Obesidad clase I",T1261&lt;40,"Obesidad clase II",T1261&gt;=40,"Obesidad clase III"))</f>
        <v>Obesidad clase II</v>
      </c>
      <c r="V1261">
        <v>94</v>
      </c>
      <c r="X1261" t="s">
        <v>3463</v>
      </c>
      <c r="Y1261">
        <v>0.9</v>
      </c>
      <c r="AA1261">
        <v>86</v>
      </c>
      <c r="AB1261" s="9">
        <f t="shared" si="40"/>
        <v>85.498841063874082</v>
      </c>
      <c r="AD1261" t="s">
        <v>73</v>
      </c>
      <c r="AF1261" t="s">
        <v>73</v>
      </c>
      <c r="AH1261" t="s">
        <v>3463</v>
      </c>
      <c r="AI1261" t="s">
        <v>3463</v>
      </c>
      <c r="AJ1261" t="s">
        <v>3463</v>
      </c>
      <c r="AK1261" t="s">
        <v>3463</v>
      </c>
      <c r="AO1261" t="s">
        <v>3463</v>
      </c>
      <c r="AP1261" t="s">
        <v>3465</v>
      </c>
      <c r="AQ1261" t="s">
        <v>2779</v>
      </c>
      <c r="AR1261" t="s">
        <v>3597</v>
      </c>
      <c r="AV1261" t="s">
        <v>74</v>
      </c>
      <c r="AW1261" t="s">
        <v>3915</v>
      </c>
      <c r="AX1261" t="s">
        <v>3465</v>
      </c>
      <c r="AY1261" t="s">
        <v>3465</v>
      </c>
      <c r="AZ1261" t="s">
        <v>90</v>
      </c>
      <c r="BF1261" t="s">
        <v>3921</v>
      </c>
      <c r="BH1261" t="s">
        <v>4020</v>
      </c>
      <c r="BP1261" t="s">
        <v>4260</v>
      </c>
      <c r="BQ1261" t="s">
        <v>3463</v>
      </c>
      <c r="BR1261" t="s">
        <v>3463</v>
      </c>
      <c r="BS1261" t="s">
        <v>3465</v>
      </c>
      <c r="BT1261" t="s">
        <v>3465</v>
      </c>
      <c r="BU1261" t="s">
        <v>3463</v>
      </c>
      <c r="BV1261" t="s">
        <v>3463</v>
      </c>
      <c r="BW1261" t="s">
        <v>3463</v>
      </c>
      <c r="BX1261" t="s">
        <v>79</v>
      </c>
      <c r="BY1261" t="s">
        <v>87</v>
      </c>
      <c r="BZ1261" t="s">
        <v>79</v>
      </c>
      <c r="CA1261" s="10">
        <v>45912</v>
      </c>
    </row>
    <row r="1262" spans="1:79">
      <c r="A1262">
        <v>1275</v>
      </c>
      <c r="B1262">
        <v>195</v>
      </c>
      <c r="C1262">
        <v>57</v>
      </c>
      <c r="D1262" t="s">
        <v>3466</v>
      </c>
      <c r="E1262" t="s">
        <v>2780</v>
      </c>
      <c r="F1262" t="s">
        <v>2407</v>
      </c>
      <c r="G1262" s="12" t="s">
        <v>3463</v>
      </c>
      <c r="H1262" s="12"/>
      <c r="I1262">
        <v>72</v>
      </c>
      <c r="K1262">
        <v>134</v>
      </c>
      <c r="L1262">
        <v>83</v>
      </c>
      <c r="M1262" t="s">
        <v>82</v>
      </c>
      <c r="P1262" t="s">
        <v>83</v>
      </c>
      <c r="Q1262" t="s">
        <v>82</v>
      </c>
      <c r="R1262">
        <v>71.099999999999994</v>
      </c>
      <c r="S1262">
        <v>156</v>
      </c>
      <c r="T1262" s="8">
        <f t="shared" si="39"/>
        <v>29.215976331360945</v>
      </c>
      <c r="U1262" s="13" t="str" cm="1">
        <f t="array" ref="U1262">IF(T1262="","",_xlfn.IFS(T1262&lt;18.5,"Bajo peso",T1262&lt;25,"Peso normal",T1262&lt;30,"Sobrepeso",T1262&lt;35,"Obesidad clase I",T1262&lt;40,"Obesidad clase II",T1262&gt;=40,"Obesidad clase III"))</f>
        <v>Sobrepeso</v>
      </c>
      <c r="V1262">
        <v>85</v>
      </c>
      <c r="X1262" t="s">
        <v>3463</v>
      </c>
      <c r="Y1262">
        <v>1.47</v>
      </c>
      <c r="AA1262">
        <v>41</v>
      </c>
      <c r="AB1262" s="9">
        <f t="shared" si="40"/>
        <v>41.385506102770059</v>
      </c>
      <c r="AD1262" t="s">
        <v>218</v>
      </c>
      <c r="AF1262" t="s">
        <v>218</v>
      </c>
      <c r="AH1262" t="s">
        <v>3463</v>
      </c>
      <c r="AI1262" t="s">
        <v>3465</v>
      </c>
      <c r="AJ1262" t="s">
        <v>3463</v>
      </c>
      <c r="AK1262" t="s">
        <v>3463</v>
      </c>
      <c r="AL1262" t="s">
        <v>3463</v>
      </c>
      <c r="AO1262" t="s">
        <v>3463</v>
      </c>
      <c r="AP1262" t="s">
        <v>3465</v>
      </c>
      <c r="AQ1262" t="s">
        <v>2781</v>
      </c>
      <c r="AR1262" t="s">
        <v>3504</v>
      </c>
      <c r="AS1262" t="s">
        <v>3465</v>
      </c>
      <c r="AT1262" t="s">
        <v>3465</v>
      </c>
      <c r="AU1262" t="s">
        <v>80</v>
      </c>
      <c r="AV1262" t="s">
        <v>126</v>
      </c>
      <c r="AW1262" t="s">
        <v>126</v>
      </c>
      <c r="AY1262" t="s">
        <v>3465</v>
      </c>
      <c r="AZ1262" t="s">
        <v>247</v>
      </c>
      <c r="BA1262" t="s">
        <v>3920</v>
      </c>
      <c r="BF1262" t="s">
        <v>3921</v>
      </c>
      <c r="BG1262" t="s">
        <v>2782</v>
      </c>
      <c r="BH1262" t="s">
        <v>4224</v>
      </c>
      <c r="BI1262" t="s">
        <v>2733</v>
      </c>
      <c r="BK1262" t="s">
        <v>2783</v>
      </c>
      <c r="BP1262" t="s">
        <v>4538</v>
      </c>
      <c r="BQ1262" t="s">
        <v>3463</v>
      </c>
      <c r="BR1262" t="s">
        <v>3463</v>
      </c>
      <c r="BS1262" t="s">
        <v>3465</v>
      </c>
      <c r="BT1262" t="s">
        <v>3465</v>
      </c>
      <c r="BU1262" t="s">
        <v>3463</v>
      </c>
      <c r="BV1262" t="s">
        <v>3463</v>
      </c>
      <c r="BW1262" t="s">
        <v>3463</v>
      </c>
      <c r="BX1262" t="s">
        <v>79</v>
      </c>
      <c r="BY1262" t="s">
        <v>79</v>
      </c>
      <c r="BZ1262" t="s">
        <v>79</v>
      </c>
      <c r="CA1262" s="10">
        <v>45912</v>
      </c>
    </row>
    <row r="1263" spans="1:79">
      <c r="A1263">
        <v>1276</v>
      </c>
      <c r="B1263">
        <v>196</v>
      </c>
      <c r="C1263">
        <v>64</v>
      </c>
      <c r="D1263" t="s">
        <v>3466</v>
      </c>
      <c r="E1263" t="s">
        <v>2550</v>
      </c>
      <c r="G1263" s="12" t="s">
        <v>3465</v>
      </c>
      <c r="H1263" s="12" t="s">
        <v>88</v>
      </c>
      <c r="I1263">
        <v>76</v>
      </c>
      <c r="J1263">
        <v>77</v>
      </c>
      <c r="K1263">
        <v>158</v>
      </c>
      <c r="L1263">
        <v>80</v>
      </c>
      <c r="M1263" t="s">
        <v>72</v>
      </c>
      <c r="N1263">
        <v>138</v>
      </c>
      <c r="O1263">
        <v>80</v>
      </c>
      <c r="P1263" t="s">
        <v>82</v>
      </c>
      <c r="Q1263" t="s">
        <v>82</v>
      </c>
      <c r="R1263">
        <v>57.4</v>
      </c>
      <c r="S1263">
        <v>150</v>
      </c>
      <c r="T1263" s="8">
        <f t="shared" si="39"/>
        <v>25.511111111111113</v>
      </c>
      <c r="U1263" s="13" t="str" cm="1">
        <f t="array" ref="U1263">IF(T1263="","",_xlfn.IFS(T1263&lt;18.5,"Bajo peso",T1263&lt;25,"Peso normal",T1263&lt;30,"Sobrepeso",T1263&lt;35,"Obesidad clase I",T1263&lt;40,"Obesidad clase II",T1263&gt;=40,"Obesidad clase III"))</f>
        <v>Sobrepeso</v>
      </c>
      <c r="V1263">
        <v>108</v>
      </c>
      <c r="X1263" t="s">
        <v>3463</v>
      </c>
      <c r="Y1263">
        <v>0.71</v>
      </c>
      <c r="AA1263">
        <v>90</v>
      </c>
      <c r="AB1263" s="9">
        <f t="shared" si="40"/>
        <v>94.888154635164881</v>
      </c>
      <c r="AD1263" t="s">
        <v>73</v>
      </c>
      <c r="AF1263" t="s">
        <v>73</v>
      </c>
      <c r="AH1263" t="s">
        <v>3463</v>
      </c>
      <c r="AI1263" t="s">
        <v>3463</v>
      </c>
      <c r="AJ1263" t="s">
        <v>3463</v>
      </c>
      <c r="AK1263" t="s">
        <v>3463</v>
      </c>
      <c r="AL1263" t="s">
        <v>3463</v>
      </c>
      <c r="AO1263" t="s">
        <v>3464</v>
      </c>
      <c r="AP1263" t="s">
        <v>3465</v>
      </c>
      <c r="AT1263" t="s">
        <v>3465</v>
      </c>
      <c r="AU1263" t="s">
        <v>80</v>
      </c>
      <c r="AV1263" t="s">
        <v>112</v>
      </c>
      <c r="AW1263" t="s">
        <v>3917</v>
      </c>
      <c r="AX1263" t="s">
        <v>3463</v>
      </c>
      <c r="AY1263" t="s">
        <v>3465</v>
      </c>
      <c r="AZ1263" t="s">
        <v>90</v>
      </c>
      <c r="BF1263" t="s">
        <v>3921</v>
      </c>
      <c r="BH1263" t="s">
        <v>4020</v>
      </c>
      <c r="BP1263" t="s">
        <v>4260</v>
      </c>
      <c r="BQ1263" t="s">
        <v>3463</v>
      </c>
      <c r="BR1263" t="s">
        <v>3463</v>
      </c>
      <c r="BS1263" t="s">
        <v>3463</v>
      </c>
      <c r="BT1263" t="s">
        <v>3463</v>
      </c>
      <c r="BU1263" t="s">
        <v>3463</v>
      </c>
      <c r="BV1263" t="s">
        <v>3463</v>
      </c>
      <c r="BW1263" t="s">
        <v>3463</v>
      </c>
      <c r="BX1263" t="s">
        <v>79</v>
      </c>
      <c r="BY1263" t="s">
        <v>79</v>
      </c>
      <c r="BZ1263" t="s">
        <v>79</v>
      </c>
      <c r="CA1263" s="10">
        <v>45912</v>
      </c>
    </row>
    <row r="1264" spans="1:79">
      <c r="A1264">
        <v>1277</v>
      </c>
      <c r="B1264">
        <v>197</v>
      </c>
      <c r="C1264">
        <v>65</v>
      </c>
      <c r="D1264" t="s">
        <v>3466</v>
      </c>
      <c r="E1264" t="s">
        <v>2411</v>
      </c>
      <c r="F1264" t="s">
        <v>2407</v>
      </c>
      <c r="G1264" s="12" t="s">
        <v>3463</v>
      </c>
      <c r="I1264">
        <v>70</v>
      </c>
      <c r="K1264">
        <v>128</v>
      </c>
      <c r="L1264">
        <v>81</v>
      </c>
      <c r="M1264" t="s">
        <v>82</v>
      </c>
      <c r="P1264" t="s">
        <v>83</v>
      </c>
      <c r="Q1264" t="s">
        <v>82</v>
      </c>
      <c r="R1264">
        <v>74.8</v>
      </c>
      <c r="S1264">
        <v>152</v>
      </c>
      <c r="T1264" s="8">
        <f t="shared" si="39"/>
        <v>32.375346260387808</v>
      </c>
      <c r="U1264" s="13" t="str" cm="1">
        <f t="array" ref="U1264">IF(T1264="","",_xlfn.IFS(T1264&lt;18.5,"Bajo peso",T1264&lt;25,"Peso normal",T1264&lt;30,"Sobrepeso",T1264&lt;35,"Obesidad clase I",T1264&lt;40,"Obesidad clase II",T1264&gt;=40,"Obesidad clase III"))</f>
        <v>Obesidad clase I</v>
      </c>
      <c r="V1264">
        <v>117</v>
      </c>
      <c r="X1264" t="s">
        <v>3463</v>
      </c>
      <c r="Y1264">
        <v>1.1299999999999999</v>
      </c>
      <c r="AA1264">
        <v>54</v>
      </c>
      <c r="AB1264" s="9">
        <f t="shared" si="40"/>
        <v>53.991684748395123</v>
      </c>
      <c r="AD1264" t="s">
        <v>158</v>
      </c>
      <c r="AF1264" t="s">
        <v>158</v>
      </c>
      <c r="AH1264" t="s">
        <v>3463</v>
      </c>
      <c r="AI1264" t="s">
        <v>3463</v>
      </c>
      <c r="AJ1264" t="s">
        <v>3463</v>
      </c>
      <c r="AK1264" t="s">
        <v>3463</v>
      </c>
      <c r="AL1264" t="s">
        <v>3463</v>
      </c>
      <c r="AP1264" t="s">
        <v>3463</v>
      </c>
      <c r="AT1264" t="s">
        <v>3463</v>
      </c>
      <c r="AV1264" t="s">
        <v>74</v>
      </c>
      <c r="AW1264" t="s">
        <v>3915</v>
      </c>
      <c r="AX1264" t="s">
        <v>3463</v>
      </c>
      <c r="AY1264" t="s">
        <v>3463</v>
      </c>
      <c r="BF1264" t="s">
        <v>3921</v>
      </c>
      <c r="BG1264" t="s">
        <v>2784</v>
      </c>
      <c r="BH1264" t="s">
        <v>4168</v>
      </c>
      <c r="BK1264" t="s">
        <v>2785</v>
      </c>
      <c r="BL1264" t="s">
        <v>2786</v>
      </c>
      <c r="BP1264" t="s">
        <v>4336</v>
      </c>
      <c r="BQ1264" t="s">
        <v>3463</v>
      </c>
      <c r="BR1264" t="s">
        <v>3465</v>
      </c>
      <c r="BS1264" t="s">
        <v>3463</v>
      </c>
      <c r="BT1264" t="s">
        <v>3463</v>
      </c>
      <c r="BU1264" t="s">
        <v>3463</v>
      </c>
      <c r="BV1264" t="s">
        <v>3463</v>
      </c>
      <c r="BW1264" t="s">
        <v>3463</v>
      </c>
      <c r="BX1264" t="s">
        <v>518</v>
      </c>
      <c r="BY1264" t="s">
        <v>79</v>
      </c>
      <c r="BZ1264" t="s">
        <v>79</v>
      </c>
      <c r="CA1264" s="10">
        <v>45912</v>
      </c>
    </row>
    <row r="1265" spans="1:79">
      <c r="A1265">
        <v>1278</v>
      </c>
      <c r="B1265">
        <v>198</v>
      </c>
      <c r="C1265">
        <v>35</v>
      </c>
      <c r="D1265" t="s">
        <v>3466</v>
      </c>
      <c r="E1265" t="s">
        <v>2787</v>
      </c>
      <c r="F1265" t="s">
        <v>2407</v>
      </c>
      <c r="G1265" s="12" t="s">
        <v>3465</v>
      </c>
      <c r="H1265" t="s">
        <v>88</v>
      </c>
      <c r="I1265">
        <v>92</v>
      </c>
      <c r="K1265">
        <v>135</v>
      </c>
      <c r="L1265">
        <v>82</v>
      </c>
      <c r="M1265" t="s">
        <v>82</v>
      </c>
      <c r="P1265" t="s">
        <v>83</v>
      </c>
      <c r="Q1265" t="s">
        <v>82</v>
      </c>
      <c r="R1265">
        <v>96.1</v>
      </c>
      <c r="S1265">
        <v>153</v>
      </c>
      <c r="T1265" s="8">
        <f t="shared" si="39"/>
        <v>41.05258661198684</v>
      </c>
      <c r="U1265" s="13" t="str" cm="1">
        <f t="array" ref="U1265">IF(T1265="","",_xlfn.IFS(T1265&lt;18.5,"Bajo peso",T1265&lt;25,"Peso normal",T1265&lt;30,"Sobrepeso",T1265&lt;35,"Obesidad clase I",T1265&lt;40,"Obesidad clase II",T1265&gt;=40,"Obesidad clase III"))</f>
        <v>Obesidad clase III</v>
      </c>
      <c r="V1265">
        <v>168</v>
      </c>
      <c r="X1265" t="s">
        <v>3463</v>
      </c>
      <c r="Y1265">
        <v>1.08</v>
      </c>
      <c r="AA1265">
        <v>69</v>
      </c>
      <c r="AB1265" s="9">
        <f t="shared" si="40"/>
        <v>68.697784712249501</v>
      </c>
      <c r="AD1265" t="s">
        <v>73</v>
      </c>
      <c r="AF1265" t="s">
        <v>73</v>
      </c>
      <c r="AH1265" t="s">
        <v>3463</v>
      </c>
      <c r="AI1265" t="s">
        <v>3465</v>
      </c>
      <c r="AJ1265" t="s">
        <v>3465</v>
      </c>
      <c r="AK1265" t="s">
        <v>3465</v>
      </c>
      <c r="AL1265" t="s">
        <v>3463</v>
      </c>
      <c r="AP1265" t="s">
        <v>3463</v>
      </c>
      <c r="AQ1265" t="s">
        <v>169</v>
      </c>
      <c r="AR1265" t="s">
        <v>3493</v>
      </c>
      <c r="AS1265" t="s">
        <v>3463</v>
      </c>
      <c r="AV1265" t="s">
        <v>126</v>
      </c>
      <c r="AW1265" t="s">
        <v>126</v>
      </c>
      <c r="AX1265" t="s">
        <v>3465</v>
      </c>
      <c r="AY1265" t="s">
        <v>3465</v>
      </c>
      <c r="AZ1265" t="s">
        <v>247</v>
      </c>
      <c r="BF1265" t="s">
        <v>3921</v>
      </c>
      <c r="BH1265" t="s">
        <v>4020</v>
      </c>
      <c r="BP1265" t="s">
        <v>4260</v>
      </c>
      <c r="BQ1265" t="s">
        <v>3465</v>
      </c>
      <c r="BR1265" t="s">
        <v>3463</v>
      </c>
      <c r="BS1265" t="s">
        <v>3463</v>
      </c>
      <c r="BT1265" t="s">
        <v>3465</v>
      </c>
      <c r="BU1265" t="s">
        <v>3463</v>
      </c>
      <c r="BV1265" t="s">
        <v>3463</v>
      </c>
      <c r="BW1265" t="s">
        <v>3463</v>
      </c>
      <c r="BX1265" t="s">
        <v>79</v>
      </c>
      <c r="BY1265" t="s">
        <v>79</v>
      </c>
      <c r="BZ1265" t="s">
        <v>79</v>
      </c>
      <c r="CA1265" s="10">
        <v>45912</v>
      </c>
    </row>
    <row r="1266" spans="1:79">
      <c r="A1266">
        <v>1279</v>
      </c>
      <c r="B1266">
        <v>199</v>
      </c>
      <c r="C1266">
        <v>55</v>
      </c>
      <c r="D1266" t="s">
        <v>3466</v>
      </c>
      <c r="E1266" t="s">
        <v>450</v>
      </c>
      <c r="F1266" t="s">
        <v>2407</v>
      </c>
      <c r="G1266" s="12" t="s">
        <v>3463</v>
      </c>
      <c r="I1266">
        <v>84</v>
      </c>
      <c r="J1266">
        <v>84</v>
      </c>
      <c r="K1266">
        <v>160</v>
      </c>
      <c r="L1266">
        <v>105</v>
      </c>
      <c r="M1266" t="s">
        <v>72</v>
      </c>
      <c r="N1266">
        <v>147</v>
      </c>
      <c r="O1266">
        <v>100</v>
      </c>
      <c r="P1266" t="s">
        <v>72</v>
      </c>
      <c r="Q1266" t="s">
        <v>72</v>
      </c>
      <c r="R1266">
        <v>96.05</v>
      </c>
      <c r="S1266">
        <v>158</v>
      </c>
      <c r="T1266" s="8">
        <f t="shared" si="39"/>
        <v>38.475404582598941</v>
      </c>
      <c r="U1266" s="13" t="str" cm="1">
        <f t="array" ref="U1266">IF(T1266="","",_xlfn.IFS(T1266&lt;18.5,"Bajo peso",T1266&lt;25,"Peso normal",T1266&lt;30,"Sobrepeso",T1266&lt;35,"Obesidad clase I",T1266&lt;40,"Obesidad clase II",T1266&gt;=40,"Obesidad clase III"))</f>
        <v>Obesidad clase II</v>
      </c>
      <c r="V1266">
        <v>112</v>
      </c>
      <c r="X1266" t="s">
        <v>3463</v>
      </c>
      <c r="Y1266">
        <v>1.05</v>
      </c>
      <c r="AA1266">
        <v>63</v>
      </c>
      <c r="AB1266" s="9">
        <f t="shared" si="40"/>
        <v>62.748583808684486</v>
      </c>
      <c r="AD1266" t="s">
        <v>73</v>
      </c>
      <c r="AF1266" t="s">
        <v>73</v>
      </c>
      <c r="AH1266" t="s">
        <v>3463</v>
      </c>
      <c r="AI1266" t="s">
        <v>3465</v>
      </c>
      <c r="AJ1266" t="s">
        <v>3463</v>
      </c>
      <c r="AK1266" t="s">
        <v>3463</v>
      </c>
      <c r="AL1266" t="s">
        <v>3465</v>
      </c>
      <c r="AM1266" t="s">
        <v>2788</v>
      </c>
      <c r="AN1266" t="s">
        <v>3864</v>
      </c>
      <c r="AP1266" t="s">
        <v>3463</v>
      </c>
      <c r="AQ1266" t="s">
        <v>468</v>
      </c>
      <c r="AR1266" t="s">
        <v>3488</v>
      </c>
      <c r="AS1266" t="s">
        <v>3465</v>
      </c>
      <c r="AT1266" t="s">
        <v>3465</v>
      </c>
      <c r="AU1266" t="s">
        <v>80</v>
      </c>
      <c r="AV1266" t="s">
        <v>74</v>
      </c>
      <c r="AW1266" t="s">
        <v>3915</v>
      </c>
      <c r="AY1266" t="s">
        <v>3465</v>
      </c>
      <c r="AZ1266" t="s">
        <v>247</v>
      </c>
      <c r="BA1266" t="s">
        <v>3920</v>
      </c>
      <c r="BE1266" t="s">
        <v>2789</v>
      </c>
      <c r="BF1266" t="s">
        <v>576</v>
      </c>
      <c r="BG1266" t="s">
        <v>2790</v>
      </c>
      <c r="BH1266" t="s">
        <v>4021</v>
      </c>
      <c r="BK1266" t="s">
        <v>2791</v>
      </c>
      <c r="BL1266" t="s">
        <v>2792</v>
      </c>
      <c r="BP1266" t="s">
        <v>4342</v>
      </c>
      <c r="BQ1266" t="s">
        <v>3463</v>
      </c>
      <c r="BR1266" t="s">
        <v>3465</v>
      </c>
      <c r="BS1266" t="s">
        <v>3465</v>
      </c>
      <c r="BT1266" t="s">
        <v>3465</v>
      </c>
      <c r="BU1266" t="s">
        <v>3463</v>
      </c>
      <c r="BV1266" t="s">
        <v>3463</v>
      </c>
      <c r="BW1266" t="s">
        <v>3463</v>
      </c>
      <c r="BX1266" t="s">
        <v>79</v>
      </c>
      <c r="BY1266" t="s">
        <v>79</v>
      </c>
      <c r="BZ1266" t="s">
        <v>79</v>
      </c>
      <c r="CA1266" s="10">
        <v>45912</v>
      </c>
    </row>
    <row r="1267" spans="1:79">
      <c r="A1267">
        <v>1280</v>
      </c>
      <c r="B1267">
        <v>200</v>
      </c>
      <c r="C1267">
        <v>37</v>
      </c>
      <c r="D1267" t="s">
        <v>3466</v>
      </c>
      <c r="E1267" t="s">
        <v>2411</v>
      </c>
      <c r="F1267" t="s">
        <v>2407</v>
      </c>
      <c r="G1267" s="12" t="s">
        <v>3463</v>
      </c>
      <c r="H1267" s="12"/>
      <c r="I1267">
        <v>83</v>
      </c>
      <c r="K1267">
        <v>137</v>
      </c>
      <c r="L1267">
        <v>81</v>
      </c>
      <c r="M1267" t="s">
        <v>82</v>
      </c>
      <c r="P1267" t="s">
        <v>83</v>
      </c>
      <c r="Q1267" t="s">
        <v>82</v>
      </c>
      <c r="R1267">
        <v>68.5</v>
      </c>
      <c r="S1267">
        <v>160.5</v>
      </c>
      <c r="T1267" s="8">
        <f t="shared" si="39"/>
        <v>26.591356838539998</v>
      </c>
      <c r="U1267" s="13" t="str" cm="1">
        <f t="array" ref="U1267">IF(T1267="","",_xlfn.IFS(T1267&lt;18.5,"Bajo peso",T1267&lt;25,"Peso normal",T1267&lt;30,"Sobrepeso",T1267&lt;35,"Obesidad clase I",T1267&lt;40,"Obesidad clase II",T1267&gt;=40,"Obesidad clase III"))</f>
        <v>Sobrepeso</v>
      </c>
      <c r="V1267">
        <v>80</v>
      </c>
      <c r="X1267" t="s">
        <v>3463</v>
      </c>
      <c r="Y1267">
        <v>0.91</v>
      </c>
      <c r="AA1267">
        <v>83</v>
      </c>
      <c r="AB1267" s="9">
        <f t="shared" si="40"/>
        <v>83.329649147815459</v>
      </c>
      <c r="AD1267" t="s">
        <v>73</v>
      </c>
      <c r="AF1267" t="s">
        <v>73</v>
      </c>
      <c r="AH1267" t="s">
        <v>3463</v>
      </c>
      <c r="AI1267" t="s">
        <v>3463</v>
      </c>
      <c r="AJ1267" t="s">
        <v>3463</v>
      </c>
      <c r="AK1267" t="s">
        <v>3463</v>
      </c>
      <c r="AL1267" t="s">
        <v>3463</v>
      </c>
      <c r="AP1267" t="s">
        <v>3463</v>
      </c>
      <c r="AQ1267" t="s">
        <v>1567</v>
      </c>
      <c r="AR1267" t="s">
        <v>3491</v>
      </c>
      <c r="AT1267" t="s">
        <v>3463</v>
      </c>
      <c r="AV1267" t="s">
        <v>74</v>
      </c>
      <c r="AW1267" t="s">
        <v>3915</v>
      </c>
      <c r="AX1267" t="s">
        <v>3463</v>
      </c>
      <c r="AY1267" t="s">
        <v>3465</v>
      </c>
      <c r="AZ1267" t="s">
        <v>1446</v>
      </c>
      <c r="BF1267" t="s">
        <v>3921</v>
      </c>
      <c r="BH1267" t="s">
        <v>4020</v>
      </c>
      <c r="BP1267" t="s">
        <v>4260</v>
      </c>
      <c r="BQ1267" t="s">
        <v>3463</v>
      </c>
      <c r="BR1267" t="s">
        <v>3465</v>
      </c>
      <c r="BS1267" t="s">
        <v>3465</v>
      </c>
      <c r="BT1267" t="s">
        <v>3465</v>
      </c>
      <c r="BU1267" t="s">
        <v>3463</v>
      </c>
      <c r="BV1267" t="s">
        <v>3463</v>
      </c>
      <c r="BW1267" t="s">
        <v>3463</v>
      </c>
      <c r="BX1267" t="s">
        <v>79</v>
      </c>
      <c r="BY1267" t="s">
        <v>79</v>
      </c>
      <c r="BZ1267" t="s">
        <v>79</v>
      </c>
      <c r="CA1267" s="10">
        <v>45912</v>
      </c>
    </row>
    <row r="1268" spans="1:79">
      <c r="A1268">
        <v>1281</v>
      </c>
      <c r="B1268">
        <v>201</v>
      </c>
      <c r="C1268">
        <v>44</v>
      </c>
      <c r="D1268" t="s">
        <v>3466</v>
      </c>
      <c r="E1268" t="s">
        <v>2462</v>
      </c>
      <c r="F1268" t="s">
        <v>2407</v>
      </c>
      <c r="G1268" s="12" t="s">
        <v>3463</v>
      </c>
      <c r="I1268">
        <v>95</v>
      </c>
      <c r="J1268">
        <v>93</v>
      </c>
      <c r="K1268">
        <v>180</v>
      </c>
      <c r="L1268">
        <v>102</v>
      </c>
      <c r="M1268" t="s">
        <v>96</v>
      </c>
      <c r="N1268">
        <v>171</v>
      </c>
      <c r="O1268">
        <v>104</v>
      </c>
      <c r="P1268" t="s">
        <v>72</v>
      </c>
      <c r="Q1268" t="s">
        <v>72</v>
      </c>
      <c r="R1268">
        <v>73.849999999999994</v>
      </c>
      <c r="S1268">
        <v>152</v>
      </c>
      <c r="T1268" s="8">
        <f t="shared" ref="T1268:T1331" si="41">IFERROR(R1268/(S1268^2)*10000,"")</f>
        <v>31.964162049861493</v>
      </c>
      <c r="U1268" s="13" t="str" cm="1">
        <f t="array" ref="U1268">IF(T1268="","",_xlfn.IFS(T1268&lt;18.5,"Bajo peso",T1268&lt;25,"Peso normal",T1268&lt;30,"Sobrepeso",T1268&lt;35,"Obesidad clase I",T1268&lt;40,"Obesidad clase II",T1268&gt;=40,"Obesidad clase III"))</f>
        <v>Obesidad clase I</v>
      </c>
      <c r="V1268">
        <v>116</v>
      </c>
      <c r="X1268" t="s">
        <v>3463</v>
      </c>
      <c r="Y1268">
        <v>1.18</v>
      </c>
      <c r="AA1268">
        <v>59</v>
      </c>
      <c r="AB1268" s="9">
        <f t="shared" si="40"/>
        <v>58.409536793154324</v>
      </c>
      <c r="AD1268" t="s">
        <v>158</v>
      </c>
      <c r="AF1268" t="s">
        <v>158</v>
      </c>
      <c r="AH1268" t="s">
        <v>3463</v>
      </c>
      <c r="AI1268" t="s">
        <v>3465</v>
      </c>
      <c r="AJ1268" t="s">
        <v>3463</v>
      </c>
      <c r="AK1268" t="s">
        <v>3463</v>
      </c>
      <c r="AL1268" t="s">
        <v>3465</v>
      </c>
      <c r="AM1268" t="s">
        <v>120</v>
      </c>
      <c r="AN1268" t="s">
        <v>3801</v>
      </c>
      <c r="AP1268" t="s">
        <v>3463</v>
      </c>
      <c r="AQ1268" t="s">
        <v>120</v>
      </c>
      <c r="AR1268" t="s">
        <v>3491</v>
      </c>
      <c r="AS1268" t="s">
        <v>3465</v>
      </c>
      <c r="AT1268" t="s">
        <v>3463</v>
      </c>
      <c r="AV1268" t="s">
        <v>112</v>
      </c>
      <c r="AW1268" t="s">
        <v>3917</v>
      </c>
      <c r="AX1268" t="s">
        <v>3463</v>
      </c>
      <c r="AY1268" t="s">
        <v>3465</v>
      </c>
      <c r="AZ1268" t="s">
        <v>90</v>
      </c>
      <c r="BF1268" t="s">
        <v>3921</v>
      </c>
      <c r="BH1268" t="s">
        <v>4020</v>
      </c>
      <c r="BP1268" t="s">
        <v>4260</v>
      </c>
      <c r="BQ1268" t="s">
        <v>3463</v>
      </c>
      <c r="BR1268" t="s">
        <v>3463</v>
      </c>
      <c r="BS1268" t="s">
        <v>3465</v>
      </c>
      <c r="BT1268" t="s">
        <v>3465</v>
      </c>
      <c r="BU1268" t="s">
        <v>3463</v>
      </c>
      <c r="BV1268" t="s">
        <v>3463</v>
      </c>
      <c r="BW1268" t="s">
        <v>3463</v>
      </c>
      <c r="BX1268" t="s">
        <v>79</v>
      </c>
      <c r="BY1268" t="s">
        <v>79</v>
      </c>
      <c r="BZ1268" t="s">
        <v>79</v>
      </c>
      <c r="CA1268" s="10">
        <v>45912</v>
      </c>
    </row>
    <row r="1269" spans="1:79">
      <c r="A1269">
        <v>1282</v>
      </c>
      <c r="B1269">
        <v>202</v>
      </c>
      <c r="C1269">
        <v>32</v>
      </c>
      <c r="D1269" t="s">
        <v>3466</v>
      </c>
      <c r="E1269" t="s">
        <v>2451</v>
      </c>
      <c r="F1269" t="s">
        <v>2407</v>
      </c>
      <c r="G1269" s="12" t="s">
        <v>3463</v>
      </c>
      <c r="I1269">
        <v>68</v>
      </c>
      <c r="K1269">
        <v>124</v>
      </c>
      <c r="L1269">
        <v>71</v>
      </c>
      <c r="M1269" t="s">
        <v>118</v>
      </c>
      <c r="P1269" t="s">
        <v>83</v>
      </c>
      <c r="Q1269" t="s">
        <v>118</v>
      </c>
      <c r="R1269">
        <v>71.400000000000006</v>
      </c>
      <c r="S1269">
        <v>155</v>
      </c>
      <c r="T1269" s="8">
        <f t="shared" si="41"/>
        <v>29.719042663891781</v>
      </c>
      <c r="U1269" s="13" t="str" cm="1">
        <f t="array" ref="U1269">IF(T1269="","",_xlfn.IFS(T1269&lt;18.5,"Bajo peso",T1269&lt;25,"Peso normal",T1269&lt;30,"Sobrepeso",T1269&lt;35,"Obesidad clase I",T1269&lt;40,"Obesidad clase II",T1269&gt;=40,"Obesidad clase III"))</f>
        <v>Sobrepeso</v>
      </c>
      <c r="V1269">
        <v>90</v>
      </c>
      <c r="X1269" t="s">
        <v>3463</v>
      </c>
      <c r="Y1269">
        <v>1.01</v>
      </c>
      <c r="AA1269">
        <v>76</v>
      </c>
      <c r="AB1269" s="9">
        <f t="shared" si="40"/>
        <v>75.852275448903185</v>
      </c>
      <c r="AD1269" t="s">
        <v>73</v>
      </c>
      <c r="AF1269" t="s">
        <v>73</v>
      </c>
      <c r="AH1269" t="s">
        <v>3463</v>
      </c>
      <c r="AI1269" t="s">
        <v>3463</v>
      </c>
      <c r="AJ1269" t="s">
        <v>3463</v>
      </c>
      <c r="AK1269" t="s">
        <v>3463</v>
      </c>
      <c r="AL1269" t="s">
        <v>3465</v>
      </c>
      <c r="AM1269" t="s">
        <v>1077</v>
      </c>
      <c r="AN1269" t="s">
        <v>116</v>
      </c>
      <c r="AP1269" t="s">
        <v>3463</v>
      </c>
      <c r="AQ1269" t="s">
        <v>2793</v>
      </c>
      <c r="AR1269" t="s">
        <v>3506</v>
      </c>
      <c r="AV1269" t="s">
        <v>74</v>
      </c>
      <c r="AW1269" t="s">
        <v>3915</v>
      </c>
      <c r="BF1269" t="s">
        <v>3921</v>
      </c>
      <c r="BH1269" t="s">
        <v>4020</v>
      </c>
      <c r="BP1269" t="s">
        <v>4260</v>
      </c>
      <c r="BQ1269" t="s">
        <v>3463</v>
      </c>
      <c r="BR1269" t="s">
        <v>3465</v>
      </c>
      <c r="BS1269" t="s">
        <v>3465</v>
      </c>
      <c r="BT1269" t="s">
        <v>3465</v>
      </c>
      <c r="BU1269" t="s">
        <v>3463</v>
      </c>
      <c r="BV1269" t="s">
        <v>3463</v>
      </c>
      <c r="BW1269" t="s">
        <v>3463</v>
      </c>
      <c r="BX1269" t="s">
        <v>79</v>
      </c>
      <c r="BY1269" t="s">
        <v>79</v>
      </c>
      <c r="BZ1269" t="s">
        <v>79</v>
      </c>
      <c r="CA1269" s="10">
        <v>45912</v>
      </c>
    </row>
    <row r="1270" spans="1:79">
      <c r="A1270">
        <v>1283</v>
      </c>
      <c r="B1270">
        <v>203</v>
      </c>
      <c r="C1270">
        <v>43</v>
      </c>
      <c r="D1270" t="s">
        <v>3462</v>
      </c>
      <c r="E1270" t="s">
        <v>2462</v>
      </c>
      <c r="F1270" t="s">
        <v>2407</v>
      </c>
      <c r="G1270" s="12" t="s">
        <v>3463</v>
      </c>
      <c r="H1270" s="12"/>
      <c r="I1270">
        <v>57</v>
      </c>
      <c r="K1270">
        <v>106</v>
      </c>
      <c r="L1270">
        <v>63</v>
      </c>
      <c r="M1270" t="s">
        <v>80</v>
      </c>
      <c r="P1270" t="s">
        <v>83</v>
      </c>
      <c r="Q1270" t="s">
        <v>80</v>
      </c>
      <c r="R1270">
        <v>71.7</v>
      </c>
      <c r="S1270">
        <v>171.5</v>
      </c>
      <c r="T1270" s="8">
        <f t="shared" si="41"/>
        <v>24.377597769636804</v>
      </c>
      <c r="U1270" s="13" t="str" cm="1">
        <f t="array" ref="U1270">IF(T1270="","",_xlfn.IFS(T1270&lt;18.5,"Bajo peso",T1270&lt;25,"Peso normal",T1270&lt;30,"Sobrepeso",T1270&lt;35,"Obesidad clase I",T1270&lt;40,"Obesidad clase II",T1270&gt;=40,"Obesidad clase III"))</f>
        <v>Peso normal</v>
      </c>
      <c r="V1270">
        <v>85</v>
      </c>
      <c r="X1270" t="s">
        <v>3463</v>
      </c>
      <c r="Y1270">
        <v>1.32</v>
      </c>
      <c r="AA1270">
        <v>69</v>
      </c>
      <c r="AB1270" s="9">
        <f t="shared" si="40"/>
        <v>68.63526453296987</v>
      </c>
      <c r="AD1270" t="s">
        <v>73</v>
      </c>
      <c r="AF1270" t="s">
        <v>73</v>
      </c>
      <c r="AH1270" t="s">
        <v>3463</v>
      </c>
      <c r="AI1270" t="s">
        <v>3463</v>
      </c>
      <c r="AJ1270" t="s">
        <v>3463</v>
      </c>
      <c r="AK1270" t="s">
        <v>3463</v>
      </c>
      <c r="AL1270" t="s">
        <v>3463</v>
      </c>
      <c r="AP1270" t="s">
        <v>3463</v>
      </c>
      <c r="AQ1270" t="s">
        <v>399</v>
      </c>
      <c r="AR1270" t="s">
        <v>3505</v>
      </c>
      <c r="AV1270" t="s">
        <v>74</v>
      </c>
      <c r="AW1270" t="s">
        <v>3915</v>
      </c>
      <c r="BF1270" t="s">
        <v>3921</v>
      </c>
      <c r="BH1270" t="s">
        <v>4020</v>
      </c>
      <c r="BP1270" t="s">
        <v>4260</v>
      </c>
      <c r="BQ1270" t="s">
        <v>3463</v>
      </c>
      <c r="BR1270" t="s">
        <v>3465</v>
      </c>
      <c r="BS1270" t="s">
        <v>3465</v>
      </c>
      <c r="BT1270" t="s">
        <v>3465</v>
      </c>
      <c r="BU1270" t="s">
        <v>3463</v>
      </c>
      <c r="BV1270" t="s">
        <v>3463</v>
      </c>
      <c r="BW1270" t="s">
        <v>3463</v>
      </c>
      <c r="BX1270" t="s">
        <v>79</v>
      </c>
      <c r="BY1270" t="s">
        <v>79</v>
      </c>
      <c r="BZ1270" t="s">
        <v>79</v>
      </c>
      <c r="CA1270" s="10">
        <v>45912</v>
      </c>
    </row>
    <row r="1271" spans="1:79">
      <c r="A1271">
        <v>1284</v>
      </c>
      <c r="B1271">
        <v>204</v>
      </c>
      <c r="C1271">
        <v>37</v>
      </c>
      <c r="D1271" t="s">
        <v>3466</v>
      </c>
      <c r="E1271" t="s">
        <v>450</v>
      </c>
      <c r="F1271" t="s">
        <v>2407</v>
      </c>
      <c r="G1271" s="12" t="s">
        <v>3463</v>
      </c>
      <c r="H1271" s="12"/>
      <c r="I1271">
        <v>59</v>
      </c>
      <c r="K1271">
        <v>134</v>
      </c>
      <c r="L1271">
        <v>73</v>
      </c>
      <c r="M1271" t="s">
        <v>82</v>
      </c>
      <c r="P1271" t="s">
        <v>83</v>
      </c>
      <c r="Q1271" t="s">
        <v>82</v>
      </c>
      <c r="R1271">
        <v>87.7</v>
      </c>
      <c r="S1271">
        <v>152</v>
      </c>
      <c r="T1271" s="8">
        <f t="shared" si="41"/>
        <v>37.95879501385042</v>
      </c>
      <c r="U1271" s="13" t="str" cm="1">
        <f t="array" ref="U1271">IF(T1271="","",_xlfn.IFS(T1271&lt;18.5,"Bajo peso",T1271&lt;25,"Peso normal",T1271&lt;30,"Sobrepeso",T1271&lt;35,"Obesidad clase I",T1271&lt;40,"Obesidad clase II",T1271&gt;=40,"Obesidad clase III"))</f>
        <v>Obesidad clase II</v>
      </c>
      <c r="V1271">
        <v>83</v>
      </c>
      <c r="X1271" t="s">
        <v>3463</v>
      </c>
      <c r="Y1271">
        <v>0.99</v>
      </c>
      <c r="AA1271">
        <v>75</v>
      </c>
      <c r="AB1271" s="9">
        <f t="shared" si="40"/>
        <v>75.315955564714258</v>
      </c>
      <c r="AD1271" t="s">
        <v>73</v>
      </c>
      <c r="AF1271" t="s">
        <v>73</v>
      </c>
      <c r="AH1271" t="s">
        <v>3463</v>
      </c>
      <c r="AI1271" t="s">
        <v>3463</v>
      </c>
      <c r="AJ1271" t="s">
        <v>3463</v>
      </c>
      <c r="AK1271" t="s">
        <v>3463</v>
      </c>
      <c r="AL1271" t="s">
        <v>3463</v>
      </c>
      <c r="AO1271" t="s">
        <v>3463</v>
      </c>
      <c r="AP1271" t="s">
        <v>3465</v>
      </c>
      <c r="AQ1271" t="s">
        <v>159</v>
      </c>
      <c r="AR1271" t="s">
        <v>3491</v>
      </c>
      <c r="AV1271" t="s">
        <v>178</v>
      </c>
      <c r="AW1271" t="s">
        <v>3918</v>
      </c>
      <c r="AX1271" t="s">
        <v>3463</v>
      </c>
      <c r="AY1271" t="s">
        <v>3465</v>
      </c>
      <c r="AZ1271" t="s">
        <v>90</v>
      </c>
      <c r="BF1271" t="s">
        <v>3921</v>
      </c>
      <c r="BH1271" t="s">
        <v>4020</v>
      </c>
      <c r="BP1271" t="s">
        <v>4260</v>
      </c>
      <c r="BQ1271" t="s">
        <v>3465</v>
      </c>
      <c r="BR1271" t="s">
        <v>3465</v>
      </c>
      <c r="BS1271" t="s">
        <v>3465</v>
      </c>
      <c r="BT1271" t="s">
        <v>3465</v>
      </c>
      <c r="BU1271" t="s">
        <v>3463</v>
      </c>
      <c r="BV1271" t="s">
        <v>3463</v>
      </c>
      <c r="BW1271" t="s">
        <v>3463</v>
      </c>
      <c r="BX1271" t="s">
        <v>79</v>
      </c>
      <c r="BY1271" t="s">
        <v>79</v>
      </c>
      <c r="BZ1271" t="s">
        <v>79</v>
      </c>
      <c r="CA1271" s="10">
        <v>45912</v>
      </c>
    </row>
    <row r="1272" spans="1:79">
      <c r="A1272">
        <v>1285</v>
      </c>
      <c r="B1272">
        <v>205</v>
      </c>
      <c r="C1272">
        <v>29</v>
      </c>
      <c r="D1272" t="s">
        <v>3462</v>
      </c>
      <c r="E1272" t="s">
        <v>2451</v>
      </c>
      <c r="F1272" t="s">
        <v>2407</v>
      </c>
      <c r="G1272" s="12" t="s">
        <v>3463</v>
      </c>
      <c r="H1272" s="12"/>
      <c r="I1272">
        <v>79</v>
      </c>
      <c r="K1272">
        <v>114</v>
      </c>
      <c r="L1272">
        <v>80</v>
      </c>
      <c r="M1272" t="s">
        <v>82</v>
      </c>
      <c r="P1272" t="s">
        <v>83</v>
      </c>
      <c r="Q1272" t="s">
        <v>82</v>
      </c>
      <c r="R1272">
        <v>93</v>
      </c>
      <c r="S1272">
        <v>181</v>
      </c>
      <c r="T1272" s="8">
        <f t="shared" si="41"/>
        <v>28.387411861664788</v>
      </c>
      <c r="U1272" s="13" t="str" cm="1">
        <f t="array" ref="U1272">IF(T1272="","",_xlfn.IFS(T1272&lt;18.5,"Bajo peso",T1272&lt;25,"Peso normal",T1272&lt;30,"Sobrepeso",T1272&lt;35,"Obesidad clase I",T1272&lt;40,"Obesidad clase II",T1272&gt;=40,"Obesidad clase III"))</f>
        <v>Sobrepeso</v>
      </c>
      <c r="V1272">
        <v>119</v>
      </c>
      <c r="X1272" t="s">
        <v>3463</v>
      </c>
      <c r="Y1272">
        <v>1.77</v>
      </c>
      <c r="AA1272">
        <v>53</v>
      </c>
      <c r="AB1272" s="9">
        <f t="shared" si="40"/>
        <v>52.660165049191271</v>
      </c>
      <c r="AD1272" t="s">
        <v>158</v>
      </c>
      <c r="AF1272" t="s">
        <v>158</v>
      </c>
      <c r="AH1272" t="s">
        <v>3463</v>
      </c>
      <c r="AI1272" t="s">
        <v>3463</v>
      </c>
      <c r="AJ1272" t="s">
        <v>3463</v>
      </c>
      <c r="AK1272" t="s">
        <v>3463</v>
      </c>
      <c r="AL1272" t="s">
        <v>3465</v>
      </c>
      <c r="AM1272" t="s">
        <v>2794</v>
      </c>
      <c r="AN1272" t="s">
        <v>3865</v>
      </c>
      <c r="AO1272" t="s">
        <v>3464</v>
      </c>
      <c r="AP1272" t="s">
        <v>3464</v>
      </c>
      <c r="AQ1272" t="s">
        <v>442</v>
      </c>
      <c r="AR1272" t="s">
        <v>3491</v>
      </c>
      <c r="AV1272" t="s">
        <v>74</v>
      </c>
      <c r="AW1272" t="s">
        <v>3915</v>
      </c>
      <c r="BE1272" t="s">
        <v>2795</v>
      </c>
      <c r="BF1272" t="s">
        <v>2725</v>
      </c>
      <c r="BH1272" t="s">
        <v>4053</v>
      </c>
      <c r="BK1272" t="s">
        <v>2340</v>
      </c>
      <c r="BL1272" t="s">
        <v>2328</v>
      </c>
      <c r="BP1272" t="s">
        <v>4260</v>
      </c>
      <c r="BQ1272" t="s">
        <v>3463</v>
      </c>
      <c r="BR1272" t="s">
        <v>3463</v>
      </c>
      <c r="BS1272" t="s">
        <v>3463</v>
      </c>
      <c r="BT1272" t="s">
        <v>3465</v>
      </c>
      <c r="BU1272" t="s">
        <v>3463</v>
      </c>
      <c r="BV1272" t="s">
        <v>3463</v>
      </c>
      <c r="BW1272" t="s">
        <v>3463</v>
      </c>
      <c r="BX1272" t="s">
        <v>79</v>
      </c>
      <c r="BY1272" t="s">
        <v>79</v>
      </c>
      <c r="BZ1272" t="s">
        <v>79</v>
      </c>
      <c r="CA1272" s="10">
        <v>45912</v>
      </c>
    </row>
    <row r="1273" spans="1:79">
      <c r="A1273">
        <v>1286</v>
      </c>
      <c r="B1273">
        <v>206</v>
      </c>
      <c r="C1273">
        <v>53</v>
      </c>
      <c r="D1273" t="s">
        <v>3462</v>
      </c>
      <c r="E1273" t="s">
        <v>2411</v>
      </c>
      <c r="F1273" t="s">
        <v>2407</v>
      </c>
      <c r="G1273" s="12" t="s">
        <v>3465</v>
      </c>
      <c r="H1273" s="12" t="s">
        <v>88</v>
      </c>
      <c r="I1273">
        <v>81</v>
      </c>
      <c r="J1273">
        <v>77</v>
      </c>
      <c r="K1273">
        <v>174</v>
      </c>
      <c r="L1273">
        <v>112</v>
      </c>
      <c r="M1273" t="s">
        <v>72</v>
      </c>
      <c r="N1273">
        <v>167</v>
      </c>
      <c r="O1273">
        <v>114</v>
      </c>
      <c r="P1273" t="s">
        <v>72</v>
      </c>
      <c r="Q1273" t="s">
        <v>72</v>
      </c>
      <c r="R1273">
        <v>92.3</v>
      </c>
      <c r="S1273">
        <v>162</v>
      </c>
      <c r="T1273" s="8">
        <f t="shared" si="41"/>
        <v>35.169943606157595</v>
      </c>
      <c r="U1273" s="13" t="str" cm="1">
        <f t="array" ref="U1273">IF(T1273="","",_xlfn.IFS(T1273&lt;18.5,"Bajo peso",T1273&lt;25,"Peso normal",T1273&lt;30,"Sobrepeso",T1273&lt;35,"Obesidad clase I",T1273&lt;40,"Obesidad clase II",T1273&gt;=40,"Obesidad clase III"))</f>
        <v>Obesidad clase II</v>
      </c>
      <c r="V1273">
        <v>103</v>
      </c>
      <c r="X1273" t="s">
        <v>3463</v>
      </c>
      <c r="Y1273">
        <v>1.44</v>
      </c>
      <c r="AA1273">
        <v>58</v>
      </c>
      <c r="AB1273" s="9">
        <f t="shared" si="40"/>
        <v>58.101984062360579</v>
      </c>
      <c r="AD1273" t="s">
        <v>158</v>
      </c>
      <c r="AF1273" t="s">
        <v>158</v>
      </c>
      <c r="AH1273" t="s">
        <v>3463</v>
      </c>
      <c r="AI1273" t="s">
        <v>3463</v>
      </c>
      <c r="AJ1273" t="s">
        <v>3463</v>
      </c>
      <c r="AK1273" t="s">
        <v>3463</v>
      </c>
      <c r="AL1273" t="s">
        <v>3463</v>
      </c>
      <c r="AP1273" t="s">
        <v>3463</v>
      </c>
      <c r="AQ1273" t="s">
        <v>2796</v>
      </c>
      <c r="AR1273" t="s">
        <v>3494</v>
      </c>
      <c r="AV1273" t="s">
        <v>126</v>
      </c>
      <c r="AW1273" t="s">
        <v>126</v>
      </c>
      <c r="BA1273" t="s">
        <v>3920</v>
      </c>
      <c r="BF1273" t="s">
        <v>3921</v>
      </c>
      <c r="BG1273" t="s">
        <v>2636</v>
      </c>
      <c r="BH1273" t="s">
        <v>4125</v>
      </c>
      <c r="BI1273" t="s">
        <v>2797</v>
      </c>
      <c r="BP1273" t="s">
        <v>4260</v>
      </c>
      <c r="BQ1273" t="s">
        <v>3463</v>
      </c>
      <c r="BR1273" t="s">
        <v>3465</v>
      </c>
      <c r="BS1273" t="s">
        <v>3463</v>
      </c>
      <c r="BT1273" t="s">
        <v>3465</v>
      </c>
      <c r="BU1273" t="s">
        <v>3463</v>
      </c>
      <c r="BV1273" t="s">
        <v>3463</v>
      </c>
      <c r="BW1273" t="s">
        <v>3463</v>
      </c>
      <c r="BX1273" t="s">
        <v>79</v>
      </c>
      <c r="BY1273" t="s">
        <v>79</v>
      </c>
      <c r="BZ1273" t="s">
        <v>79</v>
      </c>
      <c r="CA1273" s="10">
        <v>45912</v>
      </c>
    </row>
    <row r="1274" spans="1:79">
      <c r="A1274">
        <v>1287</v>
      </c>
      <c r="B1274">
        <v>207</v>
      </c>
      <c r="C1274">
        <v>61</v>
      </c>
      <c r="D1274" t="s">
        <v>3462</v>
      </c>
      <c r="F1274" t="s">
        <v>2407</v>
      </c>
      <c r="G1274" s="12" t="s">
        <v>3463</v>
      </c>
      <c r="I1274">
        <v>68</v>
      </c>
      <c r="J1274">
        <v>64</v>
      </c>
      <c r="K1274">
        <v>151</v>
      </c>
      <c r="L1274">
        <v>93</v>
      </c>
      <c r="M1274" t="s">
        <v>72</v>
      </c>
      <c r="N1274">
        <v>143</v>
      </c>
      <c r="O1274">
        <v>94</v>
      </c>
      <c r="P1274" t="s">
        <v>72</v>
      </c>
      <c r="Q1274" t="s">
        <v>72</v>
      </c>
      <c r="R1274">
        <v>103.9</v>
      </c>
      <c r="S1274">
        <v>180</v>
      </c>
      <c r="T1274" s="8">
        <f t="shared" si="41"/>
        <v>32.067901234567898</v>
      </c>
      <c r="U1274" s="13" t="str" cm="1">
        <f t="array" ref="U1274">IF(T1274="","",_xlfn.IFS(T1274&lt;18.5,"Bajo peso",T1274&lt;25,"Peso normal",T1274&lt;30,"Sobrepeso",T1274&lt;35,"Obesidad clase I",T1274&lt;40,"Obesidad clase II",T1274&gt;=40,"Obesidad clase III"))</f>
        <v>Obesidad clase I</v>
      </c>
      <c r="V1274">
        <v>119</v>
      </c>
      <c r="X1274" t="s">
        <v>3463</v>
      </c>
      <c r="Y1274">
        <v>2.38</v>
      </c>
      <c r="Z1274">
        <v>1.94</v>
      </c>
      <c r="AA1274">
        <v>30</v>
      </c>
      <c r="AB1274" s="9">
        <f t="shared" si="40"/>
        <v>30.250011509099604</v>
      </c>
      <c r="AC1274">
        <v>39</v>
      </c>
      <c r="AD1274" t="s">
        <v>218</v>
      </c>
      <c r="AE1274" t="s">
        <v>218</v>
      </c>
      <c r="AF1274" t="s">
        <v>218</v>
      </c>
      <c r="AH1274" t="s">
        <v>3463</v>
      </c>
      <c r="AI1274" t="s">
        <v>3465</v>
      </c>
      <c r="AJ1274" t="s">
        <v>3463</v>
      </c>
      <c r="AK1274" t="s">
        <v>3463</v>
      </c>
      <c r="AP1274" t="s">
        <v>3463</v>
      </c>
      <c r="AQ1274" t="s">
        <v>120</v>
      </c>
      <c r="AR1274" t="s">
        <v>3491</v>
      </c>
      <c r="AS1274" t="s">
        <v>3465</v>
      </c>
      <c r="AV1274" t="s">
        <v>112</v>
      </c>
      <c r="AW1274" t="s">
        <v>3917</v>
      </c>
      <c r="BA1274" t="s">
        <v>3920</v>
      </c>
      <c r="BF1274" t="s">
        <v>3921</v>
      </c>
      <c r="BG1274" t="s">
        <v>2798</v>
      </c>
      <c r="BH1274" t="s">
        <v>4225</v>
      </c>
      <c r="BI1274" t="s">
        <v>2747</v>
      </c>
      <c r="BK1274" t="s">
        <v>2799</v>
      </c>
      <c r="BL1274" t="s">
        <v>2206</v>
      </c>
      <c r="BP1274" t="s">
        <v>4539</v>
      </c>
      <c r="BQ1274" t="s">
        <v>3463</v>
      </c>
      <c r="BR1274" t="s">
        <v>3463</v>
      </c>
      <c r="BS1274" t="s">
        <v>3463</v>
      </c>
      <c r="BT1274" t="s">
        <v>3463</v>
      </c>
      <c r="BU1274" t="s">
        <v>3463</v>
      </c>
      <c r="BV1274" t="s">
        <v>3463</v>
      </c>
      <c r="BW1274" t="s">
        <v>3463</v>
      </c>
      <c r="BX1274" t="s">
        <v>79</v>
      </c>
      <c r="BY1274" t="s">
        <v>79</v>
      </c>
      <c r="BZ1274" t="s">
        <v>79</v>
      </c>
      <c r="CA1274" s="10">
        <v>45912</v>
      </c>
    </row>
    <row r="1275" spans="1:79">
      <c r="A1275">
        <v>1288</v>
      </c>
      <c r="B1275">
        <v>208</v>
      </c>
      <c r="C1275">
        <v>55</v>
      </c>
      <c r="D1275" t="s">
        <v>3462</v>
      </c>
      <c r="E1275" t="s">
        <v>2462</v>
      </c>
      <c r="F1275" t="s">
        <v>2407</v>
      </c>
      <c r="G1275" s="12" t="s">
        <v>3463</v>
      </c>
      <c r="I1275">
        <v>94</v>
      </c>
      <c r="J1275">
        <v>93</v>
      </c>
      <c r="K1275">
        <v>181</v>
      </c>
      <c r="L1275">
        <v>111</v>
      </c>
      <c r="M1275" t="s">
        <v>96</v>
      </c>
      <c r="N1275">
        <v>173</v>
      </c>
      <c r="O1275">
        <v>108</v>
      </c>
      <c r="P1275" t="s">
        <v>72</v>
      </c>
      <c r="Q1275" t="s">
        <v>72</v>
      </c>
      <c r="R1275">
        <v>103.5</v>
      </c>
      <c r="S1275">
        <v>177</v>
      </c>
      <c r="T1275" s="8">
        <f t="shared" si="41"/>
        <v>33.036483769031889</v>
      </c>
      <c r="U1275" s="13" t="str" cm="1">
        <f t="array" ref="U1275">IF(T1275="","",_xlfn.IFS(T1275&lt;18.5,"Bajo peso",T1275&lt;25,"Peso normal",T1275&lt;30,"Sobrepeso",T1275&lt;35,"Obesidad clase I",T1275&lt;40,"Obesidad clase II",T1275&gt;=40,"Obesidad clase III"))</f>
        <v>Obesidad clase I</v>
      </c>
      <c r="V1275">
        <v>115</v>
      </c>
      <c r="X1275" t="s">
        <v>3463</v>
      </c>
      <c r="Y1275">
        <v>1.17</v>
      </c>
      <c r="AA1275">
        <v>74</v>
      </c>
      <c r="AB1275" s="9">
        <f t="shared" si="40"/>
        <v>73.620863017272967</v>
      </c>
      <c r="AD1275" t="s">
        <v>73</v>
      </c>
      <c r="AF1275" t="s">
        <v>73</v>
      </c>
      <c r="AH1275" t="s">
        <v>3463</v>
      </c>
      <c r="AI1275" t="s">
        <v>3465</v>
      </c>
      <c r="AJ1275" t="s">
        <v>3465</v>
      </c>
      <c r="AK1275" t="s">
        <v>3463</v>
      </c>
      <c r="AL1275" t="s">
        <v>3465</v>
      </c>
      <c r="AM1275" t="s">
        <v>301</v>
      </c>
      <c r="AN1275" t="s">
        <v>3617</v>
      </c>
      <c r="AP1275" t="s">
        <v>3463</v>
      </c>
      <c r="AQ1275" t="s">
        <v>2772</v>
      </c>
      <c r="AR1275" t="s">
        <v>3491</v>
      </c>
      <c r="AS1275" t="s">
        <v>3463</v>
      </c>
      <c r="AV1275" t="s">
        <v>74</v>
      </c>
      <c r="AW1275" t="s">
        <v>3915</v>
      </c>
      <c r="BA1275" t="s">
        <v>3920</v>
      </c>
      <c r="BF1275" t="s">
        <v>3921</v>
      </c>
      <c r="BG1275" t="s">
        <v>2636</v>
      </c>
      <c r="BH1275" t="s">
        <v>4125</v>
      </c>
      <c r="BP1275" t="s">
        <v>4260</v>
      </c>
      <c r="BQ1275" t="s">
        <v>3463</v>
      </c>
      <c r="BR1275" t="s">
        <v>3465</v>
      </c>
      <c r="BS1275" t="s">
        <v>3463</v>
      </c>
      <c r="BT1275" t="s">
        <v>3465</v>
      </c>
      <c r="BU1275" t="s">
        <v>3463</v>
      </c>
      <c r="BV1275" t="s">
        <v>3463</v>
      </c>
      <c r="BW1275" t="s">
        <v>3463</v>
      </c>
      <c r="BX1275" t="s">
        <v>79</v>
      </c>
      <c r="BY1275" t="s">
        <v>79</v>
      </c>
      <c r="BZ1275" t="s">
        <v>79</v>
      </c>
      <c r="CA1275" s="10">
        <v>45912</v>
      </c>
    </row>
    <row r="1276" spans="1:79">
      <c r="A1276">
        <v>1289</v>
      </c>
      <c r="B1276">
        <v>209</v>
      </c>
      <c r="C1276">
        <v>37</v>
      </c>
      <c r="D1276" t="s">
        <v>3462</v>
      </c>
      <c r="E1276" t="s">
        <v>2451</v>
      </c>
      <c r="F1276" t="s">
        <v>2407</v>
      </c>
      <c r="G1276" s="12" t="s">
        <v>3465</v>
      </c>
      <c r="H1276" s="12" t="s">
        <v>88</v>
      </c>
      <c r="I1276">
        <v>80</v>
      </c>
      <c r="K1276">
        <v>121</v>
      </c>
      <c r="L1276">
        <v>64</v>
      </c>
      <c r="M1276" t="s">
        <v>118</v>
      </c>
      <c r="P1276" t="s">
        <v>83</v>
      </c>
      <c r="Q1276" t="s">
        <v>118</v>
      </c>
      <c r="R1276">
        <v>82.1</v>
      </c>
      <c r="S1276">
        <v>171</v>
      </c>
      <c r="T1276" s="8">
        <f t="shared" si="41"/>
        <v>28.077015149960673</v>
      </c>
      <c r="U1276" s="13" t="str" cm="1">
        <f t="array" ref="U1276">IF(T1276="","",_xlfn.IFS(T1276&lt;18.5,"Bajo peso",T1276&lt;25,"Peso normal",T1276&lt;30,"Sobrepeso",T1276&lt;35,"Obesidad clase I",T1276&lt;40,"Obesidad clase II",T1276&gt;=40,"Obesidad clase III"))</f>
        <v>Sobrepeso</v>
      </c>
      <c r="V1276">
        <v>104</v>
      </c>
      <c r="X1276" t="s">
        <v>3463</v>
      </c>
      <c r="Y1276">
        <v>1.36</v>
      </c>
      <c r="AA1276">
        <v>69</v>
      </c>
      <c r="AB1276" s="9">
        <f t="shared" si="40"/>
        <v>68.737761489320647</v>
      </c>
      <c r="AD1276" t="s">
        <v>73</v>
      </c>
      <c r="AF1276" t="s">
        <v>73</v>
      </c>
      <c r="AH1276" t="s">
        <v>3463</v>
      </c>
      <c r="AI1276" t="s">
        <v>3463</v>
      </c>
      <c r="AJ1276" t="s">
        <v>3463</v>
      </c>
      <c r="AK1276" t="s">
        <v>3463</v>
      </c>
      <c r="AL1276" t="s">
        <v>3463</v>
      </c>
      <c r="AO1276" t="s">
        <v>3463</v>
      </c>
      <c r="AP1276" t="s">
        <v>3465</v>
      </c>
      <c r="AQ1276" t="s">
        <v>442</v>
      </c>
      <c r="AR1276" t="s">
        <v>3491</v>
      </c>
      <c r="AV1276" t="s">
        <v>74</v>
      </c>
      <c r="AW1276" t="s">
        <v>3915</v>
      </c>
      <c r="BF1276" t="s">
        <v>3921</v>
      </c>
      <c r="BH1276" t="s">
        <v>4020</v>
      </c>
      <c r="BP1276" t="s">
        <v>4260</v>
      </c>
      <c r="BQ1276" t="s">
        <v>3463</v>
      </c>
      <c r="BR1276" t="s">
        <v>3465</v>
      </c>
      <c r="BS1276" t="s">
        <v>3465</v>
      </c>
      <c r="BT1276" t="s">
        <v>3463</v>
      </c>
      <c r="BU1276" t="s">
        <v>3463</v>
      </c>
      <c r="BV1276" t="s">
        <v>3463</v>
      </c>
      <c r="BW1276" t="s">
        <v>3463</v>
      </c>
      <c r="BX1276" t="s">
        <v>79</v>
      </c>
      <c r="BY1276" t="s">
        <v>79</v>
      </c>
      <c r="BZ1276" t="s">
        <v>79</v>
      </c>
      <c r="CA1276" s="10">
        <v>45912</v>
      </c>
    </row>
    <row r="1277" spans="1:79">
      <c r="A1277">
        <v>1290</v>
      </c>
      <c r="B1277">
        <v>210</v>
      </c>
      <c r="C1277">
        <v>56</v>
      </c>
      <c r="D1277" t="s">
        <v>3466</v>
      </c>
      <c r="E1277" t="s">
        <v>2407</v>
      </c>
      <c r="F1277" t="s">
        <v>2407</v>
      </c>
      <c r="G1277" s="12" t="s">
        <v>3463</v>
      </c>
      <c r="I1277">
        <v>74</v>
      </c>
      <c r="J1277">
        <v>70</v>
      </c>
      <c r="K1277">
        <v>140</v>
      </c>
      <c r="L1277">
        <v>77</v>
      </c>
      <c r="M1277" t="s">
        <v>72</v>
      </c>
      <c r="N1277">
        <v>127</v>
      </c>
      <c r="O1277">
        <v>73</v>
      </c>
      <c r="P1277" t="s">
        <v>118</v>
      </c>
      <c r="Q1277" t="s">
        <v>118</v>
      </c>
      <c r="R1277">
        <v>82.7</v>
      </c>
      <c r="S1277">
        <v>155</v>
      </c>
      <c r="T1277" s="8">
        <f t="shared" si="41"/>
        <v>34.422476586888656</v>
      </c>
      <c r="U1277" s="13" t="str" cm="1">
        <f t="array" ref="U1277">IF(T1277="","",_xlfn.IFS(T1277&lt;18.5,"Bajo peso",T1277&lt;25,"Peso normal",T1277&lt;30,"Sobrepeso",T1277&lt;35,"Obesidad clase I",T1277&lt;40,"Obesidad clase II",T1277&gt;=40,"Obesidad clase III"))</f>
        <v>Obesidad clase I</v>
      </c>
      <c r="V1277">
        <v>220</v>
      </c>
      <c r="X1277" t="s">
        <v>3465</v>
      </c>
      <c r="Y1277">
        <v>1.01</v>
      </c>
      <c r="AA1277">
        <v>65</v>
      </c>
      <c r="AB1277" s="9">
        <f t="shared" si="40"/>
        <v>65.334779736211402</v>
      </c>
      <c r="AD1277" t="s">
        <v>73</v>
      </c>
      <c r="AF1277" t="s">
        <v>73</v>
      </c>
      <c r="AG1277" t="s">
        <v>3465</v>
      </c>
      <c r="AH1277" t="s">
        <v>3465</v>
      </c>
      <c r="AI1277" t="s">
        <v>3465</v>
      </c>
      <c r="AJ1277" t="s">
        <v>3463</v>
      </c>
      <c r="AK1277" t="s">
        <v>3465</v>
      </c>
      <c r="AL1277" t="s">
        <v>3465</v>
      </c>
      <c r="AM1277" t="s">
        <v>1661</v>
      </c>
      <c r="AN1277" t="s">
        <v>110</v>
      </c>
      <c r="AP1277" t="s">
        <v>3463</v>
      </c>
      <c r="AQ1277" t="s">
        <v>2800</v>
      </c>
      <c r="AR1277" t="s">
        <v>3488</v>
      </c>
      <c r="AS1277" t="s">
        <v>3463</v>
      </c>
      <c r="AT1277" t="s">
        <v>3465</v>
      </c>
      <c r="AU1277" t="s">
        <v>80</v>
      </c>
      <c r="AV1277" t="s">
        <v>74</v>
      </c>
      <c r="AW1277" t="s">
        <v>3915</v>
      </c>
      <c r="AX1277" t="s">
        <v>3463</v>
      </c>
      <c r="AY1277" t="s">
        <v>3465</v>
      </c>
      <c r="AZ1277" t="s">
        <v>90</v>
      </c>
      <c r="BF1277" t="s">
        <v>3921</v>
      </c>
      <c r="BH1277" t="s">
        <v>4020</v>
      </c>
      <c r="BP1277" t="s">
        <v>4260</v>
      </c>
      <c r="BQ1277" t="s">
        <v>3465</v>
      </c>
      <c r="BR1277" t="s">
        <v>3463</v>
      </c>
      <c r="BS1277" t="s">
        <v>3463</v>
      </c>
      <c r="BT1277" t="s">
        <v>3463</v>
      </c>
      <c r="BU1277" t="s">
        <v>3463</v>
      </c>
      <c r="BV1277" t="s">
        <v>3463</v>
      </c>
      <c r="BW1277" t="s">
        <v>3463</v>
      </c>
      <c r="BX1277" t="s">
        <v>79</v>
      </c>
      <c r="BY1277" t="s">
        <v>487</v>
      </c>
      <c r="BZ1277" t="s">
        <v>79</v>
      </c>
      <c r="CA1277" s="10">
        <v>45912</v>
      </c>
    </row>
    <row r="1278" spans="1:79">
      <c r="A1278">
        <v>1291</v>
      </c>
      <c r="B1278">
        <v>211</v>
      </c>
      <c r="C1278">
        <v>58</v>
      </c>
      <c r="D1278" t="s">
        <v>3462</v>
      </c>
      <c r="E1278" t="s">
        <v>2411</v>
      </c>
      <c r="F1278" t="s">
        <v>2407</v>
      </c>
      <c r="G1278" s="12" t="s">
        <v>3465</v>
      </c>
      <c r="H1278" s="12" t="s">
        <v>88</v>
      </c>
      <c r="I1278">
        <v>66</v>
      </c>
      <c r="J1278">
        <v>70</v>
      </c>
      <c r="K1278">
        <v>152</v>
      </c>
      <c r="L1278">
        <v>92</v>
      </c>
      <c r="M1278" t="s">
        <v>72</v>
      </c>
      <c r="N1278">
        <v>142</v>
      </c>
      <c r="O1278">
        <v>87</v>
      </c>
      <c r="P1278" t="s">
        <v>72</v>
      </c>
      <c r="Q1278" t="s">
        <v>72</v>
      </c>
      <c r="R1278">
        <v>86</v>
      </c>
      <c r="S1278">
        <v>170</v>
      </c>
      <c r="T1278" s="8">
        <f t="shared" si="41"/>
        <v>29.757785467128027</v>
      </c>
      <c r="U1278" s="13" t="str" cm="1">
        <f t="array" ref="U1278">IF(T1278="","",_xlfn.IFS(T1278&lt;18.5,"Bajo peso",T1278&lt;25,"Peso normal",T1278&lt;30,"Sobrepeso",T1278&lt;35,"Obesidad clase I",T1278&lt;40,"Obesidad clase II",T1278&gt;=40,"Obesidad clase III"))</f>
        <v>Sobrepeso</v>
      </c>
      <c r="V1278">
        <v>105</v>
      </c>
      <c r="X1278" t="s">
        <v>3463</v>
      </c>
      <c r="Y1278">
        <v>1.01</v>
      </c>
      <c r="AA1278">
        <v>86</v>
      </c>
      <c r="AB1278" s="9">
        <f t="shared" si="40"/>
        <v>86.205557916520249</v>
      </c>
      <c r="AD1278" t="s">
        <v>73</v>
      </c>
      <c r="AF1278" t="s">
        <v>73</v>
      </c>
      <c r="AH1278" t="s">
        <v>3463</v>
      </c>
      <c r="AI1278" t="s">
        <v>3463</v>
      </c>
      <c r="AJ1278" t="s">
        <v>3463</v>
      </c>
      <c r="AK1278" t="s">
        <v>3463</v>
      </c>
      <c r="AL1278" t="s">
        <v>3463</v>
      </c>
      <c r="AP1278" t="s">
        <v>3463</v>
      </c>
      <c r="AQ1278" t="s">
        <v>2801</v>
      </c>
      <c r="AR1278" t="s">
        <v>3494</v>
      </c>
      <c r="AV1278" t="s">
        <v>126</v>
      </c>
      <c r="AW1278" t="s">
        <v>126</v>
      </c>
      <c r="BE1278" t="s">
        <v>2802</v>
      </c>
      <c r="BF1278" t="s">
        <v>3984</v>
      </c>
      <c r="BG1278" t="s">
        <v>2803</v>
      </c>
      <c r="BH1278" t="s">
        <v>4226</v>
      </c>
      <c r="BI1278" t="s">
        <v>76</v>
      </c>
      <c r="BK1278" t="s">
        <v>2804</v>
      </c>
      <c r="BL1278" t="s">
        <v>720</v>
      </c>
      <c r="BP1278" t="s">
        <v>4488</v>
      </c>
      <c r="BQ1278" t="s">
        <v>3465</v>
      </c>
      <c r="BR1278" t="s">
        <v>3465</v>
      </c>
      <c r="BS1278" t="s">
        <v>3463</v>
      </c>
      <c r="BT1278" t="s">
        <v>3463</v>
      </c>
      <c r="BU1278" t="s">
        <v>3463</v>
      </c>
      <c r="BV1278" t="s">
        <v>3463</v>
      </c>
      <c r="BW1278" t="s">
        <v>3463</v>
      </c>
      <c r="BX1278" t="s">
        <v>79</v>
      </c>
      <c r="BY1278" t="s">
        <v>79</v>
      </c>
      <c r="BZ1278" t="s">
        <v>79</v>
      </c>
      <c r="CA1278" s="10">
        <v>45912</v>
      </c>
    </row>
    <row r="1279" spans="1:79">
      <c r="A1279">
        <v>1292</v>
      </c>
      <c r="B1279">
        <v>212</v>
      </c>
      <c r="C1279">
        <v>54</v>
      </c>
      <c r="D1279" t="s">
        <v>3466</v>
      </c>
      <c r="E1279" t="s">
        <v>2805</v>
      </c>
      <c r="F1279" t="s">
        <v>71</v>
      </c>
      <c r="G1279" s="12" t="s">
        <v>3463</v>
      </c>
      <c r="I1279">
        <v>67</v>
      </c>
      <c r="J1279">
        <v>63</v>
      </c>
      <c r="K1279">
        <v>159</v>
      </c>
      <c r="L1279">
        <v>82</v>
      </c>
      <c r="M1279" t="s">
        <v>72</v>
      </c>
      <c r="N1279">
        <v>154</v>
      </c>
      <c r="O1279">
        <v>83</v>
      </c>
      <c r="P1279" t="s">
        <v>72</v>
      </c>
      <c r="Q1279" t="s">
        <v>72</v>
      </c>
      <c r="R1279">
        <v>68.5</v>
      </c>
      <c r="S1279">
        <v>156</v>
      </c>
      <c r="T1279" s="8">
        <f t="shared" si="41"/>
        <v>28.147600262984881</v>
      </c>
      <c r="U1279" s="13" t="str" cm="1">
        <f t="array" ref="U1279">IF(T1279="","",_xlfn.IFS(T1279&lt;18.5,"Bajo peso",T1279&lt;25,"Peso normal",T1279&lt;30,"Sobrepeso",T1279&lt;35,"Obesidad clase I",T1279&lt;40,"Obesidad clase II",T1279&gt;=40,"Obesidad clase III"))</f>
        <v>Sobrepeso</v>
      </c>
      <c r="V1279">
        <v>100</v>
      </c>
      <c r="X1279" t="s">
        <v>3463</v>
      </c>
      <c r="Y1279">
        <v>1</v>
      </c>
      <c r="AA1279">
        <v>67</v>
      </c>
      <c r="AB1279" s="9">
        <f t="shared" si="40"/>
        <v>66.947150243611091</v>
      </c>
      <c r="AD1279" t="s">
        <v>73</v>
      </c>
      <c r="AF1279" t="s">
        <v>73</v>
      </c>
      <c r="AH1279" t="s">
        <v>3463</v>
      </c>
      <c r="AI1279" t="s">
        <v>3463</v>
      </c>
      <c r="AJ1279" t="s">
        <v>3463</v>
      </c>
      <c r="AK1279" t="s">
        <v>3463</v>
      </c>
      <c r="AL1279" t="s">
        <v>3463</v>
      </c>
      <c r="AP1279" t="s">
        <v>3464</v>
      </c>
      <c r="AQ1279" t="s">
        <v>399</v>
      </c>
      <c r="AR1279" t="s">
        <v>3505</v>
      </c>
      <c r="AT1279" t="s">
        <v>3463</v>
      </c>
      <c r="AV1279" t="s">
        <v>74</v>
      </c>
      <c r="AW1279" t="s">
        <v>3915</v>
      </c>
      <c r="AX1279" t="s">
        <v>3463</v>
      </c>
      <c r="AY1279" t="s">
        <v>3463</v>
      </c>
      <c r="BF1279" t="s">
        <v>3921</v>
      </c>
      <c r="BH1279" t="s">
        <v>4020</v>
      </c>
      <c r="BP1279" t="s">
        <v>4260</v>
      </c>
      <c r="BQ1279" t="s">
        <v>3465</v>
      </c>
      <c r="BR1279" t="s">
        <v>3465</v>
      </c>
      <c r="BS1279" t="s">
        <v>3463</v>
      </c>
      <c r="BT1279" t="s">
        <v>3463</v>
      </c>
      <c r="BU1279" t="s">
        <v>3463</v>
      </c>
      <c r="BV1279" t="s">
        <v>3463</v>
      </c>
      <c r="BW1279" t="s">
        <v>3463</v>
      </c>
      <c r="BX1279" t="s">
        <v>79</v>
      </c>
      <c r="BY1279" t="s">
        <v>79</v>
      </c>
      <c r="BZ1279" t="s">
        <v>79</v>
      </c>
      <c r="CA1279" s="10">
        <v>45912</v>
      </c>
    </row>
    <row r="1280" spans="1:79">
      <c r="A1280">
        <v>1293</v>
      </c>
      <c r="B1280">
        <v>213</v>
      </c>
      <c r="C1280">
        <v>57</v>
      </c>
      <c r="D1280" t="s">
        <v>3466</v>
      </c>
      <c r="E1280" t="s">
        <v>450</v>
      </c>
      <c r="F1280" t="s">
        <v>2407</v>
      </c>
      <c r="G1280" s="12" t="s">
        <v>3463</v>
      </c>
      <c r="I1280">
        <v>99</v>
      </c>
      <c r="J1280">
        <v>97</v>
      </c>
      <c r="K1280">
        <v>184</v>
      </c>
      <c r="L1280">
        <v>103</v>
      </c>
      <c r="M1280" t="s">
        <v>96</v>
      </c>
      <c r="N1280">
        <v>153</v>
      </c>
      <c r="O1280">
        <v>99</v>
      </c>
      <c r="P1280" t="s">
        <v>72</v>
      </c>
      <c r="Q1280" t="s">
        <v>72</v>
      </c>
      <c r="R1280">
        <v>77.900000000000006</v>
      </c>
      <c r="S1280">
        <v>150</v>
      </c>
      <c r="T1280" s="8">
        <f t="shared" si="41"/>
        <v>34.622222222222227</v>
      </c>
      <c r="U1280" s="13" t="str" cm="1">
        <f t="array" ref="U1280">IF(T1280="","",_xlfn.IFS(T1280&lt;18.5,"Bajo peso",T1280&lt;25,"Peso normal",T1280&lt;30,"Sobrepeso",T1280&lt;35,"Obesidad clase I",T1280&lt;40,"Obesidad clase II",T1280&gt;=40,"Obesidad clase III"))</f>
        <v>Obesidad clase I</v>
      </c>
      <c r="V1280">
        <v>269</v>
      </c>
      <c r="X1280" t="s">
        <v>3465</v>
      </c>
      <c r="Y1280">
        <v>0.88</v>
      </c>
      <c r="AA1280">
        <v>77</v>
      </c>
      <c r="AB1280" s="9">
        <f t="shared" si="40"/>
        <v>76.603720966940685</v>
      </c>
      <c r="AD1280" t="s">
        <v>73</v>
      </c>
      <c r="AF1280" t="s">
        <v>73</v>
      </c>
      <c r="AG1280" t="s">
        <v>3465</v>
      </c>
      <c r="AH1280" t="s">
        <v>3465</v>
      </c>
      <c r="AI1280" t="s">
        <v>3465</v>
      </c>
      <c r="AJ1280" t="s">
        <v>3463</v>
      </c>
      <c r="AK1280" t="s">
        <v>3463</v>
      </c>
      <c r="AL1280" t="s">
        <v>3463</v>
      </c>
      <c r="AP1280" t="s">
        <v>3463</v>
      </c>
      <c r="AQ1280" t="s">
        <v>468</v>
      </c>
      <c r="AR1280" t="s">
        <v>3488</v>
      </c>
      <c r="AS1280" t="s">
        <v>3465</v>
      </c>
      <c r="AT1280" t="s">
        <v>3465</v>
      </c>
      <c r="AU1280" t="s">
        <v>80</v>
      </c>
      <c r="AV1280" t="s">
        <v>126</v>
      </c>
      <c r="AW1280" t="s">
        <v>126</v>
      </c>
      <c r="AX1280" t="s">
        <v>3463</v>
      </c>
      <c r="AY1280" t="s">
        <v>3465</v>
      </c>
      <c r="AZ1280" t="s">
        <v>958</v>
      </c>
      <c r="BF1280" t="s">
        <v>3921</v>
      </c>
      <c r="BH1280" t="s">
        <v>4020</v>
      </c>
      <c r="BP1280" t="s">
        <v>4260</v>
      </c>
      <c r="BQ1280" t="s">
        <v>3463</v>
      </c>
      <c r="BR1280" t="s">
        <v>3465</v>
      </c>
      <c r="BS1280" t="s">
        <v>3465</v>
      </c>
      <c r="BT1280" t="s">
        <v>3463</v>
      </c>
      <c r="BU1280" t="s">
        <v>3463</v>
      </c>
      <c r="BV1280" t="s">
        <v>3463</v>
      </c>
      <c r="BW1280" t="s">
        <v>3463</v>
      </c>
      <c r="BX1280" t="s">
        <v>79</v>
      </c>
      <c r="BY1280" t="s">
        <v>121</v>
      </c>
      <c r="BZ1280" t="s">
        <v>79</v>
      </c>
      <c r="CA1280" s="10">
        <v>45912</v>
      </c>
    </row>
    <row r="1281" spans="1:79">
      <c r="A1281">
        <v>1294</v>
      </c>
      <c r="B1281">
        <v>214</v>
      </c>
      <c r="C1281">
        <v>39</v>
      </c>
      <c r="D1281" t="s">
        <v>3466</v>
      </c>
      <c r="E1281" t="s">
        <v>2462</v>
      </c>
      <c r="F1281" t="s">
        <v>2407</v>
      </c>
      <c r="G1281" s="12" t="s">
        <v>3463</v>
      </c>
      <c r="I1281">
        <v>72</v>
      </c>
      <c r="K1281">
        <v>111</v>
      </c>
      <c r="L1281">
        <v>74</v>
      </c>
      <c r="M1281" t="s">
        <v>80</v>
      </c>
      <c r="P1281" t="s">
        <v>83</v>
      </c>
      <c r="Q1281" t="s">
        <v>80</v>
      </c>
      <c r="R1281">
        <v>64.599999999999994</v>
      </c>
      <c r="S1281">
        <v>156</v>
      </c>
      <c r="T1281" s="8">
        <f t="shared" si="41"/>
        <v>26.545036160420775</v>
      </c>
      <c r="U1281" s="13" t="str" cm="1">
        <f t="array" ref="U1281">IF(T1281="","",_xlfn.IFS(T1281&lt;18.5,"Bajo peso",T1281&lt;25,"Peso normal",T1281&lt;30,"Sobrepeso",T1281&lt;35,"Obesidad clase I",T1281&lt;40,"Obesidad clase II",T1281&gt;=40,"Obesidad clase III"))</f>
        <v>Sobrepeso</v>
      </c>
      <c r="V1281">
        <v>106</v>
      </c>
      <c r="X1281" t="s">
        <v>3463</v>
      </c>
      <c r="Y1281">
        <v>1.1399999999999999</v>
      </c>
      <c r="AA1281">
        <v>62</v>
      </c>
      <c r="AB1281" s="9">
        <f t="shared" si="40"/>
        <v>62.800252119612985</v>
      </c>
      <c r="AD1281" t="s">
        <v>73</v>
      </c>
      <c r="AF1281" t="s">
        <v>73</v>
      </c>
      <c r="AH1281" t="s">
        <v>3463</v>
      </c>
      <c r="AI1281" t="s">
        <v>3463</v>
      </c>
      <c r="AJ1281" t="s">
        <v>3463</v>
      </c>
      <c r="AK1281" t="s">
        <v>3465</v>
      </c>
      <c r="AL1281" t="s">
        <v>3463</v>
      </c>
      <c r="AP1281" t="s">
        <v>3463</v>
      </c>
      <c r="AQ1281" t="s">
        <v>2806</v>
      </c>
      <c r="AR1281" t="s">
        <v>3488</v>
      </c>
      <c r="AV1281" t="s">
        <v>126</v>
      </c>
      <c r="AW1281" t="s">
        <v>126</v>
      </c>
      <c r="AX1281" t="s">
        <v>3463</v>
      </c>
      <c r="AY1281" t="s">
        <v>3465</v>
      </c>
      <c r="AZ1281" t="s">
        <v>90</v>
      </c>
      <c r="BF1281" t="s">
        <v>3921</v>
      </c>
      <c r="BG1281" t="s">
        <v>2807</v>
      </c>
      <c r="BH1281" t="s">
        <v>4137</v>
      </c>
      <c r="BK1281" t="s">
        <v>2808</v>
      </c>
      <c r="BL1281" t="s">
        <v>1383</v>
      </c>
      <c r="BP1281" t="s">
        <v>4325</v>
      </c>
      <c r="BQ1281" t="s">
        <v>3463</v>
      </c>
      <c r="BR1281" t="s">
        <v>3465</v>
      </c>
      <c r="BS1281" t="s">
        <v>3465</v>
      </c>
      <c r="BT1281" t="s">
        <v>3465</v>
      </c>
      <c r="BU1281" t="s">
        <v>3463</v>
      </c>
      <c r="BV1281" t="s">
        <v>3463</v>
      </c>
      <c r="BW1281" t="s">
        <v>3463</v>
      </c>
      <c r="BX1281" t="s">
        <v>79</v>
      </c>
      <c r="BY1281" t="s">
        <v>79</v>
      </c>
      <c r="BZ1281" t="s">
        <v>79</v>
      </c>
      <c r="CA1281" s="10">
        <v>45912</v>
      </c>
    </row>
    <row r="1282" spans="1:79">
      <c r="A1282">
        <v>1295</v>
      </c>
      <c r="B1282">
        <v>215</v>
      </c>
      <c r="C1282">
        <v>32</v>
      </c>
      <c r="D1282" t="s">
        <v>3462</v>
      </c>
      <c r="E1282" t="s">
        <v>2416</v>
      </c>
      <c r="F1282" t="s">
        <v>2407</v>
      </c>
      <c r="G1282" s="12" t="s">
        <v>3465</v>
      </c>
      <c r="H1282" t="s">
        <v>88</v>
      </c>
      <c r="I1282">
        <v>88</v>
      </c>
      <c r="K1282">
        <v>131</v>
      </c>
      <c r="L1282">
        <v>83</v>
      </c>
      <c r="M1282" t="s">
        <v>82</v>
      </c>
      <c r="P1282" t="s">
        <v>83</v>
      </c>
      <c r="Q1282" t="s">
        <v>82</v>
      </c>
      <c r="R1282">
        <v>95.3</v>
      </c>
      <c r="S1282">
        <v>175</v>
      </c>
      <c r="T1282" s="8">
        <f t="shared" si="41"/>
        <v>31.118367346938776</v>
      </c>
      <c r="U1282" s="13" t="str" cm="1">
        <f t="array" ref="U1282">IF(T1282="","",_xlfn.IFS(T1282&lt;18.5,"Bajo peso",T1282&lt;25,"Peso normal",T1282&lt;30,"Sobrepeso",T1282&lt;35,"Obesidad clase I",T1282&lt;40,"Obesidad clase II",T1282&gt;=40,"Obesidad clase III"))</f>
        <v>Obesidad clase I</v>
      </c>
      <c r="V1282">
        <v>99</v>
      </c>
      <c r="X1282" t="s">
        <v>3463</v>
      </c>
      <c r="Y1282">
        <v>0.99</v>
      </c>
      <c r="AA1282">
        <v>78</v>
      </c>
      <c r="AB1282" s="9">
        <f t="shared" si="40"/>
        <v>103.79701860153577</v>
      </c>
      <c r="AD1282" t="s">
        <v>73</v>
      </c>
      <c r="AF1282" t="s">
        <v>73</v>
      </c>
      <c r="AH1282" t="s">
        <v>3463</v>
      </c>
      <c r="AI1282" t="s">
        <v>3463</v>
      </c>
      <c r="AJ1282" t="s">
        <v>3463</v>
      </c>
      <c r="AK1282" t="s">
        <v>3463</v>
      </c>
      <c r="AL1282" t="s">
        <v>3463</v>
      </c>
      <c r="AP1282" t="s">
        <v>3463</v>
      </c>
      <c r="AV1282" t="s">
        <v>126</v>
      </c>
      <c r="AW1282" t="s">
        <v>126</v>
      </c>
      <c r="BF1282" t="s">
        <v>3921</v>
      </c>
      <c r="BH1282" t="s">
        <v>4020</v>
      </c>
      <c r="BP1282" t="s">
        <v>4260</v>
      </c>
      <c r="BQ1282" t="s">
        <v>3463</v>
      </c>
      <c r="BR1282" t="s">
        <v>3465</v>
      </c>
      <c r="BS1282" t="s">
        <v>3465</v>
      </c>
      <c r="BT1282" t="s">
        <v>3465</v>
      </c>
      <c r="BU1282" t="s">
        <v>3463</v>
      </c>
      <c r="BV1282" t="s">
        <v>3463</v>
      </c>
      <c r="BW1282" t="s">
        <v>3463</v>
      </c>
      <c r="BX1282" t="s">
        <v>79</v>
      </c>
      <c r="BY1282" t="s">
        <v>79</v>
      </c>
      <c r="BZ1282" t="s">
        <v>79</v>
      </c>
      <c r="CA1282" s="10">
        <v>45912</v>
      </c>
    </row>
    <row r="1283" spans="1:79">
      <c r="A1283">
        <v>1296</v>
      </c>
      <c r="B1283">
        <v>216</v>
      </c>
      <c r="C1283">
        <v>39</v>
      </c>
      <c r="D1283" t="s">
        <v>3462</v>
      </c>
      <c r="E1283" t="s">
        <v>2411</v>
      </c>
      <c r="F1283" t="s">
        <v>2407</v>
      </c>
      <c r="G1283" s="12" t="s">
        <v>3463</v>
      </c>
      <c r="I1283">
        <v>87</v>
      </c>
      <c r="K1283">
        <v>132</v>
      </c>
      <c r="L1283">
        <v>73</v>
      </c>
      <c r="M1283" t="s">
        <v>82</v>
      </c>
      <c r="P1283" t="s">
        <v>83</v>
      </c>
      <c r="Q1283" t="s">
        <v>82</v>
      </c>
      <c r="R1283">
        <v>73.400000000000006</v>
      </c>
      <c r="S1283">
        <v>162</v>
      </c>
      <c r="T1283" s="8">
        <f t="shared" si="41"/>
        <v>27.96829751562262</v>
      </c>
      <c r="U1283" s="13" t="str" cm="1">
        <f t="array" ref="U1283">IF(T1283="","",_xlfn.IFS(T1283&lt;18.5,"Bajo peso",T1283&lt;25,"Peso normal",T1283&lt;30,"Sobrepeso",T1283&lt;35,"Obesidad clase I",T1283&lt;40,"Obesidad clase II",T1283&gt;=40,"Obesidad clase III"))</f>
        <v>Sobrepeso</v>
      </c>
      <c r="V1283">
        <v>125</v>
      </c>
      <c r="X1283" t="s">
        <v>3463</v>
      </c>
      <c r="Y1283">
        <v>1.23</v>
      </c>
      <c r="AA1283">
        <v>77</v>
      </c>
      <c r="AB1283" s="9">
        <f t="shared" si="40"/>
        <v>76.586800357707133</v>
      </c>
      <c r="AD1283" t="s">
        <v>73</v>
      </c>
      <c r="AF1283" t="s">
        <v>73</v>
      </c>
      <c r="AH1283" t="s">
        <v>3463</v>
      </c>
      <c r="AI1283" t="s">
        <v>3463</v>
      </c>
      <c r="AJ1283" t="s">
        <v>3463</v>
      </c>
      <c r="AK1283" t="s">
        <v>3463</v>
      </c>
      <c r="AL1283" t="s">
        <v>3463</v>
      </c>
      <c r="AP1283" t="s">
        <v>3463</v>
      </c>
      <c r="AQ1283" t="s">
        <v>2809</v>
      </c>
      <c r="AR1283" t="s">
        <v>3493</v>
      </c>
      <c r="AV1283" t="s">
        <v>74</v>
      </c>
      <c r="AW1283" t="s">
        <v>3915</v>
      </c>
      <c r="BF1283" t="s">
        <v>3921</v>
      </c>
      <c r="BH1283" t="s">
        <v>4020</v>
      </c>
      <c r="BP1283" t="s">
        <v>4260</v>
      </c>
      <c r="BQ1283" t="s">
        <v>3463</v>
      </c>
      <c r="BR1283" t="s">
        <v>3465</v>
      </c>
      <c r="BS1283" t="s">
        <v>3463</v>
      </c>
      <c r="BT1283" t="s">
        <v>3463</v>
      </c>
      <c r="BU1283" t="s">
        <v>3463</v>
      </c>
      <c r="BV1283" t="s">
        <v>3463</v>
      </c>
      <c r="BW1283" t="s">
        <v>3463</v>
      </c>
      <c r="BX1283" t="s">
        <v>79</v>
      </c>
      <c r="BY1283" t="s">
        <v>79</v>
      </c>
      <c r="BZ1283" t="s">
        <v>79</v>
      </c>
      <c r="CA1283" s="10">
        <v>45912</v>
      </c>
    </row>
    <row r="1284" spans="1:79">
      <c r="A1284">
        <v>1297</v>
      </c>
      <c r="B1284">
        <v>217</v>
      </c>
      <c r="C1284">
        <v>45</v>
      </c>
      <c r="D1284" t="s">
        <v>3466</v>
      </c>
      <c r="E1284" t="s">
        <v>2411</v>
      </c>
      <c r="F1284" t="s">
        <v>2407</v>
      </c>
      <c r="G1284" s="12" t="s">
        <v>3463</v>
      </c>
      <c r="I1284">
        <v>92</v>
      </c>
      <c r="J1284">
        <v>87</v>
      </c>
      <c r="K1284">
        <v>184</v>
      </c>
      <c r="L1284">
        <v>87</v>
      </c>
      <c r="M1284" t="s">
        <v>96</v>
      </c>
      <c r="N1284">
        <v>182</v>
      </c>
      <c r="O1284">
        <v>98</v>
      </c>
      <c r="P1284" t="s">
        <v>96</v>
      </c>
      <c r="Q1284" t="s">
        <v>96</v>
      </c>
      <c r="R1284">
        <v>100.7</v>
      </c>
      <c r="S1284">
        <v>160</v>
      </c>
      <c r="T1284" s="8">
        <f t="shared" si="41"/>
        <v>39.335937500000007</v>
      </c>
      <c r="U1284" s="13" t="str" cm="1">
        <f t="array" ref="U1284">IF(T1284="","",_xlfn.IFS(T1284&lt;18.5,"Bajo peso",T1284&lt;25,"Peso normal",T1284&lt;30,"Sobrepeso",T1284&lt;35,"Obesidad clase I",T1284&lt;40,"Obesidad clase II",T1284&gt;=40,"Obesidad clase III"))</f>
        <v>Obesidad clase II</v>
      </c>
      <c r="V1284">
        <v>114</v>
      </c>
      <c r="W1284">
        <v>114</v>
      </c>
      <c r="X1284" t="s">
        <v>3463</v>
      </c>
      <c r="Y1284">
        <v>1.45</v>
      </c>
      <c r="Z1284">
        <v>1.22</v>
      </c>
      <c r="AA1284">
        <v>45</v>
      </c>
      <c r="AB1284" s="9">
        <f t="shared" si="40"/>
        <v>45.331444755491646</v>
      </c>
      <c r="AC1284">
        <v>56</v>
      </c>
      <c r="AD1284" t="s">
        <v>158</v>
      </c>
      <c r="AE1284" t="s">
        <v>158</v>
      </c>
      <c r="AF1284" t="s">
        <v>158</v>
      </c>
      <c r="AH1284" t="s">
        <v>3463</v>
      </c>
      <c r="AI1284" t="s">
        <v>3465</v>
      </c>
      <c r="AJ1284" t="s">
        <v>3463</v>
      </c>
      <c r="AK1284" t="s">
        <v>3463</v>
      </c>
      <c r="AL1284" t="s">
        <v>3463</v>
      </c>
      <c r="AP1284" t="s">
        <v>3463</v>
      </c>
      <c r="AQ1284" t="s">
        <v>2810</v>
      </c>
      <c r="AR1284" t="s">
        <v>3491</v>
      </c>
      <c r="AS1284" t="s">
        <v>3465</v>
      </c>
      <c r="AT1284" t="s">
        <v>3463</v>
      </c>
      <c r="AV1284" t="s">
        <v>74</v>
      </c>
      <c r="AW1284" t="s">
        <v>3915</v>
      </c>
      <c r="AX1284" t="s">
        <v>3463</v>
      </c>
      <c r="AY1284" t="s">
        <v>3463</v>
      </c>
      <c r="BA1284" t="s">
        <v>3920</v>
      </c>
      <c r="BF1284" t="s">
        <v>3921</v>
      </c>
      <c r="BG1284" t="s">
        <v>2811</v>
      </c>
      <c r="BH1284" t="s">
        <v>4022</v>
      </c>
      <c r="BI1284" t="s">
        <v>411</v>
      </c>
      <c r="BK1284" t="s">
        <v>2812</v>
      </c>
      <c r="BL1284" t="s">
        <v>2813</v>
      </c>
      <c r="BP1284" t="s">
        <v>4383</v>
      </c>
      <c r="BQ1284" t="s">
        <v>3463</v>
      </c>
      <c r="BR1284" t="s">
        <v>3463</v>
      </c>
      <c r="BS1284" t="s">
        <v>3463</v>
      </c>
      <c r="BT1284" t="s">
        <v>3463</v>
      </c>
      <c r="BU1284" t="s">
        <v>3463</v>
      </c>
      <c r="BV1284" t="s">
        <v>3463</v>
      </c>
      <c r="BW1284" t="s">
        <v>3463</v>
      </c>
      <c r="BX1284" t="s">
        <v>654</v>
      </c>
      <c r="BY1284" t="s">
        <v>79</v>
      </c>
      <c r="BZ1284" t="s">
        <v>95</v>
      </c>
      <c r="CA1284" s="10">
        <v>45912</v>
      </c>
    </row>
    <row r="1285" spans="1:79">
      <c r="A1285">
        <v>1298</v>
      </c>
      <c r="B1285">
        <v>218</v>
      </c>
      <c r="C1285">
        <v>39</v>
      </c>
      <c r="D1285" t="s">
        <v>3466</v>
      </c>
      <c r="E1285" t="s">
        <v>2416</v>
      </c>
      <c r="F1285" t="s">
        <v>2407</v>
      </c>
      <c r="G1285" s="12" t="s">
        <v>3463</v>
      </c>
      <c r="I1285">
        <v>79</v>
      </c>
      <c r="J1285">
        <v>78</v>
      </c>
      <c r="K1285">
        <v>178</v>
      </c>
      <c r="L1285">
        <v>103</v>
      </c>
      <c r="M1285" t="s">
        <v>72</v>
      </c>
      <c r="N1285">
        <v>167</v>
      </c>
      <c r="O1285">
        <v>106</v>
      </c>
      <c r="P1285" t="s">
        <v>72</v>
      </c>
      <c r="Q1285" t="s">
        <v>72</v>
      </c>
      <c r="R1285">
        <v>80.5</v>
      </c>
      <c r="S1285">
        <v>156</v>
      </c>
      <c r="T1285" s="8">
        <f t="shared" si="41"/>
        <v>33.078566732412888</v>
      </c>
      <c r="U1285" s="13" t="str" cm="1">
        <f t="array" ref="U1285">IF(T1285="","",_xlfn.IFS(T1285&lt;18.5,"Bajo peso",T1285&lt;25,"Peso normal",T1285&lt;30,"Sobrepeso",T1285&lt;35,"Obesidad clase I",T1285&lt;40,"Obesidad clase II",T1285&gt;=40,"Obesidad clase III"))</f>
        <v>Obesidad clase I</v>
      </c>
      <c r="V1285">
        <v>99</v>
      </c>
      <c r="X1285" t="s">
        <v>3463</v>
      </c>
      <c r="Y1285">
        <v>1.35</v>
      </c>
      <c r="AA1285">
        <v>51</v>
      </c>
      <c r="AB1285" s="9">
        <f t="shared" si="40"/>
        <v>51.26803671760694</v>
      </c>
      <c r="AD1285" t="s">
        <v>158</v>
      </c>
      <c r="AF1285" t="s">
        <v>158</v>
      </c>
      <c r="AH1285" t="s">
        <v>3463</v>
      </c>
      <c r="AI1285" t="s">
        <v>3465</v>
      </c>
      <c r="AJ1285" t="s">
        <v>3465</v>
      </c>
      <c r="AK1285" t="s">
        <v>3465</v>
      </c>
      <c r="AL1285" t="s">
        <v>3465</v>
      </c>
      <c r="AM1285" t="s">
        <v>2814</v>
      </c>
      <c r="AN1285" t="s">
        <v>3765</v>
      </c>
      <c r="AO1285" t="s">
        <v>3465</v>
      </c>
      <c r="AP1285" t="s">
        <v>3465</v>
      </c>
      <c r="AQ1285" t="s">
        <v>2815</v>
      </c>
      <c r="AR1285" t="s">
        <v>3488</v>
      </c>
      <c r="AS1285" t="s">
        <v>3465</v>
      </c>
      <c r="AT1285" t="s">
        <v>3463</v>
      </c>
      <c r="AV1285" t="s">
        <v>74</v>
      </c>
      <c r="AW1285" t="s">
        <v>3915</v>
      </c>
      <c r="AX1285" t="s">
        <v>3463</v>
      </c>
      <c r="AY1285" t="s">
        <v>3465</v>
      </c>
      <c r="AZ1285" t="s">
        <v>90</v>
      </c>
      <c r="BA1285" t="s">
        <v>3920</v>
      </c>
      <c r="BE1285" t="s">
        <v>2816</v>
      </c>
      <c r="BF1285" t="s">
        <v>3985</v>
      </c>
      <c r="BG1285" t="s">
        <v>2817</v>
      </c>
      <c r="BH1285" t="s">
        <v>4227</v>
      </c>
      <c r="BK1285" t="s">
        <v>2818</v>
      </c>
      <c r="BL1285" t="s">
        <v>2819</v>
      </c>
      <c r="BP1285" t="s">
        <v>4540</v>
      </c>
      <c r="BQ1285" t="s">
        <v>3465</v>
      </c>
      <c r="BR1285" t="s">
        <v>3465</v>
      </c>
      <c r="BS1285" t="s">
        <v>3465</v>
      </c>
      <c r="BT1285" t="s">
        <v>3465</v>
      </c>
      <c r="BU1285" t="s">
        <v>3463</v>
      </c>
      <c r="BV1285" t="s">
        <v>3463</v>
      </c>
      <c r="BW1285" t="s">
        <v>3463</v>
      </c>
      <c r="BX1285" t="s">
        <v>79</v>
      </c>
      <c r="BY1285" t="s">
        <v>87</v>
      </c>
      <c r="BZ1285" t="s">
        <v>79</v>
      </c>
      <c r="CA1285" s="10">
        <v>45912</v>
      </c>
    </row>
    <row r="1286" spans="1:79">
      <c r="A1286">
        <v>1299</v>
      </c>
      <c r="B1286">
        <v>219</v>
      </c>
      <c r="C1286">
        <v>57</v>
      </c>
      <c r="D1286" t="s">
        <v>3462</v>
      </c>
      <c r="E1286" t="s">
        <v>2462</v>
      </c>
      <c r="F1286" t="s">
        <v>2407</v>
      </c>
      <c r="G1286" s="12" t="s">
        <v>3463</v>
      </c>
      <c r="H1286" s="12"/>
      <c r="I1286">
        <v>65</v>
      </c>
      <c r="K1286">
        <v>133</v>
      </c>
      <c r="L1286">
        <v>81</v>
      </c>
      <c r="M1286" t="s">
        <v>82</v>
      </c>
      <c r="P1286" t="s">
        <v>83</v>
      </c>
      <c r="Q1286" t="s">
        <v>82</v>
      </c>
      <c r="R1286">
        <v>76.400000000000006</v>
      </c>
      <c r="S1286">
        <v>167</v>
      </c>
      <c r="T1286" s="8">
        <f t="shared" si="41"/>
        <v>27.394313170067054</v>
      </c>
      <c r="U1286" s="13" t="str" cm="1">
        <f t="array" ref="U1286">IF(T1286="","",_xlfn.IFS(T1286&lt;18.5,"Bajo peso",T1286&lt;25,"Peso normal",T1286&lt;30,"Sobrepeso",T1286&lt;35,"Obesidad clase I",T1286&lt;40,"Obesidad clase II",T1286&gt;=40,"Obesidad clase III"))</f>
        <v>Sobrepeso</v>
      </c>
      <c r="V1286">
        <v>108</v>
      </c>
      <c r="X1286" t="s">
        <v>3463</v>
      </c>
      <c r="Y1286">
        <v>1.1599999999999999</v>
      </c>
      <c r="AA1286">
        <v>74</v>
      </c>
      <c r="AB1286" s="9">
        <f t="shared" si="40"/>
        <v>73.463621879227603</v>
      </c>
      <c r="AD1286" t="s">
        <v>73</v>
      </c>
      <c r="AF1286" t="s">
        <v>73</v>
      </c>
      <c r="AH1286" t="s">
        <v>3463</v>
      </c>
      <c r="AI1286" t="s">
        <v>3463</v>
      </c>
      <c r="AJ1286" t="s">
        <v>3463</v>
      </c>
      <c r="AK1286" t="s">
        <v>3463</v>
      </c>
      <c r="AL1286" t="s">
        <v>3463</v>
      </c>
      <c r="AP1286" t="s">
        <v>3463</v>
      </c>
      <c r="AQ1286" t="s">
        <v>120</v>
      </c>
      <c r="AR1286" t="s">
        <v>3491</v>
      </c>
      <c r="AV1286" t="s">
        <v>74</v>
      </c>
      <c r="AW1286" t="s">
        <v>3915</v>
      </c>
      <c r="BF1286" t="s">
        <v>3921</v>
      </c>
      <c r="BH1286" t="s">
        <v>4020</v>
      </c>
      <c r="BP1286" t="s">
        <v>4260</v>
      </c>
      <c r="BQ1286" t="s">
        <v>3463</v>
      </c>
      <c r="BR1286" t="s">
        <v>3463</v>
      </c>
      <c r="BS1286" t="s">
        <v>3463</v>
      </c>
      <c r="BT1286" t="s">
        <v>3463</v>
      </c>
      <c r="BU1286" t="s">
        <v>3463</v>
      </c>
      <c r="BV1286" t="s">
        <v>3463</v>
      </c>
      <c r="BW1286" t="s">
        <v>3463</v>
      </c>
      <c r="BX1286" t="s">
        <v>79</v>
      </c>
      <c r="BY1286" t="s">
        <v>79</v>
      </c>
      <c r="BZ1286" t="s">
        <v>79</v>
      </c>
      <c r="CA1286" s="10">
        <v>45912</v>
      </c>
    </row>
    <row r="1287" spans="1:79">
      <c r="A1287">
        <v>1300</v>
      </c>
      <c r="B1287">
        <v>220</v>
      </c>
      <c r="C1287">
        <v>55</v>
      </c>
      <c r="D1287" t="s">
        <v>3466</v>
      </c>
      <c r="E1287" t="s">
        <v>2820</v>
      </c>
      <c r="F1287" t="s">
        <v>2407</v>
      </c>
      <c r="G1287" s="12" t="s">
        <v>3465</v>
      </c>
      <c r="H1287" t="s">
        <v>88</v>
      </c>
      <c r="I1287">
        <v>73</v>
      </c>
      <c r="K1287">
        <v>113</v>
      </c>
      <c r="L1287">
        <v>71</v>
      </c>
      <c r="M1287" t="s">
        <v>80</v>
      </c>
      <c r="P1287" t="s">
        <v>83</v>
      </c>
      <c r="Q1287" t="s">
        <v>80</v>
      </c>
      <c r="R1287">
        <v>67.7</v>
      </c>
      <c r="S1287">
        <v>159</v>
      </c>
      <c r="T1287" s="8">
        <f t="shared" si="41"/>
        <v>26.779003995095131</v>
      </c>
      <c r="U1287" s="13" t="str" cm="1">
        <f t="array" ref="U1287">IF(T1287="","",_xlfn.IFS(T1287&lt;18.5,"Bajo peso",T1287&lt;25,"Peso normal",T1287&lt;30,"Sobrepeso",T1287&lt;35,"Obesidad clase I",T1287&lt;40,"Obesidad clase II",T1287&gt;=40,"Obesidad clase III"))</f>
        <v>Sobrepeso</v>
      </c>
      <c r="V1287">
        <v>123</v>
      </c>
      <c r="X1287" t="s">
        <v>3463</v>
      </c>
      <c r="Y1287">
        <v>0.82</v>
      </c>
      <c r="AA1287">
        <v>84</v>
      </c>
      <c r="AB1287" s="9">
        <f t="shared" si="40"/>
        <v>84.421772170744092</v>
      </c>
      <c r="AD1287" t="s">
        <v>73</v>
      </c>
      <c r="AF1287" t="s">
        <v>73</v>
      </c>
      <c r="AG1287" t="s">
        <v>3465</v>
      </c>
      <c r="AH1287" t="s">
        <v>3465</v>
      </c>
      <c r="AI1287" t="s">
        <v>3465</v>
      </c>
      <c r="AJ1287" t="s">
        <v>3463</v>
      </c>
      <c r="AK1287" t="s">
        <v>3463</v>
      </c>
      <c r="AL1287" t="s">
        <v>3465</v>
      </c>
      <c r="AM1287" t="s">
        <v>2821</v>
      </c>
      <c r="AN1287" t="s">
        <v>3843</v>
      </c>
      <c r="AP1287" t="s">
        <v>3463</v>
      </c>
      <c r="AQ1287" t="s">
        <v>2822</v>
      </c>
      <c r="AR1287" t="s">
        <v>3488</v>
      </c>
      <c r="AS1287" t="s">
        <v>3465</v>
      </c>
      <c r="AT1287" t="s">
        <v>3465</v>
      </c>
      <c r="AU1287" t="s">
        <v>1899</v>
      </c>
      <c r="AV1287" t="s">
        <v>74</v>
      </c>
      <c r="AW1287" t="s">
        <v>3915</v>
      </c>
      <c r="AX1287" t="s">
        <v>3465</v>
      </c>
      <c r="AY1287" t="s">
        <v>3465</v>
      </c>
      <c r="AZ1287" t="s">
        <v>247</v>
      </c>
      <c r="BF1287" t="s">
        <v>3921</v>
      </c>
      <c r="BH1287" t="s">
        <v>4020</v>
      </c>
      <c r="BP1287" t="s">
        <v>4260</v>
      </c>
      <c r="BQ1287" t="s">
        <v>3463</v>
      </c>
      <c r="BR1287" t="s">
        <v>3465</v>
      </c>
      <c r="BS1287" t="s">
        <v>3465</v>
      </c>
      <c r="BT1287" t="s">
        <v>3465</v>
      </c>
      <c r="BU1287" t="s">
        <v>3463</v>
      </c>
      <c r="BV1287" t="s">
        <v>3463</v>
      </c>
      <c r="BW1287" t="s">
        <v>3463</v>
      </c>
      <c r="BX1287" t="s">
        <v>79</v>
      </c>
      <c r="BY1287" t="s">
        <v>87</v>
      </c>
      <c r="BZ1287" t="s">
        <v>79</v>
      </c>
      <c r="CA1287" s="10">
        <v>45912</v>
      </c>
    </row>
    <row r="1288" spans="1:79">
      <c r="A1288">
        <v>1301</v>
      </c>
      <c r="B1288">
        <v>221</v>
      </c>
      <c r="C1288">
        <v>30</v>
      </c>
      <c r="D1288" t="s">
        <v>3466</v>
      </c>
      <c r="E1288" t="s">
        <v>2411</v>
      </c>
      <c r="F1288" t="s">
        <v>2407</v>
      </c>
      <c r="G1288" s="12" t="s">
        <v>3463</v>
      </c>
      <c r="I1288">
        <v>75</v>
      </c>
      <c r="K1288">
        <v>132</v>
      </c>
      <c r="L1288">
        <v>72</v>
      </c>
      <c r="M1288" t="s">
        <v>82</v>
      </c>
      <c r="P1288" t="s">
        <v>83</v>
      </c>
      <c r="Q1288" t="s">
        <v>82</v>
      </c>
      <c r="R1288">
        <v>73.7</v>
      </c>
      <c r="S1288">
        <v>156</v>
      </c>
      <c r="T1288" s="8">
        <f t="shared" si="41"/>
        <v>30.284352399737017</v>
      </c>
      <c r="U1288" s="13" t="str" cm="1">
        <f t="array" ref="U1288">IF(T1288="","",_xlfn.IFS(T1288&lt;18.5,"Bajo peso",T1288&lt;25,"Peso normal",T1288&lt;30,"Sobrepeso",T1288&lt;35,"Obesidad clase I",T1288&lt;40,"Obesidad clase II",T1288&gt;=40,"Obesidad clase III"))</f>
        <v>Obesidad clase I</v>
      </c>
      <c r="V1288">
        <v>91</v>
      </c>
      <c r="X1288" t="s">
        <v>3463</v>
      </c>
      <c r="Y1288">
        <v>0.74</v>
      </c>
      <c r="AA1288">
        <v>90</v>
      </c>
      <c r="AB1288" s="9">
        <f t="shared" si="40"/>
        <v>111.55221895065426</v>
      </c>
      <c r="AD1288" t="s">
        <v>73</v>
      </c>
      <c r="AF1288" t="s">
        <v>73</v>
      </c>
      <c r="AH1288" t="s">
        <v>3463</v>
      </c>
      <c r="AI1288" t="s">
        <v>3463</v>
      </c>
      <c r="AJ1288" t="s">
        <v>3463</v>
      </c>
      <c r="AK1288" t="s">
        <v>3463</v>
      </c>
      <c r="AL1288" t="s">
        <v>3463</v>
      </c>
      <c r="AP1288" t="s">
        <v>3463</v>
      </c>
      <c r="AT1288" t="s">
        <v>3463</v>
      </c>
      <c r="AV1288" t="s">
        <v>74</v>
      </c>
      <c r="AW1288" t="s">
        <v>3915</v>
      </c>
      <c r="AX1288" t="s">
        <v>3463</v>
      </c>
      <c r="AY1288" t="s">
        <v>3463</v>
      </c>
      <c r="BF1288" t="s">
        <v>3921</v>
      </c>
      <c r="BH1288" t="s">
        <v>4020</v>
      </c>
      <c r="BP1288" t="s">
        <v>4260</v>
      </c>
      <c r="BQ1288" t="s">
        <v>3465</v>
      </c>
      <c r="BR1288" t="s">
        <v>3465</v>
      </c>
      <c r="BS1288" t="s">
        <v>3463</v>
      </c>
      <c r="BT1288" t="s">
        <v>3463</v>
      </c>
      <c r="BU1288" t="s">
        <v>3463</v>
      </c>
      <c r="BV1288" t="s">
        <v>3463</v>
      </c>
      <c r="BW1288" t="s">
        <v>3463</v>
      </c>
      <c r="BX1288" t="s">
        <v>79</v>
      </c>
      <c r="BY1288" t="s">
        <v>79</v>
      </c>
      <c r="BZ1288" t="s">
        <v>79</v>
      </c>
      <c r="CA1288" s="10">
        <v>45912</v>
      </c>
    </row>
    <row r="1289" spans="1:79">
      <c r="A1289">
        <v>1302</v>
      </c>
      <c r="B1289">
        <v>222</v>
      </c>
      <c r="C1289">
        <v>49</v>
      </c>
      <c r="D1289" t="s">
        <v>3462</v>
      </c>
      <c r="E1289" t="s">
        <v>2416</v>
      </c>
      <c r="F1289" t="s">
        <v>2407</v>
      </c>
      <c r="G1289" s="12" t="s">
        <v>3465</v>
      </c>
      <c r="H1289" s="12" t="s">
        <v>88</v>
      </c>
      <c r="I1289">
        <v>100</v>
      </c>
      <c r="K1289">
        <v>110</v>
      </c>
      <c r="L1289">
        <v>74</v>
      </c>
      <c r="M1289" t="s">
        <v>80</v>
      </c>
      <c r="P1289" t="s">
        <v>83</v>
      </c>
      <c r="Q1289" t="s">
        <v>80</v>
      </c>
      <c r="R1289">
        <v>70</v>
      </c>
      <c r="S1289">
        <v>158</v>
      </c>
      <c r="T1289" s="8">
        <f t="shared" si="41"/>
        <v>28.040378144528123</v>
      </c>
      <c r="U1289" s="13" t="str" cm="1">
        <f t="array" ref="U1289">IF(T1289="","",_xlfn.IFS(T1289&lt;18.5,"Bajo peso",T1289&lt;25,"Peso normal",T1289&lt;30,"Sobrepeso",T1289&lt;35,"Obesidad clase I",T1289&lt;40,"Obesidad clase II",T1289&gt;=40,"Obesidad clase III"))</f>
        <v>Sobrepeso</v>
      </c>
      <c r="V1289">
        <v>147</v>
      </c>
      <c r="X1289" t="s">
        <v>3463</v>
      </c>
      <c r="Y1289">
        <v>1.06</v>
      </c>
      <c r="AA1289">
        <v>86</v>
      </c>
      <c r="AB1289" s="9">
        <f t="shared" si="40"/>
        <v>86.032579695363722</v>
      </c>
      <c r="AD1289" t="s">
        <v>73</v>
      </c>
      <c r="AF1289" t="s">
        <v>73</v>
      </c>
      <c r="AH1289" t="s">
        <v>3463</v>
      </c>
      <c r="AI1289" t="s">
        <v>3463</v>
      </c>
      <c r="AJ1289" t="s">
        <v>3463</v>
      </c>
      <c r="AK1289" t="s">
        <v>3463</v>
      </c>
      <c r="AL1289" t="s">
        <v>3463</v>
      </c>
      <c r="AP1289" t="s">
        <v>3463</v>
      </c>
      <c r="AQ1289" t="s">
        <v>2823</v>
      </c>
      <c r="AR1289" t="s">
        <v>3491</v>
      </c>
      <c r="AS1289" t="s">
        <v>3465</v>
      </c>
      <c r="AV1289" t="s">
        <v>74</v>
      </c>
      <c r="AW1289" t="s">
        <v>3915</v>
      </c>
      <c r="BF1289" t="s">
        <v>3921</v>
      </c>
      <c r="BH1289" t="s">
        <v>4020</v>
      </c>
      <c r="BP1289" t="s">
        <v>4260</v>
      </c>
      <c r="BQ1289" t="s">
        <v>3463</v>
      </c>
      <c r="BR1289" t="s">
        <v>3465</v>
      </c>
      <c r="BS1289" t="s">
        <v>3463</v>
      </c>
      <c r="BT1289" t="s">
        <v>3465</v>
      </c>
      <c r="BU1289" t="s">
        <v>3463</v>
      </c>
      <c r="BV1289" t="s">
        <v>3463</v>
      </c>
      <c r="BW1289" t="s">
        <v>3463</v>
      </c>
      <c r="BX1289" t="s">
        <v>79</v>
      </c>
      <c r="BY1289" t="s">
        <v>87</v>
      </c>
      <c r="BZ1289" t="s">
        <v>79</v>
      </c>
      <c r="CA1289" s="10">
        <v>45912</v>
      </c>
    </row>
    <row r="1290" spans="1:79">
      <c r="A1290">
        <v>1303</v>
      </c>
      <c r="B1290">
        <v>223</v>
      </c>
      <c r="C1290">
        <v>64</v>
      </c>
      <c r="D1290" t="s">
        <v>3462</v>
      </c>
      <c r="E1290" t="s">
        <v>2416</v>
      </c>
      <c r="F1290" t="s">
        <v>2407</v>
      </c>
      <c r="G1290" s="12" t="s">
        <v>3463</v>
      </c>
      <c r="I1290">
        <v>107</v>
      </c>
      <c r="K1290">
        <v>132</v>
      </c>
      <c r="L1290">
        <v>82</v>
      </c>
      <c r="M1290" t="s">
        <v>82</v>
      </c>
      <c r="P1290" t="s">
        <v>83</v>
      </c>
      <c r="Q1290" t="s">
        <v>82</v>
      </c>
      <c r="R1290">
        <v>80.3</v>
      </c>
      <c r="S1290">
        <v>167</v>
      </c>
      <c r="T1290" s="8">
        <f t="shared" si="41"/>
        <v>28.7927139732511</v>
      </c>
      <c r="U1290" s="13" t="str" cm="1">
        <f t="array" ref="U1290">IF(T1290="","",_xlfn.IFS(T1290&lt;18.5,"Bajo peso",T1290&lt;25,"Peso normal",T1290&lt;30,"Sobrepeso",T1290&lt;35,"Obesidad clase I",T1290&lt;40,"Obesidad clase II",T1290&gt;=40,"Obesidad clase III"))</f>
        <v>Sobrepeso</v>
      </c>
      <c r="V1290">
        <v>141</v>
      </c>
      <c r="X1290" t="s">
        <v>3463</v>
      </c>
      <c r="Y1290">
        <v>1.1000000000000001</v>
      </c>
      <c r="AA1290">
        <v>75</v>
      </c>
      <c r="AB1290" s="9">
        <f t="shared" si="40"/>
        <v>74.962428520394667</v>
      </c>
      <c r="AD1290" t="s">
        <v>73</v>
      </c>
      <c r="AF1290" t="s">
        <v>73</v>
      </c>
      <c r="AH1290" t="s">
        <v>3463</v>
      </c>
      <c r="AI1290" t="s">
        <v>3463</v>
      </c>
      <c r="AJ1290" t="s">
        <v>3463</v>
      </c>
      <c r="AK1290" t="s">
        <v>3463</v>
      </c>
      <c r="AL1290" t="s">
        <v>3465</v>
      </c>
      <c r="AM1290" t="s">
        <v>2824</v>
      </c>
      <c r="AN1290" t="s">
        <v>3647</v>
      </c>
      <c r="AP1290" t="s">
        <v>3463</v>
      </c>
      <c r="AQ1290" t="s">
        <v>2825</v>
      </c>
      <c r="AR1290" t="s">
        <v>3493</v>
      </c>
      <c r="AV1290" t="s">
        <v>126</v>
      </c>
      <c r="AW1290" t="s">
        <v>126</v>
      </c>
      <c r="BE1290" t="s">
        <v>2826</v>
      </c>
      <c r="BF1290" t="s">
        <v>3986</v>
      </c>
      <c r="BH1290" t="s">
        <v>4228</v>
      </c>
      <c r="BK1290" t="s">
        <v>2827</v>
      </c>
      <c r="BL1290" t="s">
        <v>2804</v>
      </c>
      <c r="BP1290" t="s">
        <v>4526</v>
      </c>
      <c r="BQ1290" t="s">
        <v>3465</v>
      </c>
      <c r="BR1290" t="s">
        <v>3463</v>
      </c>
      <c r="BS1290" t="s">
        <v>3465</v>
      </c>
      <c r="BT1290" t="s">
        <v>3465</v>
      </c>
      <c r="BU1290" t="s">
        <v>3463</v>
      </c>
      <c r="BV1290" t="s">
        <v>3463</v>
      </c>
      <c r="BW1290" t="s">
        <v>3463</v>
      </c>
      <c r="BX1290" t="s">
        <v>518</v>
      </c>
      <c r="BY1290" t="s">
        <v>79</v>
      </c>
      <c r="BZ1290" t="s">
        <v>79</v>
      </c>
      <c r="CA1290" s="10">
        <v>45912</v>
      </c>
    </row>
    <row r="1291" spans="1:79">
      <c r="A1291">
        <v>1304</v>
      </c>
      <c r="B1291">
        <v>224</v>
      </c>
      <c r="C1291">
        <v>69</v>
      </c>
      <c r="D1291" t="s">
        <v>3462</v>
      </c>
      <c r="E1291" t="s">
        <v>2411</v>
      </c>
      <c r="F1291" t="s">
        <v>2407</v>
      </c>
      <c r="G1291" s="12" t="s">
        <v>3465</v>
      </c>
      <c r="H1291" s="12" t="s">
        <v>88</v>
      </c>
      <c r="I1291">
        <v>73</v>
      </c>
      <c r="K1291">
        <v>120</v>
      </c>
      <c r="L1291">
        <v>61</v>
      </c>
      <c r="M1291" t="s">
        <v>118</v>
      </c>
      <c r="P1291" t="s">
        <v>83</v>
      </c>
      <c r="Q1291" t="s">
        <v>118</v>
      </c>
      <c r="R1291">
        <v>63.5</v>
      </c>
      <c r="S1291">
        <v>152</v>
      </c>
      <c r="T1291" s="8">
        <f t="shared" si="41"/>
        <v>27.484418282548479</v>
      </c>
      <c r="U1291" s="13" t="str" cm="1">
        <f t="array" ref="U1291">IF(T1291="","",_xlfn.IFS(T1291&lt;18.5,"Bajo peso",T1291&lt;25,"Peso normal",T1291&lt;30,"Sobrepeso",T1291&lt;35,"Obesidad clase I",T1291&lt;40,"Obesidad clase II",T1291&gt;=40,"Obesidad clase III"))</f>
        <v>Sobrepeso</v>
      </c>
      <c r="V1291">
        <v>76</v>
      </c>
      <c r="X1291" t="s">
        <v>3463</v>
      </c>
      <c r="Y1291">
        <v>1.19</v>
      </c>
      <c r="AA1291">
        <v>66</v>
      </c>
      <c r="AB1291" s="9">
        <f t="shared" si="40"/>
        <v>66.123141445786118</v>
      </c>
      <c r="AD1291" t="s">
        <v>73</v>
      </c>
      <c r="AF1291" t="s">
        <v>73</v>
      </c>
      <c r="AH1291" t="s">
        <v>3463</v>
      </c>
      <c r="AI1291" t="s">
        <v>3465</v>
      </c>
      <c r="AJ1291" t="s">
        <v>3463</v>
      </c>
      <c r="AK1291" t="s">
        <v>3463</v>
      </c>
      <c r="AL1291" t="s">
        <v>3465</v>
      </c>
      <c r="AM1291" t="s">
        <v>2828</v>
      </c>
      <c r="AN1291" t="s">
        <v>3791</v>
      </c>
      <c r="AP1291" t="s">
        <v>3463</v>
      </c>
      <c r="AS1291" t="s">
        <v>3465</v>
      </c>
      <c r="AV1291" t="s">
        <v>74</v>
      </c>
      <c r="AW1291" t="s">
        <v>3915</v>
      </c>
      <c r="BA1291" t="s">
        <v>3920</v>
      </c>
      <c r="BF1291" t="s">
        <v>3921</v>
      </c>
      <c r="BH1291" t="s">
        <v>4020</v>
      </c>
      <c r="BP1291" t="s">
        <v>4260</v>
      </c>
      <c r="BQ1291" t="s">
        <v>3463</v>
      </c>
      <c r="BR1291" t="s">
        <v>3463</v>
      </c>
      <c r="BS1291" t="s">
        <v>3463</v>
      </c>
      <c r="BT1291" t="s">
        <v>3463</v>
      </c>
      <c r="BU1291" t="s">
        <v>3463</v>
      </c>
      <c r="BV1291" t="s">
        <v>3463</v>
      </c>
      <c r="BW1291" t="s">
        <v>3463</v>
      </c>
      <c r="BY1291" t="s">
        <v>79</v>
      </c>
      <c r="BZ1291" t="s">
        <v>95</v>
      </c>
      <c r="CA1291" s="10">
        <v>45912</v>
      </c>
    </row>
    <row r="1292" spans="1:79">
      <c r="A1292">
        <v>1305</v>
      </c>
      <c r="B1292">
        <v>225</v>
      </c>
      <c r="C1292">
        <v>58</v>
      </c>
      <c r="D1292" t="s">
        <v>3466</v>
      </c>
      <c r="E1292" t="s">
        <v>2550</v>
      </c>
      <c r="F1292" t="s">
        <v>2407</v>
      </c>
      <c r="G1292" s="12" t="s">
        <v>3463</v>
      </c>
      <c r="I1292">
        <v>91</v>
      </c>
      <c r="K1292">
        <v>130</v>
      </c>
      <c r="L1292">
        <v>67</v>
      </c>
      <c r="M1292" t="s">
        <v>82</v>
      </c>
      <c r="P1292" t="s">
        <v>83</v>
      </c>
      <c r="Q1292" t="s">
        <v>82</v>
      </c>
      <c r="R1292">
        <v>69</v>
      </c>
      <c r="S1292">
        <v>160</v>
      </c>
      <c r="T1292" s="8">
        <f t="shared" si="41"/>
        <v>26.953124999999996</v>
      </c>
      <c r="U1292" s="13" t="str" cm="1">
        <f t="array" ref="U1292">IF(T1292="","",_xlfn.IFS(T1292&lt;18.5,"Bajo peso",T1292&lt;25,"Peso normal",T1292&lt;30,"Sobrepeso",T1292&lt;35,"Obesidad clase I",T1292&lt;40,"Obesidad clase II",T1292&gt;=40,"Obesidad clase III"))</f>
        <v>Sobrepeso</v>
      </c>
      <c r="V1292">
        <v>150</v>
      </c>
      <c r="X1292" t="s">
        <v>3463</v>
      </c>
      <c r="Y1292">
        <v>0.87</v>
      </c>
      <c r="AA1292">
        <v>77</v>
      </c>
      <c r="AB1292" s="9">
        <f t="shared" si="40"/>
        <v>77.180033281845724</v>
      </c>
      <c r="AD1292" t="s">
        <v>73</v>
      </c>
      <c r="AF1292" t="s">
        <v>73</v>
      </c>
      <c r="AH1292" t="s">
        <v>3463</v>
      </c>
      <c r="AI1292" t="s">
        <v>3463</v>
      </c>
      <c r="AJ1292" t="s">
        <v>3463</v>
      </c>
      <c r="AK1292" t="s">
        <v>3463</v>
      </c>
      <c r="AL1292" t="s">
        <v>3465</v>
      </c>
      <c r="AM1292" t="s">
        <v>2829</v>
      </c>
      <c r="AN1292" t="s">
        <v>3866</v>
      </c>
      <c r="AP1292" t="s">
        <v>3463</v>
      </c>
      <c r="AQ1292" t="s">
        <v>120</v>
      </c>
      <c r="AR1292" t="s">
        <v>3491</v>
      </c>
      <c r="AT1292" t="s">
        <v>3465</v>
      </c>
      <c r="AU1292" t="s">
        <v>80</v>
      </c>
      <c r="AV1292" t="s">
        <v>112</v>
      </c>
      <c r="AW1292" t="s">
        <v>3917</v>
      </c>
      <c r="AX1292" t="s">
        <v>3463</v>
      </c>
      <c r="AY1292" t="s">
        <v>3465</v>
      </c>
      <c r="AZ1292" t="s">
        <v>247</v>
      </c>
      <c r="BF1292" t="s">
        <v>3921</v>
      </c>
      <c r="BH1292" t="s">
        <v>4020</v>
      </c>
      <c r="BP1292" t="s">
        <v>4260</v>
      </c>
      <c r="BQ1292" t="s">
        <v>3463</v>
      </c>
      <c r="BR1292" t="s">
        <v>3463</v>
      </c>
      <c r="BS1292" t="s">
        <v>3465</v>
      </c>
      <c r="BT1292" t="s">
        <v>3465</v>
      </c>
      <c r="BU1292" t="s">
        <v>3463</v>
      </c>
      <c r="BV1292" t="s">
        <v>3463</v>
      </c>
      <c r="BW1292" t="s">
        <v>3463</v>
      </c>
      <c r="BX1292" t="s">
        <v>79</v>
      </c>
      <c r="BY1292" t="s">
        <v>79</v>
      </c>
      <c r="BZ1292" t="s">
        <v>79</v>
      </c>
      <c r="CA1292" s="10">
        <v>45912</v>
      </c>
    </row>
    <row r="1293" spans="1:79">
      <c r="A1293">
        <v>1306</v>
      </c>
      <c r="B1293">
        <v>226</v>
      </c>
      <c r="C1293">
        <v>42</v>
      </c>
      <c r="D1293" t="s">
        <v>3462</v>
      </c>
      <c r="E1293" t="s">
        <v>2830</v>
      </c>
      <c r="F1293" t="s">
        <v>2407</v>
      </c>
      <c r="G1293" s="12" t="s">
        <v>3463</v>
      </c>
      <c r="M1293" t="s">
        <v>83</v>
      </c>
      <c r="P1293" t="s">
        <v>83</v>
      </c>
      <c r="Q1293" t="s">
        <v>83</v>
      </c>
      <c r="T1293" s="8" t="str">
        <f t="shared" si="41"/>
        <v/>
      </c>
      <c r="U1293" s="13" t="str" cm="1">
        <f t="array" ref="U1293">IF(T1293="","",_xlfn.IFS(T1293&lt;18.5,"Bajo peso",T1293&lt;25,"Peso normal",T1293&lt;30,"Sobrepeso",T1293&lt;35,"Obesidad clase I",T1293&lt;40,"Obesidad clase II",T1293&gt;=40,"Obesidad clase III"))</f>
        <v/>
      </c>
      <c r="AB1293" s="9" t="str">
        <f t="shared" si="40"/>
        <v/>
      </c>
      <c r="AH1293" t="s">
        <v>3463</v>
      </c>
      <c r="AI1293" t="s">
        <v>3463</v>
      </c>
      <c r="AJ1293" t="s">
        <v>3463</v>
      </c>
      <c r="AK1293" t="s">
        <v>3463</v>
      </c>
      <c r="AL1293" t="s">
        <v>3463</v>
      </c>
      <c r="AP1293" t="s">
        <v>3463</v>
      </c>
      <c r="AQ1293" t="s">
        <v>2831</v>
      </c>
      <c r="AR1293" t="s">
        <v>3488</v>
      </c>
      <c r="AV1293" t="s">
        <v>74</v>
      </c>
      <c r="AW1293" t="s">
        <v>3915</v>
      </c>
      <c r="BF1293" t="s">
        <v>3921</v>
      </c>
      <c r="BH1293" t="s">
        <v>4020</v>
      </c>
      <c r="BP1293" t="s">
        <v>4260</v>
      </c>
      <c r="BQ1293" t="s">
        <v>3463</v>
      </c>
      <c r="BR1293" t="s">
        <v>3465</v>
      </c>
      <c r="BS1293" t="s">
        <v>3465</v>
      </c>
      <c r="BT1293" t="s">
        <v>3465</v>
      </c>
      <c r="BU1293" t="s">
        <v>3463</v>
      </c>
      <c r="BV1293" t="s">
        <v>3463</v>
      </c>
      <c r="BW1293" t="s">
        <v>3463</v>
      </c>
      <c r="BX1293" t="s">
        <v>79</v>
      </c>
      <c r="BY1293" t="s">
        <v>87</v>
      </c>
      <c r="BZ1293" t="s">
        <v>79</v>
      </c>
      <c r="CA1293" s="10">
        <v>45912</v>
      </c>
    </row>
    <row r="1294" spans="1:79">
      <c r="A1294">
        <v>1307</v>
      </c>
      <c r="B1294">
        <v>227</v>
      </c>
      <c r="C1294">
        <v>34</v>
      </c>
      <c r="D1294" t="s">
        <v>3466</v>
      </c>
      <c r="E1294" t="s">
        <v>2411</v>
      </c>
      <c r="F1294" t="s">
        <v>2407</v>
      </c>
      <c r="G1294" s="12" t="s">
        <v>3465</v>
      </c>
      <c r="H1294" t="s">
        <v>88</v>
      </c>
      <c r="I1294">
        <v>74</v>
      </c>
      <c r="K1294">
        <v>136</v>
      </c>
      <c r="L1294">
        <v>78</v>
      </c>
      <c r="M1294" t="s">
        <v>82</v>
      </c>
      <c r="P1294" t="s">
        <v>83</v>
      </c>
      <c r="Q1294" t="s">
        <v>82</v>
      </c>
      <c r="R1294">
        <v>76</v>
      </c>
      <c r="S1294">
        <v>156</v>
      </c>
      <c r="T1294" s="8">
        <f t="shared" si="41"/>
        <v>31.229454306377384</v>
      </c>
      <c r="U1294" s="13" t="str" cm="1">
        <f t="array" ref="U1294">IF(T1294="","",_xlfn.IFS(T1294&lt;18.5,"Bajo peso",T1294&lt;25,"Peso normal",T1294&lt;30,"Sobrepeso",T1294&lt;35,"Obesidad clase I",T1294&lt;40,"Obesidad clase II",T1294&gt;=40,"Obesidad clase III"))</f>
        <v>Obesidad clase I</v>
      </c>
      <c r="V1294">
        <v>81</v>
      </c>
      <c r="X1294" t="s">
        <v>3463</v>
      </c>
      <c r="Y1294">
        <v>1.45</v>
      </c>
      <c r="AA1294">
        <v>49</v>
      </c>
      <c r="AB1294" s="9">
        <f t="shared" si="40"/>
        <v>48.5412151679704</v>
      </c>
      <c r="AD1294" t="s">
        <v>158</v>
      </c>
      <c r="AF1294" t="s">
        <v>158</v>
      </c>
      <c r="AH1294" t="s">
        <v>3463</v>
      </c>
      <c r="AI1294" t="s">
        <v>3463</v>
      </c>
      <c r="AJ1294" t="s">
        <v>3463</v>
      </c>
      <c r="AK1294" t="s">
        <v>3463</v>
      </c>
      <c r="AL1294" t="s">
        <v>3465</v>
      </c>
      <c r="AM1294" t="s">
        <v>2832</v>
      </c>
      <c r="AN1294" t="s">
        <v>3679</v>
      </c>
      <c r="AP1294" t="s">
        <v>3463</v>
      </c>
      <c r="AT1294" t="s">
        <v>3463</v>
      </c>
      <c r="AV1294" t="s">
        <v>74</v>
      </c>
      <c r="AW1294" t="s">
        <v>3915</v>
      </c>
      <c r="AX1294" t="s">
        <v>3463</v>
      </c>
      <c r="AY1294" t="s">
        <v>3463</v>
      </c>
      <c r="BE1294" t="s">
        <v>2833</v>
      </c>
      <c r="BF1294" t="s">
        <v>3987</v>
      </c>
      <c r="BH1294" t="s">
        <v>4029</v>
      </c>
      <c r="BI1294" t="s">
        <v>411</v>
      </c>
      <c r="BK1294" t="s">
        <v>2785</v>
      </c>
      <c r="BL1294" t="s">
        <v>2834</v>
      </c>
      <c r="BP1294" t="s">
        <v>4442</v>
      </c>
      <c r="BQ1294" t="s">
        <v>3463</v>
      </c>
      <c r="BR1294" t="s">
        <v>3465</v>
      </c>
      <c r="BS1294" t="s">
        <v>3463</v>
      </c>
      <c r="BT1294" t="s">
        <v>3463</v>
      </c>
      <c r="BU1294" t="s">
        <v>3463</v>
      </c>
      <c r="BV1294" t="s">
        <v>3463</v>
      </c>
      <c r="BW1294" t="s">
        <v>3463</v>
      </c>
      <c r="BX1294" t="s">
        <v>654</v>
      </c>
      <c r="BY1294" t="s">
        <v>79</v>
      </c>
      <c r="BZ1294" t="s">
        <v>95</v>
      </c>
      <c r="CA1294" s="10">
        <v>45912</v>
      </c>
    </row>
    <row r="1295" spans="1:79">
      <c r="A1295">
        <v>1308</v>
      </c>
      <c r="B1295">
        <v>228</v>
      </c>
      <c r="C1295">
        <v>50</v>
      </c>
      <c r="D1295" t="s">
        <v>3466</v>
      </c>
      <c r="E1295" t="s">
        <v>2416</v>
      </c>
      <c r="F1295" t="s">
        <v>2407</v>
      </c>
      <c r="G1295" s="12" t="s">
        <v>3465</v>
      </c>
      <c r="H1295" s="12" t="s">
        <v>88</v>
      </c>
      <c r="I1295">
        <v>79</v>
      </c>
      <c r="J1295">
        <v>76</v>
      </c>
      <c r="K1295">
        <v>157</v>
      </c>
      <c r="L1295">
        <v>98</v>
      </c>
      <c r="M1295" t="s">
        <v>72</v>
      </c>
      <c r="N1295">
        <v>162</v>
      </c>
      <c r="O1295">
        <v>89</v>
      </c>
      <c r="P1295" t="s">
        <v>72</v>
      </c>
      <c r="Q1295" t="s">
        <v>72</v>
      </c>
      <c r="R1295">
        <v>75.7</v>
      </c>
      <c r="S1295">
        <v>144.5</v>
      </c>
      <c r="T1295" s="8">
        <f t="shared" si="41"/>
        <v>36.254355192107376</v>
      </c>
      <c r="U1295" s="13" t="str" cm="1">
        <f t="array" ref="U1295">IF(T1295="","",_xlfn.IFS(T1295&lt;18.5,"Bajo peso",T1295&lt;25,"Peso normal",T1295&lt;30,"Sobrepeso",T1295&lt;35,"Obesidad clase I",T1295&lt;40,"Obesidad clase II",T1295&gt;=40,"Obesidad clase III"))</f>
        <v>Obesidad clase II</v>
      </c>
      <c r="V1295">
        <v>109</v>
      </c>
      <c r="X1295" t="s">
        <v>3463</v>
      </c>
      <c r="Y1295">
        <v>1.2</v>
      </c>
      <c r="AA1295">
        <v>55</v>
      </c>
      <c r="AB1295" s="9">
        <f t="shared" si="40"/>
        <v>55.146585834920892</v>
      </c>
      <c r="AD1295" t="s">
        <v>158</v>
      </c>
      <c r="AF1295" t="s">
        <v>158</v>
      </c>
      <c r="AH1295" t="s">
        <v>3463</v>
      </c>
      <c r="AI1295" t="s">
        <v>3463</v>
      </c>
      <c r="AJ1295" t="s">
        <v>3463</v>
      </c>
      <c r="AK1295" t="s">
        <v>3463</v>
      </c>
      <c r="AL1295" t="s">
        <v>3465</v>
      </c>
      <c r="AM1295" t="s">
        <v>2835</v>
      </c>
      <c r="AN1295" t="s">
        <v>3867</v>
      </c>
      <c r="AP1295" t="s">
        <v>3463</v>
      </c>
      <c r="AT1295" t="s">
        <v>3465</v>
      </c>
      <c r="AU1295" t="s">
        <v>125</v>
      </c>
      <c r="AV1295" t="s">
        <v>178</v>
      </c>
      <c r="AW1295" t="s">
        <v>3918</v>
      </c>
      <c r="AX1295" t="s">
        <v>3463</v>
      </c>
      <c r="AY1295" t="s">
        <v>3463</v>
      </c>
      <c r="AZ1295" t="s">
        <v>2836</v>
      </c>
      <c r="BC1295" t="s">
        <v>128</v>
      </c>
      <c r="BD1295" t="s">
        <v>105</v>
      </c>
      <c r="BE1295" t="s">
        <v>2708</v>
      </c>
      <c r="BF1295" t="s">
        <v>3934</v>
      </c>
      <c r="BG1295" t="s">
        <v>2837</v>
      </c>
      <c r="BH1295" t="s">
        <v>4229</v>
      </c>
      <c r="BK1295" t="s">
        <v>2838</v>
      </c>
      <c r="BL1295" t="s">
        <v>2839</v>
      </c>
      <c r="BP1295" t="s">
        <v>4541</v>
      </c>
      <c r="BQ1295" t="s">
        <v>3463</v>
      </c>
      <c r="BR1295" t="s">
        <v>3465</v>
      </c>
      <c r="BS1295" t="s">
        <v>3463</v>
      </c>
      <c r="BT1295" t="s">
        <v>3463</v>
      </c>
      <c r="BU1295" t="s">
        <v>3463</v>
      </c>
      <c r="BV1295" t="s">
        <v>3463</v>
      </c>
      <c r="BW1295" t="s">
        <v>3463</v>
      </c>
      <c r="BX1295" t="s">
        <v>79</v>
      </c>
      <c r="BY1295" t="s">
        <v>87</v>
      </c>
      <c r="BZ1295" t="s">
        <v>79</v>
      </c>
      <c r="CA1295" s="10">
        <v>45912</v>
      </c>
    </row>
    <row r="1296" spans="1:79">
      <c r="A1296">
        <v>1309</v>
      </c>
      <c r="B1296">
        <v>229</v>
      </c>
      <c r="C1296">
        <v>55</v>
      </c>
      <c r="D1296" t="s">
        <v>3466</v>
      </c>
      <c r="E1296" t="s">
        <v>2550</v>
      </c>
      <c r="F1296" t="s">
        <v>2407</v>
      </c>
      <c r="G1296" s="12" t="s">
        <v>3463</v>
      </c>
      <c r="I1296">
        <v>76</v>
      </c>
      <c r="K1296">
        <v>131</v>
      </c>
      <c r="L1296">
        <v>72</v>
      </c>
      <c r="M1296" t="s">
        <v>82</v>
      </c>
      <c r="P1296" t="s">
        <v>83</v>
      </c>
      <c r="Q1296" t="s">
        <v>82</v>
      </c>
      <c r="R1296">
        <v>76</v>
      </c>
      <c r="S1296">
        <v>154</v>
      </c>
      <c r="T1296" s="8">
        <f t="shared" si="41"/>
        <v>32.045876201720354</v>
      </c>
      <c r="U1296" s="13" t="str" cm="1">
        <f t="array" ref="U1296">IF(T1296="","",_xlfn.IFS(T1296&lt;18.5,"Bajo peso",T1296&lt;25,"Peso normal",T1296&lt;30,"Sobrepeso",T1296&lt;35,"Obesidad clase I",T1296&lt;40,"Obesidad clase II",T1296&gt;=40,"Obesidad clase III"))</f>
        <v>Obesidad clase I</v>
      </c>
      <c r="V1296">
        <v>170</v>
      </c>
      <c r="X1296" t="s">
        <v>3463</v>
      </c>
      <c r="Y1296">
        <v>1.25</v>
      </c>
      <c r="AA1296">
        <v>51</v>
      </c>
      <c r="AB1296" s="9">
        <f t="shared" si="40"/>
        <v>50.902495221970412</v>
      </c>
      <c r="AD1296" t="s">
        <v>158</v>
      </c>
      <c r="AF1296" t="s">
        <v>158</v>
      </c>
      <c r="AG1296" t="s">
        <v>3464</v>
      </c>
      <c r="AH1296" t="s">
        <v>3465</v>
      </c>
      <c r="AI1296" t="s">
        <v>3465</v>
      </c>
      <c r="AJ1296" t="s">
        <v>3465</v>
      </c>
      <c r="AK1296" t="s">
        <v>3463</v>
      </c>
      <c r="AL1296" t="s">
        <v>3463</v>
      </c>
      <c r="AO1296" t="s">
        <v>3465</v>
      </c>
      <c r="AP1296" t="s">
        <v>3465</v>
      </c>
      <c r="AQ1296" t="s">
        <v>1135</v>
      </c>
      <c r="AR1296" t="s">
        <v>3505</v>
      </c>
      <c r="AS1296" t="s">
        <v>3465</v>
      </c>
      <c r="AT1296" t="s">
        <v>3465</v>
      </c>
      <c r="AU1296" t="s">
        <v>80</v>
      </c>
      <c r="AV1296" t="s">
        <v>126</v>
      </c>
      <c r="AW1296" t="s">
        <v>126</v>
      </c>
      <c r="AX1296" t="s">
        <v>3463</v>
      </c>
      <c r="AY1296" t="s">
        <v>3465</v>
      </c>
      <c r="AZ1296" t="s">
        <v>137</v>
      </c>
      <c r="BA1296" t="s">
        <v>3920</v>
      </c>
      <c r="BE1296" t="s">
        <v>116</v>
      </c>
      <c r="BF1296" t="s">
        <v>116</v>
      </c>
      <c r="BH1296" t="s">
        <v>4020</v>
      </c>
      <c r="BP1296" t="s">
        <v>4260</v>
      </c>
      <c r="BQ1296" t="s">
        <v>3463</v>
      </c>
      <c r="BR1296" t="s">
        <v>3463</v>
      </c>
      <c r="BS1296" t="s">
        <v>3463</v>
      </c>
      <c r="BT1296" t="s">
        <v>3463</v>
      </c>
      <c r="BU1296" t="s">
        <v>3463</v>
      </c>
      <c r="BV1296" t="s">
        <v>3463</v>
      </c>
      <c r="BW1296" t="s">
        <v>3463</v>
      </c>
      <c r="BX1296" t="s">
        <v>79</v>
      </c>
      <c r="BY1296" t="s">
        <v>79</v>
      </c>
      <c r="BZ1296" t="s">
        <v>79</v>
      </c>
      <c r="CA1296" s="10">
        <v>45912</v>
      </c>
    </row>
    <row r="1297" spans="1:79">
      <c r="A1297">
        <v>1310</v>
      </c>
      <c r="B1297">
        <v>230</v>
      </c>
      <c r="C1297">
        <v>29</v>
      </c>
      <c r="D1297" t="s">
        <v>3466</v>
      </c>
      <c r="E1297" t="s">
        <v>2645</v>
      </c>
      <c r="F1297" t="s">
        <v>2407</v>
      </c>
      <c r="G1297" s="12" t="s">
        <v>3463</v>
      </c>
      <c r="I1297">
        <v>94</v>
      </c>
      <c r="J1297">
        <v>83</v>
      </c>
      <c r="K1297">
        <v>152</v>
      </c>
      <c r="L1297">
        <v>91</v>
      </c>
      <c r="M1297" t="s">
        <v>72</v>
      </c>
      <c r="N1297">
        <v>132</v>
      </c>
      <c r="O1297">
        <v>87</v>
      </c>
      <c r="P1297" t="s">
        <v>82</v>
      </c>
      <c r="Q1297" t="s">
        <v>82</v>
      </c>
      <c r="R1297">
        <v>97.1</v>
      </c>
      <c r="S1297">
        <v>157</v>
      </c>
      <c r="T1297" s="8">
        <f t="shared" si="41"/>
        <v>39.393078826727255</v>
      </c>
      <c r="U1297" s="13" t="str" cm="1">
        <f t="array" ref="U1297">IF(T1297="","",_xlfn.IFS(T1297&lt;18.5,"Bajo peso",T1297&lt;25,"Peso normal",T1297&lt;30,"Sobrepeso",T1297&lt;35,"Obesidad clase I",T1297&lt;40,"Obesidad clase II",T1297&gt;=40,"Obesidad clase III"))</f>
        <v>Obesidad clase II</v>
      </c>
      <c r="V1297">
        <v>122</v>
      </c>
      <c r="X1297" t="s">
        <v>3463</v>
      </c>
      <c r="Y1297">
        <v>1.1200000000000001</v>
      </c>
      <c r="AA1297">
        <v>68</v>
      </c>
      <c r="AB1297" s="9">
        <f t="shared" si="40"/>
        <v>68.26461694099369</v>
      </c>
      <c r="AD1297" t="s">
        <v>73</v>
      </c>
      <c r="AF1297" t="s">
        <v>73</v>
      </c>
      <c r="AH1297" t="s">
        <v>3463</v>
      </c>
      <c r="AI1297" t="s">
        <v>3463</v>
      </c>
      <c r="AJ1297" t="s">
        <v>3463</v>
      </c>
      <c r="AK1297" t="s">
        <v>3463</v>
      </c>
      <c r="AL1297" t="s">
        <v>3463</v>
      </c>
      <c r="AO1297" t="s">
        <v>3463</v>
      </c>
      <c r="AP1297" t="s">
        <v>3465</v>
      </c>
      <c r="AQ1297" t="s">
        <v>2840</v>
      </c>
      <c r="AR1297" t="s">
        <v>3598</v>
      </c>
      <c r="AV1297" t="s">
        <v>74</v>
      </c>
      <c r="AW1297" t="s">
        <v>3915</v>
      </c>
      <c r="AX1297" t="s">
        <v>3463</v>
      </c>
      <c r="AY1297" t="s">
        <v>3465</v>
      </c>
      <c r="AZ1297" t="s">
        <v>247</v>
      </c>
      <c r="BC1297" t="s">
        <v>128</v>
      </c>
      <c r="BF1297" t="s">
        <v>3921</v>
      </c>
      <c r="BG1297" t="s">
        <v>2841</v>
      </c>
      <c r="BH1297" t="s">
        <v>4230</v>
      </c>
      <c r="BK1297" t="s">
        <v>2842</v>
      </c>
      <c r="BP1297" t="s">
        <v>4519</v>
      </c>
      <c r="BQ1297" t="s">
        <v>3463</v>
      </c>
      <c r="BR1297" t="s">
        <v>3465</v>
      </c>
      <c r="BS1297" t="s">
        <v>3465</v>
      </c>
      <c r="BT1297" t="s">
        <v>3465</v>
      </c>
      <c r="BU1297" t="s">
        <v>3463</v>
      </c>
      <c r="BV1297" t="s">
        <v>3463</v>
      </c>
      <c r="BW1297" t="s">
        <v>3463</v>
      </c>
      <c r="BX1297" t="s">
        <v>654</v>
      </c>
      <c r="BY1297" t="s">
        <v>87</v>
      </c>
      <c r="BZ1297" t="s">
        <v>95</v>
      </c>
      <c r="CA1297" s="10">
        <v>45912</v>
      </c>
    </row>
    <row r="1298" spans="1:79">
      <c r="A1298">
        <v>1311</v>
      </c>
      <c r="B1298">
        <v>231</v>
      </c>
      <c r="C1298">
        <v>49</v>
      </c>
      <c r="D1298" t="s">
        <v>3466</v>
      </c>
      <c r="E1298" t="s">
        <v>2411</v>
      </c>
      <c r="F1298" t="s">
        <v>2407</v>
      </c>
      <c r="G1298" s="12" t="s">
        <v>3465</v>
      </c>
      <c r="H1298" t="s">
        <v>88</v>
      </c>
      <c r="I1298">
        <v>78</v>
      </c>
      <c r="J1298">
        <v>78</v>
      </c>
      <c r="K1298">
        <v>147</v>
      </c>
      <c r="L1298">
        <v>89</v>
      </c>
      <c r="M1298" t="s">
        <v>72</v>
      </c>
      <c r="N1298">
        <v>154</v>
      </c>
      <c r="O1298">
        <v>82</v>
      </c>
      <c r="P1298" t="s">
        <v>72</v>
      </c>
      <c r="Q1298" t="s">
        <v>72</v>
      </c>
      <c r="R1298">
        <v>87.6</v>
      </c>
      <c r="S1298">
        <v>164.8</v>
      </c>
      <c r="T1298" s="8">
        <f t="shared" si="41"/>
        <v>32.254453765670647</v>
      </c>
      <c r="U1298" s="13" t="str" cm="1">
        <f t="array" ref="U1298">IF(T1298="","",_xlfn.IFS(T1298&lt;18.5,"Bajo peso",T1298&lt;25,"Peso normal",T1298&lt;30,"Sobrepeso",T1298&lt;35,"Obesidad clase I",T1298&lt;40,"Obesidad clase II",T1298&gt;=40,"Obesidad clase III"))</f>
        <v>Obesidad clase I</v>
      </c>
      <c r="V1298">
        <v>215</v>
      </c>
      <c r="X1298" t="s">
        <v>3465</v>
      </c>
      <c r="Y1298">
        <v>0.92</v>
      </c>
      <c r="AA1298">
        <v>76</v>
      </c>
      <c r="AB1298" s="9">
        <f t="shared" si="40"/>
        <v>76.329380949006406</v>
      </c>
      <c r="AD1298" t="s">
        <v>73</v>
      </c>
      <c r="AF1298" t="s">
        <v>73</v>
      </c>
      <c r="AG1298" t="s">
        <v>3465</v>
      </c>
      <c r="AH1298" t="s">
        <v>3465</v>
      </c>
      <c r="AI1298" t="s">
        <v>3463</v>
      </c>
      <c r="AJ1298" t="s">
        <v>3463</v>
      </c>
      <c r="AK1298" t="s">
        <v>3463</v>
      </c>
      <c r="AL1298" t="s">
        <v>3463</v>
      </c>
      <c r="AP1298" t="s">
        <v>3463</v>
      </c>
      <c r="AQ1298" t="s">
        <v>2843</v>
      </c>
      <c r="AR1298" t="s">
        <v>3488</v>
      </c>
      <c r="AT1298" t="s">
        <v>3465</v>
      </c>
      <c r="AU1298" t="s">
        <v>80</v>
      </c>
      <c r="AV1298" t="s">
        <v>74</v>
      </c>
      <c r="AW1298" t="s">
        <v>3915</v>
      </c>
      <c r="AX1298" t="s">
        <v>3463</v>
      </c>
      <c r="AY1298" t="s">
        <v>3465</v>
      </c>
      <c r="AZ1298" t="s">
        <v>2844</v>
      </c>
      <c r="BF1298" t="s">
        <v>3921</v>
      </c>
      <c r="BH1298" t="s">
        <v>4020</v>
      </c>
      <c r="BP1298" t="s">
        <v>4260</v>
      </c>
      <c r="BQ1298" t="s">
        <v>3463</v>
      </c>
      <c r="BR1298" t="s">
        <v>3465</v>
      </c>
      <c r="BS1298" t="s">
        <v>3463</v>
      </c>
      <c r="BT1298" t="s">
        <v>3463</v>
      </c>
      <c r="BU1298" t="s">
        <v>3463</v>
      </c>
      <c r="BV1298" t="s">
        <v>3463</v>
      </c>
      <c r="BW1298" t="s">
        <v>3463</v>
      </c>
      <c r="BX1298" t="s">
        <v>79</v>
      </c>
      <c r="BY1298" t="s">
        <v>487</v>
      </c>
      <c r="BZ1298" t="s">
        <v>79</v>
      </c>
      <c r="CA1298" s="10">
        <v>45912</v>
      </c>
    </row>
    <row r="1299" spans="1:79">
      <c r="A1299">
        <v>1312</v>
      </c>
      <c r="B1299">
        <v>232</v>
      </c>
      <c r="C1299">
        <v>75</v>
      </c>
      <c r="D1299" t="s">
        <v>3466</v>
      </c>
      <c r="F1299" t="s">
        <v>2407</v>
      </c>
      <c r="G1299" s="12" t="s">
        <v>3465</v>
      </c>
      <c r="H1299" t="s">
        <v>88</v>
      </c>
      <c r="I1299">
        <v>79</v>
      </c>
      <c r="K1299">
        <v>132</v>
      </c>
      <c r="L1299">
        <v>56</v>
      </c>
      <c r="M1299" t="s">
        <v>82</v>
      </c>
      <c r="P1299" t="s">
        <v>83</v>
      </c>
      <c r="Q1299" t="s">
        <v>82</v>
      </c>
      <c r="R1299">
        <v>53.2</v>
      </c>
      <c r="S1299">
        <v>148</v>
      </c>
      <c r="T1299" s="8">
        <f t="shared" si="41"/>
        <v>24.287801314828343</v>
      </c>
      <c r="U1299" s="13" t="str" cm="1">
        <f t="array" ref="U1299">IF(T1299="","",_xlfn.IFS(T1299&lt;18.5,"Bajo peso",T1299&lt;25,"Peso normal",T1299&lt;30,"Sobrepeso",T1299&lt;35,"Obesidad clase I",T1299&lt;40,"Obesidad clase II",T1299&gt;=40,"Obesidad clase III"))</f>
        <v>Peso normal</v>
      </c>
      <c r="V1299">
        <v>117</v>
      </c>
      <c r="X1299" t="s">
        <v>3463</v>
      </c>
      <c r="Y1299">
        <v>1.26</v>
      </c>
      <c r="AA1299">
        <v>45</v>
      </c>
      <c r="AB1299" s="9">
        <f t="shared" si="40"/>
        <v>44.52114053388506</v>
      </c>
      <c r="AD1299" t="s">
        <v>158</v>
      </c>
      <c r="AF1299" t="s">
        <v>158</v>
      </c>
      <c r="AH1299" t="s">
        <v>3463</v>
      </c>
      <c r="AI1299" t="s">
        <v>3463</v>
      </c>
      <c r="AJ1299" t="s">
        <v>3463</v>
      </c>
      <c r="AK1299" t="s">
        <v>3463</v>
      </c>
      <c r="AL1299" t="s">
        <v>3465</v>
      </c>
      <c r="AM1299" t="s">
        <v>2845</v>
      </c>
      <c r="AN1299" t="s">
        <v>110</v>
      </c>
      <c r="AO1299" t="s">
        <v>3463</v>
      </c>
      <c r="AP1299" t="s">
        <v>3465</v>
      </c>
      <c r="AQ1299" t="s">
        <v>2846</v>
      </c>
      <c r="AR1299" t="s">
        <v>3506</v>
      </c>
      <c r="AT1299" t="s">
        <v>3465</v>
      </c>
      <c r="AU1299" t="s">
        <v>1899</v>
      </c>
      <c r="AV1299" t="s">
        <v>126</v>
      </c>
      <c r="AW1299" t="s">
        <v>126</v>
      </c>
      <c r="AX1299" t="s">
        <v>3463</v>
      </c>
      <c r="AY1299" t="s">
        <v>3463</v>
      </c>
      <c r="AZ1299" t="s">
        <v>1933</v>
      </c>
      <c r="BE1299" t="s">
        <v>110</v>
      </c>
      <c r="BF1299" t="s">
        <v>110</v>
      </c>
      <c r="BG1299" t="s">
        <v>2847</v>
      </c>
      <c r="BH1299" t="s">
        <v>4029</v>
      </c>
      <c r="BI1299" t="s">
        <v>411</v>
      </c>
      <c r="BK1299" t="s">
        <v>2848</v>
      </c>
      <c r="BL1299" t="s">
        <v>2849</v>
      </c>
      <c r="BP1299" t="s">
        <v>4336</v>
      </c>
      <c r="BQ1299" t="s">
        <v>3463</v>
      </c>
      <c r="BR1299" t="s">
        <v>3465</v>
      </c>
      <c r="BS1299" t="s">
        <v>3463</v>
      </c>
      <c r="BT1299" t="s">
        <v>3463</v>
      </c>
      <c r="BU1299" t="s">
        <v>3465</v>
      </c>
      <c r="BV1299" t="s">
        <v>3465</v>
      </c>
      <c r="BW1299" t="s">
        <v>3465</v>
      </c>
      <c r="BX1299" t="s">
        <v>79</v>
      </c>
      <c r="BY1299" t="s">
        <v>87</v>
      </c>
      <c r="BZ1299" t="s">
        <v>79</v>
      </c>
      <c r="CA1299" s="10">
        <v>45912</v>
      </c>
    </row>
    <row r="1300" spans="1:79">
      <c r="A1300">
        <v>1313</v>
      </c>
      <c r="B1300">
        <v>233</v>
      </c>
      <c r="C1300">
        <v>57</v>
      </c>
      <c r="D1300" t="s">
        <v>3466</v>
      </c>
      <c r="E1300" t="s">
        <v>2462</v>
      </c>
      <c r="F1300" t="s">
        <v>2407</v>
      </c>
      <c r="G1300" s="12" t="s">
        <v>3465</v>
      </c>
      <c r="H1300" s="12" t="s">
        <v>88</v>
      </c>
      <c r="I1300">
        <v>97</v>
      </c>
      <c r="K1300">
        <v>97</v>
      </c>
      <c r="L1300">
        <v>67</v>
      </c>
      <c r="M1300" t="s">
        <v>80</v>
      </c>
      <c r="P1300" t="s">
        <v>83</v>
      </c>
      <c r="Q1300" t="s">
        <v>80</v>
      </c>
      <c r="R1300">
        <v>81.8</v>
      </c>
      <c r="S1300">
        <v>163</v>
      </c>
      <c r="T1300" s="8">
        <f t="shared" si="41"/>
        <v>30.787760171628587</v>
      </c>
      <c r="U1300" s="13" t="str" cm="1">
        <f t="array" ref="U1300">IF(T1300="","",_xlfn.IFS(T1300&lt;18.5,"Bajo peso",T1300&lt;25,"Peso normal",T1300&lt;30,"Sobrepeso",T1300&lt;35,"Obesidad clase I",T1300&lt;40,"Obesidad clase II",T1300&gt;=40,"Obesidad clase III"))</f>
        <v>Obesidad clase I</v>
      </c>
      <c r="V1300">
        <v>103</v>
      </c>
      <c r="X1300" t="s">
        <v>3463</v>
      </c>
      <c r="Y1300">
        <v>1.44</v>
      </c>
      <c r="AA1300">
        <v>42</v>
      </c>
      <c r="AB1300" s="9">
        <f t="shared" si="40"/>
        <v>42.422287386448637</v>
      </c>
      <c r="AD1300" t="s">
        <v>218</v>
      </c>
      <c r="AF1300" t="s">
        <v>218</v>
      </c>
      <c r="AH1300" t="s">
        <v>3463</v>
      </c>
      <c r="AI1300" t="s">
        <v>3463</v>
      </c>
      <c r="AJ1300" t="s">
        <v>3463</v>
      </c>
      <c r="AK1300" t="s">
        <v>3463</v>
      </c>
      <c r="AL1300" t="s">
        <v>3463</v>
      </c>
      <c r="AP1300" t="s">
        <v>3463</v>
      </c>
      <c r="AQ1300" t="s">
        <v>116</v>
      </c>
      <c r="AR1300" t="s">
        <v>3552</v>
      </c>
      <c r="AT1300" t="s">
        <v>3465</v>
      </c>
      <c r="AU1300" t="s">
        <v>80</v>
      </c>
      <c r="AV1300" t="s">
        <v>74</v>
      </c>
      <c r="AW1300" t="s">
        <v>3915</v>
      </c>
      <c r="AX1300" t="s">
        <v>3463</v>
      </c>
      <c r="AY1300" t="s">
        <v>3465</v>
      </c>
      <c r="AZ1300" t="s">
        <v>247</v>
      </c>
      <c r="BE1300" t="s">
        <v>2850</v>
      </c>
      <c r="BF1300" t="s">
        <v>3988</v>
      </c>
      <c r="BG1300" t="s">
        <v>2851</v>
      </c>
      <c r="BH1300" t="s">
        <v>4029</v>
      </c>
      <c r="BI1300" t="s">
        <v>411</v>
      </c>
      <c r="BK1300" t="s">
        <v>1535</v>
      </c>
      <c r="BL1300" t="s">
        <v>2852</v>
      </c>
      <c r="BP1300" t="s">
        <v>4336</v>
      </c>
      <c r="BQ1300" t="s">
        <v>3463</v>
      </c>
      <c r="BR1300" t="s">
        <v>3463</v>
      </c>
      <c r="BS1300" t="s">
        <v>3463</v>
      </c>
      <c r="BT1300" t="s">
        <v>3463</v>
      </c>
      <c r="BU1300" t="s">
        <v>3463</v>
      </c>
      <c r="BV1300" t="s">
        <v>3463</v>
      </c>
      <c r="BW1300" t="s">
        <v>3463</v>
      </c>
      <c r="BX1300" t="s">
        <v>518</v>
      </c>
      <c r="BY1300" t="s">
        <v>87</v>
      </c>
      <c r="BZ1300" t="s">
        <v>79</v>
      </c>
      <c r="CA1300" s="10">
        <v>45912</v>
      </c>
    </row>
    <row r="1301" spans="1:79">
      <c r="A1301">
        <v>1314</v>
      </c>
      <c r="B1301">
        <v>234</v>
      </c>
      <c r="C1301">
        <v>37</v>
      </c>
      <c r="D1301" t="s">
        <v>3462</v>
      </c>
      <c r="E1301" t="s">
        <v>2550</v>
      </c>
      <c r="F1301" t="s">
        <v>2407</v>
      </c>
      <c r="G1301" s="12" t="s">
        <v>3465</v>
      </c>
      <c r="H1301" t="s">
        <v>88</v>
      </c>
      <c r="I1301">
        <v>71</v>
      </c>
      <c r="K1301">
        <v>136</v>
      </c>
      <c r="L1301">
        <v>77</v>
      </c>
      <c r="M1301" t="s">
        <v>82</v>
      </c>
      <c r="P1301" t="s">
        <v>83</v>
      </c>
      <c r="Q1301" t="s">
        <v>82</v>
      </c>
      <c r="R1301">
        <v>65.400000000000006</v>
      </c>
      <c r="S1301">
        <v>163.5</v>
      </c>
      <c r="T1301" s="8">
        <f t="shared" si="41"/>
        <v>24.464831804281349</v>
      </c>
      <c r="U1301" s="13" t="str" cm="1">
        <f t="array" ref="U1301">IF(T1301="","",_xlfn.IFS(T1301&lt;18.5,"Bajo peso",T1301&lt;25,"Peso normal",T1301&lt;30,"Sobrepeso",T1301&lt;35,"Obesidad clase I",T1301&lt;40,"Obesidad clase II",T1301&gt;=40,"Obesidad clase III"))</f>
        <v>Peso normal</v>
      </c>
      <c r="V1301">
        <v>137</v>
      </c>
      <c r="X1301" t="s">
        <v>3463</v>
      </c>
      <c r="Y1301">
        <v>1.38</v>
      </c>
      <c r="AA1301">
        <v>68</v>
      </c>
      <c r="AB1301" s="9">
        <f t="shared" si="40"/>
        <v>67.544061419598009</v>
      </c>
      <c r="AD1301" t="s">
        <v>73</v>
      </c>
      <c r="AF1301" t="s">
        <v>73</v>
      </c>
      <c r="AH1301" t="s">
        <v>3463</v>
      </c>
      <c r="AI1301" t="s">
        <v>3463</v>
      </c>
      <c r="AJ1301" t="s">
        <v>3463</v>
      </c>
      <c r="AK1301" t="s">
        <v>3463</v>
      </c>
      <c r="AL1301" t="s">
        <v>3463</v>
      </c>
      <c r="AP1301" t="s">
        <v>3463</v>
      </c>
      <c r="AQ1301" t="s">
        <v>2853</v>
      </c>
      <c r="AR1301" t="s">
        <v>3549</v>
      </c>
      <c r="AV1301" t="s">
        <v>126</v>
      </c>
      <c r="AW1301" t="s">
        <v>126</v>
      </c>
      <c r="BF1301" t="s">
        <v>3921</v>
      </c>
      <c r="BH1301" t="s">
        <v>4020</v>
      </c>
      <c r="BP1301" t="s">
        <v>4260</v>
      </c>
      <c r="BQ1301" t="s">
        <v>3463</v>
      </c>
      <c r="BR1301" t="s">
        <v>3463</v>
      </c>
      <c r="BS1301" t="s">
        <v>3465</v>
      </c>
      <c r="BT1301" t="s">
        <v>3465</v>
      </c>
      <c r="BU1301" t="s">
        <v>3463</v>
      </c>
      <c r="BV1301" t="s">
        <v>3463</v>
      </c>
      <c r="BW1301" t="s">
        <v>3463</v>
      </c>
      <c r="BX1301" t="s">
        <v>79</v>
      </c>
      <c r="BY1301" t="s">
        <v>79</v>
      </c>
      <c r="BZ1301" t="s">
        <v>79</v>
      </c>
      <c r="CA1301" s="10">
        <v>45912</v>
      </c>
    </row>
    <row r="1302" spans="1:79">
      <c r="A1302">
        <v>1315</v>
      </c>
      <c r="B1302">
        <v>235</v>
      </c>
      <c r="C1302">
        <v>46</v>
      </c>
      <c r="D1302" t="s">
        <v>3466</v>
      </c>
      <c r="E1302" t="s">
        <v>2854</v>
      </c>
      <c r="F1302" t="s">
        <v>168</v>
      </c>
      <c r="G1302" s="12" t="s">
        <v>3465</v>
      </c>
      <c r="H1302" s="12" t="s">
        <v>88</v>
      </c>
      <c r="I1302">
        <v>103</v>
      </c>
      <c r="J1302">
        <v>104</v>
      </c>
      <c r="K1302">
        <v>156</v>
      </c>
      <c r="L1302">
        <v>103</v>
      </c>
      <c r="M1302" t="s">
        <v>72</v>
      </c>
      <c r="N1302">
        <v>155</v>
      </c>
      <c r="O1302">
        <v>100</v>
      </c>
      <c r="P1302" t="s">
        <v>72</v>
      </c>
      <c r="Q1302" t="s">
        <v>72</v>
      </c>
      <c r="R1302">
        <v>72</v>
      </c>
      <c r="S1302">
        <v>152</v>
      </c>
      <c r="T1302" s="8">
        <f t="shared" si="41"/>
        <v>31.163434903047094</v>
      </c>
      <c r="U1302" s="13" t="str" cm="1">
        <f t="array" ref="U1302">IF(T1302="","",_xlfn.IFS(T1302&lt;18.5,"Bajo peso",T1302&lt;25,"Peso normal",T1302&lt;30,"Sobrepeso",T1302&lt;35,"Obesidad clase I",T1302&lt;40,"Obesidad clase II",T1302&gt;=40,"Obesidad clase III"))</f>
        <v>Obesidad clase I</v>
      </c>
      <c r="V1302">
        <v>109</v>
      </c>
      <c r="X1302" t="s">
        <v>3463</v>
      </c>
      <c r="Y1302">
        <v>0.92</v>
      </c>
      <c r="AA1302">
        <v>78</v>
      </c>
      <c r="AB1302" s="9">
        <f t="shared" si="40"/>
        <v>77.766895663977152</v>
      </c>
      <c r="AD1302" t="s">
        <v>73</v>
      </c>
      <c r="AF1302" t="s">
        <v>73</v>
      </c>
      <c r="AG1302" t="s">
        <v>3465</v>
      </c>
      <c r="AH1302" t="s">
        <v>3465</v>
      </c>
      <c r="AI1302" t="s">
        <v>3465</v>
      </c>
      <c r="AJ1302" t="s">
        <v>3463</v>
      </c>
      <c r="AK1302" t="s">
        <v>3463</v>
      </c>
      <c r="AL1302" t="s">
        <v>3465</v>
      </c>
      <c r="AM1302" t="s">
        <v>457</v>
      </c>
      <c r="AN1302" t="s">
        <v>3617</v>
      </c>
      <c r="AO1302" t="s">
        <v>3465</v>
      </c>
      <c r="AP1302" t="s">
        <v>3465</v>
      </c>
      <c r="AQ1302" t="s">
        <v>2855</v>
      </c>
      <c r="AR1302" t="s">
        <v>3579</v>
      </c>
      <c r="AS1302" t="s">
        <v>3465</v>
      </c>
      <c r="AT1302" t="s">
        <v>3463</v>
      </c>
      <c r="AV1302" t="s">
        <v>74</v>
      </c>
      <c r="AW1302" t="s">
        <v>3915</v>
      </c>
      <c r="AX1302" t="s">
        <v>3465</v>
      </c>
      <c r="AY1302" t="s">
        <v>3465</v>
      </c>
      <c r="AZ1302" t="s">
        <v>2856</v>
      </c>
      <c r="BF1302" t="s">
        <v>3921</v>
      </c>
      <c r="BH1302" t="s">
        <v>4020</v>
      </c>
      <c r="BP1302" t="s">
        <v>4260</v>
      </c>
      <c r="BQ1302" t="s">
        <v>3463</v>
      </c>
      <c r="BR1302" t="s">
        <v>3465</v>
      </c>
      <c r="BS1302" t="s">
        <v>3463</v>
      </c>
      <c r="BT1302" t="s">
        <v>3465</v>
      </c>
      <c r="BU1302" t="s">
        <v>3463</v>
      </c>
      <c r="BV1302" t="s">
        <v>3463</v>
      </c>
      <c r="BW1302" t="s">
        <v>3463</v>
      </c>
      <c r="BX1302" t="s">
        <v>518</v>
      </c>
      <c r="BY1302" t="s">
        <v>121</v>
      </c>
      <c r="BZ1302" t="s">
        <v>79</v>
      </c>
      <c r="CA1302" s="10">
        <v>45912</v>
      </c>
    </row>
    <row r="1303" spans="1:79">
      <c r="A1303">
        <v>1316</v>
      </c>
      <c r="B1303">
        <v>236</v>
      </c>
      <c r="C1303">
        <v>20</v>
      </c>
      <c r="D1303" t="s">
        <v>3466</v>
      </c>
      <c r="E1303" t="s">
        <v>2411</v>
      </c>
      <c r="F1303" t="s">
        <v>2407</v>
      </c>
      <c r="G1303" s="12" t="s">
        <v>3463</v>
      </c>
      <c r="I1303">
        <v>84</v>
      </c>
      <c r="J1303">
        <v>89</v>
      </c>
      <c r="K1303">
        <v>142</v>
      </c>
      <c r="L1303">
        <v>62</v>
      </c>
      <c r="M1303" t="s">
        <v>72</v>
      </c>
      <c r="N1303">
        <v>138</v>
      </c>
      <c r="O1303">
        <v>75</v>
      </c>
      <c r="P1303" t="s">
        <v>82</v>
      </c>
      <c r="Q1303" t="s">
        <v>82</v>
      </c>
      <c r="R1303">
        <v>57.4</v>
      </c>
      <c r="S1303">
        <v>161</v>
      </c>
      <c r="T1303" s="8">
        <f t="shared" si="41"/>
        <v>22.144207399405886</v>
      </c>
      <c r="U1303" s="13" t="str" cm="1">
        <f t="array" ref="U1303">IF(T1303="","",_xlfn.IFS(T1303&lt;18.5,"Bajo peso",T1303&lt;25,"Peso normal",T1303&lt;30,"Sobrepeso",T1303&lt;35,"Obesidad clase I",T1303&lt;40,"Obesidad clase II",T1303&gt;=40,"Obesidad clase III"))</f>
        <v>Peso normal</v>
      </c>
      <c r="V1303">
        <v>102</v>
      </c>
      <c r="X1303" t="s">
        <v>3463</v>
      </c>
      <c r="Y1303">
        <v>1.29</v>
      </c>
      <c r="AA1303">
        <v>61</v>
      </c>
      <c r="AB1303" s="9">
        <f t="shared" si="40"/>
        <v>60.933861448568216</v>
      </c>
      <c r="AD1303" t="s">
        <v>73</v>
      </c>
      <c r="AF1303" t="s">
        <v>73</v>
      </c>
      <c r="AH1303" t="s">
        <v>3463</v>
      </c>
      <c r="AI1303" t="s">
        <v>3463</v>
      </c>
      <c r="AJ1303" t="s">
        <v>3463</v>
      </c>
      <c r="AK1303" t="s">
        <v>3463</v>
      </c>
      <c r="AL1303" t="s">
        <v>3463</v>
      </c>
      <c r="AO1303" t="s">
        <v>3465</v>
      </c>
      <c r="AP1303" t="s">
        <v>3465</v>
      </c>
      <c r="AQ1303" t="s">
        <v>2596</v>
      </c>
      <c r="AR1303" t="s">
        <v>3509</v>
      </c>
      <c r="AT1303" t="s">
        <v>3463</v>
      </c>
      <c r="AV1303" t="s">
        <v>74</v>
      </c>
      <c r="AW1303" t="s">
        <v>3915</v>
      </c>
      <c r="AX1303" t="s">
        <v>3463</v>
      </c>
      <c r="AY1303" t="s">
        <v>3463</v>
      </c>
      <c r="BF1303" t="s">
        <v>3921</v>
      </c>
      <c r="BG1303" t="s">
        <v>2857</v>
      </c>
      <c r="BH1303" t="s">
        <v>4231</v>
      </c>
      <c r="BI1303" t="s">
        <v>2858</v>
      </c>
      <c r="BK1303" t="s">
        <v>2859</v>
      </c>
      <c r="BL1303" t="s">
        <v>2514</v>
      </c>
      <c r="BP1303" t="s">
        <v>4430</v>
      </c>
      <c r="BQ1303" t="s">
        <v>3463</v>
      </c>
      <c r="BR1303" t="s">
        <v>3463</v>
      </c>
      <c r="BS1303" t="s">
        <v>3465</v>
      </c>
      <c r="BT1303" t="s">
        <v>3465</v>
      </c>
      <c r="BU1303" t="s">
        <v>3463</v>
      </c>
      <c r="BV1303" t="s">
        <v>3463</v>
      </c>
      <c r="BW1303" t="s">
        <v>3463</v>
      </c>
      <c r="BX1303" t="s">
        <v>79</v>
      </c>
      <c r="BY1303" t="s">
        <v>79</v>
      </c>
      <c r="BZ1303" t="s">
        <v>79</v>
      </c>
      <c r="CA1303" s="10">
        <v>45912</v>
      </c>
    </row>
    <row r="1304" spans="1:79">
      <c r="A1304">
        <v>1317</v>
      </c>
      <c r="B1304">
        <v>237</v>
      </c>
      <c r="C1304">
        <v>25</v>
      </c>
      <c r="D1304" t="s">
        <v>3462</v>
      </c>
      <c r="E1304" t="s">
        <v>2860</v>
      </c>
      <c r="F1304" t="s">
        <v>2407</v>
      </c>
      <c r="G1304" s="12" t="s">
        <v>3463</v>
      </c>
      <c r="H1304" s="12"/>
      <c r="I1304">
        <v>60</v>
      </c>
      <c r="J1304">
        <v>60</v>
      </c>
      <c r="K1304">
        <v>163</v>
      </c>
      <c r="L1304">
        <v>85</v>
      </c>
      <c r="M1304" t="s">
        <v>72</v>
      </c>
      <c r="N1304">
        <v>153</v>
      </c>
      <c r="O1304">
        <v>90</v>
      </c>
      <c r="P1304" t="s">
        <v>72</v>
      </c>
      <c r="Q1304" t="s">
        <v>72</v>
      </c>
      <c r="R1304">
        <v>108.1</v>
      </c>
      <c r="S1304">
        <v>182</v>
      </c>
      <c r="T1304" s="8">
        <f t="shared" si="41"/>
        <v>32.634947470112301</v>
      </c>
      <c r="U1304" s="13" t="str" cm="1">
        <f t="array" ref="U1304">IF(T1304="","",_xlfn.IFS(T1304&lt;18.5,"Bajo peso",T1304&lt;25,"Peso normal",T1304&lt;30,"Sobrepeso",T1304&lt;35,"Obesidad clase I",T1304&lt;40,"Obesidad clase II",T1304&gt;=40,"Obesidad clase III"))</f>
        <v>Obesidad clase I</v>
      </c>
      <c r="V1304">
        <v>122</v>
      </c>
      <c r="X1304" t="s">
        <v>3463</v>
      </c>
      <c r="Y1304">
        <v>1.1499999999999999</v>
      </c>
      <c r="AA1304">
        <v>90</v>
      </c>
      <c r="AB1304" s="9">
        <f t="shared" si="40"/>
        <v>90.576754983041297</v>
      </c>
      <c r="AD1304" t="s">
        <v>73</v>
      </c>
      <c r="AF1304" t="s">
        <v>73</v>
      </c>
      <c r="AH1304" t="s">
        <v>3463</v>
      </c>
      <c r="AI1304" t="s">
        <v>3463</v>
      </c>
      <c r="AJ1304" t="s">
        <v>3463</v>
      </c>
      <c r="AK1304" t="s">
        <v>3463</v>
      </c>
      <c r="AL1304" t="s">
        <v>3463</v>
      </c>
      <c r="AP1304" t="s">
        <v>3463</v>
      </c>
      <c r="AQ1304" t="s">
        <v>2861</v>
      </c>
      <c r="AR1304" t="s">
        <v>3491</v>
      </c>
      <c r="AV1304" t="s">
        <v>74</v>
      </c>
      <c r="AW1304" t="s">
        <v>3915</v>
      </c>
      <c r="BF1304" t="s">
        <v>3921</v>
      </c>
      <c r="BH1304" t="s">
        <v>4020</v>
      </c>
      <c r="BP1304" t="s">
        <v>4260</v>
      </c>
      <c r="BQ1304" t="s">
        <v>3463</v>
      </c>
      <c r="BR1304" t="s">
        <v>3465</v>
      </c>
      <c r="BS1304" t="s">
        <v>3465</v>
      </c>
      <c r="BT1304" t="s">
        <v>3465</v>
      </c>
      <c r="BU1304" t="s">
        <v>3463</v>
      </c>
      <c r="BV1304" t="s">
        <v>3463</v>
      </c>
      <c r="BW1304" t="s">
        <v>3463</v>
      </c>
      <c r="BX1304" t="s">
        <v>79</v>
      </c>
      <c r="BY1304" t="s">
        <v>79</v>
      </c>
      <c r="BZ1304" t="s">
        <v>79</v>
      </c>
      <c r="CA1304" s="10">
        <v>45912</v>
      </c>
    </row>
    <row r="1305" spans="1:79">
      <c r="A1305">
        <v>1318</v>
      </c>
      <c r="B1305">
        <v>239</v>
      </c>
      <c r="C1305">
        <v>39</v>
      </c>
      <c r="D1305" t="s">
        <v>3466</v>
      </c>
      <c r="E1305" t="s">
        <v>2411</v>
      </c>
      <c r="F1305" t="s">
        <v>2407</v>
      </c>
      <c r="G1305" s="12" t="s">
        <v>3463</v>
      </c>
      <c r="I1305">
        <v>80</v>
      </c>
      <c r="K1305">
        <v>139</v>
      </c>
      <c r="L1305">
        <v>80</v>
      </c>
      <c r="M1305" t="s">
        <v>82</v>
      </c>
      <c r="P1305" t="s">
        <v>83</v>
      </c>
      <c r="Q1305" t="s">
        <v>82</v>
      </c>
      <c r="R1305">
        <v>97.1</v>
      </c>
      <c r="S1305">
        <v>155</v>
      </c>
      <c r="T1305" s="8">
        <f t="shared" si="41"/>
        <v>40.416233090530696</v>
      </c>
      <c r="U1305" s="13" t="str" cm="1">
        <f t="array" ref="U1305">IF(T1305="","",_xlfn.IFS(T1305&lt;18.5,"Bajo peso",T1305&lt;25,"Peso normal",T1305&lt;30,"Sobrepeso",T1305&lt;35,"Obesidad clase I",T1305&lt;40,"Obesidad clase II",T1305&gt;=40,"Obesidad clase III"))</f>
        <v>Obesidad clase III</v>
      </c>
      <c r="V1305">
        <v>109</v>
      </c>
      <c r="X1305" t="s">
        <v>3463</v>
      </c>
      <c r="Y1305">
        <v>1.3</v>
      </c>
      <c r="AA1305">
        <v>54</v>
      </c>
      <c r="AB1305" s="9">
        <f t="shared" si="40"/>
        <v>53.64326287146735</v>
      </c>
      <c r="AD1305" t="s">
        <v>158</v>
      </c>
      <c r="AF1305" t="s">
        <v>158</v>
      </c>
      <c r="AH1305" t="s">
        <v>3463</v>
      </c>
      <c r="AI1305" t="s">
        <v>3463</v>
      </c>
      <c r="AJ1305" t="s">
        <v>3463</v>
      </c>
      <c r="AK1305" t="s">
        <v>3463</v>
      </c>
      <c r="AL1305" t="s">
        <v>3463</v>
      </c>
      <c r="AP1305" t="s">
        <v>3463</v>
      </c>
      <c r="AQ1305" t="s">
        <v>2862</v>
      </c>
      <c r="AR1305" t="s">
        <v>3499</v>
      </c>
      <c r="AT1305" t="s">
        <v>3465</v>
      </c>
      <c r="AU1305" t="s">
        <v>80</v>
      </c>
      <c r="AV1305" t="s">
        <v>74</v>
      </c>
      <c r="AW1305" t="s">
        <v>3915</v>
      </c>
      <c r="AX1305" t="s">
        <v>3463</v>
      </c>
      <c r="AY1305" t="s">
        <v>3465</v>
      </c>
      <c r="AZ1305" t="s">
        <v>958</v>
      </c>
      <c r="BC1305" t="s">
        <v>128</v>
      </c>
      <c r="BF1305" t="s">
        <v>3921</v>
      </c>
      <c r="BG1305" t="s">
        <v>2863</v>
      </c>
      <c r="BH1305" t="s">
        <v>4232</v>
      </c>
      <c r="BK1305" t="s">
        <v>2864</v>
      </c>
      <c r="BL1305" t="s">
        <v>2865</v>
      </c>
      <c r="BP1305" t="s">
        <v>4542</v>
      </c>
      <c r="BQ1305" t="s">
        <v>3463</v>
      </c>
      <c r="BR1305" t="s">
        <v>3465</v>
      </c>
      <c r="BS1305" t="s">
        <v>3463</v>
      </c>
      <c r="BT1305" t="s">
        <v>3463</v>
      </c>
      <c r="BU1305" t="s">
        <v>3463</v>
      </c>
      <c r="BV1305" t="s">
        <v>3463</v>
      </c>
      <c r="BW1305" t="s">
        <v>3463</v>
      </c>
      <c r="BX1305" t="s">
        <v>79</v>
      </c>
      <c r="BY1305" t="s">
        <v>79</v>
      </c>
      <c r="BZ1305" t="s">
        <v>79</v>
      </c>
      <c r="CA1305" s="10">
        <v>45912</v>
      </c>
    </row>
    <row r="1306" spans="1:79">
      <c r="A1306">
        <v>1319</v>
      </c>
      <c r="B1306">
        <v>240</v>
      </c>
      <c r="C1306">
        <v>41</v>
      </c>
      <c r="D1306" t="s">
        <v>3462</v>
      </c>
      <c r="E1306" t="s">
        <v>2411</v>
      </c>
      <c r="F1306" t="s">
        <v>2407</v>
      </c>
      <c r="G1306" s="12" t="s">
        <v>3463</v>
      </c>
      <c r="I1306">
        <v>83</v>
      </c>
      <c r="K1306">
        <v>133</v>
      </c>
      <c r="L1306">
        <v>82</v>
      </c>
      <c r="M1306" t="s">
        <v>82</v>
      </c>
      <c r="P1306" t="s">
        <v>83</v>
      </c>
      <c r="Q1306" t="s">
        <v>82</v>
      </c>
      <c r="R1306">
        <v>96.5</v>
      </c>
      <c r="S1306">
        <v>169</v>
      </c>
      <c r="T1306" s="8">
        <f t="shared" si="41"/>
        <v>33.787332376317359</v>
      </c>
      <c r="U1306" s="13" t="str" cm="1">
        <f t="array" ref="U1306">IF(T1306="","",_xlfn.IFS(T1306&lt;18.5,"Bajo peso",T1306&lt;25,"Peso normal",T1306&lt;30,"Sobrepeso",T1306&lt;35,"Obesidad clase I",T1306&lt;40,"Obesidad clase II",T1306&gt;=40,"Obesidad clase III"))</f>
        <v>Obesidad clase I</v>
      </c>
      <c r="V1306">
        <v>188</v>
      </c>
      <c r="X1306" t="s">
        <v>3463</v>
      </c>
      <c r="Y1306">
        <v>1.1200000000000001</v>
      </c>
      <c r="AA1306">
        <v>85</v>
      </c>
      <c r="AB1306" s="9">
        <f t="shared" si="40"/>
        <v>84.640148624829052</v>
      </c>
      <c r="AD1306" t="s">
        <v>73</v>
      </c>
      <c r="AF1306" t="s">
        <v>73</v>
      </c>
      <c r="AH1306" t="s">
        <v>3463</v>
      </c>
      <c r="AI1306" t="s">
        <v>3463</v>
      </c>
      <c r="AJ1306" t="s">
        <v>3464</v>
      </c>
      <c r="AK1306" t="s">
        <v>3463</v>
      </c>
      <c r="AL1306" t="s">
        <v>3464</v>
      </c>
      <c r="AP1306" t="s">
        <v>3463</v>
      </c>
      <c r="AQ1306" t="s">
        <v>2866</v>
      </c>
      <c r="AR1306" t="s">
        <v>3580</v>
      </c>
      <c r="AV1306" t="s">
        <v>74</v>
      </c>
      <c r="AW1306" t="s">
        <v>3915</v>
      </c>
      <c r="BF1306" t="s">
        <v>3921</v>
      </c>
      <c r="BH1306" t="s">
        <v>4020</v>
      </c>
      <c r="BP1306" t="s">
        <v>4260</v>
      </c>
      <c r="BQ1306" t="s">
        <v>3463</v>
      </c>
      <c r="BR1306" t="s">
        <v>3463</v>
      </c>
      <c r="BS1306" t="s">
        <v>3463</v>
      </c>
      <c r="BT1306" t="s">
        <v>3463</v>
      </c>
      <c r="BU1306" t="s">
        <v>3463</v>
      </c>
      <c r="BV1306" t="s">
        <v>3463</v>
      </c>
      <c r="BW1306" t="s">
        <v>3463</v>
      </c>
      <c r="BX1306" t="s">
        <v>79</v>
      </c>
      <c r="BY1306" t="s">
        <v>79</v>
      </c>
      <c r="BZ1306" t="s">
        <v>79</v>
      </c>
      <c r="CA1306" s="10">
        <v>45912</v>
      </c>
    </row>
    <row r="1307" spans="1:79">
      <c r="A1307">
        <v>1320</v>
      </c>
      <c r="B1307">
        <v>241</v>
      </c>
      <c r="C1307">
        <v>18</v>
      </c>
      <c r="D1307" t="s">
        <v>3462</v>
      </c>
      <c r="E1307" t="s">
        <v>2867</v>
      </c>
      <c r="F1307" t="s">
        <v>168</v>
      </c>
      <c r="G1307" s="12" t="s">
        <v>3465</v>
      </c>
      <c r="H1307" s="12" t="s">
        <v>88</v>
      </c>
      <c r="I1307">
        <v>82</v>
      </c>
      <c r="K1307">
        <v>126</v>
      </c>
      <c r="L1307">
        <v>73</v>
      </c>
      <c r="M1307" t="s">
        <v>118</v>
      </c>
      <c r="P1307" t="s">
        <v>83</v>
      </c>
      <c r="Q1307" t="s">
        <v>118</v>
      </c>
      <c r="R1307">
        <v>59</v>
      </c>
      <c r="S1307">
        <v>169</v>
      </c>
      <c r="T1307" s="8">
        <f t="shared" si="41"/>
        <v>20.657540002100767</v>
      </c>
      <c r="U1307" s="13" t="str" cm="1">
        <f t="array" ref="U1307">IF(T1307="","",_xlfn.IFS(T1307&lt;18.5,"Bajo peso",T1307&lt;25,"Peso normal",T1307&lt;30,"Sobrepeso",T1307&lt;35,"Obesidad clase I",T1307&lt;40,"Obesidad clase II",T1307&gt;=40,"Obesidad clase III"))</f>
        <v>Peso normal</v>
      </c>
      <c r="V1307">
        <v>94</v>
      </c>
      <c r="X1307" t="s">
        <v>3463</v>
      </c>
      <c r="Y1307">
        <v>1.0900000000000001</v>
      </c>
      <c r="AA1307">
        <v>90</v>
      </c>
      <c r="AB1307" s="9">
        <f t="shared" si="40"/>
        <v>100.89030188873726</v>
      </c>
      <c r="AD1307" t="s">
        <v>73</v>
      </c>
      <c r="AF1307" t="s">
        <v>73</v>
      </c>
      <c r="AH1307" t="s">
        <v>3463</v>
      </c>
      <c r="AI1307" t="s">
        <v>3463</v>
      </c>
      <c r="AJ1307" t="s">
        <v>3463</v>
      </c>
      <c r="AK1307" t="s">
        <v>3463</v>
      </c>
      <c r="AL1307" t="s">
        <v>3463</v>
      </c>
      <c r="AO1307" t="s">
        <v>3463</v>
      </c>
      <c r="AP1307" t="s">
        <v>3465</v>
      </c>
      <c r="AQ1307" t="s">
        <v>2868</v>
      </c>
      <c r="AR1307" t="s">
        <v>3489</v>
      </c>
      <c r="AV1307" t="s">
        <v>74</v>
      </c>
      <c r="AW1307" t="s">
        <v>3915</v>
      </c>
      <c r="BF1307" t="s">
        <v>3921</v>
      </c>
      <c r="BH1307" t="s">
        <v>4020</v>
      </c>
      <c r="BP1307" t="s">
        <v>4260</v>
      </c>
      <c r="BQ1307" t="s">
        <v>3463</v>
      </c>
      <c r="BR1307" t="s">
        <v>3465</v>
      </c>
      <c r="BS1307" t="s">
        <v>3463</v>
      </c>
      <c r="BT1307" t="s">
        <v>3463</v>
      </c>
      <c r="BU1307" t="s">
        <v>3463</v>
      </c>
      <c r="BV1307" t="s">
        <v>3463</v>
      </c>
      <c r="BW1307" t="s">
        <v>3463</v>
      </c>
      <c r="BX1307" t="s">
        <v>79</v>
      </c>
      <c r="BY1307" t="s">
        <v>87</v>
      </c>
      <c r="BZ1307" t="s">
        <v>79</v>
      </c>
      <c r="CA1307" s="10">
        <v>45912</v>
      </c>
    </row>
    <row r="1308" spans="1:79">
      <c r="A1308">
        <v>1321</v>
      </c>
      <c r="B1308">
        <v>242</v>
      </c>
      <c r="C1308">
        <v>41</v>
      </c>
      <c r="D1308" t="s">
        <v>3462</v>
      </c>
      <c r="E1308" t="s">
        <v>2416</v>
      </c>
      <c r="F1308" t="s">
        <v>2407</v>
      </c>
      <c r="G1308" s="12" t="s">
        <v>3463</v>
      </c>
      <c r="H1308" s="12"/>
      <c r="I1308">
        <v>87</v>
      </c>
      <c r="J1308">
        <v>84</v>
      </c>
      <c r="K1308">
        <v>143</v>
      </c>
      <c r="L1308">
        <v>90</v>
      </c>
      <c r="M1308" t="s">
        <v>72</v>
      </c>
      <c r="N1308">
        <v>138</v>
      </c>
      <c r="O1308">
        <v>85</v>
      </c>
      <c r="P1308" t="s">
        <v>82</v>
      </c>
      <c r="Q1308" t="s">
        <v>82</v>
      </c>
      <c r="R1308">
        <v>88.5</v>
      </c>
      <c r="S1308">
        <v>170</v>
      </c>
      <c r="T1308" s="8">
        <f t="shared" si="41"/>
        <v>30.622837370242216</v>
      </c>
      <c r="U1308" s="13" t="str" cm="1">
        <f t="array" ref="U1308">IF(T1308="","",_xlfn.IFS(T1308&lt;18.5,"Bajo peso",T1308&lt;25,"Peso normal",T1308&lt;30,"Sobrepeso",T1308&lt;35,"Obesidad clase I",T1308&lt;40,"Obesidad clase II",T1308&gt;=40,"Obesidad clase III"))</f>
        <v>Obesidad clase I</v>
      </c>
      <c r="V1308">
        <v>127</v>
      </c>
      <c r="X1308" t="s">
        <v>3463</v>
      </c>
      <c r="Y1308">
        <v>1.81</v>
      </c>
      <c r="AA1308">
        <v>47</v>
      </c>
      <c r="AB1308" s="9">
        <f t="shared" si="40"/>
        <v>47.579925167813791</v>
      </c>
      <c r="AD1308" t="s">
        <v>158</v>
      </c>
      <c r="AF1308" t="s">
        <v>158</v>
      </c>
      <c r="AW1308" t="s">
        <v>3916</v>
      </c>
      <c r="BF1308" t="s">
        <v>3921</v>
      </c>
      <c r="BH1308" t="s">
        <v>4020</v>
      </c>
      <c r="BP1308" t="s">
        <v>4260</v>
      </c>
      <c r="BQ1308" t="s">
        <v>3463</v>
      </c>
      <c r="BR1308" t="s">
        <v>3463</v>
      </c>
      <c r="BX1308" t="s">
        <v>79</v>
      </c>
      <c r="BY1308" t="s">
        <v>87</v>
      </c>
      <c r="BZ1308" t="s">
        <v>79</v>
      </c>
      <c r="CA1308" s="10">
        <v>45912</v>
      </c>
    </row>
    <row r="1309" spans="1:79">
      <c r="A1309">
        <v>1322</v>
      </c>
      <c r="B1309">
        <v>243</v>
      </c>
      <c r="C1309">
        <v>66</v>
      </c>
      <c r="D1309" t="s">
        <v>3462</v>
      </c>
      <c r="E1309" t="s">
        <v>2550</v>
      </c>
      <c r="F1309" t="s">
        <v>2407</v>
      </c>
      <c r="G1309" s="12" t="s">
        <v>3463</v>
      </c>
      <c r="I1309">
        <v>78</v>
      </c>
      <c r="J1309">
        <v>80</v>
      </c>
      <c r="K1309">
        <v>142</v>
      </c>
      <c r="L1309">
        <v>72</v>
      </c>
      <c r="M1309" t="s">
        <v>72</v>
      </c>
      <c r="N1309">
        <v>130</v>
      </c>
      <c r="O1309">
        <v>73</v>
      </c>
      <c r="P1309" t="s">
        <v>82</v>
      </c>
      <c r="Q1309" t="s">
        <v>82</v>
      </c>
      <c r="R1309">
        <v>63.9</v>
      </c>
      <c r="S1309">
        <v>169</v>
      </c>
      <c r="T1309" s="8">
        <f t="shared" si="41"/>
        <v>22.373166205665065</v>
      </c>
      <c r="U1309" s="13" t="str" cm="1">
        <f t="array" ref="U1309">IF(T1309="","",_xlfn.IFS(T1309&lt;18.5,"Bajo peso",T1309&lt;25,"Peso normal",T1309&lt;30,"Sobrepeso",T1309&lt;35,"Obesidad clase I",T1309&lt;40,"Obesidad clase II",T1309&gt;=40,"Obesidad clase III"))</f>
        <v>Peso normal</v>
      </c>
      <c r="V1309">
        <v>108</v>
      </c>
      <c r="X1309" t="s">
        <v>3463</v>
      </c>
      <c r="Y1309">
        <v>1.1399999999999999</v>
      </c>
      <c r="AA1309">
        <v>71</v>
      </c>
      <c r="AB1309" s="9">
        <f t="shared" si="40"/>
        <v>70.929522003750208</v>
      </c>
      <c r="AD1309" t="s">
        <v>73</v>
      </c>
      <c r="AF1309" t="s">
        <v>73</v>
      </c>
      <c r="AH1309" t="s">
        <v>3463</v>
      </c>
      <c r="AI1309" t="s">
        <v>3463</v>
      </c>
      <c r="AJ1309" t="s">
        <v>3463</v>
      </c>
      <c r="AK1309" t="s">
        <v>3463</v>
      </c>
      <c r="AL1309" t="s">
        <v>3463</v>
      </c>
      <c r="AP1309" t="s">
        <v>3463</v>
      </c>
      <c r="AQ1309" t="s">
        <v>2869</v>
      </c>
      <c r="AR1309" t="s">
        <v>3488</v>
      </c>
      <c r="AV1309" t="s">
        <v>74</v>
      </c>
      <c r="AW1309" t="s">
        <v>3915</v>
      </c>
      <c r="BF1309" t="s">
        <v>3921</v>
      </c>
      <c r="BG1309" t="s">
        <v>2870</v>
      </c>
      <c r="BH1309" t="s">
        <v>4076</v>
      </c>
      <c r="BI1309" t="s">
        <v>411</v>
      </c>
      <c r="BK1309" t="s">
        <v>2871</v>
      </c>
      <c r="BL1309" t="s">
        <v>2872</v>
      </c>
      <c r="BP1309" t="s">
        <v>4336</v>
      </c>
      <c r="BQ1309" t="s">
        <v>3463</v>
      </c>
      <c r="BR1309" t="s">
        <v>3465</v>
      </c>
      <c r="BS1309" t="s">
        <v>3465</v>
      </c>
      <c r="BT1309" t="s">
        <v>3465</v>
      </c>
      <c r="BU1309" t="s">
        <v>3463</v>
      </c>
      <c r="BV1309" t="s">
        <v>3463</v>
      </c>
      <c r="BW1309" t="s">
        <v>3463</v>
      </c>
      <c r="BX1309" t="s">
        <v>518</v>
      </c>
      <c r="BY1309" t="s">
        <v>79</v>
      </c>
      <c r="BZ1309" t="s">
        <v>95</v>
      </c>
      <c r="CA1309" s="10">
        <v>45912</v>
      </c>
    </row>
    <row r="1310" spans="1:79">
      <c r="A1310">
        <v>1323</v>
      </c>
      <c r="B1310">
        <v>244</v>
      </c>
      <c r="C1310">
        <v>65</v>
      </c>
      <c r="D1310" t="s">
        <v>3466</v>
      </c>
      <c r="F1310" t="s">
        <v>2407</v>
      </c>
      <c r="G1310" s="12" t="s">
        <v>3465</v>
      </c>
      <c r="H1310" t="s">
        <v>88</v>
      </c>
      <c r="I1310">
        <v>77</v>
      </c>
      <c r="K1310">
        <v>128</v>
      </c>
      <c r="L1310">
        <v>67</v>
      </c>
      <c r="M1310" t="s">
        <v>118</v>
      </c>
      <c r="P1310" t="s">
        <v>83</v>
      </c>
      <c r="Q1310" t="s">
        <v>118</v>
      </c>
      <c r="R1310">
        <v>71.5</v>
      </c>
      <c r="S1310">
        <v>152</v>
      </c>
      <c r="T1310" s="8">
        <f t="shared" si="41"/>
        <v>30.947022160664819</v>
      </c>
      <c r="U1310" s="13" t="str" cm="1">
        <f t="array" ref="U1310">IF(T1310="","",_xlfn.IFS(T1310&lt;18.5,"Bajo peso",T1310&lt;25,"Peso normal",T1310&lt;30,"Sobrepeso",T1310&lt;35,"Obesidad clase I",T1310&lt;40,"Obesidad clase II",T1310&gt;=40,"Obesidad clase III"))</f>
        <v>Obesidad clase I</v>
      </c>
      <c r="V1310">
        <v>135</v>
      </c>
      <c r="W1310">
        <v>135</v>
      </c>
      <c r="X1310" t="s">
        <v>3463</v>
      </c>
      <c r="Y1310">
        <v>1.47</v>
      </c>
      <c r="Z1310">
        <v>1.49</v>
      </c>
      <c r="AA1310">
        <v>40</v>
      </c>
      <c r="AB1310" s="9">
        <f t="shared" si="40"/>
        <v>39.376780961323398</v>
      </c>
      <c r="AC1310">
        <v>48</v>
      </c>
      <c r="AD1310" t="s">
        <v>218</v>
      </c>
      <c r="AE1310" t="s">
        <v>158</v>
      </c>
      <c r="AF1310" t="s">
        <v>158</v>
      </c>
      <c r="AH1310" t="s">
        <v>3463</v>
      </c>
      <c r="AI1310" t="s">
        <v>3463</v>
      </c>
      <c r="AJ1310" t="s">
        <v>3465</v>
      </c>
      <c r="AK1310" t="s">
        <v>3465</v>
      </c>
      <c r="AL1310" t="s">
        <v>3465</v>
      </c>
      <c r="AM1310" t="s">
        <v>2789</v>
      </c>
      <c r="AN1310" t="s">
        <v>576</v>
      </c>
      <c r="AO1310" t="s">
        <v>3465</v>
      </c>
      <c r="AP1310" t="s">
        <v>3465</v>
      </c>
      <c r="AQ1310" t="s">
        <v>2873</v>
      </c>
      <c r="AR1310" t="s">
        <v>3600</v>
      </c>
      <c r="AT1310" t="s">
        <v>3465</v>
      </c>
      <c r="AU1310" t="s">
        <v>80</v>
      </c>
      <c r="AV1310" t="s">
        <v>74</v>
      </c>
      <c r="AW1310" t="s">
        <v>3915</v>
      </c>
      <c r="AX1310" t="s">
        <v>3463</v>
      </c>
      <c r="AY1310" t="s">
        <v>3465</v>
      </c>
      <c r="AZ1310" t="s">
        <v>2874</v>
      </c>
      <c r="BD1310" t="s">
        <v>105</v>
      </c>
      <c r="BE1310" t="s">
        <v>576</v>
      </c>
      <c r="BF1310" t="s">
        <v>576</v>
      </c>
      <c r="BG1310" t="s">
        <v>2875</v>
      </c>
      <c r="BH1310" t="s">
        <v>4029</v>
      </c>
      <c r="BI1310" t="s">
        <v>1125</v>
      </c>
      <c r="BP1310" t="s">
        <v>4260</v>
      </c>
      <c r="BQ1310" t="s">
        <v>3465</v>
      </c>
      <c r="BR1310" t="s">
        <v>3463</v>
      </c>
      <c r="BS1310" t="s">
        <v>3463</v>
      </c>
      <c r="BT1310" t="s">
        <v>3463</v>
      </c>
      <c r="BU1310" t="s">
        <v>3463</v>
      </c>
      <c r="BV1310" t="s">
        <v>3463</v>
      </c>
      <c r="BW1310" t="s">
        <v>3463</v>
      </c>
      <c r="BX1310" t="s">
        <v>79</v>
      </c>
      <c r="BY1310" t="s">
        <v>79</v>
      </c>
      <c r="BZ1310" t="s">
        <v>79</v>
      </c>
      <c r="CA1310" s="10">
        <v>45912</v>
      </c>
    </row>
    <row r="1311" spans="1:79">
      <c r="A1311">
        <v>1324</v>
      </c>
      <c r="B1311">
        <v>245</v>
      </c>
      <c r="C1311">
        <v>27</v>
      </c>
      <c r="D1311" t="s">
        <v>3466</v>
      </c>
      <c r="E1311" t="s">
        <v>2416</v>
      </c>
      <c r="F1311" t="s">
        <v>2407</v>
      </c>
      <c r="G1311" s="12" t="s">
        <v>3463</v>
      </c>
      <c r="H1311" s="12"/>
      <c r="I1311">
        <v>68</v>
      </c>
      <c r="K1311">
        <v>134</v>
      </c>
      <c r="L1311">
        <v>92</v>
      </c>
      <c r="M1311" t="s">
        <v>72</v>
      </c>
      <c r="P1311" t="s">
        <v>83</v>
      </c>
      <c r="Q1311" t="s">
        <v>72</v>
      </c>
      <c r="R1311">
        <v>108.6</v>
      </c>
      <c r="S1311">
        <v>160</v>
      </c>
      <c r="T1311" s="8">
        <f t="shared" si="41"/>
        <v>42.421874999999993</v>
      </c>
      <c r="U1311" s="13" t="str" cm="1">
        <f t="array" ref="U1311">IF(T1311="","",_xlfn.IFS(T1311&lt;18.5,"Bajo peso",T1311&lt;25,"Peso normal",T1311&lt;30,"Sobrepeso",T1311&lt;35,"Obesidad clase I",T1311&lt;40,"Obesidad clase II",T1311&gt;=40,"Obesidad clase III"))</f>
        <v>Obesidad clase III</v>
      </c>
      <c r="V1311">
        <v>86</v>
      </c>
      <c r="X1311" t="s">
        <v>3463</v>
      </c>
      <c r="Y1311">
        <v>0.87</v>
      </c>
      <c r="AA1311">
        <v>90</v>
      </c>
      <c r="AB1311" s="9">
        <f t="shared" si="40"/>
        <v>93.59145453049301</v>
      </c>
      <c r="AD1311" t="s">
        <v>73</v>
      </c>
      <c r="AF1311" t="s">
        <v>73</v>
      </c>
      <c r="AH1311" t="s">
        <v>3463</v>
      </c>
      <c r="AI1311" t="s">
        <v>3463</v>
      </c>
      <c r="AJ1311" t="s">
        <v>3463</v>
      </c>
      <c r="AK1311" t="s">
        <v>3463</v>
      </c>
      <c r="AL1311" t="s">
        <v>3463</v>
      </c>
      <c r="AP1311" t="s">
        <v>3463</v>
      </c>
      <c r="AQ1311" t="s">
        <v>2876</v>
      </c>
      <c r="AR1311" t="s">
        <v>3553</v>
      </c>
      <c r="AT1311" t="s">
        <v>3463</v>
      </c>
      <c r="AV1311" t="s">
        <v>74</v>
      </c>
      <c r="AW1311" t="s">
        <v>3915</v>
      </c>
      <c r="AX1311" t="s">
        <v>3463</v>
      </c>
      <c r="AY1311" t="s">
        <v>3465</v>
      </c>
      <c r="AZ1311" t="s">
        <v>90</v>
      </c>
      <c r="BF1311" t="s">
        <v>3921</v>
      </c>
      <c r="BH1311" t="s">
        <v>4020</v>
      </c>
      <c r="BP1311" t="s">
        <v>4260</v>
      </c>
      <c r="BQ1311" t="s">
        <v>3463</v>
      </c>
      <c r="BR1311" t="s">
        <v>3465</v>
      </c>
      <c r="BS1311" t="s">
        <v>3463</v>
      </c>
      <c r="BT1311" t="s">
        <v>3463</v>
      </c>
      <c r="BU1311" t="s">
        <v>3463</v>
      </c>
      <c r="BV1311" t="s">
        <v>3463</v>
      </c>
      <c r="BW1311" t="s">
        <v>3463</v>
      </c>
      <c r="BX1311" t="s">
        <v>79</v>
      </c>
      <c r="BY1311" t="s">
        <v>79</v>
      </c>
      <c r="BZ1311" t="s">
        <v>79</v>
      </c>
      <c r="CA1311" s="10">
        <v>45912</v>
      </c>
    </row>
    <row r="1312" spans="1:79">
      <c r="A1312">
        <v>1325</v>
      </c>
      <c r="B1312">
        <v>246</v>
      </c>
      <c r="C1312">
        <v>38</v>
      </c>
      <c r="D1312" t="s">
        <v>3466</v>
      </c>
      <c r="E1312" t="s">
        <v>2416</v>
      </c>
      <c r="F1312" t="s">
        <v>2407</v>
      </c>
      <c r="G1312" s="12" t="s">
        <v>3465</v>
      </c>
      <c r="H1312" s="12" t="s">
        <v>88</v>
      </c>
      <c r="I1312">
        <v>97</v>
      </c>
      <c r="K1312">
        <v>122</v>
      </c>
      <c r="L1312">
        <v>74</v>
      </c>
      <c r="M1312" t="s">
        <v>118</v>
      </c>
      <c r="P1312" t="s">
        <v>83</v>
      </c>
      <c r="Q1312" t="s">
        <v>118</v>
      </c>
      <c r="R1312">
        <v>123.7</v>
      </c>
      <c r="S1312">
        <v>161</v>
      </c>
      <c r="T1312" s="8">
        <f t="shared" si="41"/>
        <v>47.721924308475749</v>
      </c>
      <c r="U1312" s="13" t="str" cm="1">
        <f t="array" ref="U1312">IF(T1312="","",_xlfn.IFS(T1312&lt;18.5,"Bajo peso",T1312&lt;25,"Peso normal",T1312&lt;30,"Sobrepeso",T1312&lt;35,"Obesidad clase I",T1312&lt;40,"Obesidad clase II",T1312&gt;=40,"Obesidad clase III"))</f>
        <v>Obesidad clase III</v>
      </c>
      <c r="V1312">
        <v>126</v>
      </c>
      <c r="X1312" t="s">
        <v>3463</v>
      </c>
      <c r="Y1312">
        <v>1.01</v>
      </c>
      <c r="AA1312">
        <v>73</v>
      </c>
      <c r="AB1312" s="9">
        <f t="shared" si="40"/>
        <v>73.073947346868678</v>
      </c>
      <c r="AD1312" t="s">
        <v>73</v>
      </c>
      <c r="AF1312" t="s">
        <v>73</v>
      </c>
      <c r="AH1312" t="s">
        <v>3463</v>
      </c>
      <c r="AI1312" t="s">
        <v>3463</v>
      </c>
      <c r="AJ1312" t="s">
        <v>3463</v>
      </c>
      <c r="AK1312" t="s">
        <v>3463</v>
      </c>
      <c r="AL1312" t="s">
        <v>3465</v>
      </c>
      <c r="AM1312" t="s">
        <v>2877</v>
      </c>
      <c r="AN1312" t="s">
        <v>3868</v>
      </c>
      <c r="AP1312" t="s">
        <v>3463</v>
      </c>
      <c r="AQ1312" t="s">
        <v>2878</v>
      </c>
      <c r="AR1312" t="s">
        <v>3488</v>
      </c>
      <c r="AT1312" t="s">
        <v>3463</v>
      </c>
      <c r="AV1312" t="s">
        <v>126</v>
      </c>
      <c r="AW1312" t="s">
        <v>126</v>
      </c>
      <c r="AX1312" t="s">
        <v>3463</v>
      </c>
      <c r="AY1312" t="s">
        <v>3465</v>
      </c>
      <c r="AZ1312" t="s">
        <v>90</v>
      </c>
      <c r="BB1312" t="s">
        <v>3485</v>
      </c>
      <c r="BC1312" t="s">
        <v>128</v>
      </c>
      <c r="BF1312" t="s">
        <v>3921</v>
      </c>
      <c r="BG1312" t="s">
        <v>1501</v>
      </c>
      <c r="BH1312" t="s">
        <v>4029</v>
      </c>
      <c r="BI1312" t="s">
        <v>411</v>
      </c>
      <c r="BK1312" t="s">
        <v>2785</v>
      </c>
      <c r="BL1312" t="s">
        <v>2879</v>
      </c>
      <c r="BP1312" t="s">
        <v>4336</v>
      </c>
      <c r="BQ1312" t="s">
        <v>3463</v>
      </c>
      <c r="BR1312" t="s">
        <v>3465</v>
      </c>
      <c r="BS1312" t="s">
        <v>3465</v>
      </c>
      <c r="BT1312" t="s">
        <v>3465</v>
      </c>
      <c r="BU1312" t="s">
        <v>3463</v>
      </c>
      <c r="BV1312" t="s">
        <v>3463</v>
      </c>
      <c r="BW1312" t="s">
        <v>3463</v>
      </c>
      <c r="BX1312" t="s">
        <v>518</v>
      </c>
      <c r="BY1312" t="s">
        <v>87</v>
      </c>
      <c r="BZ1312" t="s">
        <v>95</v>
      </c>
      <c r="CA1312" s="10">
        <v>45912</v>
      </c>
    </row>
    <row r="1313" spans="1:79">
      <c r="A1313">
        <v>1326</v>
      </c>
      <c r="B1313">
        <v>247</v>
      </c>
      <c r="C1313">
        <v>41</v>
      </c>
      <c r="D1313" t="s">
        <v>3466</v>
      </c>
      <c r="E1313" t="s">
        <v>2411</v>
      </c>
      <c r="F1313" t="s">
        <v>2407</v>
      </c>
      <c r="G1313" s="12" t="s">
        <v>3465</v>
      </c>
      <c r="H1313" s="12" t="s">
        <v>88</v>
      </c>
      <c r="I1313">
        <v>98</v>
      </c>
      <c r="J1313">
        <v>99</v>
      </c>
      <c r="K1313">
        <v>144</v>
      </c>
      <c r="L1313">
        <v>78</v>
      </c>
      <c r="M1313" t="s">
        <v>72</v>
      </c>
      <c r="N1313">
        <v>140</v>
      </c>
      <c r="O1313">
        <v>76</v>
      </c>
      <c r="P1313" t="s">
        <v>72</v>
      </c>
      <c r="Q1313" t="s">
        <v>72</v>
      </c>
      <c r="R1313">
        <v>70.400000000000006</v>
      </c>
      <c r="S1313">
        <v>158</v>
      </c>
      <c r="T1313" s="8">
        <f t="shared" si="41"/>
        <v>28.200608876782571</v>
      </c>
      <c r="U1313" s="13" t="str" cm="1">
        <f t="array" ref="U1313">IF(T1313="","",_xlfn.IFS(T1313&lt;18.5,"Bajo peso",T1313&lt;25,"Peso normal",T1313&lt;30,"Sobrepeso",T1313&lt;35,"Obesidad clase I",T1313&lt;40,"Obesidad clase II",T1313&gt;=40,"Obesidad clase III"))</f>
        <v>Sobrepeso</v>
      </c>
      <c r="V1313">
        <v>120</v>
      </c>
      <c r="W1313">
        <v>120</v>
      </c>
      <c r="X1313" t="s">
        <v>3463</v>
      </c>
      <c r="Y1313">
        <v>2.4700000000000002</v>
      </c>
      <c r="Z1313">
        <v>1.89</v>
      </c>
      <c r="AA1313">
        <v>24</v>
      </c>
      <c r="AB1313" s="9">
        <f t="shared" si="40"/>
        <v>24.524990610609827</v>
      </c>
      <c r="AC1313">
        <v>34</v>
      </c>
      <c r="AD1313" t="s">
        <v>303</v>
      </c>
      <c r="AE1313" t="s">
        <v>218</v>
      </c>
      <c r="AF1313" t="s">
        <v>218</v>
      </c>
      <c r="AH1313" t="s">
        <v>3463</v>
      </c>
      <c r="AI1313" t="s">
        <v>3463</v>
      </c>
      <c r="AJ1313" t="s">
        <v>3464</v>
      </c>
      <c r="AK1313" t="s">
        <v>3465</v>
      </c>
      <c r="AL1313" t="s">
        <v>3463</v>
      </c>
      <c r="AP1313" t="s">
        <v>3463</v>
      </c>
      <c r="AT1313" t="s">
        <v>3463</v>
      </c>
      <c r="AV1313" t="s">
        <v>126</v>
      </c>
      <c r="AW1313" t="s">
        <v>126</v>
      </c>
      <c r="AX1313" t="s">
        <v>3463</v>
      </c>
      <c r="AY1313" t="s">
        <v>3465</v>
      </c>
      <c r="AZ1313" t="s">
        <v>247</v>
      </c>
      <c r="BF1313" t="s">
        <v>3921</v>
      </c>
      <c r="BG1313" t="s">
        <v>2880</v>
      </c>
      <c r="BH1313" t="s">
        <v>4233</v>
      </c>
      <c r="BI1313" t="s">
        <v>2881</v>
      </c>
      <c r="BK1313" t="s">
        <v>2882</v>
      </c>
      <c r="BL1313" t="s">
        <v>2883</v>
      </c>
      <c r="BP1313" t="s">
        <v>4543</v>
      </c>
      <c r="BQ1313" t="s">
        <v>3463</v>
      </c>
      <c r="BR1313" t="s">
        <v>3463</v>
      </c>
      <c r="BS1313" t="s">
        <v>3465</v>
      </c>
      <c r="BT1313" t="s">
        <v>3465</v>
      </c>
      <c r="BU1313" t="s">
        <v>3463</v>
      </c>
      <c r="BV1313" t="s">
        <v>3463</v>
      </c>
      <c r="BW1313" t="s">
        <v>3463</v>
      </c>
      <c r="BX1313" t="s">
        <v>79</v>
      </c>
      <c r="BY1313" t="s">
        <v>121</v>
      </c>
      <c r="BZ1313" t="s">
        <v>95</v>
      </c>
      <c r="CA1313" s="10">
        <v>45912</v>
      </c>
    </row>
    <row r="1314" spans="1:79">
      <c r="A1314">
        <v>1327</v>
      </c>
      <c r="B1314">
        <v>248</v>
      </c>
      <c r="C1314">
        <v>59</v>
      </c>
      <c r="D1314" t="s">
        <v>3466</v>
      </c>
      <c r="E1314" t="s">
        <v>2860</v>
      </c>
      <c r="F1314" t="s">
        <v>2407</v>
      </c>
      <c r="G1314" s="12" t="s">
        <v>3463</v>
      </c>
      <c r="H1314" s="12"/>
      <c r="I1314">
        <v>83</v>
      </c>
      <c r="K1314">
        <v>124</v>
      </c>
      <c r="L1314">
        <v>70</v>
      </c>
      <c r="M1314" t="s">
        <v>118</v>
      </c>
      <c r="P1314" t="s">
        <v>83</v>
      </c>
      <c r="Q1314" t="s">
        <v>118</v>
      </c>
      <c r="R1314">
        <v>63.6</v>
      </c>
      <c r="S1314">
        <v>152</v>
      </c>
      <c r="T1314" s="8">
        <f t="shared" si="41"/>
        <v>27.52770083102493</v>
      </c>
      <c r="U1314" s="13" t="str" cm="1">
        <f t="array" ref="U1314">IF(T1314="","",_xlfn.IFS(T1314&lt;18.5,"Bajo peso",T1314&lt;25,"Peso normal",T1314&lt;30,"Sobrepeso",T1314&lt;35,"Obesidad clase I",T1314&lt;40,"Obesidad clase II",T1314&gt;=40,"Obesidad clase III"))</f>
        <v>Sobrepeso</v>
      </c>
      <c r="V1314">
        <v>149</v>
      </c>
      <c r="X1314" t="s">
        <v>3463</v>
      </c>
      <c r="Y1314">
        <v>1.36</v>
      </c>
      <c r="AA1314">
        <v>45</v>
      </c>
      <c r="AB1314" s="9">
        <f t="shared" si="40"/>
        <v>44.872510413618301</v>
      </c>
      <c r="AD1314" t="s">
        <v>158</v>
      </c>
      <c r="AF1314" t="s">
        <v>158</v>
      </c>
      <c r="AH1314" t="s">
        <v>3463</v>
      </c>
      <c r="AI1314" t="s">
        <v>3463</v>
      </c>
      <c r="AJ1314" t="s">
        <v>3463</v>
      </c>
      <c r="AK1314" t="s">
        <v>3463</v>
      </c>
      <c r="AL1314" t="s">
        <v>3465</v>
      </c>
      <c r="AM1314" t="s">
        <v>2884</v>
      </c>
      <c r="AN1314" t="s">
        <v>3669</v>
      </c>
      <c r="AO1314" t="s">
        <v>3463</v>
      </c>
      <c r="AP1314" t="s">
        <v>3465</v>
      </c>
      <c r="AQ1314" t="s">
        <v>1932</v>
      </c>
      <c r="AR1314" t="s">
        <v>3565</v>
      </c>
      <c r="AT1314" t="s">
        <v>3465</v>
      </c>
      <c r="AU1314" t="s">
        <v>1899</v>
      </c>
      <c r="AV1314" t="s">
        <v>74</v>
      </c>
      <c r="AW1314" t="s">
        <v>3915</v>
      </c>
      <c r="AX1314" t="s">
        <v>3463</v>
      </c>
      <c r="AY1314" t="s">
        <v>3465</v>
      </c>
      <c r="AZ1314" t="s">
        <v>104</v>
      </c>
      <c r="BE1314" t="s">
        <v>2885</v>
      </c>
      <c r="BF1314" t="s">
        <v>3989</v>
      </c>
      <c r="BG1314" t="s">
        <v>1501</v>
      </c>
      <c r="BH1314" t="s">
        <v>4029</v>
      </c>
      <c r="BI1314" t="s">
        <v>411</v>
      </c>
      <c r="BK1314" t="s">
        <v>2785</v>
      </c>
      <c r="BL1314" t="s">
        <v>1235</v>
      </c>
      <c r="BP1314" t="s">
        <v>4336</v>
      </c>
      <c r="BQ1314" t="s">
        <v>3463</v>
      </c>
      <c r="BR1314" t="s">
        <v>3463</v>
      </c>
      <c r="BS1314" t="s">
        <v>3463</v>
      </c>
      <c r="BT1314" t="s">
        <v>3465</v>
      </c>
      <c r="BU1314" t="s">
        <v>3465</v>
      </c>
      <c r="BV1314" t="s">
        <v>3465</v>
      </c>
      <c r="BW1314" t="s">
        <v>3463</v>
      </c>
      <c r="BX1314" t="s">
        <v>79</v>
      </c>
      <c r="BY1314" t="s">
        <v>79</v>
      </c>
      <c r="BZ1314" t="s">
        <v>95</v>
      </c>
      <c r="CA1314" s="10">
        <v>45912</v>
      </c>
    </row>
    <row r="1315" spans="1:79">
      <c r="A1315">
        <v>1328</v>
      </c>
      <c r="B1315">
        <v>249</v>
      </c>
      <c r="C1315">
        <v>61</v>
      </c>
      <c r="D1315" t="s">
        <v>3466</v>
      </c>
      <c r="E1315" t="s">
        <v>2592</v>
      </c>
      <c r="F1315" t="s">
        <v>2407</v>
      </c>
      <c r="G1315" s="12" t="s">
        <v>3463</v>
      </c>
      <c r="H1315" s="12"/>
      <c r="I1315">
        <v>88</v>
      </c>
      <c r="J1315">
        <v>86</v>
      </c>
      <c r="K1315">
        <v>143</v>
      </c>
      <c r="L1315">
        <v>76</v>
      </c>
      <c r="M1315" t="s">
        <v>72</v>
      </c>
      <c r="N1315">
        <v>137</v>
      </c>
      <c r="O1315">
        <v>78</v>
      </c>
      <c r="P1315" t="s">
        <v>82</v>
      </c>
      <c r="Q1315" t="s">
        <v>82</v>
      </c>
      <c r="R1315">
        <v>57.3</v>
      </c>
      <c r="S1315">
        <v>147.5</v>
      </c>
      <c r="T1315" s="8">
        <f t="shared" si="41"/>
        <v>26.337259408216028</v>
      </c>
      <c r="U1315" s="13" t="str" cm="1">
        <f t="array" ref="U1315">IF(T1315="","",_xlfn.IFS(T1315&lt;18.5,"Bajo peso",T1315&lt;25,"Peso normal",T1315&lt;30,"Sobrepeso",T1315&lt;35,"Obesidad clase I",T1315&lt;40,"Obesidad clase II",T1315&gt;=40,"Obesidad clase III"))</f>
        <v>Sobrepeso</v>
      </c>
      <c r="V1315">
        <v>201</v>
      </c>
      <c r="X1315" t="s">
        <v>3465</v>
      </c>
      <c r="Y1315">
        <v>0.89</v>
      </c>
      <c r="AA1315">
        <v>74</v>
      </c>
      <c r="AB1315" s="9">
        <f t="shared" si="40"/>
        <v>73.715197578320229</v>
      </c>
      <c r="AD1315" t="s">
        <v>73</v>
      </c>
      <c r="AF1315" t="s">
        <v>73</v>
      </c>
      <c r="AH1315" t="s">
        <v>3463</v>
      </c>
      <c r="AI1315" t="s">
        <v>3465</v>
      </c>
      <c r="AJ1315" t="s">
        <v>3465</v>
      </c>
      <c r="AK1315" t="s">
        <v>3463</v>
      </c>
      <c r="AL1315" t="s">
        <v>3465</v>
      </c>
      <c r="AM1315" t="s">
        <v>2886</v>
      </c>
      <c r="AN1315" t="s">
        <v>3869</v>
      </c>
      <c r="AO1315" t="s">
        <v>3463</v>
      </c>
      <c r="AP1315" t="s">
        <v>3465</v>
      </c>
      <c r="AQ1315" t="s">
        <v>2887</v>
      </c>
      <c r="AR1315" t="s">
        <v>3528</v>
      </c>
      <c r="AS1315" t="s">
        <v>3463</v>
      </c>
      <c r="AT1315" t="s">
        <v>3465</v>
      </c>
      <c r="AU1315" t="s">
        <v>80</v>
      </c>
      <c r="AV1315" t="s">
        <v>74</v>
      </c>
      <c r="AW1315" t="s">
        <v>3915</v>
      </c>
      <c r="AX1315" t="s">
        <v>3463</v>
      </c>
      <c r="AY1315" t="s">
        <v>3465</v>
      </c>
      <c r="AZ1315" t="s">
        <v>90</v>
      </c>
      <c r="BF1315" t="s">
        <v>3921</v>
      </c>
      <c r="BH1315" t="s">
        <v>4020</v>
      </c>
      <c r="BP1315" t="s">
        <v>4260</v>
      </c>
      <c r="BQ1315" t="s">
        <v>3463</v>
      </c>
      <c r="BR1315" t="s">
        <v>3463</v>
      </c>
      <c r="BS1315" t="s">
        <v>3463</v>
      </c>
      <c r="BT1315" t="s">
        <v>3463</v>
      </c>
      <c r="BU1315" t="s">
        <v>3463</v>
      </c>
      <c r="BV1315" t="s">
        <v>3463</v>
      </c>
      <c r="BW1315" t="s">
        <v>3463</v>
      </c>
      <c r="BX1315" t="s">
        <v>79</v>
      </c>
      <c r="BY1315" t="s">
        <v>79</v>
      </c>
      <c r="BZ1315" t="s">
        <v>79</v>
      </c>
      <c r="CA1315" s="10">
        <v>45912</v>
      </c>
    </row>
    <row r="1316" spans="1:79">
      <c r="A1316">
        <v>1329</v>
      </c>
      <c r="B1316">
        <v>250</v>
      </c>
      <c r="C1316">
        <v>58</v>
      </c>
      <c r="D1316" t="s">
        <v>3462</v>
      </c>
      <c r="E1316" t="s">
        <v>2830</v>
      </c>
      <c r="F1316" t="s">
        <v>2407</v>
      </c>
      <c r="G1316" s="12" t="s">
        <v>3463</v>
      </c>
      <c r="I1316">
        <v>85</v>
      </c>
      <c r="K1316">
        <v>110</v>
      </c>
      <c r="L1316">
        <v>62</v>
      </c>
      <c r="M1316" t="s">
        <v>80</v>
      </c>
      <c r="P1316" t="s">
        <v>83</v>
      </c>
      <c r="Q1316" t="s">
        <v>80</v>
      </c>
      <c r="R1316">
        <v>76.599999999999994</v>
      </c>
      <c r="S1316">
        <v>182</v>
      </c>
      <c r="T1316" s="8">
        <f t="shared" si="41"/>
        <v>23.125226421929714</v>
      </c>
      <c r="U1316" s="13" t="str" cm="1">
        <f t="array" ref="U1316">IF(T1316="","",_xlfn.IFS(T1316&lt;18.5,"Bajo peso",T1316&lt;25,"Peso normal",T1316&lt;30,"Sobrepeso",T1316&lt;35,"Obesidad clase I",T1316&lt;40,"Obesidad clase II",T1316&gt;=40,"Obesidad clase III"))</f>
        <v>Peso normal</v>
      </c>
      <c r="V1316">
        <v>107</v>
      </c>
      <c r="X1316" t="s">
        <v>3463</v>
      </c>
      <c r="Y1316">
        <v>1.36</v>
      </c>
      <c r="AA1316">
        <v>60</v>
      </c>
      <c r="AB1316" s="9">
        <f t="shared" si="40"/>
        <v>60.321790698612055</v>
      </c>
      <c r="AD1316" t="s">
        <v>73</v>
      </c>
      <c r="AF1316" t="s">
        <v>73</v>
      </c>
      <c r="AH1316" t="s">
        <v>3463</v>
      </c>
      <c r="AI1316" t="s">
        <v>3463</v>
      </c>
      <c r="AJ1316" t="s">
        <v>3463</v>
      </c>
      <c r="AK1316" t="s">
        <v>3463</v>
      </c>
      <c r="AL1316" t="s">
        <v>3463</v>
      </c>
      <c r="AP1316" t="s">
        <v>3463</v>
      </c>
      <c r="AQ1316" t="s">
        <v>2888</v>
      </c>
      <c r="AR1316" t="s">
        <v>3512</v>
      </c>
      <c r="AV1316" t="s">
        <v>126</v>
      </c>
      <c r="AW1316" t="s">
        <v>126</v>
      </c>
      <c r="BF1316" t="s">
        <v>3921</v>
      </c>
      <c r="BH1316" t="s">
        <v>4020</v>
      </c>
      <c r="BP1316" t="s">
        <v>4260</v>
      </c>
      <c r="BQ1316" t="s">
        <v>3463</v>
      </c>
      <c r="BR1316" t="s">
        <v>3463</v>
      </c>
      <c r="BS1316" t="s">
        <v>3463</v>
      </c>
      <c r="BT1316" t="s">
        <v>3463</v>
      </c>
      <c r="BU1316" t="s">
        <v>3463</v>
      </c>
      <c r="BV1316" t="s">
        <v>3463</v>
      </c>
      <c r="BW1316" t="s">
        <v>3463</v>
      </c>
      <c r="BX1316" t="s">
        <v>79</v>
      </c>
      <c r="BY1316" t="s">
        <v>87</v>
      </c>
      <c r="BZ1316" t="s">
        <v>95</v>
      </c>
      <c r="CA1316" s="10">
        <v>45912</v>
      </c>
    </row>
    <row r="1317" spans="1:79">
      <c r="A1317">
        <v>1330</v>
      </c>
      <c r="B1317">
        <v>251</v>
      </c>
      <c r="C1317">
        <v>50</v>
      </c>
      <c r="D1317" t="s">
        <v>3462</v>
      </c>
      <c r="E1317" t="s">
        <v>2416</v>
      </c>
      <c r="F1317" t="s">
        <v>2407</v>
      </c>
      <c r="G1317" s="12" t="s">
        <v>3463</v>
      </c>
      <c r="I1317">
        <v>78</v>
      </c>
      <c r="J1317">
        <v>82</v>
      </c>
      <c r="K1317">
        <v>141</v>
      </c>
      <c r="L1317">
        <v>79</v>
      </c>
      <c r="M1317" t="s">
        <v>72</v>
      </c>
      <c r="N1317">
        <v>114</v>
      </c>
      <c r="O1317">
        <v>70</v>
      </c>
      <c r="P1317" t="s">
        <v>80</v>
      </c>
      <c r="Q1317" t="s">
        <v>80</v>
      </c>
      <c r="R1317">
        <v>84.9</v>
      </c>
      <c r="S1317">
        <v>168</v>
      </c>
      <c r="T1317" s="8">
        <f t="shared" si="41"/>
        <v>30.080782312925173</v>
      </c>
      <c r="U1317" s="13" t="str" cm="1">
        <f t="array" ref="U1317">IF(T1317="","",_xlfn.IFS(T1317&lt;18.5,"Bajo peso",T1317&lt;25,"Peso normal",T1317&lt;30,"Sobrepeso",T1317&lt;35,"Obesidad clase I",T1317&lt;40,"Obesidad clase II",T1317&gt;=40,"Obesidad clase III"))</f>
        <v>Obesidad clase I</v>
      </c>
      <c r="V1317">
        <v>130</v>
      </c>
      <c r="X1317" t="s">
        <v>3463</v>
      </c>
      <c r="Y1317">
        <v>1.19</v>
      </c>
      <c r="AA1317">
        <v>74</v>
      </c>
      <c r="AB1317" s="9">
        <f t="shared" si="40"/>
        <v>74.417079567154303</v>
      </c>
      <c r="AD1317" t="s">
        <v>73</v>
      </c>
      <c r="AF1317" t="s">
        <v>73</v>
      </c>
      <c r="AH1317" t="s">
        <v>3463</v>
      </c>
      <c r="AI1317" t="s">
        <v>3463</v>
      </c>
      <c r="AJ1317" t="s">
        <v>3463</v>
      </c>
      <c r="AK1317" t="s">
        <v>3463</v>
      </c>
      <c r="AL1317" t="s">
        <v>3463</v>
      </c>
      <c r="AP1317" t="s">
        <v>3463</v>
      </c>
      <c r="AV1317" t="s">
        <v>74</v>
      </c>
      <c r="AW1317" t="s">
        <v>3915</v>
      </c>
      <c r="BF1317" t="s">
        <v>3921</v>
      </c>
      <c r="BH1317" t="s">
        <v>4020</v>
      </c>
      <c r="BP1317" t="s">
        <v>4260</v>
      </c>
      <c r="BQ1317" t="s">
        <v>3463</v>
      </c>
      <c r="BR1317" t="s">
        <v>3463</v>
      </c>
      <c r="BS1317" t="s">
        <v>3463</v>
      </c>
      <c r="BT1317" t="s">
        <v>3463</v>
      </c>
      <c r="BU1317" t="s">
        <v>3463</v>
      </c>
      <c r="BV1317" t="s">
        <v>3463</v>
      </c>
      <c r="BW1317" t="s">
        <v>3463</v>
      </c>
      <c r="BX1317" t="s">
        <v>79</v>
      </c>
      <c r="BY1317" t="s">
        <v>79</v>
      </c>
      <c r="BZ1317" t="s">
        <v>79</v>
      </c>
      <c r="CA1317" s="10">
        <v>45912</v>
      </c>
    </row>
    <row r="1318" spans="1:79">
      <c r="A1318">
        <v>1331</v>
      </c>
      <c r="B1318">
        <v>252</v>
      </c>
      <c r="C1318">
        <v>62</v>
      </c>
      <c r="D1318" t="s">
        <v>3466</v>
      </c>
      <c r="E1318" t="s">
        <v>2889</v>
      </c>
      <c r="F1318" t="s">
        <v>2407</v>
      </c>
      <c r="G1318" s="12" t="s">
        <v>3465</v>
      </c>
      <c r="H1318" t="s">
        <v>88</v>
      </c>
      <c r="I1318">
        <v>65</v>
      </c>
      <c r="J1318">
        <v>63</v>
      </c>
      <c r="K1318">
        <v>141</v>
      </c>
      <c r="L1318">
        <v>80</v>
      </c>
      <c r="M1318" t="s">
        <v>72</v>
      </c>
      <c r="N1318">
        <v>131</v>
      </c>
      <c r="O1318">
        <v>80</v>
      </c>
      <c r="P1318" t="s">
        <v>82</v>
      </c>
      <c r="Q1318" t="s">
        <v>82</v>
      </c>
      <c r="R1318">
        <v>81.5</v>
      </c>
      <c r="S1318">
        <v>144</v>
      </c>
      <c r="T1318" s="8">
        <f t="shared" si="41"/>
        <v>39.30362654320988</v>
      </c>
      <c r="U1318" s="13" t="str" cm="1">
        <f t="array" ref="U1318">IF(T1318="","",_xlfn.IFS(T1318&lt;18.5,"Bajo peso",T1318&lt;25,"Peso normal",T1318&lt;30,"Sobrepeso",T1318&lt;35,"Obesidad clase I",T1318&lt;40,"Obesidad clase II",T1318&gt;=40,"Obesidad clase III"))</f>
        <v>Obesidad clase II</v>
      </c>
      <c r="V1318">
        <v>192</v>
      </c>
      <c r="W1318">
        <v>192</v>
      </c>
      <c r="X1318" t="s">
        <v>3463</v>
      </c>
      <c r="Y1318">
        <v>1.59</v>
      </c>
      <c r="Z1318">
        <v>1.1399999999999999</v>
      </c>
      <c r="AA1318">
        <v>37</v>
      </c>
      <c r="AB1318" s="9">
        <f t="shared" si="40"/>
        <v>36.512997306732295</v>
      </c>
      <c r="AC1318">
        <v>54</v>
      </c>
      <c r="AD1318" t="s">
        <v>218</v>
      </c>
      <c r="AE1318" t="s">
        <v>158</v>
      </c>
      <c r="AF1318" t="s">
        <v>158</v>
      </c>
      <c r="AG1318" t="s">
        <v>3464</v>
      </c>
      <c r="AH1318" t="s">
        <v>3465</v>
      </c>
      <c r="AI1318" t="s">
        <v>3465</v>
      </c>
      <c r="AJ1318" t="s">
        <v>3463</v>
      </c>
      <c r="AK1318" t="s">
        <v>3463</v>
      </c>
      <c r="AL1318" t="s">
        <v>3464</v>
      </c>
      <c r="AO1318" t="s">
        <v>3463</v>
      </c>
      <c r="AP1318" t="s">
        <v>3465</v>
      </c>
      <c r="AS1318" t="s">
        <v>3464</v>
      </c>
      <c r="AV1318" t="s">
        <v>74</v>
      </c>
      <c r="AW1318" t="s">
        <v>3915</v>
      </c>
      <c r="BF1318" t="s">
        <v>3921</v>
      </c>
      <c r="BH1318" t="s">
        <v>4020</v>
      </c>
      <c r="BP1318" t="s">
        <v>4260</v>
      </c>
      <c r="BQ1318" t="s">
        <v>3463</v>
      </c>
      <c r="BR1318" t="s">
        <v>3463</v>
      </c>
      <c r="BS1318" t="s">
        <v>3463</v>
      </c>
      <c r="BT1318" t="s">
        <v>3463</v>
      </c>
      <c r="BU1318" t="s">
        <v>3463</v>
      </c>
      <c r="BV1318" t="s">
        <v>3463</v>
      </c>
      <c r="BW1318" t="s">
        <v>3463</v>
      </c>
      <c r="BX1318" t="s">
        <v>79</v>
      </c>
      <c r="BY1318" t="s">
        <v>79</v>
      </c>
      <c r="BZ1318" t="s">
        <v>79</v>
      </c>
      <c r="CA1318" s="10">
        <v>45912</v>
      </c>
    </row>
    <row r="1319" spans="1:79">
      <c r="A1319">
        <v>1332</v>
      </c>
      <c r="B1319">
        <v>253</v>
      </c>
      <c r="C1319">
        <v>71</v>
      </c>
      <c r="D1319" t="s">
        <v>3466</v>
      </c>
      <c r="E1319" t="s">
        <v>2550</v>
      </c>
      <c r="F1319" t="s">
        <v>2407</v>
      </c>
      <c r="G1319" s="12" t="s">
        <v>3465</v>
      </c>
      <c r="H1319" t="s">
        <v>88</v>
      </c>
      <c r="I1319">
        <v>64</v>
      </c>
      <c r="K1319">
        <v>80</v>
      </c>
      <c r="L1319">
        <v>51</v>
      </c>
      <c r="M1319" t="s">
        <v>80</v>
      </c>
      <c r="P1319" t="s">
        <v>83</v>
      </c>
      <c r="Q1319" t="s">
        <v>80</v>
      </c>
      <c r="R1319">
        <v>35.1</v>
      </c>
      <c r="S1319">
        <v>143</v>
      </c>
      <c r="T1319" s="8">
        <f t="shared" si="41"/>
        <v>17.164653528289893</v>
      </c>
      <c r="U1319" s="13" t="str" cm="1">
        <f t="array" ref="U1319">IF(T1319="","",_xlfn.IFS(T1319&lt;18.5,"Bajo peso",T1319&lt;25,"Peso normal",T1319&lt;30,"Sobrepeso",T1319&lt;35,"Obesidad clase I",T1319&lt;40,"Obesidad clase II",T1319&gt;=40,"Obesidad clase III"))</f>
        <v>Bajo peso</v>
      </c>
      <c r="V1319">
        <v>110</v>
      </c>
      <c r="W1319">
        <v>110</v>
      </c>
      <c r="X1319" t="s">
        <v>3463</v>
      </c>
      <c r="Y1319">
        <v>1.29</v>
      </c>
      <c r="Z1319">
        <v>1.43</v>
      </c>
      <c r="AA1319">
        <v>44</v>
      </c>
      <c r="AB1319" s="9">
        <f t="shared" si="40"/>
        <v>44.371827261349303</v>
      </c>
      <c r="AC1319">
        <v>39</v>
      </c>
      <c r="AD1319" t="s">
        <v>218</v>
      </c>
      <c r="AE1319" t="s">
        <v>218</v>
      </c>
      <c r="AF1319" t="s">
        <v>218</v>
      </c>
      <c r="AH1319" t="s">
        <v>3463</v>
      </c>
      <c r="AI1319" t="s">
        <v>3465</v>
      </c>
      <c r="AJ1319" t="s">
        <v>3463</v>
      </c>
      <c r="AK1319" t="s">
        <v>3463</v>
      </c>
      <c r="AL1319" t="s">
        <v>3465</v>
      </c>
      <c r="AM1319" t="s">
        <v>2890</v>
      </c>
      <c r="AN1319" t="s">
        <v>3870</v>
      </c>
      <c r="AO1319" t="s">
        <v>3463</v>
      </c>
      <c r="AP1319" t="s">
        <v>3465</v>
      </c>
      <c r="AQ1319" t="s">
        <v>2891</v>
      </c>
      <c r="AR1319" t="s">
        <v>3516</v>
      </c>
      <c r="AS1319" t="s">
        <v>3465</v>
      </c>
      <c r="AT1319" t="s">
        <v>3463</v>
      </c>
      <c r="AV1319" t="s">
        <v>112</v>
      </c>
      <c r="AW1319" t="s">
        <v>3917</v>
      </c>
      <c r="AX1319" t="s">
        <v>3463</v>
      </c>
      <c r="AY1319" t="s">
        <v>3465</v>
      </c>
      <c r="BA1319" t="s">
        <v>3920</v>
      </c>
      <c r="BF1319" t="s">
        <v>3921</v>
      </c>
      <c r="BG1319" t="s">
        <v>2892</v>
      </c>
      <c r="BH1319" t="s">
        <v>4234</v>
      </c>
      <c r="BI1319" t="s">
        <v>2733</v>
      </c>
      <c r="BK1319" t="s">
        <v>2893</v>
      </c>
      <c r="BL1319" t="s">
        <v>2206</v>
      </c>
      <c r="BP1319" t="s">
        <v>4260</v>
      </c>
      <c r="BQ1319" t="s">
        <v>3463</v>
      </c>
      <c r="BR1319" t="s">
        <v>3463</v>
      </c>
      <c r="BS1319" t="s">
        <v>3465</v>
      </c>
      <c r="BT1319" t="s">
        <v>3465</v>
      </c>
      <c r="BU1319" t="s">
        <v>3463</v>
      </c>
      <c r="BV1319" t="s">
        <v>3463</v>
      </c>
      <c r="BW1319" t="s">
        <v>3463</v>
      </c>
      <c r="BX1319" t="s">
        <v>79</v>
      </c>
      <c r="BY1319" t="s">
        <v>121</v>
      </c>
      <c r="BZ1319" t="s">
        <v>79</v>
      </c>
      <c r="CA1319" s="10">
        <v>45912</v>
      </c>
    </row>
    <row r="1320" spans="1:79">
      <c r="A1320">
        <v>1333</v>
      </c>
      <c r="B1320">
        <v>254</v>
      </c>
      <c r="C1320">
        <v>29</v>
      </c>
      <c r="D1320" t="s">
        <v>3466</v>
      </c>
      <c r="E1320" t="s">
        <v>2416</v>
      </c>
      <c r="F1320" t="s">
        <v>2407</v>
      </c>
      <c r="G1320" s="12" t="s">
        <v>3463</v>
      </c>
      <c r="H1320" s="12"/>
      <c r="I1320">
        <v>72</v>
      </c>
      <c r="K1320">
        <v>134</v>
      </c>
      <c r="L1320">
        <v>75</v>
      </c>
      <c r="M1320" t="s">
        <v>82</v>
      </c>
      <c r="P1320" t="s">
        <v>83</v>
      </c>
      <c r="Q1320" t="s">
        <v>82</v>
      </c>
      <c r="R1320">
        <v>88.7</v>
      </c>
      <c r="S1320">
        <v>163</v>
      </c>
      <c r="T1320" s="8">
        <f t="shared" si="41"/>
        <v>33.384771726448122</v>
      </c>
      <c r="U1320" s="13" t="str" cm="1">
        <f t="array" ref="U1320">IF(T1320="","",_xlfn.IFS(T1320&lt;18.5,"Bajo peso",T1320&lt;25,"Peso normal",T1320&lt;30,"Sobrepeso",T1320&lt;35,"Obesidad clase I",T1320&lt;40,"Obesidad clase II",T1320&gt;=40,"Obesidad clase III"))</f>
        <v>Obesidad clase I</v>
      </c>
      <c r="V1320">
        <v>107</v>
      </c>
      <c r="X1320" t="s">
        <v>3463</v>
      </c>
      <c r="Y1320">
        <v>1.27</v>
      </c>
      <c r="AA1320">
        <v>59</v>
      </c>
      <c r="AB1320" s="9">
        <f t="shared" si="40"/>
        <v>58.707396298343653</v>
      </c>
      <c r="AD1320" t="s">
        <v>158</v>
      </c>
      <c r="AF1320" t="s">
        <v>158</v>
      </c>
      <c r="AH1320" t="s">
        <v>3463</v>
      </c>
      <c r="AI1320" t="s">
        <v>3463</v>
      </c>
      <c r="AJ1320" t="s">
        <v>3463</v>
      </c>
      <c r="AK1320" t="s">
        <v>3463</v>
      </c>
      <c r="AL1320" t="s">
        <v>3463</v>
      </c>
      <c r="AP1320" t="s">
        <v>3463</v>
      </c>
      <c r="AT1320" t="s">
        <v>3463</v>
      </c>
      <c r="AV1320" t="s">
        <v>126</v>
      </c>
      <c r="AW1320" t="s">
        <v>126</v>
      </c>
      <c r="AX1320" t="s">
        <v>3463</v>
      </c>
      <c r="AY1320" t="s">
        <v>3465</v>
      </c>
      <c r="AZ1320" t="s">
        <v>104</v>
      </c>
      <c r="BF1320" t="s">
        <v>3921</v>
      </c>
      <c r="BH1320" t="s">
        <v>4029</v>
      </c>
      <c r="BL1320" t="s">
        <v>2328</v>
      </c>
      <c r="BP1320" t="s">
        <v>4260</v>
      </c>
      <c r="BQ1320" t="s">
        <v>3463</v>
      </c>
      <c r="BR1320" t="s">
        <v>3465</v>
      </c>
      <c r="BS1320" t="s">
        <v>3465</v>
      </c>
      <c r="BT1320" t="s">
        <v>3463</v>
      </c>
      <c r="BU1320" t="s">
        <v>3463</v>
      </c>
      <c r="BV1320" t="s">
        <v>3463</v>
      </c>
      <c r="BW1320" t="s">
        <v>3463</v>
      </c>
      <c r="BX1320" t="s">
        <v>518</v>
      </c>
      <c r="BY1320" t="s">
        <v>87</v>
      </c>
      <c r="BZ1320" t="s">
        <v>95</v>
      </c>
      <c r="CA1320" s="10">
        <v>45912</v>
      </c>
    </row>
    <row r="1321" spans="1:79">
      <c r="A1321">
        <v>1334</v>
      </c>
      <c r="B1321">
        <v>255</v>
      </c>
      <c r="C1321">
        <v>56</v>
      </c>
      <c r="D1321" t="s">
        <v>3466</v>
      </c>
      <c r="E1321" t="s">
        <v>450</v>
      </c>
      <c r="F1321" t="s">
        <v>2407</v>
      </c>
      <c r="G1321" s="12" t="s">
        <v>3465</v>
      </c>
      <c r="H1321" t="s">
        <v>88</v>
      </c>
      <c r="I1321">
        <v>70</v>
      </c>
      <c r="J1321">
        <v>72</v>
      </c>
      <c r="K1321">
        <v>159</v>
      </c>
      <c r="L1321">
        <v>88</v>
      </c>
      <c r="M1321" t="s">
        <v>72</v>
      </c>
      <c r="N1321">
        <v>134</v>
      </c>
      <c r="O1321">
        <v>83</v>
      </c>
      <c r="P1321" t="s">
        <v>82</v>
      </c>
      <c r="Q1321" t="s">
        <v>82</v>
      </c>
      <c r="R1321">
        <v>83.3</v>
      </c>
      <c r="S1321">
        <v>155.5</v>
      </c>
      <c r="T1321" s="8">
        <f t="shared" si="41"/>
        <v>34.449602464821496</v>
      </c>
      <c r="U1321" s="13" t="str" cm="1">
        <f t="array" ref="U1321">IF(T1321="","",_xlfn.IFS(T1321&lt;18.5,"Bajo peso",T1321&lt;25,"Peso normal",T1321&lt;30,"Sobrepeso",T1321&lt;35,"Obesidad clase I",T1321&lt;40,"Obesidad clase II",T1321&gt;=40,"Obesidad clase III"))</f>
        <v>Obesidad clase I</v>
      </c>
      <c r="V1321">
        <v>119</v>
      </c>
      <c r="X1321" t="s">
        <v>3463</v>
      </c>
      <c r="Y1321">
        <v>1.05</v>
      </c>
      <c r="AA1321">
        <v>63</v>
      </c>
      <c r="AB1321" s="9">
        <f t="shared" si="40"/>
        <v>62.359542589070635</v>
      </c>
      <c r="AD1321" t="s">
        <v>73</v>
      </c>
      <c r="AF1321" t="s">
        <v>73</v>
      </c>
      <c r="AH1321" t="s">
        <v>3463</v>
      </c>
      <c r="AI1321" t="s">
        <v>3463</v>
      </c>
      <c r="AJ1321" t="s">
        <v>3463</v>
      </c>
      <c r="AK1321" t="s">
        <v>3463</v>
      </c>
      <c r="AL1321" t="s">
        <v>3463</v>
      </c>
      <c r="AP1321" t="s">
        <v>3463</v>
      </c>
      <c r="AQ1321" t="s">
        <v>159</v>
      </c>
      <c r="AR1321" t="s">
        <v>3491</v>
      </c>
      <c r="AT1321" t="s">
        <v>3465</v>
      </c>
      <c r="AU1321" t="s">
        <v>80</v>
      </c>
      <c r="AV1321" t="s">
        <v>74</v>
      </c>
      <c r="AW1321" t="s">
        <v>3915</v>
      </c>
      <c r="AX1321" t="s">
        <v>3463</v>
      </c>
      <c r="AY1321" t="s">
        <v>3465</v>
      </c>
      <c r="AZ1321" t="s">
        <v>90</v>
      </c>
      <c r="BF1321" t="s">
        <v>3921</v>
      </c>
      <c r="BH1321" t="s">
        <v>4020</v>
      </c>
      <c r="BP1321" t="s">
        <v>4260</v>
      </c>
      <c r="BQ1321" t="s">
        <v>3463</v>
      </c>
      <c r="BR1321" t="s">
        <v>3465</v>
      </c>
      <c r="BS1321" t="s">
        <v>3463</v>
      </c>
      <c r="BT1321" t="s">
        <v>3463</v>
      </c>
      <c r="BU1321" t="s">
        <v>3463</v>
      </c>
      <c r="BV1321" t="s">
        <v>3463</v>
      </c>
      <c r="BW1321" t="s">
        <v>3463</v>
      </c>
      <c r="BX1321" t="s">
        <v>79</v>
      </c>
      <c r="BY1321" t="s">
        <v>79</v>
      </c>
      <c r="BZ1321" t="s">
        <v>79</v>
      </c>
      <c r="CA1321" s="10">
        <v>45912</v>
      </c>
    </row>
    <row r="1322" spans="1:79">
      <c r="A1322">
        <v>1335</v>
      </c>
      <c r="B1322">
        <v>256</v>
      </c>
      <c r="C1322">
        <v>57</v>
      </c>
      <c r="D1322" t="s">
        <v>3466</v>
      </c>
      <c r="E1322" t="s">
        <v>2411</v>
      </c>
      <c r="F1322" t="s">
        <v>2407</v>
      </c>
      <c r="G1322" s="12" t="s">
        <v>3465</v>
      </c>
      <c r="H1322" t="s">
        <v>88</v>
      </c>
      <c r="I1322">
        <v>71</v>
      </c>
      <c r="J1322">
        <v>75</v>
      </c>
      <c r="K1322">
        <v>147</v>
      </c>
      <c r="L1322">
        <v>71</v>
      </c>
      <c r="M1322" t="s">
        <v>72</v>
      </c>
      <c r="N1322">
        <v>138</v>
      </c>
      <c r="O1322">
        <v>75</v>
      </c>
      <c r="P1322" t="s">
        <v>82</v>
      </c>
      <c r="Q1322" t="s">
        <v>82</v>
      </c>
      <c r="R1322">
        <v>67</v>
      </c>
      <c r="S1322">
        <v>151</v>
      </c>
      <c r="T1322" s="8">
        <f t="shared" si="41"/>
        <v>29.384676110696898</v>
      </c>
      <c r="U1322" s="13" t="str" cm="1">
        <f t="array" ref="U1322">IF(T1322="","",_xlfn.IFS(T1322&lt;18.5,"Bajo peso",T1322&lt;25,"Peso normal",T1322&lt;30,"Sobrepeso",T1322&lt;35,"Obesidad clase I",T1322&lt;40,"Obesidad clase II",T1322&gt;=40,"Obesidad clase III"))</f>
        <v>Sobrepeso</v>
      </c>
      <c r="V1322">
        <v>99</v>
      </c>
      <c r="X1322" t="s">
        <v>3463</v>
      </c>
      <c r="Y1322">
        <v>1.24</v>
      </c>
      <c r="AA1322">
        <v>51</v>
      </c>
      <c r="AB1322" s="9">
        <f t="shared" si="40"/>
        <v>50.760167912341196</v>
      </c>
      <c r="AD1322" t="s">
        <v>158</v>
      </c>
      <c r="AF1322" t="s">
        <v>158</v>
      </c>
      <c r="AH1322" t="s">
        <v>3463</v>
      </c>
      <c r="AI1322" t="s">
        <v>3463</v>
      </c>
      <c r="AJ1322" t="s">
        <v>3463</v>
      </c>
      <c r="AK1322" t="s">
        <v>3463</v>
      </c>
      <c r="AL1322" t="s">
        <v>3465</v>
      </c>
      <c r="AM1322" t="s">
        <v>2894</v>
      </c>
      <c r="AN1322" t="s">
        <v>3871</v>
      </c>
      <c r="AP1322" t="s">
        <v>3463</v>
      </c>
      <c r="AQ1322" t="s">
        <v>159</v>
      </c>
      <c r="AR1322" t="s">
        <v>3491</v>
      </c>
      <c r="AT1322" t="s">
        <v>3465</v>
      </c>
      <c r="AU1322" t="s">
        <v>80</v>
      </c>
      <c r="AV1322" t="s">
        <v>126</v>
      </c>
      <c r="AW1322" t="s">
        <v>126</v>
      </c>
      <c r="AX1322" t="s">
        <v>3463</v>
      </c>
      <c r="AY1322" t="s">
        <v>3465</v>
      </c>
      <c r="AZ1322" t="s">
        <v>247</v>
      </c>
      <c r="BF1322" t="s">
        <v>3921</v>
      </c>
      <c r="BH1322" t="s">
        <v>4020</v>
      </c>
      <c r="BP1322" t="s">
        <v>4260</v>
      </c>
      <c r="BQ1322" t="s">
        <v>3463</v>
      </c>
      <c r="BR1322" t="s">
        <v>3465</v>
      </c>
      <c r="BS1322" t="s">
        <v>3465</v>
      </c>
      <c r="BT1322" t="s">
        <v>3465</v>
      </c>
      <c r="BU1322" t="s">
        <v>3463</v>
      </c>
      <c r="BV1322" t="s">
        <v>3463</v>
      </c>
      <c r="BW1322" t="s">
        <v>3463</v>
      </c>
      <c r="BX1322" t="s">
        <v>79</v>
      </c>
      <c r="BY1322" t="s">
        <v>87</v>
      </c>
      <c r="BZ1322" t="s">
        <v>79</v>
      </c>
      <c r="CA1322" s="10">
        <v>45912</v>
      </c>
    </row>
    <row r="1323" spans="1:79">
      <c r="A1323">
        <v>1336</v>
      </c>
      <c r="B1323">
        <v>257</v>
      </c>
      <c r="C1323">
        <v>43</v>
      </c>
      <c r="D1323" t="s">
        <v>3466</v>
      </c>
      <c r="E1323" t="s">
        <v>2411</v>
      </c>
      <c r="F1323" t="s">
        <v>2407</v>
      </c>
      <c r="G1323" s="12" t="s">
        <v>3465</v>
      </c>
      <c r="H1323" s="12" t="s">
        <v>88</v>
      </c>
      <c r="I1323">
        <v>100</v>
      </c>
      <c r="J1323">
        <v>98</v>
      </c>
      <c r="K1323">
        <v>154</v>
      </c>
      <c r="L1323">
        <v>102</v>
      </c>
      <c r="M1323" t="s">
        <v>72</v>
      </c>
      <c r="N1323">
        <v>150</v>
      </c>
      <c r="O1323">
        <v>96</v>
      </c>
      <c r="P1323" t="s">
        <v>72</v>
      </c>
      <c r="Q1323" t="s">
        <v>72</v>
      </c>
      <c r="R1323">
        <v>84.2</v>
      </c>
      <c r="S1323">
        <v>167</v>
      </c>
      <c r="T1323" s="8">
        <f t="shared" si="41"/>
        <v>30.191114776435157</v>
      </c>
      <c r="U1323" s="13" t="str" cm="1">
        <f t="array" ref="U1323">IF(T1323="","",_xlfn.IFS(T1323&lt;18.5,"Bajo peso",T1323&lt;25,"Peso normal",T1323&lt;30,"Sobrepeso",T1323&lt;35,"Obesidad clase I",T1323&lt;40,"Obesidad clase II",T1323&gt;=40,"Obesidad clase III"))</f>
        <v>Obesidad clase I</v>
      </c>
      <c r="V1323">
        <v>139</v>
      </c>
      <c r="X1323" t="s">
        <v>3463</v>
      </c>
      <c r="Y1323">
        <v>0.91</v>
      </c>
      <c r="AA1323">
        <v>80</v>
      </c>
      <c r="AB1323" s="9">
        <f t="shared" ref="AB1323:AB1386" si="42">IF(OR(C1323="",D1323="",Y1323=""),"",142*POWER(MIN(Y1323/IF(D1323="Mujer",0.7,0.9),1),IF(D1323="Mujer",-0.241,-0.302))*POWER(MAX(Y1323/IF(D1323="Mujer",0.7,0.9),1),-1.2)*POWER(0.9938,C1323)*IF(D1323="Mujer",1.012,1))</f>
        <v>80.277438721827522</v>
      </c>
      <c r="AD1323" t="s">
        <v>73</v>
      </c>
      <c r="AF1323" t="s">
        <v>73</v>
      </c>
      <c r="AH1323" t="s">
        <v>3463</v>
      </c>
      <c r="AI1323" t="s">
        <v>3463</v>
      </c>
      <c r="AJ1323" t="s">
        <v>3463</v>
      </c>
      <c r="AK1323" t="s">
        <v>3463</v>
      </c>
      <c r="AL1323" t="s">
        <v>3465</v>
      </c>
      <c r="AM1323" t="s">
        <v>457</v>
      </c>
      <c r="AN1323" t="s">
        <v>3617</v>
      </c>
      <c r="AO1323" t="s">
        <v>3463</v>
      </c>
      <c r="AP1323" t="s">
        <v>3465</v>
      </c>
      <c r="AQ1323" t="s">
        <v>2895</v>
      </c>
      <c r="AR1323" t="s">
        <v>3563</v>
      </c>
      <c r="AT1323" t="s">
        <v>3465</v>
      </c>
      <c r="AU1323" t="s">
        <v>80</v>
      </c>
      <c r="AV1323" t="s">
        <v>74</v>
      </c>
      <c r="AW1323" t="s">
        <v>3915</v>
      </c>
      <c r="AX1323" t="s">
        <v>3463</v>
      </c>
      <c r="AY1323" t="s">
        <v>3463</v>
      </c>
      <c r="BC1323" t="s">
        <v>128</v>
      </c>
      <c r="BF1323" t="s">
        <v>3921</v>
      </c>
      <c r="BG1323" t="s">
        <v>2896</v>
      </c>
      <c r="BH1323" t="s">
        <v>4170</v>
      </c>
      <c r="BI1323" t="s">
        <v>734</v>
      </c>
      <c r="BK1323" t="s">
        <v>2897</v>
      </c>
      <c r="BL1323" t="s">
        <v>2898</v>
      </c>
      <c r="BP1323" t="s">
        <v>4270</v>
      </c>
      <c r="BQ1323" t="s">
        <v>3463</v>
      </c>
      <c r="BR1323" t="s">
        <v>3463</v>
      </c>
      <c r="BS1323" t="s">
        <v>3463</v>
      </c>
      <c r="BT1323" t="s">
        <v>3463</v>
      </c>
      <c r="BU1323" t="s">
        <v>3463</v>
      </c>
      <c r="BV1323" t="s">
        <v>3463</v>
      </c>
      <c r="BW1323" t="s">
        <v>3463</v>
      </c>
      <c r="BX1323" t="s">
        <v>79</v>
      </c>
      <c r="BY1323" t="s">
        <v>79</v>
      </c>
      <c r="BZ1323" t="s">
        <v>563</v>
      </c>
      <c r="CA1323" s="10">
        <v>45912</v>
      </c>
    </row>
    <row r="1324" spans="1:79">
      <c r="A1324">
        <v>1337</v>
      </c>
      <c r="B1324">
        <v>258</v>
      </c>
      <c r="C1324">
        <v>33</v>
      </c>
      <c r="D1324" t="s">
        <v>3466</v>
      </c>
      <c r="E1324" t="s">
        <v>2416</v>
      </c>
      <c r="F1324" t="s">
        <v>2407</v>
      </c>
      <c r="G1324" s="12" t="s">
        <v>3463</v>
      </c>
      <c r="I1324">
        <v>78</v>
      </c>
      <c r="J1324">
        <v>76</v>
      </c>
      <c r="K1324">
        <v>133</v>
      </c>
      <c r="L1324">
        <v>98</v>
      </c>
      <c r="M1324" t="s">
        <v>72</v>
      </c>
      <c r="N1324">
        <v>133</v>
      </c>
      <c r="O1324">
        <v>90</v>
      </c>
      <c r="P1324" t="s">
        <v>72</v>
      </c>
      <c r="Q1324" t="s">
        <v>72</v>
      </c>
      <c r="R1324">
        <v>82.2</v>
      </c>
      <c r="S1324">
        <v>159</v>
      </c>
      <c r="T1324" s="8">
        <f t="shared" si="41"/>
        <v>32.514536608520231</v>
      </c>
      <c r="U1324" s="13" t="str" cm="1">
        <f t="array" ref="U1324">IF(T1324="","",_xlfn.IFS(T1324&lt;18.5,"Bajo peso",T1324&lt;25,"Peso normal",T1324&lt;30,"Sobrepeso",T1324&lt;35,"Obesidad clase I",T1324&lt;40,"Obesidad clase II",T1324&gt;=40,"Obesidad clase III"))</f>
        <v>Obesidad clase I</v>
      </c>
      <c r="V1324">
        <v>99</v>
      </c>
      <c r="X1324" t="s">
        <v>3463</v>
      </c>
      <c r="Y1324">
        <v>1.0900000000000001</v>
      </c>
      <c r="AA1324">
        <v>69</v>
      </c>
      <c r="AB1324" s="9">
        <f t="shared" si="42"/>
        <v>68.792557718468856</v>
      </c>
      <c r="AD1324" t="s">
        <v>73</v>
      </c>
      <c r="AF1324" t="s">
        <v>73</v>
      </c>
      <c r="AH1324" t="s">
        <v>3463</v>
      </c>
      <c r="AI1324" t="s">
        <v>3463</v>
      </c>
      <c r="AJ1324" t="s">
        <v>3463</v>
      </c>
      <c r="AK1324" t="s">
        <v>3463</v>
      </c>
      <c r="AL1324" t="s">
        <v>3465</v>
      </c>
      <c r="AM1324" t="s">
        <v>2899</v>
      </c>
      <c r="AN1324" t="s">
        <v>3661</v>
      </c>
      <c r="AP1324" t="s">
        <v>3463</v>
      </c>
      <c r="AQ1324" t="s">
        <v>2900</v>
      </c>
      <c r="AR1324" t="s">
        <v>3494</v>
      </c>
      <c r="AT1324" t="s">
        <v>3463</v>
      </c>
      <c r="AV1324" t="s">
        <v>178</v>
      </c>
      <c r="AW1324" t="s">
        <v>3918</v>
      </c>
      <c r="AX1324" t="s">
        <v>3463</v>
      </c>
      <c r="AY1324" t="s">
        <v>3465</v>
      </c>
      <c r="AZ1324" t="s">
        <v>247</v>
      </c>
      <c r="BF1324" t="s">
        <v>3921</v>
      </c>
      <c r="BH1324" t="s">
        <v>4020</v>
      </c>
      <c r="BP1324" t="s">
        <v>4260</v>
      </c>
      <c r="BQ1324" t="s">
        <v>3465</v>
      </c>
      <c r="BR1324" t="s">
        <v>3465</v>
      </c>
      <c r="BS1324" t="s">
        <v>3465</v>
      </c>
      <c r="BT1324" t="s">
        <v>3465</v>
      </c>
      <c r="BU1324" t="s">
        <v>3463</v>
      </c>
      <c r="BV1324" t="s">
        <v>3463</v>
      </c>
      <c r="BW1324" t="s">
        <v>3463</v>
      </c>
      <c r="BX1324" t="s">
        <v>79</v>
      </c>
      <c r="BY1324" t="s">
        <v>87</v>
      </c>
      <c r="BZ1324" t="s">
        <v>79</v>
      </c>
      <c r="CA1324" s="10">
        <v>45912</v>
      </c>
    </row>
    <row r="1325" spans="1:79">
      <c r="A1325">
        <v>1338</v>
      </c>
      <c r="B1325">
        <v>259</v>
      </c>
      <c r="C1325">
        <v>57</v>
      </c>
      <c r="D1325" t="s">
        <v>3466</v>
      </c>
      <c r="E1325" t="s">
        <v>2901</v>
      </c>
      <c r="F1325" t="s">
        <v>2407</v>
      </c>
      <c r="G1325" s="12" t="s">
        <v>3465</v>
      </c>
      <c r="H1325" s="12" t="s">
        <v>88</v>
      </c>
      <c r="I1325">
        <v>85</v>
      </c>
      <c r="J1325">
        <v>85</v>
      </c>
      <c r="K1325">
        <v>147</v>
      </c>
      <c r="L1325">
        <v>90</v>
      </c>
      <c r="M1325" t="s">
        <v>72</v>
      </c>
      <c r="N1325">
        <v>124</v>
      </c>
      <c r="O1325">
        <v>85</v>
      </c>
      <c r="P1325" t="s">
        <v>82</v>
      </c>
      <c r="Q1325" t="s">
        <v>82</v>
      </c>
      <c r="R1325">
        <v>72.8</v>
      </c>
      <c r="S1325">
        <v>147</v>
      </c>
      <c r="T1325" s="8">
        <f t="shared" si="41"/>
        <v>33.689666342727563</v>
      </c>
      <c r="U1325" s="13" t="str" cm="1">
        <f t="array" ref="U1325">IF(T1325="","",_xlfn.IFS(T1325&lt;18.5,"Bajo peso",T1325&lt;25,"Peso normal",T1325&lt;30,"Sobrepeso",T1325&lt;35,"Obesidad clase I",T1325&lt;40,"Obesidad clase II",T1325&gt;=40,"Obesidad clase III"))</f>
        <v>Obesidad clase I</v>
      </c>
      <c r="V1325">
        <v>110</v>
      </c>
      <c r="X1325" t="s">
        <v>3463</v>
      </c>
      <c r="Y1325">
        <v>0.77</v>
      </c>
      <c r="AA1325">
        <v>90</v>
      </c>
      <c r="AB1325" s="9">
        <f t="shared" si="42"/>
        <v>89.916667371428943</v>
      </c>
      <c r="AD1325" t="s">
        <v>73</v>
      </c>
      <c r="AF1325" t="s">
        <v>73</v>
      </c>
      <c r="AG1325" t="s">
        <v>3463</v>
      </c>
      <c r="AH1325" t="s">
        <v>3465</v>
      </c>
      <c r="AI1325" t="s">
        <v>3465</v>
      </c>
      <c r="AJ1325" t="s">
        <v>3464</v>
      </c>
      <c r="AK1325" t="s">
        <v>3465</v>
      </c>
      <c r="AL1325" t="s">
        <v>3464</v>
      </c>
      <c r="AO1325" t="s">
        <v>3465</v>
      </c>
      <c r="AP1325" t="s">
        <v>3465</v>
      </c>
      <c r="AQ1325" t="s">
        <v>2902</v>
      </c>
      <c r="AR1325" t="s">
        <v>3509</v>
      </c>
      <c r="AS1325" t="s">
        <v>3463</v>
      </c>
      <c r="AT1325" t="s">
        <v>3465</v>
      </c>
      <c r="AU1325" t="s">
        <v>80</v>
      </c>
      <c r="AV1325" t="s">
        <v>74</v>
      </c>
      <c r="AW1325" t="s">
        <v>3915</v>
      </c>
      <c r="AY1325" t="s">
        <v>3465</v>
      </c>
      <c r="AZ1325" t="s">
        <v>90</v>
      </c>
      <c r="BF1325" t="s">
        <v>3921</v>
      </c>
      <c r="BH1325" t="s">
        <v>4020</v>
      </c>
      <c r="BP1325" t="s">
        <v>4260</v>
      </c>
      <c r="BQ1325" t="s">
        <v>3463</v>
      </c>
      <c r="BR1325" t="s">
        <v>3463</v>
      </c>
      <c r="BS1325" t="s">
        <v>3465</v>
      </c>
      <c r="BT1325" t="s">
        <v>3465</v>
      </c>
      <c r="BU1325" t="s">
        <v>3463</v>
      </c>
      <c r="BV1325" t="s">
        <v>3463</v>
      </c>
      <c r="BW1325" t="s">
        <v>3463</v>
      </c>
      <c r="BX1325" t="s">
        <v>518</v>
      </c>
      <c r="BY1325" t="s">
        <v>87</v>
      </c>
      <c r="BZ1325" t="s">
        <v>79</v>
      </c>
      <c r="CA1325" s="10">
        <v>45912</v>
      </c>
    </row>
    <row r="1326" spans="1:79">
      <c r="A1326">
        <v>1339</v>
      </c>
      <c r="B1326">
        <v>260</v>
      </c>
      <c r="C1326">
        <v>33</v>
      </c>
      <c r="D1326" t="s">
        <v>3466</v>
      </c>
      <c r="E1326" t="s">
        <v>2411</v>
      </c>
      <c r="F1326" t="s">
        <v>2407</v>
      </c>
      <c r="G1326" s="12" t="s">
        <v>3465</v>
      </c>
      <c r="H1326" s="12" t="s">
        <v>88</v>
      </c>
      <c r="I1326">
        <v>82</v>
      </c>
      <c r="K1326">
        <v>138</v>
      </c>
      <c r="L1326">
        <v>72</v>
      </c>
      <c r="M1326" t="s">
        <v>82</v>
      </c>
      <c r="P1326" t="s">
        <v>83</v>
      </c>
      <c r="Q1326" t="s">
        <v>82</v>
      </c>
      <c r="R1326">
        <v>77.400000000000006</v>
      </c>
      <c r="S1326">
        <v>159</v>
      </c>
      <c r="T1326" s="8">
        <f t="shared" si="41"/>
        <v>30.615877536489858</v>
      </c>
      <c r="U1326" s="13" t="str" cm="1">
        <f t="array" ref="U1326">IF(T1326="","",_xlfn.IFS(T1326&lt;18.5,"Bajo peso",T1326&lt;25,"Peso normal",T1326&lt;30,"Sobrepeso",T1326&lt;35,"Obesidad clase I",T1326&lt;40,"Obesidad clase II",T1326&gt;=40,"Obesidad clase III"))</f>
        <v>Obesidad clase I</v>
      </c>
      <c r="V1326">
        <v>127</v>
      </c>
      <c r="X1326" t="s">
        <v>3463</v>
      </c>
      <c r="Y1326">
        <v>1.1599999999999999</v>
      </c>
      <c r="AA1326">
        <v>64</v>
      </c>
      <c r="AB1326" s="9">
        <f t="shared" si="42"/>
        <v>63.841585971112529</v>
      </c>
      <c r="AD1326" t="s">
        <v>73</v>
      </c>
      <c r="AF1326" t="s">
        <v>73</v>
      </c>
      <c r="AH1326" t="s">
        <v>3463</v>
      </c>
      <c r="AI1326" t="s">
        <v>3463</v>
      </c>
      <c r="AJ1326" t="s">
        <v>3463</v>
      </c>
      <c r="AK1326" t="s">
        <v>3463</v>
      </c>
      <c r="AL1326" t="s">
        <v>3465</v>
      </c>
      <c r="AM1326" t="s">
        <v>2903</v>
      </c>
      <c r="AN1326" t="s">
        <v>1511</v>
      </c>
      <c r="AP1326" t="s">
        <v>3463</v>
      </c>
      <c r="AQ1326" t="s">
        <v>2904</v>
      </c>
      <c r="AR1326" t="s">
        <v>3488</v>
      </c>
      <c r="AT1326" t="s">
        <v>3463</v>
      </c>
      <c r="AV1326" t="s">
        <v>74</v>
      </c>
      <c r="AW1326" t="s">
        <v>3915</v>
      </c>
      <c r="AX1326" t="s">
        <v>3463</v>
      </c>
      <c r="AY1326" t="s">
        <v>3465</v>
      </c>
      <c r="AZ1326" t="s">
        <v>247</v>
      </c>
      <c r="BF1326" t="s">
        <v>3921</v>
      </c>
      <c r="BH1326" t="s">
        <v>4020</v>
      </c>
      <c r="BP1326" t="s">
        <v>4260</v>
      </c>
      <c r="BQ1326" t="s">
        <v>3463</v>
      </c>
      <c r="BR1326" t="s">
        <v>3465</v>
      </c>
      <c r="BS1326" t="s">
        <v>3465</v>
      </c>
      <c r="BT1326" t="s">
        <v>3465</v>
      </c>
      <c r="BU1326" t="s">
        <v>3463</v>
      </c>
      <c r="BV1326" t="s">
        <v>3463</v>
      </c>
      <c r="BW1326" t="s">
        <v>3463</v>
      </c>
      <c r="BX1326" t="s">
        <v>79</v>
      </c>
      <c r="BY1326" t="s">
        <v>79</v>
      </c>
      <c r="BZ1326" t="s">
        <v>79</v>
      </c>
      <c r="CA1326" s="10">
        <v>45912</v>
      </c>
    </row>
    <row r="1327" spans="1:79">
      <c r="A1327">
        <v>1340</v>
      </c>
      <c r="B1327">
        <v>261</v>
      </c>
      <c r="C1327">
        <v>33</v>
      </c>
      <c r="D1327" t="s">
        <v>3466</v>
      </c>
      <c r="E1327" t="s">
        <v>450</v>
      </c>
      <c r="F1327" t="s">
        <v>2407</v>
      </c>
      <c r="G1327" s="12" t="s">
        <v>3463</v>
      </c>
      <c r="I1327">
        <v>73</v>
      </c>
      <c r="K1327">
        <v>114</v>
      </c>
      <c r="L1327">
        <v>66</v>
      </c>
      <c r="M1327" t="s">
        <v>80</v>
      </c>
      <c r="P1327" t="s">
        <v>83</v>
      </c>
      <c r="Q1327" t="s">
        <v>80</v>
      </c>
      <c r="R1327">
        <v>61.4</v>
      </c>
      <c r="S1327">
        <v>159.5</v>
      </c>
      <c r="T1327" s="8">
        <f t="shared" si="41"/>
        <v>24.134982950246162</v>
      </c>
      <c r="U1327" s="13" t="str" cm="1">
        <f t="array" ref="U1327">IF(T1327="","",_xlfn.IFS(T1327&lt;18.5,"Bajo peso",T1327&lt;25,"Peso normal",T1327&lt;30,"Sobrepeso",T1327&lt;35,"Obesidad clase I",T1327&lt;40,"Obesidad clase II",T1327&gt;=40,"Obesidad clase III"))</f>
        <v>Peso normal</v>
      </c>
      <c r="V1327">
        <v>120</v>
      </c>
      <c r="X1327" t="s">
        <v>3463</v>
      </c>
      <c r="Y1327">
        <v>1.06</v>
      </c>
      <c r="AA1327">
        <v>71</v>
      </c>
      <c r="AB1327" s="9">
        <f t="shared" si="42"/>
        <v>71.135471770940043</v>
      </c>
      <c r="AD1327" t="s">
        <v>73</v>
      </c>
      <c r="AF1327" t="s">
        <v>73</v>
      </c>
      <c r="AH1327" t="s">
        <v>3463</v>
      </c>
      <c r="AI1327" t="s">
        <v>3463</v>
      </c>
      <c r="AJ1327" t="s">
        <v>3463</v>
      </c>
      <c r="AK1327" t="s">
        <v>3463</v>
      </c>
      <c r="AL1327" t="s">
        <v>3463</v>
      </c>
      <c r="AP1327" t="s">
        <v>3463</v>
      </c>
      <c r="AV1327" t="s">
        <v>126</v>
      </c>
      <c r="AW1327" t="s">
        <v>126</v>
      </c>
      <c r="AX1327" t="s">
        <v>3463</v>
      </c>
      <c r="AY1327" t="s">
        <v>3465</v>
      </c>
      <c r="AZ1327" t="s">
        <v>247</v>
      </c>
      <c r="BF1327" t="s">
        <v>3921</v>
      </c>
      <c r="BH1327" t="s">
        <v>4020</v>
      </c>
      <c r="BP1327" t="s">
        <v>4260</v>
      </c>
      <c r="BQ1327" t="s">
        <v>3463</v>
      </c>
      <c r="BR1327" t="s">
        <v>3465</v>
      </c>
      <c r="BS1327" t="s">
        <v>3465</v>
      </c>
      <c r="BT1327" t="s">
        <v>3465</v>
      </c>
      <c r="BU1327" t="s">
        <v>3463</v>
      </c>
      <c r="BV1327" t="s">
        <v>3463</v>
      </c>
      <c r="BW1327" t="s">
        <v>3463</v>
      </c>
      <c r="BX1327" t="s">
        <v>79</v>
      </c>
      <c r="BY1327" t="s">
        <v>79</v>
      </c>
      <c r="BZ1327" t="s">
        <v>79</v>
      </c>
      <c r="CA1327" s="10">
        <v>45912</v>
      </c>
    </row>
    <row r="1328" spans="1:79">
      <c r="A1328">
        <v>1341</v>
      </c>
      <c r="B1328">
        <v>262</v>
      </c>
      <c r="C1328">
        <v>74</v>
      </c>
      <c r="D1328" t="s">
        <v>3466</v>
      </c>
      <c r="E1328" t="s">
        <v>2416</v>
      </c>
      <c r="F1328" t="s">
        <v>2407</v>
      </c>
      <c r="G1328" s="12" t="s">
        <v>3463</v>
      </c>
      <c r="I1328">
        <v>85</v>
      </c>
      <c r="K1328">
        <v>118</v>
      </c>
      <c r="L1328">
        <v>68</v>
      </c>
      <c r="M1328" t="s">
        <v>80</v>
      </c>
      <c r="P1328" t="s">
        <v>83</v>
      </c>
      <c r="Q1328" t="s">
        <v>80</v>
      </c>
      <c r="R1328">
        <v>98.2</v>
      </c>
      <c r="S1328">
        <v>155</v>
      </c>
      <c r="T1328" s="8">
        <f t="shared" si="41"/>
        <v>40.874089490114464</v>
      </c>
      <c r="U1328" s="13" t="str" cm="1">
        <f t="array" ref="U1328">IF(T1328="","",_xlfn.IFS(T1328&lt;18.5,"Bajo peso",T1328&lt;25,"Peso normal",T1328&lt;30,"Sobrepeso",T1328&lt;35,"Obesidad clase I",T1328&lt;40,"Obesidad clase II",T1328&gt;=40,"Obesidad clase III"))</f>
        <v>Obesidad clase III</v>
      </c>
      <c r="V1328">
        <v>140</v>
      </c>
      <c r="X1328" t="s">
        <v>3463</v>
      </c>
      <c r="Y1328">
        <v>1.33</v>
      </c>
      <c r="AA1328">
        <v>42</v>
      </c>
      <c r="AB1328" s="9">
        <f t="shared" si="42"/>
        <v>41.984595568600035</v>
      </c>
      <c r="AD1328" t="s">
        <v>218</v>
      </c>
      <c r="AF1328" t="s">
        <v>218</v>
      </c>
      <c r="AG1328" t="s">
        <v>3465</v>
      </c>
      <c r="AH1328" t="s">
        <v>3465</v>
      </c>
      <c r="AI1328" t="s">
        <v>3465</v>
      </c>
      <c r="AL1328" t="s">
        <v>3465</v>
      </c>
      <c r="AM1328" t="s">
        <v>2905</v>
      </c>
      <c r="AN1328" t="s">
        <v>3796</v>
      </c>
      <c r="AS1328" t="s">
        <v>3465</v>
      </c>
      <c r="AT1328" t="s">
        <v>3463</v>
      </c>
      <c r="AW1328" t="s">
        <v>3916</v>
      </c>
      <c r="AX1328" t="s">
        <v>3463</v>
      </c>
      <c r="AY1328" t="s">
        <v>3463</v>
      </c>
      <c r="AZ1328" t="s">
        <v>1339</v>
      </c>
      <c r="BA1328" t="s">
        <v>3920</v>
      </c>
      <c r="BB1328" t="s">
        <v>3485</v>
      </c>
      <c r="BF1328" t="s">
        <v>3921</v>
      </c>
      <c r="BH1328" t="s">
        <v>4020</v>
      </c>
      <c r="BP1328" t="s">
        <v>4260</v>
      </c>
      <c r="BQ1328" t="s">
        <v>3463</v>
      </c>
      <c r="BR1328" t="s">
        <v>3465</v>
      </c>
      <c r="BS1328" t="s">
        <v>3463</v>
      </c>
      <c r="BT1328" t="s">
        <v>3463</v>
      </c>
      <c r="BU1328" t="s">
        <v>3463</v>
      </c>
      <c r="BV1328" t="s">
        <v>3463</v>
      </c>
      <c r="BW1328" t="s">
        <v>3463</v>
      </c>
      <c r="BX1328" t="s">
        <v>79</v>
      </c>
      <c r="BY1328" t="s">
        <v>87</v>
      </c>
      <c r="BZ1328" t="s">
        <v>79</v>
      </c>
      <c r="CA1328" s="10">
        <v>45912</v>
      </c>
    </row>
    <row r="1329" spans="1:79">
      <c r="A1329">
        <v>1342</v>
      </c>
      <c r="B1329">
        <v>263</v>
      </c>
      <c r="C1329">
        <v>58</v>
      </c>
      <c r="D1329" t="s">
        <v>3462</v>
      </c>
      <c r="E1329" t="s">
        <v>2411</v>
      </c>
      <c r="F1329" t="s">
        <v>2407</v>
      </c>
      <c r="G1329" s="12" t="s">
        <v>3465</v>
      </c>
      <c r="H1329" t="s">
        <v>88</v>
      </c>
      <c r="I1329">
        <v>75</v>
      </c>
      <c r="J1329">
        <v>76</v>
      </c>
      <c r="K1329">
        <v>149</v>
      </c>
      <c r="L1329">
        <v>83</v>
      </c>
      <c r="M1329" t="s">
        <v>72</v>
      </c>
      <c r="N1329">
        <v>145</v>
      </c>
      <c r="O1329">
        <v>81</v>
      </c>
      <c r="P1329" t="s">
        <v>72</v>
      </c>
      <c r="Q1329" t="s">
        <v>72</v>
      </c>
      <c r="R1329">
        <v>77</v>
      </c>
      <c r="S1329">
        <v>163</v>
      </c>
      <c r="T1329" s="8">
        <f t="shared" si="41"/>
        <v>28.981143437841094</v>
      </c>
      <c r="U1329" s="13" t="str" cm="1">
        <f t="array" ref="U1329">IF(T1329="","",_xlfn.IFS(T1329&lt;18.5,"Bajo peso",T1329&lt;25,"Peso normal",T1329&lt;30,"Sobrepeso",T1329&lt;35,"Obesidad clase I",T1329&lt;40,"Obesidad clase II",T1329&gt;=40,"Obesidad clase III"))</f>
        <v>Sobrepeso</v>
      </c>
      <c r="V1329">
        <v>153</v>
      </c>
      <c r="X1329" t="s">
        <v>3463</v>
      </c>
      <c r="Y1329">
        <v>1.05</v>
      </c>
      <c r="AA1329">
        <v>82</v>
      </c>
      <c r="AB1329" s="9">
        <f t="shared" si="42"/>
        <v>82.279900261611644</v>
      </c>
      <c r="AD1329" t="s">
        <v>73</v>
      </c>
      <c r="AF1329" t="s">
        <v>73</v>
      </c>
      <c r="AG1329" t="s">
        <v>3464</v>
      </c>
      <c r="AH1329" t="s">
        <v>3465</v>
      </c>
      <c r="AI1329" t="s">
        <v>3463</v>
      </c>
      <c r="AJ1329" t="s">
        <v>3463</v>
      </c>
      <c r="AK1329" t="s">
        <v>3463</v>
      </c>
      <c r="AL1329" t="s">
        <v>3465</v>
      </c>
      <c r="AM1329" t="s">
        <v>472</v>
      </c>
      <c r="AN1329" t="s">
        <v>3617</v>
      </c>
      <c r="AP1329" t="s">
        <v>3463</v>
      </c>
      <c r="AQ1329" t="s">
        <v>1135</v>
      </c>
      <c r="AR1329" t="s">
        <v>3505</v>
      </c>
      <c r="AV1329" t="s">
        <v>126</v>
      </c>
      <c r="AW1329" t="s">
        <v>126</v>
      </c>
      <c r="BF1329" t="s">
        <v>3921</v>
      </c>
      <c r="BH1329" t="s">
        <v>4020</v>
      </c>
      <c r="BP1329" t="s">
        <v>4260</v>
      </c>
      <c r="BQ1329" t="s">
        <v>3463</v>
      </c>
      <c r="BR1329" t="s">
        <v>3463</v>
      </c>
      <c r="BS1329" t="s">
        <v>3463</v>
      </c>
      <c r="BT1329" t="s">
        <v>3463</v>
      </c>
      <c r="BU1329" t="s">
        <v>3463</v>
      </c>
      <c r="BV1329" t="s">
        <v>3463</v>
      </c>
      <c r="BW1329" t="s">
        <v>3463</v>
      </c>
      <c r="BX1329" t="s">
        <v>79</v>
      </c>
      <c r="BY1329" t="s">
        <v>79</v>
      </c>
      <c r="BZ1329" t="s">
        <v>79</v>
      </c>
      <c r="CA1329" s="10">
        <v>45912</v>
      </c>
    </row>
    <row r="1330" spans="1:79">
      <c r="A1330">
        <v>1343</v>
      </c>
      <c r="B1330">
        <v>264</v>
      </c>
      <c r="C1330">
        <v>77</v>
      </c>
      <c r="D1330" t="s">
        <v>3462</v>
      </c>
      <c r="E1330" t="s">
        <v>2462</v>
      </c>
      <c r="F1330" t="s">
        <v>2407</v>
      </c>
      <c r="G1330" s="12" t="s">
        <v>3463</v>
      </c>
      <c r="I1330">
        <v>92</v>
      </c>
      <c r="J1330">
        <v>92</v>
      </c>
      <c r="K1330">
        <v>140</v>
      </c>
      <c r="L1330">
        <v>82</v>
      </c>
      <c r="M1330" t="s">
        <v>72</v>
      </c>
      <c r="N1330">
        <v>151</v>
      </c>
      <c r="O1330">
        <v>81</v>
      </c>
      <c r="P1330" t="s">
        <v>72</v>
      </c>
      <c r="Q1330" t="s">
        <v>72</v>
      </c>
      <c r="R1330">
        <v>77</v>
      </c>
      <c r="S1330">
        <v>159.5</v>
      </c>
      <c r="T1330" s="8">
        <f t="shared" si="41"/>
        <v>30.266998162360824</v>
      </c>
      <c r="U1330" s="13" t="str" cm="1">
        <f t="array" ref="U1330">IF(T1330="","",_xlfn.IFS(T1330&lt;18.5,"Bajo peso",T1330&lt;25,"Peso normal",T1330&lt;30,"Sobrepeso",T1330&lt;35,"Obesidad clase I",T1330&lt;40,"Obesidad clase II",T1330&gt;=40,"Obesidad clase III"))</f>
        <v>Obesidad clase I</v>
      </c>
      <c r="V1330">
        <v>135</v>
      </c>
      <c r="X1330" t="s">
        <v>3463</v>
      </c>
      <c r="Y1330">
        <v>1.5</v>
      </c>
      <c r="AA1330">
        <v>48</v>
      </c>
      <c r="AB1330" s="9">
        <f t="shared" si="42"/>
        <v>47.653220930089454</v>
      </c>
      <c r="AD1330" t="s">
        <v>158</v>
      </c>
      <c r="AF1330" t="s">
        <v>158</v>
      </c>
      <c r="AH1330" t="s">
        <v>3463</v>
      </c>
      <c r="AI1330" t="s">
        <v>3465</v>
      </c>
      <c r="AJ1330" t="s">
        <v>3465</v>
      </c>
      <c r="AK1330" t="s">
        <v>3463</v>
      </c>
      <c r="AL1330" t="s">
        <v>3463</v>
      </c>
      <c r="AP1330" t="s">
        <v>3463</v>
      </c>
      <c r="AQ1330" t="s">
        <v>2906</v>
      </c>
      <c r="AR1330" t="s">
        <v>3504</v>
      </c>
      <c r="AS1330" t="s">
        <v>3465</v>
      </c>
      <c r="AV1330" t="s">
        <v>74</v>
      </c>
      <c r="AW1330" t="s">
        <v>3915</v>
      </c>
      <c r="BA1330" t="s">
        <v>3920</v>
      </c>
      <c r="BD1330" t="s">
        <v>105</v>
      </c>
      <c r="BF1330" t="s">
        <v>3921</v>
      </c>
      <c r="BH1330" t="s">
        <v>4029</v>
      </c>
      <c r="BL1330" t="s">
        <v>1374</v>
      </c>
      <c r="BP1330" t="s">
        <v>4260</v>
      </c>
      <c r="BQ1330" t="s">
        <v>3463</v>
      </c>
      <c r="BR1330" t="s">
        <v>3463</v>
      </c>
      <c r="BS1330" t="s">
        <v>3463</v>
      </c>
      <c r="BT1330" t="s">
        <v>3463</v>
      </c>
      <c r="BU1330" t="s">
        <v>3463</v>
      </c>
      <c r="BV1330" t="s">
        <v>3463</v>
      </c>
      <c r="BW1330" t="s">
        <v>3463</v>
      </c>
      <c r="BX1330" t="s">
        <v>79</v>
      </c>
      <c r="BY1330" t="s">
        <v>79</v>
      </c>
      <c r="BZ1330" t="s">
        <v>79</v>
      </c>
      <c r="CA1330" s="10">
        <v>45912</v>
      </c>
    </row>
    <row r="1331" spans="1:79">
      <c r="A1331">
        <v>1344</v>
      </c>
      <c r="B1331">
        <v>265</v>
      </c>
      <c r="C1331">
        <v>56</v>
      </c>
      <c r="D1331" t="s">
        <v>3462</v>
      </c>
      <c r="E1331" t="s">
        <v>2411</v>
      </c>
      <c r="F1331" t="s">
        <v>2407</v>
      </c>
      <c r="G1331" s="12" t="s">
        <v>3465</v>
      </c>
      <c r="H1331" s="12" t="s">
        <v>88</v>
      </c>
      <c r="I1331">
        <v>107</v>
      </c>
      <c r="J1331">
        <v>108</v>
      </c>
      <c r="K1331">
        <v>140</v>
      </c>
      <c r="L1331">
        <v>87</v>
      </c>
      <c r="M1331" t="s">
        <v>72</v>
      </c>
      <c r="N1331">
        <v>166</v>
      </c>
      <c r="O1331">
        <v>92</v>
      </c>
      <c r="P1331" t="s">
        <v>72</v>
      </c>
      <c r="Q1331" t="s">
        <v>72</v>
      </c>
      <c r="R1331">
        <v>102.6</v>
      </c>
      <c r="S1331">
        <v>176</v>
      </c>
      <c r="T1331" s="8">
        <f t="shared" si="41"/>
        <v>33.122417355371901</v>
      </c>
      <c r="U1331" s="13" t="str" cm="1">
        <f t="array" ref="U1331">IF(T1331="","",_xlfn.IFS(T1331&lt;18.5,"Bajo peso",T1331&lt;25,"Peso normal",T1331&lt;30,"Sobrepeso",T1331&lt;35,"Obesidad clase I",T1331&lt;40,"Obesidad clase II",T1331&gt;=40,"Obesidad clase III"))</f>
        <v>Obesidad clase I</v>
      </c>
      <c r="V1331">
        <v>107</v>
      </c>
      <c r="X1331" t="s">
        <v>3463</v>
      </c>
      <c r="Y1331">
        <v>1.04</v>
      </c>
      <c r="AA1331">
        <v>84</v>
      </c>
      <c r="AB1331" s="9">
        <f t="shared" si="42"/>
        <v>84.27192674301881</v>
      </c>
      <c r="AD1331" t="s">
        <v>73</v>
      </c>
      <c r="AF1331" t="s">
        <v>73</v>
      </c>
      <c r="AH1331" t="s">
        <v>3463</v>
      </c>
      <c r="AI1331" t="s">
        <v>3463</v>
      </c>
      <c r="AJ1331" t="s">
        <v>3463</v>
      </c>
      <c r="AK1331" t="s">
        <v>3463</v>
      </c>
      <c r="AL1331" t="s">
        <v>3463</v>
      </c>
      <c r="AP1331" t="s">
        <v>3463</v>
      </c>
      <c r="AV1331" t="s">
        <v>126</v>
      </c>
      <c r="AW1331" t="s">
        <v>126</v>
      </c>
      <c r="BF1331" t="s">
        <v>3921</v>
      </c>
      <c r="BH1331" t="s">
        <v>4020</v>
      </c>
      <c r="BP1331" t="s">
        <v>4260</v>
      </c>
      <c r="BQ1331" t="s">
        <v>3463</v>
      </c>
      <c r="BR1331" t="s">
        <v>3465</v>
      </c>
      <c r="BS1331" t="s">
        <v>3465</v>
      </c>
      <c r="BT1331" t="s">
        <v>3465</v>
      </c>
      <c r="BU1331" t="s">
        <v>3463</v>
      </c>
      <c r="BV1331" t="s">
        <v>3463</v>
      </c>
      <c r="BW1331" t="s">
        <v>3463</v>
      </c>
      <c r="BX1331" t="s">
        <v>79</v>
      </c>
      <c r="BY1331" t="s">
        <v>79</v>
      </c>
      <c r="BZ1331" t="s">
        <v>79</v>
      </c>
      <c r="CA1331" s="10">
        <v>45912</v>
      </c>
    </row>
    <row r="1332" spans="1:79">
      <c r="A1332">
        <v>1345</v>
      </c>
      <c r="B1332">
        <v>266</v>
      </c>
      <c r="C1332">
        <v>69</v>
      </c>
      <c r="D1332" t="s">
        <v>3466</v>
      </c>
      <c r="E1332" t="s">
        <v>2411</v>
      </c>
      <c r="F1332" t="s">
        <v>2407</v>
      </c>
      <c r="G1332" s="12" t="s">
        <v>3463</v>
      </c>
      <c r="H1332" s="12"/>
      <c r="I1332">
        <v>58</v>
      </c>
      <c r="J1332">
        <v>62</v>
      </c>
      <c r="K1332">
        <v>194</v>
      </c>
      <c r="L1332">
        <v>89</v>
      </c>
      <c r="M1332" t="s">
        <v>96</v>
      </c>
      <c r="N1332">
        <v>192</v>
      </c>
      <c r="O1332">
        <v>90</v>
      </c>
      <c r="P1332" t="s">
        <v>96</v>
      </c>
      <c r="Q1332" t="s">
        <v>96</v>
      </c>
      <c r="R1332">
        <v>87.5</v>
      </c>
      <c r="S1332">
        <v>153.5</v>
      </c>
      <c r="T1332" s="8">
        <f t="shared" ref="T1332:T1395" si="43">IFERROR(R1332/(S1332^2)*10000,"")</f>
        <v>37.135672527029463</v>
      </c>
      <c r="U1332" s="13" t="str" cm="1">
        <f t="array" ref="U1332">IF(T1332="","",_xlfn.IFS(T1332&lt;18.5,"Bajo peso",T1332&lt;25,"Peso normal",T1332&lt;30,"Sobrepeso",T1332&lt;35,"Obesidad clase I",T1332&lt;40,"Obesidad clase II",T1332&gt;=40,"Obesidad clase III"))</f>
        <v>Obesidad clase II</v>
      </c>
      <c r="V1332">
        <v>114</v>
      </c>
      <c r="X1332" t="s">
        <v>3463</v>
      </c>
      <c r="Y1332">
        <v>0.71</v>
      </c>
      <c r="AA1332">
        <v>90</v>
      </c>
      <c r="AB1332" s="9">
        <f t="shared" si="42"/>
        <v>91.982871403255672</v>
      </c>
      <c r="AD1332" t="s">
        <v>73</v>
      </c>
      <c r="AF1332" t="s">
        <v>73</v>
      </c>
      <c r="AH1332" t="s">
        <v>3463</v>
      </c>
      <c r="AI1332" t="s">
        <v>3465</v>
      </c>
      <c r="AJ1332" t="s">
        <v>3463</v>
      </c>
      <c r="AK1332" t="s">
        <v>3463</v>
      </c>
      <c r="AL1332" t="s">
        <v>3463</v>
      </c>
      <c r="AP1332" t="s">
        <v>3463</v>
      </c>
      <c r="AQ1332" t="s">
        <v>2907</v>
      </c>
      <c r="AR1332" t="s">
        <v>3488</v>
      </c>
      <c r="AS1332" t="s">
        <v>3465</v>
      </c>
      <c r="AT1332" t="s">
        <v>3465</v>
      </c>
      <c r="AU1332" t="s">
        <v>80</v>
      </c>
      <c r="AV1332" t="s">
        <v>126</v>
      </c>
      <c r="AW1332" t="s">
        <v>126</v>
      </c>
      <c r="AX1332" t="s">
        <v>3463</v>
      </c>
      <c r="AY1332" t="s">
        <v>3465</v>
      </c>
      <c r="BA1332" t="s">
        <v>3920</v>
      </c>
      <c r="BE1332" t="s">
        <v>2908</v>
      </c>
      <c r="BF1332" t="s">
        <v>3990</v>
      </c>
      <c r="BH1332" t="s">
        <v>4029</v>
      </c>
      <c r="BL1332" t="s">
        <v>1257</v>
      </c>
      <c r="BP1332" t="s">
        <v>4260</v>
      </c>
      <c r="BQ1332" t="s">
        <v>3463</v>
      </c>
      <c r="BR1332" t="s">
        <v>3463</v>
      </c>
      <c r="BS1332" t="s">
        <v>3465</v>
      </c>
      <c r="BT1332" t="s">
        <v>3463</v>
      </c>
      <c r="BU1332" t="s">
        <v>3463</v>
      </c>
      <c r="BV1332" t="s">
        <v>3463</v>
      </c>
      <c r="BW1332" t="s">
        <v>3463</v>
      </c>
      <c r="BX1332" t="s">
        <v>79</v>
      </c>
      <c r="BY1332" t="s">
        <v>87</v>
      </c>
      <c r="BZ1332" t="s">
        <v>79</v>
      </c>
      <c r="CA1332" s="10">
        <v>45912</v>
      </c>
    </row>
    <row r="1333" spans="1:79">
      <c r="A1333">
        <v>1346</v>
      </c>
      <c r="B1333">
        <v>267</v>
      </c>
      <c r="C1333">
        <v>60</v>
      </c>
      <c r="D1333" t="s">
        <v>3462</v>
      </c>
      <c r="E1333" t="s">
        <v>450</v>
      </c>
      <c r="F1333" t="s">
        <v>2407</v>
      </c>
      <c r="G1333" s="12" t="s">
        <v>3465</v>
      </c>
      <c r="H1333" t="s">
        <v>88</v>
      </c>
      <c r="I1333">
        <v>92</v>
      </c>
      <c r="J1333">
        <v>91</v>
      </c>
      <c r="K1333">
        <v>163</v>
      </c>
      <c r="L1333">
        <v>74</v>
      </c>
      <c r="M1333" t="s">
        <v>72</v>
      </c>
      <c r="N1333">
        <v>157</v>
      </c>
      <c r="O1333">
        <v>82</v>
      </c>
      <c r="P1333" t="s">
        <v>72</v>
      </c>
      <c r="Q1333" t="s">
        <v>72</v>
      </c>
      <c r="R1333">
        <v>80.400000000000006</v>
      </c>
      <c r="S1333">
        <v>153</v>
      </c>
      <c r="T1333" s="8">
        <f t="shared" si="43"/>
        <v>34.34576444957068</v>
      </c>
      <c r="U1333" s="13" t="str" cm="1">
        <f t="array" ref="U1333">IF(T1333="","",_xlfn.IFS(T1333&lt;18.5,"Bajo peso",T1333&lt;25,"Peso normal",T1333&lt;30,"Sobrepeso",T1333&lt;35,"Obesidad clase I",T1333&lt;40,"Obesidad clase II",T1333&gt;=40,"Obesidad clase III"))</f>
        <v>Obesidad clase I</v>
      </c>
      <c r="V1333">
        <v>99</v>
      </c>
      <c r="X1333" t="s">
        <v>3463</v>
      </c>
      <c r="Y1333">
        <v>1.1499999999999999</v>
      </c>
      <c r="AA1333">
        <v>73</v>
      </c>
      <c r="AB1333" s="9">
        <f t="shared" si="42"/>
        <v>72.858712396397308</v>
      </c>
      <c r="AD1333" t="s">
        <v>73</v>
      </c>
      <c r="AF1333" t="s">
        <v>73</v>
      </c>
      <c r="AH1333" t="s">
        <v>3463</v>
      </c>
      <c r="AI1333" t="s">
        <v>3465</v>
      </c>
      <c r="AJ1333" t="s">
        <v>3463</v>
      </c>
      <c r="AK1333" t="s">
        <v>3463</v>
      </c>
      <c r="AL1333" t="s">
        <v>3463</v>
      </c>
      <c r="AP1333" t="s">
        <v>3463</v>
      </c>
      <c r="AQ1333" t="s">
        <v>89</v>
      </c>
      <c r="AR1333" t="s">
        <v>3488</v>
      </c>
      <c r="AS1333" t="s">
        <v>3463</v>
      </c>
      <c r="AV1333" t="s">
        <v>74</v>
      </c>
      <c r="AW1333" t="s">
        <v>3915</v>
      </c>
      <c r="BF1333" t="s">
        <v>3921</v>
      </c>
      <c r="BH1333" t="s">
        <v>4020</v>
      </c>
      <c r="BP1333" t="s">
        <v>4260</v>
      </c>
      <c r="BQ1333" t="s">
        <v>3463</v>
      </c>
      <c r="BR1333" t="s">
        <v>3465</v>
      </c>
      <c r="BS1333" t="s">
        <v>3463</v>
      </c>
      <c r="BT1333" t="s">
        <v>3463</v>
      </c>
      <c r="BU1333" t="s">
        <v>3463</v>
      </c>
      <c r="BV1333" t="s">
        <v>3463</v>
      </c>
      <c r="BW1333" t="s">
        <v>3463</v>
      </c>
      <c r="BX1333" t="s">
        <v>79</v>
      </c>
      <c r="BY1333" t="s">
        <v>79</v>
      </c>
      <c r="BZ1333" t="s">
        <v>79</v>
      </c>
      <c r="CA1333" s="10">
        <v>45912</v>
      </c>
    </row>
    <row r="1334" spans="1:79">
      <c r="A1334">
        <v>1347</v>
      </c>
      <c r="B1334">
        <v>268</v>
      </c>
      <c r="C1334">
        <v>65</v>
      </c>
      <c r="D1334" t="s">
        <v>3466</v>
      </c>
      <c r="E1334" t="s">
        <v>2416</v>
      </c>
      <c r="F1334" t="s">
        <v>2407</v>
      </c>
      <c r="G1334" s="12" t="s">
        <v>3465</v>
      </c>
      <c r="H1334" s="12" t="s">
        <v>88</v>
      </c>
      <c r="I1334">
        <v>76</v>
      </c>
      <c r="K1334">
        <v>125</v>
      </c>
      <c r="L1334">
        <v>70</v>
      </c>
      <c r="M1334" t="s">
        <v>118</v>
      </c>
      <c r="P1334" t="s">
        <v>83</v>
      </c>
      <c r="Q1334" t="s">
        <v>118</v>
      </c>
      <c r="R1334">
        <v>55.1</v>
      </c>
      <c r="S1334">
        <v>149</v>
      </c>
      <c r="T1334" s="8">
        <f t="shared" si="43"/>
        <v>24.818701860276565</v>
      </c>
      <c r="U1334" s="13" t="str" cm="1">
        <f t="array" ref="U1334">IF(T1334="","",_xlfn.IFS(T1334&lt;18.5,"Bajo peso",T1334&lt;25,"Peso normal",T1334&lt;30,"Sobrepeso",T1334&lt;35,"Obesidad clase I",T1334&lt;40,"Obesidad clase II",T1334&gt;=40,"Obesidad clase III"))</f>
        <v>Peso normal</v>
      </c>
      <c r="V1334">
        <v>100</v>
      </c>
      <c r="X1334" t="s">
        <v>3463</v>
      </c>
      <c r="Y1334">
        <v>0.7</v>
      </c>
      <c r="AA1334">
        <v>90</v>
      </c>
      <c r="AB1334" s="9">
        <f t="shared" si="42"/>
        <v>95.91871754308319</v>
      </c>
      <c r="AD1334" t="s">
        <v>73</v>
      </c>
      <c r="AF1334" t="s">
        <v>73</v>
      </c>
      <c r="AH1334" t="s">
        <v>3463</v>
      </c>
      <c r="AI1334" t="s">
        <v>3463</v>
      </c>
      <c r="AJ1334" t="s">
        <v>3463</v>
      </c>
      <c r="AK1334" t="s">
        <v>3463</v>
      </c>
      <c r="AL1334" t="s">
        <v>3465</v>
      </c>
      <c r="AM1334" t="s">
        <v>2909</v>
      </c>
      <c r="AN1334" t="s">
        <v>3872</v>
      </c>
      <c r="AP1334" t="s">
        <v>3463</v>
      </c>
      <c r="AQ1334" t="s">
        <v>2910</v>
      </c>
      <c r="AR1334" t="s">
        <v>3548</v>
      </c>
      <c r="AT1334" t="s">
        <v>3465</v>
      </c>
      <c r="AU1334" t="s">
        <v>1899</v>
      </c>
      <c r="AV1334" t="s">
        <v>126</v>
      </c>
      <c r="AW1334" t="s">
        <v>126</v>
      </c>
      <c r="AX1334" t="s">
        <v>3463</v>
      </c>
      <c r="AY1334" t="s">
        <v>3465</v>
      </c>
      <c r="AZ1334" t="s">
        <v>90</v>
      </c>
      <c r="BF1334" t="s">
        <v>3921</v>
      </c>
      <c r="BH1334" t="s">
        <v>4020</v>
      </c>
      <c r="BP1334" t="s">
        <v>4260</v>
      </c>
      <c r="BQ1334" t="s">
        <v>3463</v>
      </c>
      <c r="BR1334" t="s">
        <v>3463</v>
      </c>
      <c r="BS1334" t="s">
        <v>3463</v>
      </c>
      <c r="BT1334" t="s">
        <v>3463</v>
      </c>
      <c r="BU1334" t="s">
        <v>3463</v>
      </c>
      <c r="BV1334" t="s">
        <v>3463</v>
      </c>
      <c r="BW1334" t="s">
        <v>3463</v>
      </c>
      <c r="BX1334" t="s">
        <v>79</v>
      </c>
      <c r="BY1334" t="s">
        <v>79</v>
      </c>
      <c r="BZ1334" t="s">
        <v>79</v>
      </c>
      <c r="CA1334" s="10">
        <v>45912</v>
      </c>
    </row>
    <row r="1335" spans="1:79">
      <c r="A1335">
        <v>1348</v>
      </c>
      <c r="B1335">
        <v>269</v>
      </c>
      <c r="C1335">
        <v>62</v>
      </c>
      <c r="D1335" t="s">
        <v>3462</v>
      </c>
      <c r="F1335" t="s">
        <v>2407</v>
      </c>
      <c r="G1335" s="12" t="s">
        <v>3463</v>
      </c>
      <c r="H1335" s="12"/>
      <c r="I1335">
        <v>76</v>
      </c>
      <c r="K1335">
        <v>134</v>
      </c>
      <c r="L1335">
        <v>79</v>
      </c>
      <c r="M1335" t="s">
        <v>82</v>
      </c>
      <c r="P1335" t="s">
        <v>83</v>
      </c>
      <c r="Q1335" t="s">
        <v>82</v>
      </c>
      <c r="R1335">
        <v>96.4</v>
      </c>
      <c r="S1335">
        <v>171</v>
      </c>
      <c r="T1335" s="8">
        <f t="shared" si="43"/>
        <v>32.967408775349682</v>
      </c>
      <c r="U1335" s="13" t="str" cm="1">
        <f t="array" ref="U1335">IF(T1335="","",_xlfn.IFS(T1335&lt;18.5,"Bajo peso",T1335&lt;25,"Peso normal",T1335&lt;30,"Sobrepeso",T1335&lt;35,"Obesidad clase I",T1335&lt;40,"Obesidad clase II",T1335&gt;=40,"Obesidad clase III"))</f>
        <v>Obesidad clase I</v>
      </c>
      <c r="V1335">
        <v>166</v>
      </c>
      <c r="X1335" t="s">
        <v>3463</v>
      </c>
      <c r="Y1335">
        <v>1.44</v>
      </c>
      <c r="AA1335">
        <v>55</v>
      </c>
      <c r="AB1335" s="9">
        <f t="shared" si="42"/>
        <v>54.93914477635618</v>
      </c>
      <c r="AD1335" t="s">
        <v>158</v>
      </c>
      <c r="AF1335" t="s">
        <v>158</v>
      </c>
      <c r="AH1335" t="s">
        <v>3463</v>
      </c>
      <c r="AI1335" t="s">
        <v>3463</v>
      </c>
      <c r="AJ1335" t="s">
        <v>3463</v>
      </c>
      <c r="AK1335" t="s">
        <v>3463</v>
      </c>
      <c r="AL1335" t="s">
        <v>3465</v>
      </c>
      <c r="AM1335" t="s">
        <v>2911</v>
      </c>
      <c r="AN1335" t="s">
        <v>3873</v>
      </c>
      <c r="AP1335" t="s">
        <v>3463</v>
      </c>
      <c r="AQ1335" t="s">
        <v>2912</v>
      </c>
      <c r="AR1335" t="s">
        <v>3548</v>
      </c>
      <c r="AV1335" t="s">
        <v>74</v>
      </c>
      <c r="AW1335" t="s">
        <v>3915</v>
      </c>
      <c r="BF1335" t="s">
        <v>3921</v>
      </c>
      <c r="BG1335" t="s">
        <v>2913</v>
      </c>
      <c r="BH1335" t="s">
        <v>4235</v>
      </c>
      <c r="BK1335" t="s">
        <v>2914</v>
      </c>
      <c r="BP1335" t="s">
        <v>4260</v>
      </c>
      <c r="BQ1335" t="s">
        <v>3463</v>
      </c>
      <c r="BR1335" t="s">
        <v>3463</v>
      </c>
      <c r="BS1335" t="s">
        <v>3463</v>
      </c>
      <c r="BT1335" t="s">
        <v>3463</v>
      </c>
      <c r="BU1335" t="s">
        <v>3463</v>
      </c>
      <c r="BV1335" t="s">
        <v>3463</v>
      </c>
      <c r="BW1335" t="s">
        <v>3463</v>
      </c>
      <c r="BX1335" t="s">
        <v>79</v>
      </c>
      <c r="BY1335" t="s">
        <v>87</v>
      </c>
      <c r="BZ1335" t="s">
        <v>79</v>
      </c>
      <c r="CA1335" s="10">
        <v>45912</v>
      </c>
    </row>
    <row r="1336" spans="1:79">
      <c r="A1336">
        <v>1349</v>
      </c>
      <c r="B1336">
        <v>270</v>
      </c>
      <c r="C1336">
        <v>63</v>
      </c>
      <c r="D1336" t="s">
        <v>3466</v>
      </c>
      <c r="E1336" t="s">
        <v>2462</v>
      </c>
      <c r="F1336" t="s">
        <v>2407</v>
      </c>
      <c r="G1336" s="12" t="s">
        <v>3465</v>
      </c>
      <c r="H1336" s="12" t="s">
        <v>88</v>
      </c>
      <c r="I1336">
        <v>83</v>
      </c>
      <c r="K1336">
        <v>137</v>
      </c>
      <c r="L1336">
        <v>81</v>
      </c>
      <c r="M1336" t="s">
        <v>82</v>
      </c>
      <c r="P1336" t="s">
        <v>83</v>
      </c>
      <c r="Q1336" t="s">
        <v>82</v>
      </c>
      <c r="R1336">
        <v>72.5</v>
      </c>
      <c r="S1336">
        <v>152</v>
      </c>
      <c r="T1336" s="8">
        <f t="shared" si="43"/>
        <v>31.379847645429361</v>
      </c>
      <c r="U1336" s="13" t="str" cm="1">
        <f t="array" ref="U1336">IF(T1336="","",_xlfn.IFS(T1336&lt;18.5,"Bajo peso",T1336&lt;25,"Peso normal",T1336&lt;30,"Sobrepeso",T1336&lt;35,"Obesidad clase I",T1336&lt;40,"Obesidad clase II",T1336&gt;=40,"Obesidad clase III"))</f>
        <v>Obesidad clase I</v>
      </c>
      <c r="V1336">
        <v>92</v>
      </c>
      <c r="X1336" t="s">
        <v>3463</v>
      </c>
      <c r="Y1336">
        <v>1.25</v>
      </c>
      <c r="AA1336">
        <v>49</v>
      </c>
      <c r="AB1336" s="9">
        <f t="shared" si="42"/>
        <v>48.431844708217326</v>
      </c>
      <c r="AD1336" t="s">
        <v>158</v>
      </c>
      <c r="AF1336" t="s">
        <v>158</v>
      </c>
      <c r="AH1336" t="s">
        <v>3463</v>
      </c>
      <c r="AI1336" t="s">
        <v>3463</v>
      </c>
      <c r="AJ1336" t="s">
        <v>3463</v>
      </c>
      <c r="AK1336" t="s">
        <v>3463</v>
      </c>
      <c r="AL1336" t="s">
        <v>3463</v>
      </c>
      <c r="AP1336" t="s">
        <v>3463</v>
      </c>
      <c r="AT1336" t="s">
        <v>3465</v>
      </c>
      <c r="AU1336" t="s">
        <v>80</v>
      </c>
      <c r="AV1336" t="s">
        <v>74</v>
      </c>
      <c r="AW1336" t="s">
        <v>3915</v>
      </c>
      <c r="AX1336" t="s">
        <v>3463</v>
      </c>
      <c r="AY1336" t="s">
        <v>3465</v>
      </c>
      <c r="AZ1336" t="s">
        <v>247</v>
      </c>
      <c r="BF1336" t="s">
        <v>3921</v>
      </c>
      <c r="BH1336" t="s">
        <v>4020</v>
      </c>
      <c r="BP1336" t="s">
        <v>4260</v>
      </c>
      <c r="BQ1336" t="s">
        <v>3463</v>
      </c>
      <c r="BR1336" t="s">
        <v>3465</v>
      </c>
      <c r="BS1336" t="s">
        <v>3463</v>
      </c>
      <c r="BT1336" t="s">
        <v>3463</v>
      </c>
      <c r="BU1336" t="s">
        <v>3463</v>
      </c>
      <c r="BV1336" t="s">
        <v>3463</v>
      </c>
      <c r="BW1336" t="s">
        <v>3463</v>
      </c>
      <c r="BX1336" t="s">
        <v>518</v>
      </c>
      <c r="BY1336" t="s">
        <v>79</v>
      </c>
      <c r="BZ1336" t="s">
        <v>79</v>
      </c>
      <c r="CA1336" s="10">
        <v>45912</v>
      </c>
    </row>
    <row r="1337" spans="1:79">
      <c r="A1337">
        <v>1350</v>
      </c>
      <c r="B1337">
        <v>271</v>
      </c>
      <c r="C1337">
        <v>54</v>
      </c>
      <c r="D1337" t="s">
        <v>3466</v>
      </c>
      <c r="E1337" t="s">
        <v>2462</v>
      </c>
      <c r="F1337" t="s">
        <v>2407</v>
      </c>
      <c r="G1337" s="12" t="s">
        <v>3463</v>
      </c>
      <c r="I1337">
        <v>80</v>
      </c>
      <c r="K1337">
        <v>126</v>
      </c>
      <c r="L1337">
        <v>68</v>
      </c>
      <c r="M1337" t="s">
        <v>118</v>
      </c>
      <c r="P1337" t="s">
        <v>83</v>
      </c>
      <c r="Q1337" t="s">
        <v>118</v>
      </c>
      <c r="R1337">
        <v>71.900000000000006</v>
      </c>
      <c r="S1337">
        <v>156</v>
      </c>
      <c r="T1337" s="8">
        <f t="shared" si="43"/>
        <v>29.544707429322816</v>
      </c>
      <c r="U1337" s="13" t="str" cm="1">
        <f t="array" ref="U1337">IF(T1337="","",_xlfn.IFS(T1337&lt;18.5,"Bajo peso",T1337&lt;25,"Peso normal",T1337&lt;30,"Sobrepeso",T1337&lt;35,"Obesidad clase I",T1337&lt;40,"Obesidad clase II",T1337&gt;=40,"Obesidad clase III"))</f>
        <v>Sobrepeso</v>
      </c>
      <c r="V1337">
        <v>122</v>
      </c>
      <c r="X1337" t="s">
        <v>3463</v>
      </c>
      <c r="Y1337">
        <v>1.1399999999999999</v>
      </c>
      <c r="AA1337">
        <v>57</v>
      </c>
      <c r="AB1337" s="9">
        <f t="shared" si="42"/>
        <v>57.206617994683029</v>
      </c>
      <c r="AD1337" t="s">
        <v>158</v>
      </c>
      <c r="AF1337" t="s">
        <v>158</v>
      </c>
      <c r="AH1337" t="s">
        <v>3463</v>
      </c>
      <c r="AI1337" t="s">
        <v>3463</v>
      </c>
      <c r="AJ1337" t="s">
        <v>3463</v>
      </c>
      <c r="AK1337" t="s">
        <v>3465</v>
      </c>
      <c r="AL1337" t="s">
        <v>3465</v>
      </c>
      <c r="AM1337" t="s">
        <v>2915</v>
      </c>
      <c r="AN1337" t="s">
        <v>3874</v>
      </c>
      <c r="AP1337" t="s">
        <v>3463</v>
      </c>
      <c r="AQ1337" t="s">
        <v>159</v>
      </c>
      <c r="AR1337" t="s">
        <v>3491</v>
      </c>
      <c r="AT1337" t="s">
        <v>3465</v>
      </c>
      <c r="AU1337" t="s">
        <v>125</v>
      </c>
      <c r="AV1337" t="s">
        <v>178</v>
      </c>
      <c r="AW1337" t="s">
        <v>3918</v>
      </c>
      <c r="AX1337" t="s">
        <v>3465</v>
      </c>
      <c r="AY1337" t="s">
        <v>3465</v>
      </c>
      <c r="BF1337" t="s">
        <v>3921</v>
      </c>
      <c r="BG1337" t="s">
        <v>2916</v>
      </c>
      <c r="BH1337" t="s">
        <v>4236</v>
      </c>
      <c r="BI1337" t="s">
        <v>2747</v>
      </c>
      <c r="BK1337" t="s">
        <v>2917</v>
      </c>
      <c r="BL1337" t="s">
        <v>2206</v>
      </c>
      <c r="BP1337" t="s">
        <v>4497</v>
      </c>
      <c r="BQ1337" t="s">
        <v>3463</v>
      </c>
      <c r="BR1337" t="s">
        <v>3463</v>
      </c>
      <c r="BS1337" t="s">
        <v>3465</v>
      </c>
      <c r="BT1337" t="s">
        <v>3465</v>
      </c>
      <c r="BU1337" t="s">
        <v>3463</v>
      </c>
      <c r="BV1337" t="s">
        <v>3463</v>
      </c>
      <c r="BW1337" t="s">
        <v>3463</v>
      </c>
      <c r="BX1337" t="s">
        <v>79</v>
      </c>
      <c r="BY1337" t="s">
        <v>79</v>
      </c>
      <c r="BZ1337" t="s">
        <v>79</v>
      </c>
      <c r="CA1337" s="10">
        <v>45912</v>
      </c>
    </row>
    <row r="1338" spans="1:79">
      <c r="A1338">
        <v>1351</v>
      </c>
      <c r="B1338">
        <v>272</v>
      </c>
      <c r="C1338">
        <v>33</v>
      </c>
      <c r="D1338" t="s">
        <v>3466</v>
      </c>
      <c r="F1338" t="s">
        <v>2407</v>
      </c>
      <c r="G1338" s="12" t="s">
        <v>3463</v>
      </c>
      <c r="H1338" s="12"/>
      <c r="I1338">
        <v>77</v>
      </c>
      <c r="K1338">
        <v>126</v>
      </c>
      <c r="L1338">
        <v>85</v>
      </c>
      <c r="M1338" t="s">
        <v>82</v>
      </c>
      <c r="P1338" t="s">
        <v>83</v>
      </c>
      <c r="Q1338" t="s">
        <v>82</v>
      </c>
      <c r="R1338">
        <v>85.6</v>
      </c>
      <c r="S1338">
        <v>166</v>
      </c>
      <c r="T1338" s="8">
        <f t="shared" si="43"/>
        <v>31.064015096530696</v>
      </c>
      <c r="U1338" s="13" t="str" cm="1">
        <f t="array" ref="U1338">IF(T1338="","",_xlfn.IFS(T1338&lt;18.5,"Bajo peso",T1338&lt;25,"Peso normal",T1338&lt;30,"Sobrepeso",T1338&lt;35,"Obesidad clase I",T1338&lt;40,"Obesidad clase II",T1338&gt;=40,"Obesidad clase III"))</f>
        <v>Obesidad clase I</v>
      </c>
      <c r="V1338">
        <v>86</v>
      </c>
      <c r="X1338" t="s">
        <v>3463</v>
      </c>
      <c r="Y1338">
        <v>0.91</v>
      </c>
      <c r="AA1338">
        <v>86</v>
      </c>
      <c r="AB1338" s="9">
        <f t="shared" si="42"/>
        <v>85.428657912312389</v>
      </c>
      <c r="AD1338" t="s">
        <v>73</v>
      </c>
      <c r="AF1338" t="s">
        <v>73</v>
      </c>
      <c r="AH1338" t="s">
        <v>3463</v>
      </c>
      <c r="AI1338" t="s">
        <v>3463</v>
      </c>
      <c r="AJ1338" t="s">
        <v>3463</v>
      </c>
      <c r="AK1338" t="s">
        <v>3463</v>
      </c>
      <c r="AL1338" t="s">
        <v>3465</v>
      </c>
      <c r="AM1338" t="s">
        <v>2918</v>
      </c>
      <c r="AN1338" t="s">
        <v>3875</v>
      </c>
      <c r="AP1338" t="s">
        <v>3463</v>
      </c>
      <c r="AQ1338" t="s">
        <v>2919</v>
      </c>
      <c r="AR1338" t="s">
        <v>3488</v>
      </c>
      <c r="AV1338" t="s">
        <v>74</v>
      </c>
      <c r="AW1338" t="s">
        <v>3915</v>
      </c>
      <c r="BF1338" t="s">
        <v>3921</v>
      </c>
      <c r="BH1338" t="s">
        <v>4020</v>
      </c>
      <c r="BP1338" t="s">
        <v>4260</v>
      </c>
      <c r="BQ1338" t="s">
        <v>3463</v>
      </c>
      <c r="BR1338" t="s">
        <v>3463</v>
      </c>
      <c r="BX1338" t="s">
        <v>79</v>
      </c>
      <c r="BY1338" t="s">
        <v>79</v>
      </c>
      <c r="BZ1338" t="s">
        <v>79</v>
      </c>
      <c r="CA1338" s="10">
        <v>45912</v>
      </c>
    </row>
    <row r="1339" spans="1:79">
      <c r="A1339">
        <v>1352</v>
      </c>
      <c r="B1339">
        <v>273</v>
      </c>
      <c r="C1339">
        <v>37</v>
      </c>
      <c r="D1339" t="s">
        <v>3466</v>
      </c>
      <c r="E1339" t="s">
        <v>2411</v>
      </c>
      <c r="F1339" t="s">
        <v>2407</v>
      </c>
      <c r="G1339" s="12" t="s">
        <v>3465</v>
      </c>
      <c r="H1339" s="12" t="s">
        <v>88</v>
      </c>
      <c r="I1339">
        <v>67</v>
      </c>
      <c r="J1339">
        <v>68</v>
      </c>
      <c r="K1339">
        <v>148</v>
      </c>
      <c r="L1339">
        <v>83</v>
      </c>
      <c r="M1339" t="s">
        <v>72</v>
      </c>
      <c r="N1339">
        <v>135</v>
      </c>
      <c r="O1339">
        <v>81</v>
      </c>
      <c r="P1339" t="s">
        <v>82</v>
      </c>
      <c r="Q1339" t="s">
        <v>82</v>
      </c>
      <c r="R1339">
        <v>81.3</v>
      </c>
      <c r="S1339">
        <v>164.5</v>
      </c>
      <c r="T1339" s="8">
        <f t="shared" si="43"/>
        <v>30.044068329006567</v>
      </c>
      <c r="U1339" s="13" t="str" cm="1">
        <f t="array" ref="U1339">IF(T1339="","",_xlfn.IFS(T1339&lt;18.5,"Bajo peso",T1339&lt;25,"Peso normal",T1339&lt;30,"Sobrepeso",T1339&lt;35,"Obesidad clase I",T1339&lt;40,"Obesidad clase II",T1339&gt;=40,"Obesidad clase III"))</f>
        <v>Obesidad clase I</v>
      </c>
      <c r="V1339">
        <v>122</v>
      </c>
      <c r="X1339" t="s">
        <v>3463</v>
      </c>
      <c r="Y1339">
        <v>1.68</v>
      </c>
      <c r="Z1339">
        <v>1.58</v>
      </c>
      <c r="AA1339">
        <v>40</v>
      </c>
      <c r="AB1339" s="9">
        <f t="shared" si="42"/>
        <v>39.928048646692652</v>
      </c>
      <c r="AC1339">
        <v>43</v>
      </c>
      <c r="AD1339" t="s">
        <v>218</v>
      </c>
      <c r="AE1339" t="s">
        <v>218</v>
      </c>
      <c r="AF1339" t="s">
        <v>218</v>
      </c>
      <c r="AH1339" t="s">
        <v>3463</v>
      </c>
      <c r="AI1339" t="s">
        <v>3463</v>
      </c>
      <c r="AJ1339" t="s">
        <v>3463</v>
      </c>
      <c r="AK1339" t="s">
        <v>3463</v>
      </c>
      <c r="AL1339" t="s">
        <v>3463</v>
      </c>
      <c r="AP1339" t="s">
        <v>3463</v>
      </c>
      <c r="AT1339" t="s">
        <v>3463</v>
      </c>
      <c r="AW1339" t="s">
        <v>3916</v>
      </c>
      <c r="AX1339" t="s">
        <v>3463</v>
      </c>
      <c r="AY1339" t="s">
        <v>3463</v>
      </c>
      <c r="BC1339" t="s">
        <v>128</v>
      </c>
      <c r="BF1339" t="s">
        <v>3921</v>
      </c>
      <c r="BG1339" t="s">
        <v>2920</v>
      </c>
      <c r="BH1339" t="s">
        <v>4107</v>
      </c>
      <c r="BI1339" t="s">
        <v>734</v>
      </c>
      <c r="BK1339" t="s">
        <v>2921</v>
      </c>
      <c r="BL1339" t="s">
        <v>2922</v>
      </c>
      <c r="BP1339" t="s">
        <v>4373</v>
      </c>
      <c r="BQ1339" t="s">
        <v>3463</v>
      </c>
      <c r="BR1339" t="s">
        <v>3463</v>
      </c>
      <c r="BS1339" t="s">
        <v>3463</v>
      </c>
      <c r="BT1339" t="s">
        <v>3463</v>
      </c>
      <c r="BU1339" t="s">
        <v>3463</v>
      </c>
      <c r="BV1339" t="s">
        <v>3463</v>
      </c>
      <c r="BW1339" t="s">
        <v>3463</v>
      </c>
      <c r="BX1339" t="s">
        <v>79</v>
      </c>
      <c r="BY1339" t="s">
        <v>87</v>
      </c>
      <c r="BZ1339" t="s">
        <v>79</v>
      </c>
      <c r="CA1339" s="10">
        <v>45912</v>
      </c>
    </row>
    <row r="1340" spans="1:79">
      <c r="A1340">
        <v>1353</v>
      </c>
      <c r="B1340">
        <v>274</v>
      </c>
      <c r="C1340">
        <v>78</v>
      </c>
      <c r="D1340" t="s">
        <v>3466</v>
      </c>
      <c r="E1340" t="s">
        <v>2462</v>
      </c>
      <c r="F1340" t="s">
        <v>2407</v>
      </c>
      <c r="G1340" s="12" t="s">
        <v>3465</v>
      </c>
      <c r="H1340" t="s">
        <v>88</v>
      </c>
      <c r="I1340">
        <v>76</v>
      </c>
      <c r="J1340">
        <v>77</v>
      </c>
      <c r="K1340">
        <v>177</v>
      </c>
      <c r="L1340">
        <v>86</v>
      </c>
      <c r="M1340" t="s">
        <v>72</v>
      </c>
      <c r="N1340">
        <v>143</v>
      </c>
      <c r="O1340">
        <v>76</v>
      </c>
      <c r="P1340" t="s">
        <v>72</v>
      </c>
      <c r="Q1340" t="s">
        <v>72</v>
      </c>
      <c r="R1340">
        <v>46.6</v>
      </c>
      <c r="S1340">
        <v>142</v>
      </c>
      <c r="T1340" s="8">
        <f t="shared" si="43"/>
        <v>23.110493949613176</v>
      </c>
      <c r="U1340" s="13" t="str" cm="1">
        <f t="array" ref="U1340">IF(T1340="","",_xlfn.IFS(T1340&lt;18.5,"Bajo peso",T1340&lt;25,"Peso normal",T1340&lt;30,"Sobrepeso",T1340&lt;35,"Obesidad clase I",T1340&lt;40,"Obesidad clase II",T1340&gt;=40,"Obesidad clase III"))</f>
        <v>Peso normal</v>
      </c>
      <c r="V1340">
        <v>112</v>
      </c>
      <c r="X1340" t="s">
        <v>3463</v>
      </c>
      <c r="Y1340">
        <v>1.1399999999999999</v>
      </c>
      <c r="AA1340">
        <v>49</v>
      </c>
      <c r="AB1340" s="9">
        <f t="shared" si="42"/>
        <v>49.274484700910158</v>
      </c>
      <c r="AD1340" t="s">
        <v>158</v>
      </c>
      <c r="AF1340" t="s">
        <v>158</v>
      </c>
      <c r="AH1340" t="s">
        <v>3463</v>
      </c>
      <c r="AI1340" t="s">
        <v>3465</v>
      </c>
      <c r="AJ1340" t="s">
        <v>3465</v>
      </c>
      <c r="AK1340" t="s">
        <v>3463</v>
      </c>
      <c r="AL1340" t="s">
        <v>3465</v>
      </c>
      <c r="AM1340" t="s">
        <v>2923</v>
      </c>
      <c r="AN1340" t="s">
        <v>3711</v>
      </c>
      <c r="AP1340" t="s">
        <v>3463</v>
      </c>
      <c r="AQ1340" t="s">
        <v>2924</v>
      </c>
      <c r="AR1340" t="s">
        <v>3575</v>
      </c>
      <c r="AS1340" t="s">
        <v>3463</v>
      </c>
      <c r="AT1340" t="s">
        <v>3465</v>
      </c>
      <c r="AU1340" t="s">
        <v>80</v>
      </c>
      <c r="AV1340" t="s">
        <v>74</v>
      </c>
      <c r="AW1340" t="s">
        <v>3915</v>
      </c>
      <c r="AX1340" t="s">
        <v>3465</v>
      </c>
      <c r="AY1340" t="s">
        <v>3465</v>
      </c>
      <c r="AZ1340" t="s">
        <v>247</v>
      </c>
      <c r="BF1340" t="s">
        <v>3921</v>
      </c>
      <c r="BH1340" t="s">
        <v>4020</v>
      </c>
      <c r="BP1340" t="s">
        <v>4260</v>
      </c>
      <c r="BQ1340" t="s">
        <v>3463</v>
      </c>
      <c r="BR1340" t="s">
        <v>3463</v>
      </c>
      <c r="BS1340" t="s">
        <v>3465</v>
      </c>
      <c r="BT1340" t="s">
        <v>3465</v>
      </c>
      <c r="BU1340" t="s">
        <v>3463</v>
      </c>
      <c r="BV1340" t="s">
        <v>3463</v>
      </c>
      <c r="BW1340" t="s">
        <v>3463</v>
      </c>
      <c r="BX1340" t="s">
        <v>79</v>
      </c>
      <c r="BY1340" t="s">
        <v>79</v>
      </c>
      <c r="BZ1340" t="s">
        <v>79</v>
      </c>
      <c r="CA1340" s="10">
        <v>45912</v>
      </c>
    </row>
    <row r="1341" spans="1:79">
      <c r="A1341">
        <v>1354</v>
      </c>
      <c r="B1341">
        <v>275</v>
      </c>
      <c r="C1341">
        <v>58</v>
      </c>
      <c r="D1341" t="s">
        <v>3462</v>
      </c>
      <c r="E1341" t="s">
        <v>450</v>
      </c>
      <c r="F1341" t="s">
        <v>2407</v>
      </c>
      <c r="G1341" s="12" t="s">
        <v>3463</v>
      </c>
      <c r="I1341">
        <v>90</v>
      </c>
      <c r="J1341">
        <v>91</v>
      </c>
      <c r="K1341">
        <v>158</v>
      </c>
      <c r="L1341">
        <v>78</v>
      </c>
      <c r="M1341" t="s">
        <v>72</v>
      </c>
      <c r="N1341">
        <v>125</v>
      </c>
      <c r="O1341">
        <v>79</v>
      </c>
      <c r="P1341" t="s">
        <v>118</v>
      </c>
      <c r="Q1341" t="s">
        <v>118</v>
      </c>
      <c r="R1341">
        <v>105.4</v>
      </c>
      <c r="S1341">
        <v>174</v>
      </c>
      <c r="T1341" s="8">
        <f t="shared" si="43"/>
        <v>34.813053243493194</v>
      </c>
      <c r="U1341" s="13" t="str" cm="1">
        <f t="array" ref="U1341">IF(T1341="","",_xlfn.IFS(T1341&lt;18.5,"Bajo peso",T1341&lt;25,"Peso normal",T1341&lt;30,"Sobrepeso",T1341&lt;35,"Obesidad clase I",T1341&lt;40,"Obesidad clase II",T1341&gt;=40,"Obesidad clase III"))</f>
        <v>Obesidad clase I</v>
      </c>
      <c r="V1341">
        <v>107</v>
      </c>
      <c r="X1341" t="s">
        <v>3463</v>
      </c>
      <c r="Y1341">
        <v>1.35</v>
      </c>
      <c r="AA1341">
        <v>61</v>
      </c>
      <c r="AB1341" s="9">
        <f t="shared" si="42"/>
        <v>60.858380792275987</v>
      </c>
      <c r="AD1341" t="s">
        <v>73</v>
      </c>
      <c r="AF1341" t="s">
        <v>73</v>
      </c>
      <c r="AH1341" t="s">
        <v>3463</v>
      </c>
      <c r="AI1341" t="s">
        <v>3463</v>
      </c>
      <c r="AJ1341" t="s">
        <v>3463</v>
      </c>
      <c r="AK1341" t="s">
        <v>3463</v>
      </c>
      <c r="AL1341" t="s">
        <v>3463</v>
      </c>
      <c r="AP1341" t="s">
        <v>3463</v>
      </c>
      <c r="AV1341" t="s">
        <v>74</v>
      </c>
      <c r="AW1341" t="s">
        <v>3915</v>
      </c>
      <c r="BF1341" t="s">
        <v>3921</v>
      </c>
      <c r="BH1341" t="s">
        <v>4029</v>
      </c>
      <c r="BL1341" t="s">
        <v>2328</v>
      </c>
      <c r="BP1341" t="s">
        <v>4260</v>
      </c>
      <c r="BQ1341" t="s">
        <v>3463</v>
      </c>
      <c r="BR1341" t="s">
        <v>3463</v>
      </c>
      <c r="BS1341" t="s">
        <v>3463</v>
      </c>
      <c r="BT1341" t="s">
        <v>3463</v>
      </c>
      <c r="BU1341" t="s">
        <v>3463</v>
      </c>
      <c r="BV1341" t="s">
        <v>3463</v>
      </c>
      <c r="BW1341" t="s">
        <v>3463</v>
      </c>
      <c r="BX1341" t="s">
        <v>79</v>
      </c>
      <c r="BY1341" t="s">
        <v>79</v>
      </c>
      <c r="BZ1341" t="s">
        <v>95</v>
      </c>
      <c r="CA1341" s="10">
        <v>45912</v>
      </c>
    </row>
    <row r="1342" spans="1:79">
      <c r="A1342">
        <v>1355</v>
      </c>
      <c r="B1342">
        <v>276</v>
      </c>
      <c r="C1342">
        <v>46</v>
      </c>
      <c r="D1342" t="s">
        <v>3466</v>
      </c>
      <c r="E1342" t="s">
        <v>2411</v>
      </c>
      <c r="F1342" t="s">
        <v>2407</v>
      </c>
      <c r="G1342" s="12" t="s">
        <v>3465</v>
      </c>
      <c r="H1342" s="12" t="s">
        <v>88</v>
      </c>
      <c r="I1342">
        <v>98</v>
      </c>
      <c r="J1342">
        <v>97</v>
      </c>
      <c r="K1342">
        <v>158</v>
      </c>
      <c r="L1342">
        <v>106</v>
      </c>
      <c r="M1342" t="s">
        <v>72</v>
      </c>
      <c r="N1342">
        <v>162</v>
      </c>
      <c r="O1342">
        <v>106</v>
      </c>
      <c r="P1342" t="s">
        <v>72</v>
      </c>
      <c r="Q1342" t="s">
        <v>72</v>
      </c>
      <c r="R1342">
        <v>101.1</v>
      </c>
      <c r="S1342">
        <v>155</v>
      </c>
      <c r="T1342" s="8">
        <f t="shared" si="43"/>
        <v>42.08116545265348</v>
      </c>
      <c r="U1342" s="13" t="str" cm="1">
        <f t="array" ref="U1342">IF(T1342="","",_xlfn.IFS(T1342&lt;18.5,"Bajo peso",T1342&lt;25,"Peso normal",T1342&lt;30,"Sobrepeso",T1342&lt;35,"Obesidad clase I",T1342&lt;40,"Obesidad clase II",T1342&gt;=40,"Obesidad clase III"))</f>
        <v>Obesidad clase III</v>
      </c>
      <c r="V1342">
        <v>97</v>
      </c>
      <c r="X1342" t="s">
        <v>3463</v>
      </c>
      <c r="Y1342">
        <v>1.24</v>
      </c>
      <c r="AA1342">
        <v>54</v>
      </c>
      <c r="AB1342" s="9">
        <f t="shared" si="42"/>
        <v>54.354328345044991</v>
      </c>
      <c r="AD1342" t="s">
        <v>158</v>
      </c>
      <c r="AF1342" t="s">
        <v>158</v>
      </c>
      <c r="AH1342" t="s">
        <v>3463</v>
      </c>
      <c r="AI1342" t="s">
        <v>3464</v>
      </c>
      <c r="AJ1342" t="s">
        <v>3463</v>
      </c>
      <c r="AK1342" t="s">
        <v>3463</v>
      </c>
      <c r="AL1342" t="s">
        <v>3465</v>
      </c>
      <c r="AM1342" t="s">
        <v>2925</v>
      </c>
      <c r="AN1342" t="s">
        <v>1802</v>
      </c>
      <c r="AO1342" t="s">
        <v>3465</v>
      </c>
      <c r="AP1342" t="s">
        <v>3465</v>
      </c>
      <c r="AQ1342" t="s">
        <v>1135</v>
      </c>
      <c r="AR1342" t="s">
        <v>3505</v>
      </c>
      <c r="AT1342" t="s">
        <v>3463</v>
      </c>
      <c r="AV1342" t="s">
        <v>74</v>
      </c>
      <c r="AW1342" t="s">
        <v>3915</v>
      </c>
      <c r="AX1342" t="s">
        <v>3465</v>
      </c>
      <c r="AY1342" t="s">
        <v>3465</v>
      </c>
      <c r="AZ1342" t="s">
        <v>90</v>
      </c>
      <c r="BF1342" t="s">
        <v>3921</v>
      </c>
      <c r="BG1342" t="s">
        <v>1501</v>
      </c>
      <c r="BH1342" t="s">
        <v>4021</v>
      </c>
      <c r="BI1342" t="s">
        <v>1502</v>
      </c>
      <c r="BK1342" t="s">
        <v>2926</v>
      </c>
      <c r="BL1342" t="s">
        <v>2927</v>
      </c>
      <c r="BP1342" t="s">
        <v>4270</v>
      </c>
      <c r="BQ1342" t="s">
        <v>3463</v>
      </c>
      <c r="BR1342" t="s">
        <v>3463</v>
      </c>
      <c r="BS1342" t="s">
        <v>3463</v>
      </c>
      <c r="BT1342" t="s">
        <v>3463</v>
      </c>
      <c r="BU1342" t="s">
        <v>3463</v>
      </c>
      <c r="BV1342" t="s">
        <v>3463</v>
      </c>
      <c r="BW1342" t="s">
        <v>3463</v>
      </c>
      <c r="BX1342" t="s">
        <v>79</v>
      </c>
      <c r="BY1342" t="s">
        <v>79</v>
      </c>
      <c r="BZ1342" t="s">
        <v>79</v>
      </c>
      <c r="CA1342" s="10">
        <v>45912</v>
      </c>
    </row>
    <row r="1343" spans="1:79">
      <c r="A1343">
        <v>1356</v>
      </c>
      <c r="B1343">
        <v>277</v>
      </c>
      <c r="C1343">
        <v>38</v>
      </c>
      <c r="D1343" t="s">
        <v>3466</v>
      </c>
      <c r="E1343" t="s">
        <v>2416</v>
      </c>
      <c r="F1343" t="s">
        <v>2407</v>
      </c>
      <c r="G1343" s="12" t="s">
        <v>3463</v>
      </c>
      <c r="I1343">
        <v>62</v>
      </c>
      <c r="J1343">
        <v>61</v>
      </c>
      <c r="K1343">
        <v>156</v>
      </c>
      <c r="L1343">
        <v>73</v>
      </c>
      <c r="M1343" t="s">
        <v>72</v>
      </c>
      <c r="N1343">
        <v>156</v>
      </c>
      <c r="O1343">
        <v>70</v>
      </c>
      <c r="P1343" t="s">
        <v>72</v>
      </c>
      <c r="Q1343" t="s">
        <v>72</v>
      </c>
      <c r="R1343">
        <v>101.9</v>
      </c>
      <c r="S1343">
        <v>158.5</v>
      </c>
      <c r="T1343" s="8">
        <f t="shared" si="43"/>
        <v>40.561653514314997</v>
      </c>
      <c r="U1343" s="13" t="str" cm="1">
        <f t="array" ref="U1343">IF(T1343="","",_xlfn.IFS(T1343&lt;18.5,"Bajo peso",T1343&lt;25,"Peso normal",T1343&lt;30,"Sobrepeso",T1343&lt;35,"Obesidad clase I",T1343&lt;40,"Obesidad clase II",T1343&gt;=40,"Obesidad clase III"))</f>
        <v>Obesidad clase III</v>
      </c>
      <c r="V1343">
        <v>148</v>
      </c>
      <c r="X1343" t="s">
        <v>3463</v>
      </c>
      <c r="Y1343">
        <v>1.1399999999999999</v>
      </c>
      <c r="AA1343">
        <v>63</v>
      </c>
      <c r="AB1343" s="9">
        <f t="shared" si="42"/>
        <v>63.192042784879241</v>
      </c>
      <c r="AD1343" t="s">
        <v>73</v>
      </c>
      <c r="AF1343" t="s">
        <v>73</v>
      </c>
      <c r="AH1343" t="s">
        <v>3463</v>
      </c>
      <c r="AI1343" t="s">
        <v>3463</v>
      </c>
      <c r="AJ1343" t="s">
        <v>3463</v>
      </c>
      <c r="AK1343" t="s">
        <v>3463</v>
      </c>
      <c r="AL1343" t="s">
        <v>3463</v>
      </c>
      <c r="AP1343" t="s">
        <v>3463</v>
      </c>
      <c r="AQ1343" t="s">
        <v>2928</v>
      </c>
      <c r="AR1343" t="s">
        <v>3536</v>
      </c>
      <c r="AT1343" t="s">
        <v>3463</v>
      </c>
      <c r="AV1343" t="s">
        <v>74</v>
      </c>
      <c r="AW1343" t="s">
        <v>3915</v>
      </c>
      <c r="AX1343" t="s">
        <v>3463</v>
      </c>
      <c r="AY1343" t="s">
        <v>3463</v>
      </c>
      <c r="AZ1343" t="s">
        <v>253</v>
      </c>
      <c r="BF1343" t="s">
        <v>3921</v>
      </c>
      <c r="BH1343" t="s">
        <v>4020</v>
      </c>
      <c r="BP1343" t="s">
        <v>4260</v>
      </c>
      <c r="BQ1343" t="s">
        <v>3463</v>
      </c>
      <c r="BR1343" t="s">
        <v>3465</v>
      </c>
      <c r="BS1343" t="s">
        <v>3465</v>
      </c>
      <c r="BT1343" t="s">
        <v>3465</v>
      </c>
      <c r="BU1343" t="s">
        <v>3463</v>
      </c>
      <c r="BV1343" t="s">
        <v>3463</v>
      </c>
      <c r="BW1343" t="s">
        <v>3463</v>
      </c>
      <c r="BX1343" t="s">
        <v>79</v>
      </c>
      <c r="BY1343" t="s">
        <v>79</v>
      </c>
      <c r="BZ1343" t="s">
        <v>79</v>
      </c>
      <c r="CA1343" s="10">
        <v>45912</v>
      </c>
    </row>
    <row r="1344" spans="1:79">
      <c r="A1344">
        <v>1357</v>
      </c>
      <c r="B1344">
        <v>278</v>
      </c>
      <c r="C1344">
        <v>23</v>
      </c>
      <c r="D1344" t="s">
        <v>3462</v>
      </c>
      <c r="E1344" t="s">
        <v>2929</v>
      </c>
      <c r="F1344" t="s">
        <v>2407</v>
      </c>
      <c r="G1344" s="12" t="s">
        <v>3465</v>
      </c>
      <c r="H1344" s="12" t="s">
        <v>88</v>
      </c>
      <c r="I1344">
        <v>89</v>
      </c>
      <c r="K1344">
        <v>128</v>
      </c>
      <c r="L1344">
        <v>74</v>
      </c>
      <c r="M1344" t="s">
        <v>118</v>
      </c>
      <c r="P1344" t="s">
        <v>83</v>
      </c>
      <c r="Q1344" t="s">
        <v>118</v>
      </c>
      <c r="R1344">
        <v>102.2</v>
      </c>
      <c r="S1344">
        <v>169</v>
      </c>
      <c r="T1344" s="8">
        <f t="shared" si="43"/>
        <v>35.783060817198276</v>
      </c>
      <c r="U1344" s="13" t="str" cm="1">
        <f t="array" ref="U1344">IF(T1344="","",_xlfn.IFS(T1344&lt;18.5,"Bajo peso",T1344&lt;25,"Peso normal",T1344&lt;30,"Sobrepeso",T1344&lt;35,"Obesidad clase I",T1344&lt;40,"Obesidad clase II",T1344&gt;=40,"Obesidad clase III"))</f>
        <v>Obesidad clase II</v>
      </c>
      <c r="V1344">
        <v>107</v>
      </c>
      <c r="X1344" t="s">
        <v>3463</v>
      </c>
      <c r="Y1344">
        <v>1.21</v>
      </c>
      <c r="AA1344">
        <v>86</v>
      </c>
      <c r="AB1344" s="9">
        <f t="shared" si="42"/>
        <v>86.2807152676545</v>
      </c>
      <c r="AD1344" t="s">
        <v>73</v>
      </c>
      <c r="AF1344" t="s">
        <v>73</v>
      </c>
      <c r="AH1344" t="s">
        <v>3463</v>
      </c>
      <c r="AI1344" t="s">
        <v>3464</v>
      </c>
      <c r="AJ1344" t="s">
        <v>3463</v>
      </c>
      <c r="AK1344" t="s">
        <v>3463</v>
      </c>
      <c r="AL1344" t="s">
        <v>3463</v>
      </c>
      <c r="AO1344" t="s">
        <v>3465</v>
      </c>
      <c r="AP1344" t="s">
        <v>3465</v>
      </c>
      <c r="AQ1344" t="s">
        <v>1135</v>
      </c>
      <c r="AR1344" t="s">
        <v>3505</v>
      </c>
      <c r="AV1344" t="s">
        <v>126</v>
      </c>
      <c r="AW1344" t="s">
        <v>126</v>
      </c>
      <c r="BF1344" t="s">
        <v>3921</v>
      </c>
      <c r="BH1344" t="s">
        <v>4020</v>
      </c>
      <c r="BP1344" t="s">
        <v>4260</v>
      </c>
      <c r="BQ1344" t="s">
        <v>3463</v>
      </c>
      <c r="BR1344" t="s">
        <v>3463</v>
      </c>
      <c r="BS1344" t="s">
        <v>3463</v>
      </c>
      <c r="BT1344" t="s">
        <v>3463</v>
      </c>
      <c r="BU1344" t="s">
        <v>3463</v>
      </c>
      <c r="BV1344" t="s">
        <v>3463</v>
      </c>
      <c r="BW1344" t="s">
        <v>3463</v>
      </c>
      <c r="BX1344" t="s">
        <v>79</v>
      </c>
      <c r="BY1344" t="s">
        <v>79</v>
      </c>
      <c r="BZ1344" t="s">
        <v>79</v>
      </c>
      <c r="CA1344" s="10">
        <v>45912</v>
      </c>
    </row>
    <row r="1345" spans="1:79">
      <c r="A1345">
        <v>1358</v>
      </c>
      <c r="B1345">
        <v>279</v>
      </c>
      <c r="C1345">
        <v>38</v>
      </c>
      <c r="D1345" t="s">
        <v>3462</v>
      </c>
      <c r="E1345" t="s">
        <v>2416</v>
      </c>
      <c r="F1345" t="s">
        <v>2407</v>
      </c>
      <c r="G1345" s="12" t="s">
        <v>3463</v>
      </c>
      <c r="I1345">
        <v>84</v>
      </c>
      <c r="J1345">
        <v>75</v>
      </c>
      <c r="K1345">
        <v>156</v>
      </c>
      <c r="L1345">
        <v>84</v>
      </c>
      <c r="M1345" t="s">
        <v>72</v>
      </c>
      <c r="N1345">
        <v>136</v>
      </c>
      <c r="O1345">
        <v>77</v>
      </c>
      <c r="P1345" t="s">
        <v>82</v>
      </c>
      <c r="Q1345" t="s">
        <v>82</v>
      </c>
      <c r="R1345">
        <v>91.8</v>
      </c>
      <c r="S1345">
        <v>173.5</v>
      </c>
      <c r="T1345" s="8">
        <f t="shared" si="43"/>
        <v>30.496059264672905</v>
      </c>
      <c r="U1345" s="13" t="str" cm="1">
        <f t="array" ref="U1345">IF(T1345="","",_xlfn.IFS(T1345&lt;18.5,"Bajo peso",T1345&lt;25,"Peso normal",T1345&lt;30,"Sobrepeso",T1345&lt;35,"Obesidad clase I",T1345&lt;40,"Obesidad clase II",T1345&gt;=40,"Obesidad clase III"))</f>
        <v>Obesidad clase I</v>
      </c>
      <c r="V1345">
        <v>85</v>
      </c>
      <c r="X1345" t="s">
        <v>3463</v>
      </c>
      <c r="Y1345">
        <v>1.06</v>
      </c>
      <c r="AA1345">
        <v>90</v>
      </c>
      <c r="AB1345" s="9">
        <f t="shared" si="42"/>
        <v>92.124263521124561</v>
      </c>
      <c r="AD1345" t="s">
        <v>73</v>
      </c>
      <c r="AF1345" t="s">
        <v>73</v>
      </c>
      <c r="AH1345" t="s">
        <v>3463</v>
      </c>
      <c r="AI1345" t="s">
        <v>3463</v>
      </c>
      <c r="AJ1345" t="s">
        <v>3463</v>
      </c>
      <c r="AK1345" t="s">
        <v>3463</v>
      </c>
      <c r="AL1345" t="s">
        <v>3463</v>
      </c>
      <c r="AP1345" t="s">
        <v>3463</v>
      </c>
      <c r="AQ1345" t="s">
        <v>2930</v>
      </c>
      <c r="AR1345" t="s">
        <v>3491</v>
      </c>
      <c r="AV1345" t="s">
        <v>74</v>
      </c>
      <c r="AW1345" t="s">
        <v>3915</v>
      </c>
      <c r="BF1345" t="s">
        <v>3921</v>
      </c>
      <c r="BH1345" t="s">
        <v>4020</v>
      </c>
      <c r="BP1345" t="s">
        <v>4260</v>
      </c>
      <c r="BQ1345" t="s">
        <v>3463</v>
      </c>
      <c r="BR1345" t="s">
        <v>3463</v>
      </c>
      <c r="BS1345" t="s">
        <v>3465</v>
      </c>
      <c r="BT1345" t="s">
        <v>3465</v>
      </c>
      <c r="BU1345" t="s">
        <v>3463</v>
      </c>
      <c r="BV1345" t="s">
        <v>3463</v>
      </c>
      <c r="BW1345" t="s">
        <v>3463</v>
      </c>
      <c r="BX1345" t="s">
        <v>79</v>
      </c>
      <c r="BY1345" t="s">
        <v>79</v>
      </c>
      <c r="BZ1345" t="s">
        <v>79</v>
      </c>
      <c r="CA1345" s="10">
        <v>45912</v>
      </c>
    </row>
    <row r="1346" spans="1:79">
      <c r="A1346">
        <v>1359</v>
      </c>
      <c r="B1346">
        <v>280</v>
      </c>
      <c r="C1346">
        <v>56</v>
      </c>
      <c r="D1346" t="s">
        <v>3466</v>
      </c>
      <c r="E1346" t="s">
        <v>450</v>
      </c>
      <c r="F1346" t="s">
        <v>2407</v>
      </c>
      <c r="G1346" s="12" t="s">
        <v>3463</v>
      </c>
      <c r="H1346" s="12"/>
      <c r="I1346">
        <v>72</v>
      </c>
      <c r="K1346">
        <v>117</v>
      </c>
      <c r="L1346">
        <v>84</v>
      </c>
      <c r="M1346" t="s">
        <v>82</v>
      </c>
      <c r="P1346" t="s">
        <v>83</v>
      </c>
      <c r="Q1346" t="s">
        <v>82</v>
      </c>
      <c r="R1346">
        <v>61</v>
      </c>
      <c r="S1346">
        <v>153</v>
      </c>
      <c r="T1346" s="8">
        <f t="shared" si="43"/>
        <v>26.058353624674272</v>
      </c>
      <c r="U1346" s="13" t="str" cm="1">
        <f t="array" ref="U1346">IF(T1346="","",_xlfn.IFS(T1346&lt;18.5,"Bajo peso",T1346&lt;25,"Peso normal",T1346&lt;30,"Sobrepeso",T1346&lt;35,"Obesidad clase I",T1346&lt;40,"Obesidad clase II",T1346&gt;=40,"Obesidad clase III"))</f>
        <v>Sobrepeso</v>
      </c>
      <c r="V1346">
        <v>92</v>
      </c>
      <c r="X1346" t="s">
        <v>3463</v>
      </c>
      <c r="Y1346">
        <v>0.87</v>
      </c>
      <c r="AA1346">
        <v>78</v>
      </c>
      <c r="AB1346" s="9">
        <f t="shared" si="42"/>
        <v>78.146040247122954</v>
      </c>
      <c r="AD1346" t="s">
        <v>73</v>
      </c>
      <c r="AF1346" t="s">
        <v>73</v>
      </c>
      <c r="AH1346" t="s">
        <v>3463</v>
      </c>
      <c r="AI1346" t="s">
        <v>3463</v>
      </c>
      <c r="AJ1346" t="s">
        <v>3463</v>
      </c>
      <c r="AK1346" t="s">
        <v>3463</v>
      </c>
      <c r="AL1346" t="s">
        <v>3463</v>
      </c>
      <c r="AP1346" t="s">
        <v>3463</v>
      </c>
      <c r="AQ1346" t="s">
        <v>169</v>
      </c>
      <c r="AR1346" t="s">
        <v>3493</v>
      </c>
      <c r="AT1346" t="s">
        <v>3465</v>
      </c>
      <c r="AU1346" t="s">
        <v>125</v>
      </c>
      <c r="AV1346" t="s">
        <v>178</v>
      </c>
      <c r="AW1346" t="s">
        <v>3918</v>
      </c>
      <c r="AX1346" t="s">
        <v>3463</v>
      </c>
      <c r="AY1346" t="s">
        <v>3465</v>
      </c>
      <c r="BF1346" t="s">
        <v>3921</v>
      </c>
      <c r="BH1346" t="s">
        <v>4020</v>
      </c>
      <c r="BP1346" t="s">
        <v>4260</v>
      </c>
      <c r="BQ1346" t="s">
        <v>3463</v>
      </c>
      <c r="BR1346" t="s">
        <v>3463</v>
      </c>
      <c r="BS1346" t="s">
        <v>3463</v>
      </c>
      <c r="BT1346" t="s">
        <v>3465</v>
      </c>
      <c r="BU1346" t="s">
        <v>3463</v>
      </c>
      <c r="BV1346" t="s">
        <v>3463</v>
      </c>
      <c r="BW1346" t="s">
        <v>3463</v>
      </c>
      <c r="BX1346" t="s">
        <v>79</v>
      </c>
      <c r="BY1346" t="s">
        <v>79</v>
      </c>
      <c r="BZ1346" t="s">
        <v>79</v>
      </c>
      <c r="CA1346" s="10">
        <v>45912</v>
      </c>
    </row>
    <row r="1347" spans="1:79">
      <c r="A1347">
        <v>1360</v>
      </c>
      <c r="B1347">
        <v>281</v>
      </c>
      <c r="C1347">
        <v>31</v>
      </c>
      <c r="D1347" t="s">
        <v>3466</v>
      </c>
      <c r="E1347" t="s">
        <v>2462</v>
      </c>
      <c r="F1347" t="s">
        <v>2407</v>
      </c>
      <c r="G1347" s="12" t="s">
        <v>3463</v>
      </c>
      <c r="H1347" s="12"/>
      <c r="I1347">
        <v>8276</v>
      </c>
      <c r="K1347">
        <v>103</v>
      </c>
      <c r="L1347">
        <v>72</v>
      </c>
      <c r="M1347" t="s">
        <v>80</v>
      </c>
      <c r="P1347" t="s">
        <v>83</v>
      </c>
      <c r="Q1347" t="s">
        <v>80</v>
      </c>
      <c r="R1347">
        <v>76.400000000000006</v>
      </c>
      <c r="S1347">
        <v>153</v>
      </c>
      <c r="T1347" s="8">
        <f t="shared" si="43"/>
        <v>32.637019949592037</v>
      </c>
      <c r="U1347" s="13" t="str" cm="1">
        <f t="array" ref="U1347">IF(T1347="","",_xlfn.IFS(T1347&lt;18.5,"Bajo peso",T1347&lt;25,"Peso normal",T1347&lt;30,"Sobrepeso",T1347&lt;35,"Obesidad clase I",T1347&lt;40,"Obesidad clase II",T1347&gt;=40,"Obesidad clase III"))</f>
        <v>Obesidad clase I</v>
      </c>
      <c r="V1347">
        <v>86</v>
      </c>
      <c r="W1347">
        <v>86</v>
      </c>
      <c r="X1347" t="s">
        <v>3463</v>
      </c>
      <c r="Y1347">
        <v>2.39</v>
      </c>
      <c r="Z1347">
        <v>1.3</v>
      </c>
      <c r="AA1347">
        <v>27</v>
      </c>
      <c r="AB1347" s="9">
        <f t="shared" si="42"/>
        <v>27.150497283861409</v>
      </c>
      <c r="AC1347">
        <v>57</v>
      </c>
      <c r="AD1347" t="s">
        <v>303</v>
      </c>
      <c r="AE1347" t="s">
        <v>158</v>
      </c>
      <c r="AF1347" t="s">
        <v>158</v>
      </c>
      <c r="AH1347" t="s">
        <v>3463</v>
      </c>
      <c r="AI1347" t="s">
        <v>3463</v>
      </c>
      <c r="AJ1347" t="s">
        <v>3463</v>
      </c>
      <c r="AK1347" t="s">
        <v>3463</v>
      </c>
      <c r="AL1347" t="s">
        <v>3463</v>
      </c>
      <c r="AP1347" t="s">
        <v>3463</v>
      </c>
      <c r="AQ1347" t="s">
        <v>2633</v>
      </c>
      <c r="AR1347" t="s">
        <v>3488</v>
      </c>
      <c r="AV1347" t="s">
        <v>74</v>
      </c>
      <c r="AW1347" t="s">
        <v>3915</v>
      </c>
      <c r="AX1347" t="s">
        <v>3465</v>
      </c>
      <c r="AY1347" t="s">
        <v>3465</v>
      </c>
      <c r="AZ1347" t="s">
        <v>90</v>
      </c>
      <c r="BF1347" t="s">
        <v>3921</v>
      </c>
      <c r="BH1347" t="s">
        <v>4020</v>
      </c>
      <c r="BP1347" t="s">
        <v>4260</v>
      </c>
      <c r="BQ1347" t="s">
        <v>3463</v>
      </c>
      <c r="BR1347" t="s">
        <v>3463</v>
      </c>
      <c r="BS1347" t="s">
        <v>3463</v>
      </c>
      <c r="BT1347" t="s">
        <v>3465</v>
      </c>
      <c r="BU1347" t="s">
        <v>3463</v>
      </c>
      <c r="BV1347" t="s">
        <v>3463</v>
      </c>
      <c r="BW1347" t="s">
        <v>3463</v>
      </c>
      <c r="BX1347" t="s">
        <v>518</v>
      </c>
      <c r="BY1347" t="s">
        <v>79</v>
      </c>
      <c r="BZ1347" t="s">
        <v>79</v>
      </c>
      <c r="CA1347" s="10">
        <v>45912</v>
      </c>
    </row>
    <row r="1348" spans="1:79">
      <c r="A1348">
        <v>1361</v>
      </c>
      <c r="B1348">
        <v>282</v>
      </c>
      <c r="C1348">
        <v>56</v>
      </c>
      <c r="D1348" t="s">
        <v>3466</v>
      </c>
      <c r="F1348" t="s">
        <v>2407</v>
      </c>
      <c r="G1348" s="12" t="s">
        <v>3465</v>
      </c>
      <c r="H1348" t="s">
        <v>88</v>
      </c>
      <c r="I1348">
        <v>81</v>
      </c>
      <c r="K1348">
        <v>122</v>
      </c>
      <c r="L1348">
        <v>79</v>
      </c>
      <c r="M1348" t="s">
        <v>118</v>
      </c>
      <c r="P1348" t="s">
        <v>83</v>
      </c>
      <c r="Q1348" t="s">
        <v>118</v>
      </c>
      <c r="R1348">
        <v>57.6</v>
      </c>
      <c r="S1348">
        <v>144.5</v>
      </c>
      <c r="T1348" s="8">
        <f t="shared" si="43"/>
        <v>27.585876605883552</v>
      </c>
      <c r="U1348" s="13" t="str" cm="1">
        <f t="array" ref="U1348">IF(T1348="","",_xlfn.IFS(T1348&lt;18.5,"Bajo peso",T1348&lt;25,"Peso normal",T1348&lt;30,"Sobrepeso",T1348&lt;35,"Obesidad clase I",T1348&lt;40,"Obesidad clase II",T1348&gt;=40,"Obesidad clase III"))</f>
        <v>Sobrepeso</v>
      </c>
      <c r="V1348">
        <v>89</v>
      </c>
      <c r="X1348" t="s">
        <v>3463</v>
      </c>
      <c r="Y1348">
        <v>0.47</v>
      </c>
      <c r="AA1348">
        <v>90</v>
      </c>
      <c r="AB1348" s="9">
        <f t="shared" si="42"/>
        <v>111.66201886753544</v>
      </c>
      <c r="AD1348" t="s">
        <v>73</v>
      </c>
      <c r="AF1348" t="s">
        <v>73</v>
      </c>
      <c r="AH1348" t="s">
        <v>3463</v>
      </c>
      <c r="AI1348" t="s">
        <v>3463</v>
      </c>
      <c r="AJ1348" t="s">
        <v>3463</v>
      </c>
      <c r="AK1348" t="s">
        <v>3465</v>
      </c>
      <c r="AL1348" t="s">
        <v>3465</v>
      </c>
      <c r="AM1348" t="s">
        <v>2931</v>
      </c>
      <c r="AN1348" t="s">
        <v>3876</v>
      </c>
      <c r="AP1348" t="s">
        <v>3463</v>
      </c>
      <c r="AQ1348" t="s">
        <v>2932</v>
      </c>
      <c r="AR1348" t="s">
        <v>3493</v>
      </c>
      <c r="AT1348" t="s">
        <v>3463</v>
      </c>
      <c r="AV1348" t="s">
        <v>178</v>
      </c>
      <c r="AW1348" t="s">
        <v>3918</v>
      </c>
      <c r="AX1348" t="s">
        <v>3465</v>
      </c>
      <c r="AY1348" t="s">
        <v>3463</v>
      </c>
      <c r="AZ1348" t="s">
        <v>2933</v>
      </c>
      <c r="BF1348" t="s">
        <v>3921</v>
      </c>
      <c r="BH1348" t="s">
        <v>4020</v>
      </c>
      <c r="BP1348" t="s">
        <v>4260</v>
      </c>
      <c r="BQ1348" t="s">
        <v>3463</v>
      </c>
      <c r="BR1348" t="s">
        <v>3463</v>
      </c>
      <c r="BS1348" t="s">
        <v>3463</v>
      </c>
      <c r="BT1348" t="s">
        <v>3463</v>
      </c>
      <c r="BU1348" t="s">
        <v>3463</v>
      </c>
      <c r="BV1348" t="s">
        <v>3463</v>
      </c>
      <c r="BW1348" t="s">
        <v>3463</v>
      </c>
      <c r="BX1348" t="s">
        <v>79</v>
      </c>
      <c r="BY1348" t="s">
        <v>79</v>
      </c>
      <c r="BZ1348" t="s">
        <v>79</v>
      </c>
      <c r="CA1348" s="10">
        <v>45912</v>
      </c>
    </row>
    <row r="1349" spans="1:79">
      <c r="A1349">
        <v>1362</v>
      </c>
      <c r="B1349">
        <v>283</v>
      </c>
      <c r="C1349">
        <v>52</v>
      </c>
      <c r="D1349" t="s">
        <v>3466</v>
      </c>
      <c r="E1349" t="s">
        <v>2934</v>
      </c>
      <c r="F1349" t="s">
        <v>2407</v>
      </c>
      <c r="G1349" s="12" t="s">
        <v>3463</v>
      </c>
      <c r="H1349" s="12"/>
      <c r="I1349">
        <v>71</v>
      </c>
      <c r="J1349">
        <v>70</v>
      </c>
      <c r="K1349">
        <v>161</v>
      </c>
      <c r="L1349">
        <v>90</v>
      </c>
      <c r="M1349" t="s">
        <v>72</v>
      </c>
      <c r="N1349">
        <v>148</v>
      </c>
      <c r="O1349">
        <v>82</v>
      </c>
      <c r="P1349" t="s">
        <v>72</v>
      </c>
      <c r="Q1349" t="s">
        <v>72</v>
      </c>
      <c r="R1349">
        <v>79.599999999999994</v>
      </c>
      <c r="S1349">
        <v>157</v>
      </c>
      <c r="T1349" s="8">
        <f t="shared" si="43"/>
        <v>32.29339932654468</v>
      </c>
      <c r="U1349" s="13" t="str" cm="1">
        <f t="array" ref="U1349">IF(T1349="","",_xlfn.IFS(T1349&lt;18.5,"Bajo peso",T1349&lt;25,"Peso normal",T1349&lt;30,"Sobrepeso",T1349&lt;35,"Obesidad clase I",T1349&lt;40,"Obesidad clase II",T1349&gt;=40,"Obesidad clase III"))</f>
        <v>Obesidad clase I</v>
      </c>
      <c r="V1349">
        <v>98</v>
      </c>
      <c r="X1349" t="s">
        <v>3463</v>
      </c>
      <c r="Y1349">
        <v>1.01</v>
      </c>
      <c r="AA1349">
        <v>67</v>
      </c>
      <c r="AB1349" s="9">
        <f t="shared" si="42"/>
        <v>66.980511797911547</v>
      </c>
      <c r="AD1349" t="s">
        <v>73</v>
      </c>
      <c r="AF1349" t="s">
        <v>73</v>
      </c>
      <c r="AH1349" t="s">
        <v>3463</v>
      </c>
      <c r="AI1349" t="s">
        <v>3465</v>
      </c>
      <c r="AJ1349" t="s">
        <v>3464</v>
      </c>
      <c r="AK1349" t="s">
        <v>3463</v>
      </c>
      <c r="AL1349" t="s">
        <v>3464</v>
      </c>
      <c r="AO1349" t="s">
        <v>3464</v>
      </c>
      <c r="AP1349" t="s">
        <v>3465</v>
      </c>
      <c r="AQ1349" t="s">
        <v>148</v>
      </c>
      <c r="AR1349" t="s">
        <v>3491</v>
      </c>
      <c r="AS1349" t="s">
        <v>3465</v>
      </c>
      <c r="AT1349" t="s">
        <v>3465</v>
      </c>
      <c r="AU1349" t="s">
        <v>80</v>
      </c>
      <c r="AV1349" t="s">
        <v>74</v>
      </c>
      <c r="AW1349" t="s">
        <v>3915</v>
      </c>
      <c r="AX1349" t="s">
        <v>3463</v>
      </c>
      <c r="AY1349" t="s">
        <v>3465</v>
      </c>
      <c r="AZ1349" t="s">
        <v>104</v>
      </c>
      <c r="BF1349" t="s">
        <v>3921</v>
      </c>
      <c r="BH1349" t="s">
        <v>4020</v>
      </c>
      <c r="BP1349" t="s">
        <v>4260</v>
      </c>
      <c r="BQ1349" t="s">
        <v>3463</v>
      </c>
      <c r="BR1349" t="s">
        <v>3463</v>
      </c>
      <c r="BS1349" t="s">
        <v>3465</v>
      </c>
      <c r="BT1349" t="s">
        <v>3465</v>
      </c>
      <c r="BU1349" t="s">
        <v>3463</v>
      </c>
      <c r="BV1349" t="s">
        <v>3463</v>
      </c>
      <c r="BW1349" t="s">
        <v>3463</v>
      </c>
      <c r="BX1349" t="s">
        <v>79</v>
      </c>
      <c r="BY1349" t="s">
        <v>79</v>
      </c>
      <c r="BZ1349" t="s">
        <v>79</v>
      </c>
      <c r="CA1349" s="10">
        <v>45912</v>
      </c>
    </row>
    <row r="1350" spans="1:79">
      <c r="A1350">
        <v>1363</v>
      </c>
      <c r="B1350">
        <v>284</v>
      </c>
      <c r="C1350">
        <v>53</v>
      </c>
      <c r="D1350" t="s">
        <v>3466</v>
      </c>
      <c r="E1350" t="s">
        <v>2462</v>
      </c>
      <c r="F1350" t="s">
        <v>2407</v>
      </c>
      <c r="G1350" s="12" t="s">
        <v>3465</v>
      </c>
      <c r="H1350" t="s">
        <v>88</v>
      </c>
      <c r="I1350">
        <v>61</v>
      </c>
      <c r="K1350">
        <v>122</v>
      </c>
      <c r="L1350">
        <v>76</v>
      </c>
      <c r="M1350" t="s">
        <v>118</v>
      </c>
      <c r="P1350" t="s">
        <v>83</v>
      </c>
      <c r="Q1350" t="s">
        <v>118</v>
      </c>
      <c r="R1350">
        <v>77.5</v>
      </c>
      <c r="S1350">
        <v>160</v>
      </c>
      <c r="T1350" s="8">
        <f t="shared" si="43"/>
        <v>30.2734375</v>
      </c>
      <c r="U1350" s="13" t="str" cm="1">
        <f t="array" ref="U1350">IF(T1350="","",_xlfn.IFS(T1350&lt;18.5,"Bajo peso",T1350&lt;25,"Peso normal",T1350&lt;30,"Sobrepeso",T1350&lt;35,"Obesidad clase I",T1350&lt;40,"Obesidad clase II",T1350&gt;=40,"Obesidad clase III"))</f>
        <v>Obesidad clase I</v>
      </c>
      <c r="V1350">
        <v>88</v>
      </c>
      <c r="X1350" t="s">
        <v>3463</v>
      </c>
      <c r="Y1350">
        <v>1.21</v>
      </c>
      <c r="AA1350">
        <v>54</v>
      </c>
      <c r="AB1350" s="9">
        <f t="shared" si="42"/>
        <v>53.590851582161726</v>
      </c>
      <c r="AD1350" t="s">
        <v>158</v>
      </c>
      <c r="AF1350" t="s">
        <v>158</v>
      </c>
      <c r="AH1350" t="s">
        <v>3463</v>
      </c>
      <c r="AI1350" t="s">
        <v>3463</v>
      </c>
      <c r="AJ1350" t="s">
        <v>3463</v>
      </c>
      <c r="AK1350" t="s">
        <v>3463</v>
      </c>
      <c r="AL1350" t="s">
        <v>3463</v>
      </c>
      <c r="AP1350" t="s">
        <v>3463</v>
      </c>
      <c r="AQ1350" t="s">
        <v>2935</v>
      </c>
      <c r="AR1350" t="s">
        <v>3516</v>
      </c>
      <c r="AT1350" t="s">
        <v>3465</v>
      </c>
      <c r="AU1350" t="s">
        <v>80</v>
      </c>
      <c r="AV1350" t="s">
        <v>74</v>
      </c>
      <c r="AW1350" t="s">
        <v>3915</v>
      </c>
      <c r="AX1350" t="s">
        <v>3463</v>
      </c>
      <c r="AY1350" t="s">
        <v>3465</v>
      </c>
      <c r="AZ1350" t="s">
        <v>247</v>
      </c>
      <c r="BE1350" t="s">
        <v>2936</v>
      </c>
      <c r="BF1350" t="s">
        <v>3941</v>
      </c>
      <c r="BH1350" t="s">
        <v>4029</v>
      </c>
      <c r="BL1350" t="s">
        <v>2937</v>
      </c>
      <c r="BP1350" t="s">
        <v>4491</v>
      </c>
      <c r="BQ1350" t="s">
        <v>3463</v>
      </c>
      <c r="BR1350" t="s">
        <v>3463</v>
      </c>
      <c r="BS1350" t="s">
        <v>3465</v>
      </c>
      <c r="BT1350" t="s">
        <v>3465</v>
      </c>
      <c r="BU1350" t="s">
        <v>3463</v>
      </c>
      <c r="BV1350" t="s">
        <v>3463</v>
      </c>
      <c r="BW1350" t="s">
        <v>3463</v>
      </c>
      <c r="BX1350" t="s">
        <v>79</v>
      </c>
      <c r="BY1350" t="s">
        <v>79</v>
      </c>
      <c r="BZ1350" t="s">
        <v>79</v>
      </c>
      <c r="CA1350" s="10">
        <v>45912</v>
      </c>
    </row>
    <row r="1351" spans="1:79">
      <c r="A1351">
        <v>1364</v>
      </c>
      <c r="B1351">
        <v>285</v>
      </c>
      <c r="C1351">
        <v>64</v>
      </c>
      <c r="D1351" t="s">
        <v>3462</v>
      </c>
      <c r="E1351" t="s">
        <v>2462</v>
      </c>
      <c r="F1351" t="s">
        <v>71</v>
      </c>
      <c r="G1351" s="12" t="s">
        <v>3463</v>
      </c>
      <c r="I1351">
        <v>78</v>
      </c>
      <c r="J1351">
        <v>79</v>
      </c>
      <c r="K1351">
        <v>175</v>
      </c>
      <c r="L1351">
        <v>87</v>
      </c>
      <c r="M1351" t="s">
        <v>72</v>
      </c>
      <c r="N1351">
        <v>163</v>
      </c>
      <c r="O1351">
        <v>91</v>
      </c>
      <c r="P1351" t="s">
        <v>72</v>
      </c>
      <c r="Q1351" t="s">
        <v>72</v>
      </c>
      <c r="R1351">
        <v>96.2</v>
      </c>
      <c r="S1351">
        <v>180</v>
      </c>
      <c r="T1351" s="8">
        <f t="shared" si="43"/>
        <v>29.691358024691358</v>
      </c>
      <c r="U1351" s="13" t="str" cm="1">
        <f t="array" ref="U1351">IF(T1351="","",_xlfn.IFS(T1351&lt;18.5,"Bajo peso",T1351&lt;25,"Peso normal",T1351&lt;30,"Sobrepeso",T1351&lt;35,"Obesidad clase I",T1351&lt;40,"Obesidad clase II",T1351&gt;=40,"Obesidad clase III"))</f>
        <v>Sobrepeso</v>
      </c>
      <c r="V1351">
        <v>123</v>
      </c>
      <c r="X1351" t="s">
        <v>3463</v>
      </c>
      <c r="Y1351">
        <v>1.26</v>
      </c>
      <c r="AA1351">
        <v>64</v>
      </c>
      <c r="AB1351" s="9">
        <f t="shared" si="42"/>
        <v>63.689848493252342</v>
      </c>
      <c r="AD1351" t="s">
        <v>73</v>
      </c>
      <c r="AF1351" t="s">
        <v>73</v>
      </c>
      <c r="AH1351" t="s">
        <v>3463</v>
      </c>
      <c r="AI1351" t="s">
        <v>3463</v>
      </c>
      <c r="AJ1351" t="s">
        <v>3463</v>
      </c>
      <c r="AK1351" t="s">
        <v>3463</v>
      </c>
      <c r="AL1351" t="s">
        <v>3463</v>
      </c>
      <c r="AP1351" t="s">
        <v>3463</v>
      </c>
      <c r="AQ1351" t="s">
        <v>169</v>
      </c>
      <c r="AR1351" t="s">
        <v>3493</v>
      </c>
      <c r="AV1351" t="s">
        <v>74</v>
      </c>
      <c r="AW1351" t="s">
        <v>3915</v>
      </c>
      <c r="BF1351" t="s">
        <v>3921</v>
      </c>
      <c r="BG1351" t="s">
        <v>1677</v>
      </c>
      <c r="BH1351" t="s">
        <v>4021</v>
      </c>
      <c r="BI1351" t="s">
        <v>76</v>
      </c>
      <c r="BL1351" t="s">
        <v>1947</v>
      </c>
      <c r="BP1351" t="s">
        <v>4261</v>
      </c>
      <c r="BQ1351" t="s">
        <v>3463</v>
      </c>
      <c r="BR1351" t="s">
        <v>3463</v>
      </c>
      <c r="BS1351" t="s">
        <v>3463</v>
      </c>
      <c r="BT1351" t="s">
        <v>3465</v>
      </c>
      <c r="BU1351" t="s">
        <v>3463</v>
      </c>
      <c r="BV1351" t="s">
        <v>3463</v>
      </c>
      <c r="BW1351" t="s">
        <v>3463</v>
      </c>
      <c r="BX1351" t="s">
        <v>79</v>
      </c>
      <c r="BY1351" t="s">
        <v>79</v>
      </c>
      <c r="BZ1351" t="s">
        <v>79</v>
      </c>
      <c r="CA1351" s="10">
        <v>45912</v>
      </c>
    </row>
    <row r="1352" spans="1:79">
      <c r="A1352">
        <v>1365</v>
      </c>
      <c r="B1352">
        <v>286</v>
      </c>
      <c r="C1352">
        <v>33</v>
      </c>
      <c r="D1352" t="s">
        <v>3466</v>
      </c>
      <c r="E1352" t="s">
        <v>2462</v>
      </c>
      <c r="F1352" t="s">
        <v>2407</v>
      </c>
      <c r="G1352" s="12" t="s">
        <v>3463</v>
      </c>
      <c r="H1352" s="12"/>
      <c r="I1352">
        <v>85</v>
      </c>
      <c r="K1352">
        <v>110</v>
      </c>
      <c r="L1352">
        <v>78</v>
      </c>
      <c r="M1352" t="s">
        <v>80</v>
      </c>
      <c r="P1352" t="s">
        <v>83</v>
      </c>
      <c r="Q1352" t="s">
        <v>80</v>
      </c>
      <c r="R1352">
        <v>52.3</v>
      </c>
      <c r="S1352">
        <v>153</v>
      </c>
      <c r="T1352" s="8">
        <f t="shared" si="43"/>
        <v>22.341834337220725</v>
      </c>
      <c r="U1352" s="13" t="str" cm="1">
        <f t="array" ref="U1352">IF(T1352="","",_xlfn.IFS(T1352&lt;18.5,"Bajo peso",T1352&lt;25,"Peso normal",T1352&lt;30,"Sobrepeso",T1352&lt;35,"Obesidad clase I",T1352&lt;40,"Obesidad clase II",T1352&gt;=40,"Obesidad clase III"))</f>
        <v>Peso normal</v>
      </c>
      <c r="V1352">
        <v>92</v>
      </c>
      <c r="X1352" t="s">
        <v>3463</v>
      </c>
      <c r="Y1352">
        <v>1.2</v>
      </c>
      <c r="AA1352">
        <v>61</v>
      </c>
      <c r="AB1352" s="9">
        <f t="shared" si="42"/>
        <v>61.296511564437942</v>
      </c>
      <c r="AD1352" t="s">
        <v>73</v>
      </c>
      <c r="AF1352" t="s">
        <v>73</v>
      </c>
      <c r="AH1352" t="s">
        <v>3463</v>
      </c>
      <c r="AI1352" t="s">
        <v>3463</v>
      </c>
      <c r="AJ1352" t="s">
        <v>3463</v>
      </c>
      <c r="AK1352" t="s">
        <v>3463</v>
      </c>
      <c r="AP1352" t="s">
        <v>3463</v>
      </c>
      <c r="AQ1352" t="s">
        <v>120</v>
      </c>
      <c r="AR1352" t="s">
        <v>3491</v>
      </c>
      <c r="AT1352" t="s">
        <v>3463</v>
      </c>
      <c r="AV1352" t="s">
        <v>74</v>
      </c>
      <c r="AW1352" t="s">
        <v>3915</v>
      </c>
      <c r="AX1352" t="s">
        <v>3463</v>
      </c>
      <c r="AY1352" t="s">
        <v>3465</v>
      </c>
      <c r="AZ1352" t="s">
        <v>90</v>
      </c>
      <c r="BF1352" t="s">
        <v>3921</v>
      </c>
      <c r="BH1352" t="s">
        <v>4020</v>
      </c>
      <c r="BP1352" t="s">
        <v>4260</v>
      </c>
      <c r="BQ1352" t="s">
        <v>3463</v>
      </c>
      <c r="BR1352" t="s">
        <v>3463</v>
      </c>
      <c r="BS1352" t="s">
        <v>3463</v>
      </c>
      <c r="BT1352" t="s">
        <v>3463</v>
      </c>
      <c r="BU1352" t="s">
        <v>3463</v>
      </c>
      <c r="BV1352" t="s">
        <v>3463</v>
      </c>
      <c r="BW1352" t="s">
        <v>3463</v>
      </c>
      <c r="BX1352" t="s">
        <v>79</v>
      </c>
      <c r="BY1352" t="s">
        <v>79</v>
      </c>
      <c r="BZ1352" t="s">
        <v>79</v>
      </c>
      <c r="CA1352" s="10">
        <v>45912</v>
      </c>
    </row>
    <row r="1353" spans="1:79">
      <c r="A1353">
        <v>1366</v>
      </c>
      <c r="B1353">
        <v>287</v>
      </c>
      <c r="C1353">
        <v>64</v>
      </c>
      <c r="D1353" t="s">
        <v>3466</v>
      </c>
      <c r="E1353" t="s">
        <v>450</v>
      </c>
      <c r="F1353" t="s">
        <v>2407</v>
      </c>
      <c r="G1353" s="12" t="s">
        <v>3465</v>
      </c>
      <c r="H1353" s="12" t="s">
        <v>88</v>
      </c>
      <c r="I1353">
        <v>66</v>
      </c>
      <c r="J1353">
        <v>63</v>
      </c>
      <c r="K1353">
        <v>155</v>
      </c>
      <c r="L1353">
        <v>75</v>
      </c>
      <c r="M1353" t="s">
        <v>72</v>
      </c>
      <c r="N1353">
        <v>143</v>
      </c>
      <c r="O1353">
        <v>75</v>
      </c>
      <c r="P1353" t="s">
        <v>72</v>
      </c>
      <c r="Q1353" t="s">
        <v>72</v>
      </c>
      <c r="R1353">
        <v>70.400000000000006</v>
      </c>
      <c r="S1353">
        <v>152</v>
      </c>
      <c r="T1353" s="8">
        <f t="shared" si="43"/>
        <v>30.470914127423825</v>
      </c>
      <c r="U1353" s="13" t="str" cm="1">
        <f t="array" ref="U1353">IF(T1353="","",_xlfn.IFS(T1353&lt;18.5,"Bajo peso",T1353&lt;25,"Peso normal",T1353&lt;30,"Sobrepeso",T1353&lt;35,"Obesidad clase I",T1353&lt;40,"Obesidad clase II",T1353&gt;=40,"Obesidad clase III"))</f>
        <v>Obesidad clase I</v>
      </c>
      <c r="V1353">
        <v>136</v>
      </c>
      <c r="X1353" t="s">
        <v>3463</v>
      </c>
      <c r="Y1353">
        <v>0.83</v>
      </c>
      <c r="AA1353">
        <v>79</v>
      </c>
      <c r="AB1353" s="9">
        <f t="shared" si="42"/>
        <v>78.673470457113652</v>
      </c>
      <c r="AD1353" t="s">
        <v>73</v>
      </c>
      <c r="AF1353" t="s">
        <v>73</v>
      </c>
      <c r="AH1353" t="s">
        <v>3463</v>
      </c>
      <c r="AI1353" t="s">
        <v>3463</v>
      </c>
      <c r="AJ1353" t="s">
        <v>3463</v>
      </c>
      <c r="AK1353" t="s">
        <v>3463</v>
      </c>
      <c r="AL1353" t="s">
        <v>3463</v>
      </c>
      <c r="AP1353" t="s">
        <v>3464</v>
      </c>
      <c r="AQ1353" t="s">
        <v>169</v>
      </c>
      <c r="AR1353" t="s">
        <v>3493</v>
      </c>
      <c r="AT1353" t="s">
        <v>3465</v>
      </c>
      <c r="AU1353" t="s">
        <v>80</v>
      </c>
      <c r="AV1353" t="s">
        <v>74</v>
      </c>
      <c r="AW1353" t="s">
        <v>3915</v>
      </c>
      <c r="AX1353" t="s">
        <v>3463</v>
      </c>
      <c r="AY1353" t="s">
        <v>3465</v>
      </c>
      <c r="AZ1353" t="s">
        <v>90</v>
      </c>
      <c r="BF1353" t="s">
        <v>3921</v>
      </c>
      <c r="BH1353" t="s">
        <v>4020</v>
      </c>
      <c r="BP1353" t="s">
        <v>4260</v>
      </c>
      <c r="BQ1353" t="s">
        <v>3463</v>
      </c>
      <c r="BR1353" t="s">
        <v>3465</v>
      </c>
      <c r="BS1353" t="s">
        <v>3463</v>
      </c>
      <c r="BT1353" t="s">
        <v>3463</v>
      </c>
      <c r="BU1353" t="s">
        <v>3463</v>
      </c>
      <c r="BV1353" t="s">
        <v>3463</v>
      </c>
      <c r="BW1353" t="s">
        <v>3463</v>
      </c>
      <c r="BX1353" t="s">
        <v>79</v>
      </c>
      <c r="BY1353" t="s">
        <v>79</v>
      </c>
      <c r="BZ1353" t="s">
        <v>79</v>
      </c>
      <c r="CA1353" s="10">
        <v>45912</v>
      </c>
    </row>
    <row r="1354" spans="1:79">
      <c r="A1354">
        <v>1367</v>
      </c>
      <c r="B1354">
        <v>288</v>
      </c>
      <c r="C1354">
        <v>24</v>
      </c>
      <c r="D1354" t="s">
        <v>3466</v>
      </c>
      <c r="E1354" t="s">
        <v>2462</v>
      </c>
      <c r="F1354" t="s">
        <v>2407</v>
      </c>
      <c r="G1354" s="12" t="s">
        <v>3465</v>
      </c>
      <c r="H1354" t="s">
        <v>88</v>
      </c>
      <c r="I1354">
        <v>90</v>
      </c>
      <c r="J1354">
        <v>88</v>
      </c>
      <c r="K1354">
        <v>164</v>
      </c>
      <c r="L1354">
        <v>84</v>
      </c>
      <c r="M1354" t="s">
        <v>72</v>
      </c>
      <c r="N1354">
        <v>136</v>
      </c>
      <c r="O1354">
        <v>82</v>
      </c>
      <c r="P1354" t="s">
        <v>82</v>
      </c>
      <c r="Q1354" t="s">
        <v>82</v>
      </c>
      <c r="R1354">
        <v>102.2</v>
      </c>
      <c r="S1354">
        <v>154</v>
      </c>
      <c r="T1354" s="8">
        <f t="shared" si="43"/>
        <v>43.09327036599764</v>
      </c>
      <c r="U1354" s="13" t="str" cm="1">
        <f t="array" ref="U1354">IF(T1354="","",_xlfn.IFS(T1354&lt;18.5,"Bajo peso",T1354&lt;25,"Peso normal",T1354&lt;30,"Sobrepeso",T1354&lt;35,"Obesidad clase I",T1354&lt;40,"Obesidad clase II",T1354&gt;=40,"Obesidad clase III"))</f>
        <v>Obesidad clase III</v>
      </c>
      <c r="V1354">
        <v>87</v>
      </c>
      <c r="X1354" t="s">
        <v>3463</v>
      </c>
      <c r="Y1354">
        <v>1.07</v>
      </c>
      <c r="AA1354">
        <v>74</v>
      </c>
      <c r="AB1354" s="9">
        <f t="shared" si="42"/>
        <v>74.387812805042145</v>
      </c>
      <c r="AD1354" t="s">
        <v>73</v>
      </c>
      <c r="AF1354" t="s">
        <v>73</v>
      </c>
      <c r="AH1354" t="s">
        <v>3463</v>
      </c>
      <c r="AI1354" t="s">
        <v>3463</v>
      </c>
      <c r="AJ1354" t="s">
        <v>3463</v>
      </c>
      <c r="AK1354" t="s">
        <v>3463</v>
      </c>
      <c r="AL1354" t="s">
        <v>3463</v>
      </c>
      <c r="AP1354" t="s">
        <v>3463</v>
      </c>
      <c r="AQ1354" t="s">
        <v>2938</v>
      </c>
      <c r="AR1354" t="s">
        <v>3489</v>
      </c>
      <c r="AV1354" t="s">
        <v>126</v>
      </c>
      <c r="AW1354" t="s">
        <v>126</v>
      </c>
      <c r="AX1354" t="s">
        <v>3463</v>
      </c>
      <c r="AY1354" t="s">
        <v>3465</v>
      </c>
      <c r="AZ1354" t="s">
        <v>247</v>
      </c>
      <c r="BF1354" t="s">
        <v>3921</v>
      </c>
      <c r="BH1354" t="s">
        <v>4020</v>
      </c>
      <c r="BP1354" t="s">
        <v>4260</v>
      </c>
      <c r="BQ1354" t="s">
        <v>3465</v>
      </c>
      <c r="BR1354" t="s">
        <v>3465</v>
      </c>
      <c r="BS1354" t="s">
        <v>3465</v>
      </c>
      <c r="BT1354" t="s">
        <v>3465</v>
      </c>
      <c r="BU1354" t="s">
        <v>3463</v>
      </c>
      <c r="BV1354" t="s">
        <v>3463</v>
      </c>
      <c r="BW1354" t="s">
        <v>3463</v>
      </c>
      <c r="BX1354" t="s">
        <v>79</v>
      </c>
      <c r="BY1354" t="s">
        <v>79</v>
      </c>
      <c r="BZ1354" t="s">
        <v>79</v>
      </c>
      <c r="CA1354" s="10">
        <v>45912</v>
      </c>
    </row>
    <row r="1355" spans="1:79">
      <c r="A1355">
        <v>1368</v>
      </c>
      <c r="B1355">
        <v>289</v>
      </c>
      <c r="C1355">
        <v>41</v>
      </c>
      <c r="D1355" t="s">
        <v>3466</v>
      </c>
      <c r="E1355" t="s">
        <v>2411</v>
      </c>
      <c r="F1355" t="s">
        <v>2407</v>
      </c>
      <c r="G1355" s="12" t="s">
        <v>3463</v>
      </c>
      <c r="H1355" s="12"/>
      <c r="I1355">
        <v>90</v>
      </c>
      <c r="J1355">
        <v>92</v>
      </c>
      <c r="K1355">
        <v>155</v>
      </c>
      <c r="L1355">
        <v>95</v>
      </c>
      <c r="M1355" t="s">
        <v>72</v>
      </c>
      <c r="N1355">
        <v>152</v>
      </c>
      <c r="O1355">
        <v>92</v>
      </c>
      <c r="P1355" t="s">
        <v>72</v>
      </c>
      <c r="Q1355" t="s">
        <v>72</v>
      </c>
      <c r="R1355">
        <v>108.3</v>
      </c>
      <c r="S1355">
        <v>165.5</v>
      </c>
      <c r="T1355" s="8">
        <f t="shared" si="43"/>
        <v>39.539617199550939</v>
      </c>
      <c r="U1355" s="13" t="str" cm="1">
        <f t="array" ref="U1355">IF(T1355="","",_xlfn.IFS(T1355&lt;18.5,"Bajo peso",T1355&lt;25,"Peso normal",T1355&lt;30,"Sobrepeso",T1355&lt;35,"Obesidad clase I",T1355&lt;40,"Obesidad clase II",T1355&gt;=40,"Obesidad clase III"))</f>
        <v>Obesidad clase II</v>
      </c>
      <c r="V1355">
        <v>92</v>
      </c>
      <c r="X1355" t="s">
        <v>3463</v>
      </c>
      <c r="Y1355">
        <v>1.1499999999999999</v>
      </c>
      <c r="AA1355">
        <v>62</v>
      </c>
      <c r="AB1355" s="9">
        <f t="shared" si="42"/>
        <v>61.377300771205213</v>
      </c>
      <c r="AD1355" t="s">
        <v>73</v>
      </c>
      <c r="AF1355" t="s">
        <v>73</v>
      </c>
      <c r="AH1355" t="s">
        <v>3463</v>
      </c>
      <c r="AI1355" t="s">
        <v>3463</v>
      </c>
      <c r="AJ1355" t="s">
        <v>3463</v>
      </c>
      <c r="AK1355" t="s">
        <v>3465</v>
      </c>
      <c r="AL1355" t="s">
        <v>3465</v>
      </c>
      <c r="AM1355" t="s">
        <v>116</v>
      </c>
      <c r="AN1355" t="s">
        <v>116</v>
      </c>
      <c r="AP1355" t="s">
        <v>3463</v>
      </c>
      <c r="AQ1355" t="s">
        <v>2939</v>
      </c>
      <c r="AR1355" t="s">
        <v>3488</v>
      </c>
      <c r="AT1355" t="s">
        <v>3463</v>
      </c>
      <c r="AV1355" t="s">
        <v>74</v>
      </c>
      <c r="AW1355" t="s">
        <v>3915</v>
      </c>
      <c r="AX1355" t="s">
        <v>3463</v>
      </c>
      <c r="AY1355" t="s">
        <v>3465</v>
      </c>
      <c r="AZ1355" t="s">
        <v>2844</v>
      </c>
      <c r="BF1355" t="s">
        <v>3921</v>
      </c>
      <c r="BH1355" t="s">
        <v>4020</v>
      </c>
      <c r="BP1355" t="s">
        <v>4260</v>
      </c>
      <c r="BQ1355" t="s">
        <v>3463</v>
      </c>
      <c r="BR1355" t="s">
        <v>3465</v>
      </c>
      <c r="BS1355" t="s">
        <v>3463</v>
      </c>
      <c r="BT1355" t="s">
        <v>3463</v>
      </c>
      <c r="BU1355" t="s">
        <v>3463</v>
      </c>
      <c r="BV1355" t="s">
        <v>3463</v>
      </c>
      <c r="BW1355" t="s">
        <v>3463</v>
      </c>
      <c r="BX1355" t="s">
        <v>518</v>
      </c>
      <c r="BY1355" t="s">
        <v>79</v>
      </c>
      <c r="BZ1355" t="s">
        <v>79</v>
      </c>
      <c r="CA1355" s="10">
        <v>45912</v>
      </c>
    </row>
    <row r="1356" spans="1:79">
      <c r="A1356">
        <v>1369</v>
      </c>
      <c r="B1356">
        <v>290</v>
      </c>
      <c r="C1356">
        <v>51</v>
      </c>
      <c r="D1356" t="s">
        <v>3466</v>
      </c>
      <c r="E1356" t="s">
        <v>2411</v>
      </c>
      <c r="F1356" t="s">
        <v>2407</v>
      </c>
      <c r="G1356" s="12" t="s">
        <v>3463</v>
      </c>
      <c r="I1356">
        <v>85</v>
      </c>
      <c r="K1356">
        <v>138</v>
      </c>
      <c r="L1356">
        <v>81</v>
      </c>
      <c r="M1356" t="s">
        <v>82</v>
      </c>
      <c r="P1356" t="s">
        <v>83</v>
      </c>
      <c r="Q1356" t="s">
        <v>82</v>
      </c>
      <c r="R1356">
        <v>65.900000000000006</v>
      </c>
      <c r="S1356">
        <v>153</v>
      </c>
      <c r="T1356" s="8">
        <f t="shared" si="43"/>
        <v>28.151565637148106</v>
      </c>
      <c r="U1356" s="13" t="str" cm="1">
        <f t="array" ref="U1356">IF(T1356="","",_xlfn.IFS(T1356&lt;18.5,"Bajo peso",T1356&lt;25,"Peso normal",T1356&lt;30,"Sobrepeso",T1356&lt;35,"Obesidad clase I",T1356&lt;40,"Obesidad clase II",T1356&gt;=40,"Obesidad clase III"))</f>
        <v>Sobrepeso</v>
      </c>
      <c r="V1356">
        <v>96</v>
      </c>
      <c r="X1356" t="s">
        <v>3463</v>
      </c>
      <c r="Y1356">
        <v>1.1499999999999999</v>
      </c>
      <c r="AA1356">
        <v>58</v>
      </c>
      <c r="AB1356" s="9">
        <f t="shared" si="42"/>
        <v>57.676342131338465</v>
      </c>
      <c r="AD1356" t="s">
        <v>158</v>
      </c>
      <c r="AF1356" t="s">
        <v>158</v>
      </c>
      <c r="AH1356" t="s">
        <v>3463</v>
      </c>
      <c r="AI1356" t="s">
        <v>3463</v>
      </c>
      <c r="AJ1356" t="s">
        <v>3463</v>
      </c>
      <c r="AK1356" t="s">
        <v>3463</v>
      </c>
      <c r="AL1356" t="s">
        <v>3463</v>
      </c>
      <c r="AP1356" t="s">
        <v>3463</v>
      </c>
      <c r="AQ1356" t="s">
        <v>2940</v>
      </c>
      <c r="AR1356" t="s">
        <v>3491</v>
      </c>
      <c r="AT1356" t="s">
        <v>3465</v>
      </c>
      <c r="AU1356" t="s">
        <v>80</v>
      </c>
      <c r="AV1356" t="s">
        <v>74</v>
      </c>
      <c r="AW1356" t="s">
        <v>3915</v>
      </c>
      <c r="BF1356" t="s">
        <v>3921</v>
      </c>
      <c r="BH1356" t="s">
        <v>4020</v>
      </c>
      <c r="BP1356" t="s">
        <v>4260</v>
      </c>
      <c r="BQ1356" t="s">
        <v>3463</v>
      </c>
      <c r="BR1356" t="s">
        <v>3463</v>
      </c>
      <c r="BU1356" t="s">
        <v>3463</v>
      </c>
      <c r="BV1356" t="s">
        <v>3463</v>
      </c>
      <c r="BX1356" t="s">
        <v>121</v>
      </c>
      <c r="BY1356" t="s">
        <v>79</v>
      </c>
      <c r="BZ1356" t="s">
        <v>79</v>
      </c>
      <c r="CA1356" s="10">
        <v>45912</v>
      </c>
    </row>
    <row r="1357" spans="1:79">
      <c r="A1357">
        <v>1370</v>
      </c>
      <c r="B1357">
        <v>291</v>
      </c>
      <c r="C1357">
        <v>60</v>
      </c>
      <c r="D1357" t="s">
        <v>3466</v>
      </c>
      <c r="E1357" t="s">
        <v>2462</v>
      </c>
      <c r="F1357" t="s">
        <v>2407</v>
      </c>
      <c r="G1357" s="12" t="s">
        <v>3463</v>
      </c>
      <c r="H1357" s="12"/>
      <c r="I1357">
        <v>83</v>
      </c>
      <c r="J1357">
        <v>83</v>
      </c>
      <c r="K1357">
        <v>136</v>
      </c>
      <c r="L1357">
        <v>95</v>
      </c>
      <c r="M1357" t="s">
        <v>72</v>
      </c>
      <c r="N1357">
        <v>132</v>
      </c>
      <c r="O1357">
        <v>88</v>
      </c>
      <c r="P1357" t="s">
        <v>82</v>
      </c>
      <c r="Q1357" t="s">
        <v>82</v>
      </c>
      <c r="R1357">
        <v>59.9</v>
      </c>
      <c r="S1357">
        <v>149</v>
      </c>
      <c r="T1357" s="8">
        <f t="shared" si="43"/>
        <v>26.980766632133687</v>
      </c>
      <c r="U1357" s="13" t="str" cm="1">
        <f t="array" ref="U1357">IF(T1357="","",_xlfn.IFS(T1357&lt;18.5,"Bajo peso",T1357&lt;25,"Peso normal",T1357&lt;30,"Sobrepeso",T1357&lt;35,"Obesidad clase I",T1357&lt;40,"Obesidad clase II",T1357&gt;=40,"Obesidad clase III"))</f>
        <v>Sobrepeso</v>
      </c>
      <c r="V1357">
        <v>148</v>
      </c>
      <c r="X1357" t="s">
        <v>3463</v>
      </c>
      <c r="Y1357">
        <v>1.57</v>
      </c>
      <c r="Z1357">
        <v>1.56</v>
      </c>
      <c r="AA1357">
        <v>38</v>
      </c>
      <c r="AB1357" s="9">
        <f t="shared" si="42"/>
        <v>37.535868293978794</v>
      </c>
      <c r="AC1357">
        <v>38</v>
      </c>
      <c r="AD1357" t="s">
        <v>218</v>
      </c>
      <c r="AE1357" t="s">
        <v>218</v>
      </c>
      <c r="AF1357" t="s">
        <v>218</v>
      </c>
      <c r="AG1357" t="s">
        <v>3465</v>
      </c>
      <c r="AH1357" t="s">
        <v>3465</v>
      </c>
      <c r="AI1357" t="s">
        <v>3463</v>
      </c>
      <c r="AJ1357" t="s">
        <v>3463</v>
      </c>
      <c r="AK1357" t="s">
        <v>3463</v>
      </c>
      <c r="AL1357" t="s">
        <v>3465</v>
      </c>
      <c r="AM1357" t="s">
        <v>2941</v>
      </c>
      <c r="AN1357" t="s">
        <v>3665</v>
      </c>
      <c r="AP1357" t="s">
        <v>3463</v>
      </c>
      <c r="AQ1357" t="s">
        <v>2942</v>
      </c>
      <c r="AR1357" t="s">
        <v>3490</v>
      </c>
      <c r="AT1357" t="s">
        <v>3465</v>
      </c>
      <c r="AU1357" t="s">
        <v>80</v>
      </c>
      <c r="AV1357" t="s">
        <v>74</v>
      </c>
      <c r="AW1357" t="s">
        <v>3915</v>
      </c>
      <c r="AX1357" t="s">
        <v>3463</v>
      </c>
      <c r="AY1357" t="s">
        <v>3465</v>
      </c>
      <c r="AZ1357" t="s">
        <v>247</v>
      </c>
      <c r="BB1357" t="s">
        <v>3485</v>
      </c>
      <c r="BF1357" t="s">
        <v>3921</v>
      </c>
      <c r="BG1357" t="s">
        <v>2943</v>
      </c>
      <c r="BH1357" t="s">
        <v>4215</v>
      </c>
      <c r="BI1357" t="s">
        <v>2747</v>
      </c>
      <c r="BK1357" t="s">
        <v>2944</v>
      </c>
      <c r="BL1357" t="s">
        <v>2945</v>
      </c>
      <c r="BP1357" t="s">
        <v>4544</v>
      </c>
      <c r="BQ1357" t="s">
        <v>3463</v>
      </c>
      <c r="BR1357" t="s">
        <v>3465</v>
      </c>
      <c r="BS1357" t="s">
        <v>3463</v>
      </c>
      <c r="BT1357" t="s">
        <v>3465</v>
      </c>
      <c r="BU1357" t="s">
        <v>3463</v>
      </c>
      <c r="BV1357" t="s">
        <v>3463</v>
      </c>
      <c r="BW1357" t="s">
        <v>3463</v>
      </c>
      <c r="BX1357" t="s">
        <v>79</v>
      </c>
      <c r="BY1357" t="s">
        <v>79</v>
      </c>
      <c r="BZ1357" t="s">
        <v>79</v>
      </c>
      <c r="CA1357" s="10">
        <v>45912</v>
      </c>
    </row>
    <row r="1358" spans="1:79">
      <c r="A1358">
        <v>1371</v>
      </c>
      <c r="B1358">
        <v>292</v>
      </c>
      <c r="C1358">
        <v>46</v>
      </c>
      <c r="D1358" t="s">
        <v>3462</v>
      </c>
      <c r="E1358" t="s">
        <v>2411</v>
      </c>
      <c r="F1358" t="s">
        <v>2407</v>
      </c>
      <c r="G1358" s="12" t="s">
        <v>3463</v>
      </c>
      <c r="I1358">
        <v>86</v>
      </c>
      <c r="J1358">
        <v>83</v>
      </c>
      <c r="K1358">
        <v>154</v>
      </c>
      <c r="L1358">
        <v>94</v>
      </c>
      <c r="M1358" t="s">
        <v>72</v>
      </c>
      <c r="N1358">
        <v>150</v>
      </c>
      <c r="O1358">
        <v>94</v>
      </c>
      <c r="P1358" t="s">
        <v>72</v>
      </c>
      <c r="Q1358" t="s">
        <v>72</v>
      </c>
      <c r="R1358">
        <v>100.4</v>
      </c>
      <c r="S1358">
        <v>166</v>
      </c>
      <c r="T1358" s="8">
        <f t="shared" si="43"/>
        <v>36.434896211351429</v>
      </c>
      <c r="U1358" s="13" t="str" cm="1">
        <f t="array" ref="U1358">IF(T1358="","",_xlfn.IFS(T1358&lt;18.5,"Bajo peso",T1358&lt;25,"Peso normal",T1358&lt;30,"Sobrepeso",T1358&lt;35,"Obesidad clase I",T1358&lt;40,"Obesidad clase II",T1358&gt;=40,"Obesidad clase III"))</f>
        <v>Obesidad clase II</v>
      </c>
      <c r="V1358">
        <v>95</v>
      </c>
      <c r="X1358" t="s">
        <v>3463</v>
      </c>
      <c r="Y1358">
        <v>1.5</v>
      </c>
      <c r="AA1358">
        <v>58</v>
      </c>
      <c r="AB1358" s="9">
        <f t="shared" si="42"/>
        <v>57.786114753581863</v>
      </c>
      <c r="AD1358" t="s">
        <v>158</v>
      </c>
      <c r="AF1358" t="s">
        <v>158</v>
      </c>
      <c r="AH1358" t="s">
        <v>3463</v>
      </c>
      <c r="AI1358" t="s">
        <v>3463</v>
      </c>
      <c r="AJ1358" t="s">
        <v>3465</v>
      </c>
      <c r="AK1358" t="s">
        <v>3463</v>
      </c>
      <c r="AL1358" t="s">
        <v>3463</v>
      </c>
      <c r="AP1358" t="s">
        <v>3463</v>
      </c>
      <c r="AQ1358" t="s">
        <v>2946</v>
      </c>
      <c r="AR1358" t="s">
        <v>3564</v>
      </c>
      <c r="AV1358" t="s">
        <v>74</v>
      </c>
      <c r="AW1358" t="s">
        <v>3915</v>
      </c>
      <c r="BF1358" t="s">
        <v>3921</v>
      </c>
      <c r="BH1358" t="s">
        <v>4020</v>
      </c>
      <c r="BP1358" t="s">
        <v>4260</v>
      </c>
      <c r="BQ1358" t="s">
        <v>3463</v>
      </c>
      <c r="BR1358" t="s">
        <v>3465</v>
      </c>
      <c r="BS1358" t="s">
        <v>3463</v>
      </c>
      <c r="BT1358" t="s">
        <v>3463</v>
      </c>
      <c r="BU1358" t="s">
        <v>3463</v>
      </c>
      <c r="BV1358" t="s">
        <v>3463</v>
      </c>
      <c r="BW1358" t="s">
        <v>3463</v>
      </c>
      <c r="BX1358" t="s">
        <v>79</v>
      </c>
      <c r="BY1358" t="s">
        <v>79</v>
      </c>
      <c r="BZ1358" t="s">
        <v>79</v>
      </c>
      <c r="CA1358" s="10">
        <v>45912</v>
      </c>
    </row>
    <row r="1359" spans="1:79">
      <c r="A1359">
        <v>1372</v>
      </c>
      <c r="B1359">
        <v>293</v>
      </c>
      <c r="C1359">
        <v>20</v>
      </c>
      <c r="D1359" t="s">
        <v>3466</v>
      </c>
      <c r="E1359" t="s">
        <v>2462</v>
      </c>
      <c r="F1359" t="s">
        <v>2407</v>
      </c>
      <c r="G1359" s="12" t="s">
        <v>3465</v>
      </c>
      <c r="H1359" t="s">
        <v>88</v>
      </c>
      <c r="I1359">
        <v>86</v>
      </c>
      <c r="K1359">
        <v>126</v>
      </c>
      <c r="L1359">
        <v>82</v>
      </c>
      <c r="M1359" t="s">
        <v>82</v>
      </c>
      <c r="P1359" t="s">
        <v>83</v>
      </c>
      <c r="Q1359" t="s">
        <v>82</v>
      </c>
      <c r="R1359">
        <v>51.8</v>
      </c>
      <c r="S1359">
        <v>157</v>
      </c>
      <c r="T1359" s="8">
        <f t="shared" si="43"/>
        <v>21.015051320540387</v>
      </c>
      <c r="U1359" s="13" t="str" cm="1">
        <f t="array" ref="U1359">IF(T1359="","",_xlfn.IFS(T1359&lt;18.5,"Bajo peso",T1359&lt;25,"Peso normal",T1359&lt;30,"Sobrepeso",T1359&lt;35,"Obesidad clase I",T1359&lt;40,"Obesidad clase II",T1359&gt;=40,"Obesidad clase III"))</f>
        <v>Peso normal</v>
      </c>
      <c r="V1359">
        <v>94</v>
      </c>
      <c r="X1359" t="s">
        <v>3463</v>
      </c>
      <c r="Y1359">
        <v>1.71</v>
      </c>
      <c r="Z1359">
        <v>1.84</v>
      </c>
      <c r="AA1359">
        <v>44</v>
      </c>
      <c r="AB1359" s="9">
        <f t="shared" si="42"/>
        <v>43.448123136659298</v>
      </c>
      <c r="AC1359">
        <v>34</v>
      </c>
      <c r="AD1359" t="s">
        <v>218</v>
      </c>
      <c r="AE1359" t="s">
        <v>218</v>
      </c>
      <c r="AF1359" t="s">
        <v>218</v>
      </c>
      <c r="AH1359" t="s">
        <v>3463</v>
      </c>
      <c r="AI1359" t="s">
        <v>3465</v>
      </c>
      <c r="AJ1359" t="s">
        <v>3465</v>
      </c>
      <c r="AK1359" t="s">
        <v>3463</v>
      </c>
      <c r="AL1359" t="s">
        <v>3465</v>
      </c>
      <c r="AM1359" t="s">
        <v>2947</v>
      </c>
      <c r="AN1359" t="s">
        <v>3877</v>
      </c>
      <c r="AP1359" t="s">
        <v>3463</v>
      </c>
      <c r="AQ1359" t="s">
        <v>2948</v>
      </c>
      <c r="AR1359" t="s">
        <v>3488</v>
      </c>
      <c r="AS1359" t="s">
        <v>3463</v>
      </c>
      <c r="AV1359" t="s">
        <v>126</v>
      </c>
      <c r="AW1359" t="s">
        <v>126</v>
      </c>
      <c r="AY1359" t="s">
        <v>3463</v>
      </c>
      <c r="BE1359" t="s">
        <v>2949</v>
      </c>
      <c r="BF1359" t="s">
        <v>3991</v>
      </c>
      <c r="BH1359" t="s">
        <v>4029</v>
      </c>
      <c r="BL1359" t="s">
        <v>2328</v>
      </c>
      <c r="BP1359" t="s">
        <v>4260</v>
      </c>
      <c r="BQ1359" t="s">
        <v>3465</v>
      </c>
      <c r="BR1359" t="s">
        <v>3463</v>
      </c>
      <c r="BS1359" t="s">
        <v>3463</v>
      </c>
      <c r="BT1359" t="s">
        <v>3463</v>
      </c>
      <c r="BU1359" t="s">
        <v>3463</v>
      </c>
      <c r="BV1359" t="s">
        <v>3463</v>
      </c>
      <c r="BW1359" t="s">
        <v>3463</v>
      </c>
      <c r="BX1359" t="s">
        <v>654</v>
      </c>
      <c r="BY1359" t="s">
        <v>79</v>
      </c>
      <c r="BZ1359" t="s">
        <v>95</v>
      </c>
      <c r="CA1359" s="10">
        <v>45912</v>
      </c>
    </row>
    <row r="1360" spans="1:79">
      <c r="A1360">
        <v>1373</v>
      </c>
      <c r="B1360">
        <v>294</v>
      </c>
      <c r="C1360">
        <v>61</v>
      </c>
      <c r="D1360" t="s">
        <v>3462</v>
      </c>
      <c r="E1360" t="s">
        <v>2462</v>
      </c>
      <c r="F1360" t="s">
        <v>2407</v>
      </c>
      <c r="G1360" s="12" t="s">
        <v>3463</v>
      </c>
      <c r="I1360">
        <v>62</v>
      </c>
      <c r="K1360">
        <v>117</v>
      </c>
      <c r="L1360">
        <v>76</v>
      </c>
      <c r="M1360" t="s">
        <v>80</v>
      </c>
      <c r="P1360" t="s">
        <v>83</v>
      </c>
      <c r="Q1360" t="s">
        <v>80</v>
      </c>
      <c r="R1360">
        <v>84.4</v>
      </c>
      <c r="S1360">
        <v>168</v>
      </c>
      <c r="T1360" s="8">
        <f t="shared" si="43"/>
        <v>29.903628117913836</v>
      </c>
      <c r="U1360" s="13" t="str" cm="1">
        <f t="array" ref="U1360">IF(T1360="","",_xlfn.IFS(T1360&lt;18.5,"Bajo peso",T1360&lt;25,"Peso normal",T1360&lt;30,"Sobrepeso",T1360&lt;35,"Obesidad clase I",T1360&lt;40,"Obesidad clase II",T1360&gt;=40,"Obesidad clase III"))</f>
        <v>Sobrepeso</v>
      </c>
      <c r="V1360">
        <v>103</v>
      </c>
      <c r="X1360" t="s">
        <v>3463</v>
      </c>
      <c r="Y1360">
        <v>2.0099999999999998</v>
      </c>
      <c r="Z1360">
        <v>1.36</v>
      </c>
      <c r="AA1360">
        <v>37</v>
      </c>
      <c r="AB1360" s="9">
        <f t="shared" si="42"/>
        <v>37.049523241283829</v>
      </c>
      <c r="AC1360">
        <v>59</v>
      </c>
      <c r="AD1360" t="s">
        <v>218</v>
      </c>
      <c r="AE1360" t="s">
        <v>158</v>
      </c>
      <c r="AF1360" t="s">
        <v>158</v>
      </c>
      <c r="AH1360" t="s">
        <v>3463</v>
      </c>
      <c r="AI1360" t="s">
        <v>3463</v>
      </c>
      <c r="AJ1360" t="s">
        <v>3463</v>
      </c>
      <c r="AK1360" t="s">
        <v>3463</v>
      </c>
      <c r="AL1360" t="s">
        <v>3463</v>
      </c>
      <c r="AP1360" t="s">
        <v>3463</v>
      </c>
      <c r="AQ1360" t="s">
        <v>2950</v>
      </c>
      <c r="AR1360" t="s">
        <v>3493</v>
      </c>
      <c r="AV1360" t="s">
        <v>74</v>
      </c>
      <c r="AW1360" t="s">
        <v>3915</v>
      </c>
      <c r="BF1360" t="s">
        <v>3921</v>
      </c>
      <c r="BH1360" t="s">
        <v>4020</v>
      </c>
      <c r="BP1360" t="s">
        <v>4260</v>
      </c>
      <c r="BQ1360" t="s">
        <v>3463</v>
      </c>
      <c r="BR1360" t="s">
        <v>3465</v>
      </c>
      <c r="BS1360" t="s">
        <v>3463</v>
      </c>
      <c r="BT1360" t="s">
        <v>3463</v>
      </c>
      <c r="BU1360" t="s">
        <v>3463</v>
      </c>
      <c r="BV1360" t="s">
        <v>3463</v>
      </c>
      <c r="BW1360" t="s">
        <v>3463</v>
      </c>
      <c r="BX1360" t="s">
        <v>79</v>
      </c>
      <c r="BY1360" t="s">
        <v>79</v>
      </c>
      <c r="BZ1360" t="s">
        <v>79</v>
      </c>
      <c r="CA1360" s="10">
        <v>45912</v>
      </c>
    </row>
    <row r="1361" spans="1:79">
      <c r="A1361">
        <v>1374</v>
      </c>
      <c r="B1361">
        <v>295</v>
      </c>
      <c r="C1361">
        <v>32</v>
      </c>
      <c r="D1361" t="s">
        <v>3466</v>
      </c>
      <c r="E1361" t="s">
        <v>2462</v>
      </c>
      <c r="F1361" t="s">
        <v>2407</v>
      </c>
      <c r="G1361" s="12" t="s">
        <v>3463</v>
      </c>
      <c r="H1361" s="12"/>
      <c r="I1361">
        <v>76</v>
      </c>
      <c r="K1361">
        <v>117</v>
      </c>
      <c r="L1361">
        <v>75</v>
      </c>
      <c r="M1361" t="s">
        <v>80</v>
      </c>
      <c r="P1361" t="s">
        <v>83</v>
      </c>
      <c r="Q1361" t="s">
        <v>80</v>
      </c>
      <c r="R1361">
        <v>72.7</v>
      </c>
      <c r="S1361">
        <v>154.5</v>
      </c>
      <c r="T1361" s="8">
        <f t="shared" si="43"/>
        <v>30.456321152899534</v>
      </c>
      <c r="U1361" s="13" t="str" cm="1">
        <f t="array" ref="U1361">IF(T1361="","",_xlfn.IFS(T1361&lt;18.5,"Bajo peso",T1361&lt;25,"Peso normal",T1361&lt;30,"Sobrepeso",T1361&lt;35,"Obesidad clase I",T1361&lt;40,"Obesidad clase II",T1361&gt;=40,"Obesidad clase III"))</f>
        <v>Obesidad clase I</v>
      </c>
      <c r="V1361">
        <v>84</v>
      </c>
      <c r="X1361" t="s">
        <v>3463</v>
      </c>
      <c r="Y1361">
        <v>1.19</v>
      </c>
      <c r="AA1361">
        <v>62</v>
      </c>
      <c r="AB1361" s="9">
        <f t="shared" si="42"/>
        <v>62.30141468416511</v>
      </c>
      <c r="AD1361" t="s">
        <v>73</v>
      </c>
      <c r="AF1361" t="s">
        <v>73</v>
      </c>
      <c r="AH1361" t="s">
        <v>3463</v>
      </c>
      <c r="AI1361" t="s">
        <v>3463</v>
      </c>
      <c r="AJ1361" t="s">
        <v>3463</v>
      </c>
      <c r="AK1361" t="s">
        <v>3465</v>
      </c>
      <c r="AL1361" t="s">
        <v>3463</v>
      </c>
      <c r="AO1361" t="s">
        <v>3465</v>
      </c>
      <c r="AP1361" t="s">
        <v>3465</v>
      </c>
      <c r="AQ1361" t="s">
        <v>2951</v>
      </c>
      <c r="AR1361" t="s">
        <v>3522</v>
      </c>
      <c r="AT1361" t="s">
        <v>3463</v>
      </c>
      <c r="AV1361" t="s">
        <v>74</v>
      </c>
      <c r="AW1361" t="s">
        <v>3915</v>
      </c>
      <c r="AX1361" t="s">
        <v>3463</v>
      </c>
      <c r="AY1361" t="s">
        <v>3465</v>
      </c>
      <c r="AZ1361" t="s">
        <v>104</v>
      </c>
      <c r="BF1361" t="s">
        <v>3921</v>
      </c>
      <c r="BH1361" t="s">
        <v>4020</v>
      </c>
      <c r="BP1361" t="s">
        <v>4260</v>
      </c>
      <c r="BQ1361" t="s">
        <v>3465</v>
      </c>
      <c r="BR1361" t="s">
        <v>3465</v>
      </c>
      <c r="BS1361" t="s">
        <v>3465</v>
      </c>
      <c r="BT1361" t="s">
        <v>3465</v>
      </c>
      <c r="BU1361" t="s">
        <v>3463</v>
      </c>
      <c r="BV1361" t="s">
        <v>3463</v>
      </c>
      <c r="BW1361" t="s">
        <v>3463</v>
      </c>
      <c r="BX1361" t="s">
        <v>79</v>
      </c>
      <c r="BY1361" t="s">
        <v>79</v>
      </c>
      <c r="BZ1361" t="s">
        <v>79</v>
      </c>
      <c r="CA1361" s="10">
        <v>45912</v>
      </c>
    </row>
    <row r="1362" spans="1:79">
      <c r="A1362">
        <v>1375</v>
      </c>
      <c r="B1362">
        <v>1</v>
      </c>
      <c r="C1362">
        <v>63</v>
      </c>
      <c r="D1362" t="s">
        <v>3466</v>
      </c>
      <c r="E1362" t="s">
        <v>2952</v>
      </c>
      <c r="F1362" t="s">
        <v>1804</v>
      </c>
      <c r="G1362" s="12" t="s">
        <v>3465</v>
      </c>
      <c r="H1362" s="12" t="s">
        <v>88</v>
      </c>
      <c r="I1362">
        <v>75</v>
      </c>
      <c r="J1362">
        <v>71</v>
      </c>
      <c r="K1362">
        <v>170</v>
      </c>
      <c r="L1362">
        <v>91</v>
      </c>
      <c r="M1362" t="s">
        <v>72</v>
      </c>
      <c r="N1362">
        <v>158</v>
      </c>
      <c r="O1362">
        <v>86</v>
      </c>
      <c r="P1362" t="s">
        <v>72</v>
      </c>
      <c r="Q1362" t="s">
        <v>72</v>
      </c>
      <c r="R1362">
        <v>93.6</v>
      </c>
      <c r="S1362">
        <v>159</v>
      </c>
      <c r="T1362" s="8">
        <f t="shared" si="43"/>
        <v>37.023851904592384</v>
      </c>
      <c r="U1362" s="13" t="str" cm="1">
        <f t="array" ref="U1362">IF(T1362="","",_xlfn.IFS(T1362&lt;18.5,"Bajo peso",T1362&lt;25,"Peso normal",T1362&lt;30,"Sobrepeso",T1362&lt;35,"Obesidad clase I",T1362&lt;40,"Obesidad clase II",T1362&gt;=40,"Obesidad clase III"))</f>
        <v>Obesidad clase II</v>
      </c>
      <c r="V1362">
        <v>89</v>
      </c>
      <c r="X1362" t="s">
        <v>3463</v>
      </c>
      <c r="Y1362">
        <v>0.88</v>
      </c>
      <c r="AA1362">
        <v>90</v>
      </c>
      <c r="AB1362" s="9">
        <f t="shared" si="42"/>
        <v>73.797868809924879</v>
      </c>
      <c r="AD1362" t="s">
        <v>73</v>
      </c>
      <c r="AF1362" t="s">
        <v>73</v>
      </c>
      <c r="AG1362" t="s">
        <v>3465</v>
      </c>
      <c r="AH1362" t="s">
        <v>3465</v>
      </c>
      <c r="AI1362" t="s">
        <v>3465</v>
      </c>
      <c r="AJ1362" t="s">
        <v>3463</v>
      </c>
      <c r="AK1362" t="s">
        <v>3465</v>
      </c>
      <c r="AL1362" t="s">
        <v>3463</v>
      </c>
      <c r="AO1362" t="s">
        <v>3464</v>
      </c>
      <c r="AP1362" t="s">
        <v>3465</v>
      </c>
      <c r="AQ1362" t="s">
        <v>2953</v>
      </c>
      <c r="AR1362" t="s">
        <v>3508</v>
      </c>
      <c r="AS1362" t="s">
        <v>3465</v>
      </c>
      <c r="AT1362" t="s">
        <v>3465</v>
      </c>
      <c r="AU1362" t="s">
        <v>125</v>
      </c>
      <c r="AV1362" t="s">
        <v>74</v>
      </c>
      <c r="AW1362" t="s">
        <v>3915</v>
      </c>
      <c r="AX1362" t="s">
        <v>3463</v>
      </c>
      <c r="AY1362" t="s">
        <v>3465</v>
      </c>
      <c r="BF1362" t="s">
        <v>3921</v>
      </c>
      <c r="BH1362" t="s">
        <v>4020</v>
      </c>
      <c r="BP1362" t="s">
        <v>4260</v>
      </c>
      <c r="BQ1362" t="s">
        <v>3463</v>
      </c>
      <c r="BR1362" t="s">
        <v>3463</v>
      </c>
      <c r="BS1362" t="s">
        <v>3463</v>
      </c>
      <c r="BT1362" t="s">
        <v>3465</v>
      </c>
      <c r="BU1362" t="s">
        <v>3463</v>
      </c>
      <c r="BV1362" t="s">
        <v>3463</v>
      </c>
      <c r="BW1362" t="s">
        <v>3463</v>
      </c>
      <c r="BX1362" t="s">
        <v>79</v>
      </c>
      <c r="BY1362" t="s">
        <v>79</v>
      </c>
      <c r="BZ1362" t="s">
        <v>79</v>
      </c>
      <c r="CA1362" s="10">
        <v>45913</v>
      </c>
    </row>
    <row r="1363" spans="1:79">
      <c r="A1363">
        <v>1376</v>
      </c>
      <c r="B1363">
        <v>2</v>
      </c>
      <c r="C1363">
        <v>71</v>
      </c>
      <c r="D1363" t="s">
        <v>3462</v>
      </c>
      <c r="E1363" t="s">
        <v>2411</v>
      </c>
      <c r="F1363" t="s">
        <v>2407</v>
      </c>
      <c r="G1363" s="12" t="s">
        <v>3463</v>
      </c>
      <c r="H1363" s="12"/>
      <c r="I1363">
        <v>71</v>
      </c>
      <c r="J1363">
        <v>69</v>
      </c>
      <c r="K1363">
        <v>198</v>
      </c>
      <c r="L1363">
        <v>103</v>
      </c>
      <c r="M1363" t="s">
        <v>96</v>
      </c>
      <c r="N1363">
        <v>173</v>
      </c>
      <c r="O1363">
        <v>83</v>
      </c>
      <c r="P1363" t="s">
        <v>72</v>
      </c>
      <c r="Q1363" t="s">
        <v>72</v>
      </c>
      <c r="R1363">
        <v>71.400000000000006</v>
      </c>
      <c r="S1363">
        <v>154</v>
      </c>
      <c r="T1363" s="8">
        <f t="shared" si="43"/>
        <v>30.106257378984651</v>
      </c>
      <c r="U1363" s="13" t="str" cm="1">
        <f t="array" ref="U1363">IF(T1363="","",_xlfn.IFS(T1363&lt;18.5,"Bajo peso",T1363&lt;25,"Peso normal",T1363&lt;30,"Sobrepeso",T1363&lt;35,"Obesidad clase I",T1363&lt;40,"Obesidad clase II",T1363&gt;=40,"Obesidad clase III"))</f>
        <v>Obesidad clase I</v>
      </c>
      <c r="V1363">
        <v>138</v>
      </c>
      <c r="X1363" t="s">
        <v>3463</v>
      </c>
      <c r="Y1363">
        <v>0.34</v>
      </c>
      <c r="AA1363">
        <v>90</v>
      </c>
      <c r="AB1363" s="9">
        <f t="shared" si="42"/>
        <v>122.51560539107842</v>
      </c>
      <c r="AD1363" t="s">
        <v>73</v>
      </c>
      <c r="AF1363" t="s">
        <v>73</v>
      </c>
      <c r="AG1363" t="s">
        <v>3465</v>
      </c>
      <c r="AH1363" t="s">
        <v>3465</v>
      </c>
      <c r="AI1363" t="s">
        <v>3465</v>
      </c>
      <c r="AJ1363" t="s">
        <v>3463</v>
      </c>
      <c r="AK1363" t="s">
        <v>3463</v>
      </c>
      <c r="AL1363" t="s">
        <v>3463</v>
      </c>
      <c r="AO1363" t="s">
        <v>3465</v>
      </c>
      <c r="AP1363" t="s">
        <v>3465</v>
      </c>
      <c r="AQ1363" t="s">
        <v>2412</v>
      </c>
      <c r="AR1363" t="s">
        <v>3489</v>
      </c>
      <c r="AS1363" t="s">
        <v>3465</v>
      </c>
      <c r="AV1363" t="s">
        <v>74</v>
      </c>
      <c r="AW1363" t="s">
        <v>3915</v>
      </c>
      <c r="BF1363" t="s">
        <v>3921</v>
      </c>
      <c r="BG1363" t="s">
        <v>2413</v>
      </c>
      <c r="BH1363" t="s">
        <v>4057</v>
      </c>
      <c r="BL1363" t="s">
        <v>2414</v>
      </c>
      <c r="BP1363" t="s">
        <v>4309</v>
      </c>
      <c r="BQ1363" t="s">
        <v>3463</v>
      </c>
      <c r="BR1363" t="s">
        <v>3463</v>
      </c>
      <c r="BS1363" t="s">
        <v>3463</v>
      </c>
      <c r="BT1363" t="s">
        <v>3463</v>
      </c>
      <c r="BU1363" t="s">
        <v>3463</v>
      </c>
      <c r="BV1363" t="s">
        <v>3463</v>
      </c>
      <c r="BW1363" t="s">
        <v>3463</v>
      </c>
      <c r="BX1363" t="s">
        <v>79</v>
      </c>
      <c r="BY1363" t="s">
        <v>487</v>
      </c>
      <c r="BZ1363" t="s">
        <v>79</v>
      </c>
      <c r="CA1363" s="10">
        <v>45913</v>
      </c>
    </row>
    <row r="1364" spans="1:79">
      <c r="A1364">
        <v>1377</v>
      </c>
      <c r="B1364">
        <v>2</v>
      </c>
      <c r="C1364">
        <v>47</v>
      </c>
      <c r="D1364" t="s">
        <v>3462</v>
      </c>
      <c r="E1364" t="s">
        <v>2565</v>
      </c>
      <c r="F1364" t="s">
        <v>1804</v>
      </c>
      <c r="G1364" s="12" t="s">
        <v>3463</v>
      </c>
      <c r="I1364">
        <v>75</v>
      </c>
      <c r="J1364">
        <v>75</v>
      </c>
      <c r="K1364">
        <v>167</v>
      </c>
      <c r="L1364">
        <v>92</v>
      </c>
      <c r="M1364" t="s">
        <v>72</v>
      </c>
      <c r="N1364">
        <v>160</v>
      </c>
      <c r="O1364">
        <v>93</v>
      </c>
      <c r="P1364" t="s">
        <v>72</v>
      </c>
      <c r="Q1364" t="s">
        <v>72</v>
      </c>
      <c r="R1364">
        <v>111.5</v>
      </c>
      <c r="S1364">
        <v>170</v>
      </c>
      <c r="T1364" s="8">
        <f t="shared" si="43"/>
        <v>38.581314878892734</v>
      </c>
      <c r="U1364" s="13" t="str" cm="1">
        <f t="array" ref="U1364">IF(T1364="","",_xlfn.IFS(T1364&lt;18.5,"Bajo peso",T1364&lt;25,"Peso normal",T1364&lt;30,"Sobrepeso",T1364&lt;35,"Obesidad clase I",T1364&lt;40,"Obesidad clase II",T1364&gt;=40,"Obesidad clase III"))</f>
        <v>Obesidad clase II</v>
      </c>
      <c r="V1364">
        <v>119</v>
      </c>
      <c r="X1364" t="s">
        <v>3463</v>
      </c>
      <c r="Y1364">
        <v>1.17</v>
      </c>
      <c r="AA1364">
        <v>77</v>
      </c>
      <c r="AB1364" s="9">
        <f t="shared" si="42"/>
        <v>77.376479267952561</v>
      </c>
      <c r="AD1364" t="s">
        <v>73</v>
      </c>
      <c r="AF1364" t="s">
        <v>73</v>
      </c>
      <c r="AG1364" t="s">
        <v>3465</v>
      </c>
      <c r="AH1364" t="s">
        <v>3465</v>
      </c>
      <c r="AI1364" t="s">
        <v>3465</v>
      </c>
      <c r="AJ1364" t="s">
        <v>3465</v>
      </c>
      <c r="AK1364" t="s">
        <v>3465</v>
      </c>
      <c r="AL1364" t="s">
        <v>3463</v>
      </c>
      <c r="AP1364" t="s">
        <v>3463</v>
      </c>
      <c r="AQ1364" t="s">
        <v>2954</v>
      </c>
      <c r="AR1364" t="s">
        <v>3488</v>
      </c>
      <c r="AS1364" t="s">
        <v>3465</v>
      </c>
      <c r="AV1364" t="s">
        <v>74</v>
      </c>
      <c r="AW1364" t="s">
        <v>3915</v>
      </c>
      <c r="BF1364" t="s">
        <v>3921</v>
      </c>
      <c r="BH1364" t="s">
        <v>4020</v>
      </c>
      <c r="BP1364" t="s">
        <v>4260</v>
      </c>
      <c r="BQ1364" t="s">
        <v>3463</v>
      </c>
      <c r="BR1364" t="s">
        <v>3465</v>
      </c>
      <c r="BS1364" t="s">
        <v>3463</v>
      </c>
      <c r="BT1364" t="s">
        <v>3463</v>
      </c>
      <c r="BU1364" t="s">
        <v>3463</v>
      </c>
      <c r="BV1364" t="s">
        <v>3463</v>
      </c>
      <c r="BW1364" t="s">
        <v>3463</v>
      </c>
      <c r="BX1364" t="s">
        <v>79</v>
      </c>
      <c r="BY1364" t="s">
        <v>87</v>
      </c>
      <c r="BZ1364" t="s">
        <v>79</v>
      </c>
      <c r="CA1364" s="10">
        <v>45913</v>
      </c>
    </row>
    <row r="1365" spans="1:79">
      <c r="A1365">
        <v>1378</v>
      </c>
      <c r="B1365">
        <v>3</v>
      </c>
      <c r="C1365">
        <v>65</v>
      </c>
      <c r="D1365" t="s">
        <v>3466</v>
      </c>
      <c r="E1365" t="s">
        <v>2565</v>
      </c>
      <c r="F1365" t="s">
        <v>1804</v>
      </c>
      <c r="G1365" s="12" t="s">
        <v>3463</v>
      </c>
      <c r="I1365">
        <v>79</v>
      </c>
      <c r="J1365">
        <v>85</v>
      </c>
      <c r="K1365">
        <v>140</v>
      </c>
      <c r="L1365">
        <v>79</v>
      </c>
      <c r="M1365" t="s">
        <v>72</v>
      </c>
      <c r="N1365">
        <v>136</v>
      </c>
      <c r="O1365">
        <v>85</v>
      </c>
      <c r="P1365" t="s">
        <v>82</v>
      </c>
      <c r="Q1365" t="s">
        <v>82</v>
      </c>
      <c r="R1365">
        <v>51</v>
      </c>
      <c r="S1365">
        <v>149</v>
      </c>
      <c r="T1365" s="8">
        <f t="shared" si="43"/>
        <v>22.971938200981938</v>
      </c>
      <c r="U1365" s="13" t="str" cm="1">
        <f t="array" ref="U1365">IF(T1365="","",_xlfn.IFS(T1365&lt;18.5,"Bajo peso",T1365&lt;25,"Peso normal",T1365&lt;30,"Sobrepeso",T1365&lt;35,"Obesidad clase I",T1365&lt;40,"Obesidad clase II",T1365&gt;=40,"Obesidad clase III"))</f>
        <v>Peso normal</v>
      </c>
      <c r="V1365">
        <v>171</v>
      </c>
      <c r="X1365" t="s">
        <v>3463</v>
      </c>
      <c r="Y1365">
        <v>0.56999999999999995</v>
      </c>
      <c r="AA1365">
        <v>90</v>
      </c>
      <c r="AB1365" s="9">
        <f t="shared" si="42"/>
        <v>100.78737888741954</v>
      </c>
      <c r="AD1365" t="s">
        <v>73</v>
      </c>
      <c r="AF1365" t="s">
        <v>73</v>
      </c>
      <c r="AG1365" t="s">
        <v>3465</v>
      </c>
      <c r="AH1365" t="s">
        <v>3465</v>
      </c>
      <c r="AI1365" t="s">
        <v>3463</v>
      </c>
      <c r="AJ1365" t="s">
        <v>3463</v>
      </c>
      <c r="AK1365" t="s">
        <v>3465</v>
      </c>
      <c r="AL1365" t="s">
        <v>3465</v>
      </c>
      <c r="AM1365" t="s">
        <v>110</v>
      </c>
      <c r="AN1365" t="s">
        <v>110</v>
      </c>
      <c r="AP1365" t="s">
        <v>3463</v>
      </c>
      <c r="AQ1365" t="s">
        <v>120</v>
      </c>
      <c r="AR1365" t="s">
        <v>3491</v>
      </c>
      <c r="AT1365" t="s">
        <v>3465</v>
      </c>
      <c r="AU1365" t="s">
        <v>80</v>
      </c>
      <c r="AV1365" t="s">
        <v>74</v>
      </c>
      <c r="AW1365" t="s">
        <v>3915</v>
      </c>
      <c r="AX1365" t="s">
        <v>3463</v>
      </c>
      <c r="AY1365" t="s">
        <v>3465</v>
      </c>
      <c r="AZ1365" t="s">
        <v>90</v>
      </c>
      <c r="BF1365" t="s">
        <v>3921</v>
      </c>
      <c r="BH1365" t="s">
        <v>4020</v>
      </c>
      <c r="BP1365" t="s">
        <v>4260</v>
      </c>
      <c r="BQ1365" t="s">
        <v>3463</v>
      </c>
      <c r="BR1365" t="s">
        <v>3463</v>
      </c>
      <c r="BS1365" t="s">
        <v>3465</v>
      </c>
      <c r="BT1365" t="s">
        <v>3465</v>
      </c>
      <c r="BU1365" t="s">
        <v>3463</v>
      </c>
      <c r="BV1365" t="s">
        <v>3463</v>
      </c>
      <c r="BW1365" t="s">
        <v>3463</v>
      </c>
      <c r="BX1365" t="s">
        <v>79</v>
      </c>
      <c r="BY1365" t="s">
        <v>87</v>
      </c>
      <c r="BZ1365" t="s">
        <v>79</v>
      </c>
      <c r="CA1365" s="10">
        <v>45913</v>
      </c>
    </row>
    <row r="1366" spans="1:79">
      <c r="A1366">
        <v>1379</v>
      </c>
      <c r="B1366">
        <v>4</v>
      </c>
      <c r="C1366">
        <v>86</v>
      </c>
      <c r="D1366" t="s">
        <v>3462</v>
      </c>
      <c r="E1366" t="s">
        <v>2955</v>
      </c>
      <c r="F1366" t="s">
        <v>1804</v>
      </c>
      <c r="G1366" s="12" t="s">
        <v>3463</v>
      </c>
      <c r="H1366" s="12"/>
      <c r="I1366">
        <v>94</v>
      </c>
      <c r="J1366">
        <v>78</v>
      </c>
      <c r="K1366">
        <v>190</v>
      </c>
      <c r="M1366" t="s">
        <v>83</v>
      </c>
      <c r="N1366">
        <v>184</v>
      </c>
      <c r="O1366">
        <v>89</v>
      </c>
      <c r="P1366" t="s">
        <v>96</v>
      </c>
      <c r="Q1366" t="s">
        <v>96</v>
      </c>
      <c r="R1366">
        <v>80.599999999999994</v>
      </c>
      <c r="S1366">
        <v>164</v>
      </c>
      <c r="T1366" s="8">
        <f t="shared" si="43"/>
        <v>29.967281380130871</v>
      </c>
      <c r="U1366" s="13" t="str" cm="1">
        <f t="array" ref="U1366">IF(T1366="","",_xlfn.IFS(T1366&lt;18.5,"Bajo peso",T1366&lt;25,"Peso normal",T1366&lt;30,"Sobrepeso",T1366&lt;35,"Obesidad clase I",T1366&lt;40,"Obesidad clase II",T1366&gt;=40,"Obesidad clase III"))</f>
        <v>Sobrepeso</v>
      </c>
      <c r="V1366">
        <v>97</v>
      </c>
      <c r="X1366" t="s">
        <v>3463</v>
      </c>
      <c r="Y1366">
        <v>0.99</v>
      </c>
      <c r="AA1366">
        <v>74</v>
      </c>
      <c r="AB1366" s="9">
        <f t="shared" si="42"/>
        <v>74.187454409520242</v>
      </c>
      <c r="AD1366" t="s">
        <v>73</v>
      </c>
      <c r="AF1366" t="s">
        <v>73</v>
      </c>
      <c r="AH1366" t="s">
        <v>3463</v>
      </c>
      <c r="AI1366" t="s">
        <v>3465</v>
      </c>
      <c r="AJ1366" t="s">
        <v>3463</v>
      </c>
      <c r="AK1366" t="s">
        <v>3465</v>
      </c>
      <c r="AL1366" t="s">
        <v>3463</v>
      </c>
      <c r="AP1366" t="s">
        <v>3463</v>
      </c>
      <c r="AQ1366" t="s">
        <v>143</v>
      </c>
      <c r="AR1366" t="s">
        <v>3493</v>
      </c>
      <c r="AS1366" t="s">
        <v>3465</v>
      </c>
      <c r="AV1366" t="s">
        <v>1346</v>
      </c>
      <c r="AW1366" t="s">
        <v>3919</v>
      </c>
      <c r="BF1366" t="s">
        <v>3921</v>
      </c>
      <c r="BH1366" t="s">
        <v>4020</v>
      </c>
      <c r="BP1366" t="s">
        <v>4260</v>
      </c>
      <c r="BQ1366" t="s">
        <v>3463</v>
      </c>
      <c r="BR1366" t="s">
        <v>3463</v>
      </c>
      <c r="BS1366" t="s">
        <v>3463</v>
      </c>
      <c r="BT1366" t="s">
        <v>3463</v>
      </c>
      <c r="BU1366" t="s">
        <v>3463</v>
      </c>
      <c r="BV1366" t="s">
        <v>3463</v>
      </c>
      <c r="BW1366" t="s">
        <v>3463</v>
      </c>
      <c r="BX1366" t="s">
        <v>79</v>
      </c>
      <c r="BY1366" t="s">
        <v>87</v>
      </c>
      <c r="BZ1366" t="s">
        <v>79</v>
      </c>
      <c r="CA1366" s="10">
        <v>45913</v>
      </c>
    </row>
    <row r="1367" spans="1:79">
      <c r="A1367">
        <v>1380</v>
      </c>
      <c r="B1367">
        <v>5</v>
      </c>
      <c r="C1367">
        <v>70</v>
      </c>
      <c r="D1367" t="s">
        <v>3462</v>
      </c>
      <c r="E1367" t="s">
        <v>2956</v>
      </c>
      <c r="F1367" t="s">
        <v>1804</v>
      </c>
      <c r="G1367" s="12" t="s">
        <v>3463</v>
      </c>
      <c r="H1367" s="12"/>
      <c r="I1367">
        <v>59</v>
      </c>
      <c r="J1367">
        <v>61</v>
      </c>
      <c r="K1367">
        <v>164</v>
      </c>
      <c r="L1367">
        <v>65</v>
      </c>
      <c r="M1367" t="s">
        <v>72</v>
      </c>
      <c r="N1367">
        <v>172</v>
      </c>
      <c r="O1367">
        <v>84</v>
      </c>
      <c r="P1367" t="s">
        <v>72</v>
      </c>
      <c r="Q1367" t="s">
        <v>72</v>
      </c>
      <c r="R1367">
        <v>76.3</v>
      </c>
      <c r="S1367">
        <v>160</v>
      </c>
      <c r="T1367" s="8">
        <f t="shared" si="43"/>
        <v>29.8046875</v>
      </c>
      <c r="U1367" s="13" t="str" cm="1">
        <f t="array" ref="U1367">IF(T1367="","",_xlfn.IFS(T1367&lt;18.5,"Bajo peso",T1367&lt;25,"Peso normal",T1367&lt;30,"Sobrepeso",T1367&lt;35,"Obesidad clase I",T1367&lt;40,"Obesidad clase II",T1367&gt;=40,"Obesidad clase III"))</f>
        <v>Sobrepeso</v>
      </c>
      <c r="V1367">
        <v>114</v>
      </c>
      <c r="X1367" t="s">
        <v>3463</v>
      </c>
      <c r="Y1367">
        <v>1.01</v>
      </c>
      <c r="AA1367">
        <v>80</v>
      </c>
      <c r="AB1367" s="9">
        <f t="shared" si="42"/>
        <v>80.006113844807913</v>
      </c>
      <c r="AD1367" t="s">
        <v>73</v>
      </c>
      <c r="AF1367" t="s">
        <v>73</v>
      </c>
      <c r="AH1367" t="s">
        <v>3463</v>
      </c>
      <c r="AI1367" t="s">
        <v>3465</v>
      </c>
      <c r="AJ1367" t="s">
        <v>3463</v>
      </c>
      <c r="AK1367" t="s">
        <v>3463</v>
      </c>
      <c r="AL1367" t="s">
        <v>3463</v>
      </c>
      <c r="AO1367" t="s">
        <v>3463</v>
      </c>
      <c r="AP1367" t="s">
        <v>3465</v>
      </c>
      <c r="AQ1367" t="s">
        <v>169</v>
      </c>
      <c r="AR1367" t="s">
        <v>3493</v>
      </c>
      <c r="AS1367" t="s">
        <v>3465</v>
      </c>
      <c r="AV1367" t="s">
        <v>126</v>
      </c>
      <c r="AW1367" t="s">
        <v>126</v>
      </c>
      <c r="BA1367" t="s">
        <v>3920</v>
      </c>
      <c r="BF1367" t="s">
        <v>3921</v>
      </c>
      <c r="BG1367" t="s">
        <v>2957</v>
      </c>
      <c r="BH1367" t="s">
        <v>4057</v>
      </c>
      <c r="BI1367" t="s">
        <v>86</v>
      </c>
      <c r="BL1367" t="s">
        <v>2958</v>
      </c>
      <c r="BP1367" t="s">
        <v>4396</v>
      </c>
      <c r="BQ1367" t="s">
        <v>3463</v>
      </c>
      <c r="BR1367" t="s">
        <v>3465</v>
      </c>
      <c r="BS1367" t="s">
        <v>3463</v>
      </c>
      <c r="BT1367" t="s">
        <v>3463</v>
      </c>
      <c r="BU1367" t="s">
        <v>3463</v>
      </c>
      <c r="BV1367" t="s">
        <v>3463</v>
      </c>
      <c r="BW1367" t="s">
        <v>3463</v>
      </c>
      <c r="BX1367" t="s">
        <v>79</v>
      </c>
      <c r="BY1367" t="s">
        <v>79</v>
      </c>
      <c r="BZ1367" t="s">
        <v>79</v>
      </c>
      <c r="CA1367" s="10">
        <v>45913</v>
      </c>
    </row>
    <row r="1368" spans="1:79">
      <c r="A1368">
        <v>1381</v>
      </c>
      <c r="B1368">
        <v>6</v>
      </c>
      <c r="C1368">
        <v>21</v>
      </c>
      <c r="D1368" t="s">
        <v>3462</v>
      </c>
      <c r="E1368" t="s">
        <v>2565</v>
      </c>
      <c r="F1368" t="s">
        <v>1804</v>
      </c>
      <c r="G1368" s="12" t="s">
        <v>3463</v>
      </c>
      <c r="I1368">
        <v>75</v>
      </c>
      <c r="K1368">
        <v>139</v>
      </c>
      <c r="L1368">
        <v>72</v>
      </c>
      <c r="M1368" t="s">
        <v>82</v>
      </c>
      <c r="P1368" t="s">
        <v>83</v>
      </c>
      <c r="Q1368" t="s">
        <v>82</v>
      </c>
      <c r="R1368">
        <v>118.4</v>
      </c>
      <c r="S1368">
        <v>176.5</v>
      </c>
      <c r="T1368" s="8">
        <f t="shared" si="43"/>
        <v>38.006885537962752</v>
      </c>
      <c r="U1368" s="13" t="str" cm="1">
        <f t="array" ref="U1368">IF(T1368="","",_xlfn.IFS(T1368&lt;18.5,"Bajo peso",T1368&lt;25,"Peso normal",T1368&lt;30,"Sobrepeso",T1368&lt;35,"Obesidad clase I",T1368&lt;40,"Obesidad clase II",T1368&gt;=40,"Obesidad clase III"))</f>
        <v>Obesidad clase II</v>
      </c>
      <c r="V1368">
        <v>108</v>
      </c>
      <c r="X1368" t="s">
        <v>3463</v>
      </c>
      <c r="Y1368">
        <v>0.95</v>
      </c>
      <c r="AA1368">
        <v>90</v>
      </c>
      <c r="AB1368" s="9">
        <f t="shared" si="42"/>
        <v>116.78575425780178</v>
      </c>
      <c r="AD1368" t="s">
        <v>73</v>
      </c>
      <c r="AF1368" t="s">
        <v>73</v>
      </c>
      <c r="AH1368" t="s">
        <v>3463</v>
      </c>
      <c r="AI1368" t="s">
        <v>3463</v>
      </c>
      <c r="AJ1368" t="s">
        <v>3463</v>
      </c>
      <c r="AK1368" t="s">
        <v>3463</v>
      </c>
      <c r="AL1368" t="s">
        <v>3463</v>
      </c>
      <c r="AP1368" t="s">
        <v>3463</v>
      </c>
      <c r="AQ1368" t="s">
        <v>2959</v>
      </c>
      <c r="AR1368" t="s">
        <v>3493</v>
      </c>
      <c r="AV1368" t="s">
        <v>74</v>
      </c>
      <c r="AW1368" t="s">
        <v>3915</v>
      </c>
      <c r="BC1368" t="s">
        <v>128</v>
      </c>
      <c r="BF1368" t="s">
        <v>3921</v>
      </c>
      <c r="BG1368" t="s">
        <v>2960</v>
      </c>
      <c r="BH1368" t="s">
        <v>4015</v>
      </c>
      <c r="BI1368" t="s">
        <v>2961</v>
      </c>
      <c r="BK1368" t="s">
        <v>2962</v>
      </c>
      <c r="BL1368" t="s">
        <v>2963</v>
      </c>
      <c r="BP1368" t="s">
        <v>4545</v>
      </c>
      <c r="BQ1368" t="s">
        <v>3463</v>
      </c>
      <c r="BR1368" t="s">
        <v>3463</v>
      </c>
      <c r="BS1368" t="s">
        <v>3463</v>
      </c>
      <c r="BT1368" t="s">
        <v>3463</v>
      </c>
      <c r="BU1368" t="s">
        <v>3463</v>
      </c>
      <c r="BV1368" t="s">
        <v>3463</v>
      </c>
      <c r="BW1368" t="s">
        <v>3463</v>
      </c>
      <c r="BX1368" t="s">
        <v>79</v>
      </c>
      <c r="BY1368" t="s">
        <v>79</v>
      </c>
      <c r="BZ1368" t="s">
        <v>79</v>
      </c>
      <c r="CA1368" s="10">
        <v>45913</v>
      </c>
    </row>
    <row r="1369" spans="1:79">
      <c r="A1369">
        <v>1382</v>
      </c>
      <c r="B1369">
        <v>7</v>
      </c>
      <c r="C1369">
        <v>43</v>
      </c>
      <c r="D1369" t="s">
        <v>3466</v>
      </c>
      <c r="E1369" t="s">
        <v>2964</v>
      </c>
      <c r="F1369" t="s">
        <v>1804</v>
      </c>
      <c r="G1369" s="12" t="s">
        <v>3463</v>
      </c>
      <c r="I1369">
        <v>93</v>
      </c>
      <c r="J1369">
        <v>92</v>
      </c>
      <c r="K1369">
        <v>168</v>
      </c>
      <c r="L1369">
        <v>115</v>
      </c>
      <c r="M1369" t="s">
        <v>72</v>
      </c>
      <c r="N1369">
        <v>159</v>
      </c>
      <c r="O1369">
        <v>100</v>
      </c>
      <c r="P1369" t="s">
        <v>72</v>
      </c>
      <c r="Q1369" t="s">
        <v>72</v>
      </c>
      <c r="R1369">
        <v>96.4</v>
      </c>
      <c r="S1369">
        <v>154</v>
      </c>
      <c r="T1369" s="8">
        <f t="shared" si="43"/>
        <v>40.647664024287408</v>
      </c>
      <c r="U1369" s="13" t="str" cm="1">
        <f t="array" ref="U1369">IF(T1369="","",_xlfn.IFS(T1369&lt;18.5,"Bajo peso",T1369&lt;25,"Peso normal",T1369&lt;30,"Sobrepeso",T1369&lt;35,"Obesidad clase I",T1369&lt;40,"Obesidad clase II",T1369&gt;=40,"Obesidad clase III"))</f>
        <v>Obesidad clase III</v>
      </c>
      <c r="V1369">
        <v>124</v>
      </c>
      <c r="X1369" t="s">
        <v>3463</v>
      </c>
      <c r="Y1369">
        <v>0.76</v>
      </c>
      <c r="AA1369">
        <v>90</v>
      </c>
      <c r="AB1369" s="9">
        <f t="shared" si="42"/>
        <v>99.647605631086321</v>
      </c>
      <c r="AD1369" t="s">
        <v>73</v>
      </c>
      <c r="AF1369" t="s">
        <v>73</v>
      </c>
      <c r="AG1369" t="s">
        <v>3465</v>
      </c>
      <c r="AH1369" t="s">
        <v>3465</v>
      </c>
      <c r="AI1369" t="s">
        <v>3463</v>
      </c>
      <c r="AJ1369" t="s">
        <v>3463</v>
      </c>
      <c r="AK1369" t="s">
        <v>3463</v>
      </c>
      <c r="AL1369" t="s">
        <v>3463</v>
      </c>
      <c r="AP1369" t="s">
        <v>3463</v>
      </c>
      <c r="AQ1369" t="s">
        <v>3463</v>
      </c>
      <c r="AR1369" t="s">
        <v>3586</v>
      </c>
      <c r="AT1369" t="s">
        <v>3465</v>
      </c>
      <c r="AU1369" t="s">
        <v>80</v>
      </c>
      <c r="AV1369" t="s">
        <v>178</v>
      </c>
      <c r="AW1369" t="s">
        <v>3918</v>
      </c>
      <c r="AY1369" t="s">
        <v>3465</v>
      </c>
      <c r="AZ1369" t="s">
        <v>90</v>
      </c>
      <c r="BB1369" t="s">
        <v>3485</v>
      </c>
      <c r="BF1369" t="s">
        <v>3921</v>
      </c>
      <c r="BH1369" t="s">
        <v>4021</v>
      </c>
      <c r="BI1369" t="s">
        <v>76</v>
      </c>
      <c r="BP1369" t="s">
        <v>4261</v>
      </c>
      <c r="BQ1369" t="s">
        <v>3463</v>
      </c>
      <c r="BR1369" t="s">
        <v>3463</v>
      </c>
      <c r="BS1369" t="s">
        <v>3463</v>
      </c>
      <c r="BT1369" t="s">
        <v>3463</v>
      </c>
      <c r="BU1369" t="s">
        <v>3463</v>
      </c>
      <c r="BX1369" t="s">
        <v>79</v>
      </c>
      <c r="BY1369" t="s">
        <v>79</v>
      </c>
      <c r="BZ1369" t="s">
        <v>79</v>
      </c>
      <c r="CA1369" s="10">
        <v>45913</v>
      </c>
    </row>
    <row r="1370" spans="1:79">
      <c r="A1370">
        <v>1383</v>
      </c>
      <c r="B1370">
        <v>8</v>
      </c>
      <c r="C1370">
        <v>66</v>
      </c>
      <c r="D1370" t="s">
        <v>3466</v>
      </c>
      <c r="E1370" t="s">
        <v>2965</v>
      </c>
      <c r="F1370" t="s">
        <v>1804</v>
      </c>
      <c r="G1370" s="12" t="s">
        <v>3463</v>
      </c>
      <c r="I1370">
        <v>89</v>
      </c>
      <c r="J1370">
        <v>91</v>
      </c>
      <c r="K1370">
        <v>173</v>
      </c>
      <c r="L1370">
        <v>100</v>
      </c>
      <c r="M1370" t="s">
        <v>72</v>
      </c>
      <c r="N1370">
        <v>177</v>
      </c>
      <c r="O1370">
        <v>97</v>
      </c>
      <c r="P1370" t="s">
        <v>72</v>
      </c>
      <c r="Q1370" t="s">
        <v>72</v>
      </c>
      <c r="R1370">
        <v>63.6</v>
      </c>
      <c r="S1370">
        <v>151</v>
      </c>
      <c r="T1370" s="8">
        <f t="shared" si="43"/>
        <v>27.89351344239288</v>
      </c>
      <c r="U1370" s="13" t="str" cm="1">
        <f t="array" ref="U1370">IF(T1370="","",_xlfn.IFS(T1370&lt;18.5,"Bajo peso",T1370&lt;25,"Peso normal",T1370&lt;30,"Sobrepeso",T1370&lt;35,"Obesidad clase I",T1370&lt;40,"Obesidad clase II",T1370&gt;=40,"Obesidad clase III"))</f>
        <v>Sobrepeso</v>
      </c>
      <c r="V1370">
        <v>137</v>
      </c>
      <c r="X1370" t="s">
        <v>3463</v>
      </c>
      <c r="Y1370">
        <v>0.84</v>
      </c>
      <c r="AA1370">
        <v>90</v>
      </c>
      <c r="AB1370" s="9">
        <f t="shared" si="42"/>
        <v>76.592255813504067</v>
      </c>
      <c r="AD1370" t="s">
        <v>73</v>
      </c>
      <c r="AF1370" t="s">
        <v>73</v>
      </c>
      <c r="AG1370" t="s">
        <v>3465</v>
      </c>
      <c r="AH1370" t="s">
        <v>3465</v>
      </c>
      <c r="AI1370" t="s">
        <v>3463</v>
      </c>
      <c r="AJ1370" t="s">
        <v>3463</v>
      </c>
      <c r="AK1370" t="s">
        <v>3463</v>
      </c>
      <c r="AL1370" t="s">
        <v>3465</v>
      </c>
      <c r="AM1370" t="s">
        <v>2966</v>
      </c>
      <c r="AN1370" t="s">
        <v>3846</v>
      </c>
      <c r="AP1370" t="s">
        <v>3463</v>
      </c>
      <c r="AT1370" t="s">
        <v>3465</v>
      </c>
      <c r="AU1370" t="s">
        <v>80</v>
      </c>
      <c r="AV1370" t="s">
        <v>112</v>
      </c>
      <c r="AW1370" t="s">
        <v>3917</v>
      </c>
      <c r="AY1370" t="s">
        <v>3465</v>
      </c>
      <c r="AZ1370" t="s">
        <v>104</v>
      </c>
      <c r="BB1370" t="s">
        <v>3485</v>
      </c>
      <c r="BF1370" t="s">
        <v>3921</v>
      </c>
      <c r="BG1370" t="s">
        <v>2967</v>
      </c>
      <c r="BH1370" t="s">
        <v>4237</v>
      </c>
      <c r="BI1370" t="s">
        <v>76</v>
      </c>
      <c r="BL1370" t="s">
        <v>2968</v>
      </c>
      <c r="BP1370" t="s">
        <v>4390</v>
      </c>
      <c r="BQ1370" t="s">
        <v>3463</v>
      </c>
      <c r="BR1370" t="s">
        <v>3463</v>
      </c>
      <c r="BS1370" t="s">
        <v>3463</v>
      </c>
      <c r="BT1370" t="s">
        <v>3463</v>
      </c>
      <c r="BU1370" t="s">
        <v>3463</v>
      </c>
      <c r="BV1370" t="s">
        <v>3463</v>
      </c>
      <c r="BW1370" t="s">
        <v>3463</v>
      </c>
      <c r="BX1370" t="s">
        <v>79</v>
      </c>
      <c r="BY1370" t="s">
        <v>79</v>
      </c>
      <c r="BZ1370" t="s">
        <v>79</v>
      </c>
      <c r="CA1370" s="10">
        <v>45913</v>
      </c>
    </row>
    <row r="1371" spans="1:79">
      <c r="A1371">
        <v>1384</v>
      </c>
      <c r="B1371">
        <v>10</v>
      </c>
      <c r="C1371">
        <v>51</v>
      </c>
      <c r="D1371" t="s">
        <v>3466</v>
      </c>
      <c r="E1371" t="s">
        <v>2969</v>
      </c>
      <c r="F1371" t="s">
        <v>1804</v>
      </c>
      <c r="G1371" s="12" t="s">
        <v>3463</v>
      </c>
      <c r="I1371">
        <v>86</v>
      </c>
      <c r="J1371">
        <v>88</v>
      </c>
      <c r="K1371">
        <v>161</v>
      </c>
      <c r="L1371">
        <v>106</v>
      </c>
      <c r="M1371" t="s">
        <v>72</v>
      </c>
      <c r="N1371">
        <v>152</v>
      </c>
      <c r="O1371">
        <v>99</v>
      </c>
      <c r="P1371" t="s">
        <v>72</v>
      </c>
      <c r="Q1371" t="s">
        <v>72</v>
      </c>
      <c r="R1371">
        <v>92.7</v>
      </c>
      <c r="S1371">
        <v>159</v>
      </c>
      <c r="T1371" s="8">
        <f t="shared" si="43"/>
        <v>36.667853328586688</v>
      </c>
      <c r="U1371" s="13" t="str" cm="1">
        <f t="array" ref="U1371">IF(T1371="","",_xlfn.IFS(T1371&lt;18.5,"Bajo peso",T1371&lt;25,"Peso normal",T1371&lt;30,"Sobrepeso",T1371&lt;35,"Obesidad clase I",T1371&lt;40,"Obesidad clase II",T1371&gt;=40,"Obesidad clase III"))</f>
        <v>Obesidad clase II</v>
      </c>
      <c r="V1371">
        <v>198</v>
      </c>
      <c r="X1371" t="s">
        <v>3463</v>
      </c>
      <c r="Y1371">
        <v>0.66</v>
      </c>
      <c r="AA1371">
        <v>90</v>
      </c>
      <c r="AB1371" s="9">
        <f t="shared" si="42"/>
        <v>106.13924864423876</v>
      </c>
      <c r="AD1371" t="s">
        <v>73</v>
      </c>
      <c r="AF1371" t="s">
        <v>73</v>
      </c>
      <c r="AG1371" t="s">
        <v>3465</v>
      </c>
      <c r="AH1371" t="s">
        <v>3465</v>
      </c>
      <c r="AI1371" t="s">
        <v>3465</v>
      </c>
      <c r="AJ1371" t="s">
        <v>3463</v>
      </c>
      <c r="AK1371" t="s">
        <v>3463</v>
      </c>
      <c r="AL1371" t="s">
        <v>3463</v>
      </c>
      <c r="AP1371" t="s">
        <v>3463</v>
      </c>
      <c r="AQ1371" t="s">
        <v>120</v>
      </c>
      <c r="AR1371" t="s">
        <v>3491</v>
      </c>
      <c r="AS1371" t="s">
        <v>3465</v>
      </c>
      <c r="AT1371" t="s">
        <v>3465</v>
      </c>
      <c r="AU1371" t="s">
        <v>125</v>
      </c>
      <c r="AV1371" t="s">
        <v>112</v>
      </c>
      <c r="AW1371" t="s">
        <v>3917</v>
      </c>
      <c r="AX1371" t="s">
        <v>3463</v>
      </c>
      <c r="AY1371" t="s">
        <v>3465</v>
      </c>
      <c r="AZ1371" t="s">
        <v>2970</v>
      </c>
      <c r="BF1371" t="s">
        <v>3921</v>
      </c>
      <c r="BH1371" t="s">
        <v>4020</v>
      </c>
      <c r="BP1371" t="s">
        <v>4260</v>
      </c>
      <c r="BQ1371" t="s">
        <v>3463</v>
      </c>
      <c r="BR1371" t="s">
        <v>3465</v>
      </c>
      <c r="BS1371" t="s">
        <v>3465</v>
      </c>
      <c r="BT1371" t="s">
        <v>3465</v>
      </c>
      <c r="BU1371" t="s">
        <v>3463</v>
      </c>
      <c r="BV1371" t="s">
        <v>3463</v>
      </c>
      <c r="BW1371" t="s">
        <v>3463</v>
      </c>
      <c r="BX1371" t="s">
        <v>79</v>
      </c>
      <c r="BY1371" t="s">
        <v>79</v>
      </c>
      <c r="BZ1371" t="s">
        <v>79</v>
      </c>
      <c r="CA1371" s="10">
        <v>45913</v>
      </c>
    </row>
    <row r="1372" spans="1:79">
      <c r="A1372">
        <v>1385</v>
      </c>
      <c r="B1372">
        <v>11</v>
      </c>
      <c r="C1372">
        <v>66</v>
      </c>
      <c r="D1372" t="s">
        <v>3466</v>
      </c>
      <c r="E1372" t="s">
        <v>2565</v>
      </c>
      <c r="F1372" t="s">
        <v>1804</v>
      </c>
      <c r="G1372" s="12" t="s">
        <v>3463</v>
      </c>
      <c r="H1372" s="12"/>
      <c r="I1372">
        <v>81</v>
      </c>
      <c r="J1372">
        <v>85</v>
      </c>
      <c r="K1372">
        <v>151</v>
      </c>
      <c r="L1372">
        <v>92</v>
      </c>
      <c r="M1372" t="s">
        <v>72</v>
      </c>
      <c r="N1372">
        <v>148</v>
      </c>
      <c r="O1372">
        <v>74</v>
      </c>
      <c r="P1372" t="s">
        <v>72</v>
      </c>
      <c r="Q1372" t="s">
        <v>72</v>
      </c>
      <c r="R1372">
        <v>84.8</v>
      </c>
      <c r="S1372">
        <v>148</v>
      </c>
      <c r="T1372" s="8">
        <f t="shared" si="43"/>
        <v>38.714390065741419</v>
      </c>
      <c r="U1372" s="13" t="str" cm="1">
        <f t="array" ref="U1372">IF(T1372="","",_xlfn.IFS(T1372&lt;18.5,"Bajo peso",T1372&lt;25,"Peso normal",T1372&lt;30,"Sobrepeso",T1372&lt;35,"Obesidad clase I",T1372&lt;40,"Obesidad clase II",T1372&gt;=40,"Obesidad clase III"))</f>
        <v>Obesidad clase II</v>
      </c>
      <c r="V1372">
        <v>98</v>
      </c>
      <c r="X1372" t="s">
        <v>3463</v>
      </c>
      <c r="Y1372">
        <v>0.72</v>
      </c>
      <c r="AA1372">
        <v>90</v>
      </c>
      <c r="AB1372" s="9">
        <f t="shared" si="42"/>
        <v>92.155446619636635</v>
      </c>
      <c r="AD1372" t="s">
        <v>73</v>
      </c>
      <c r="AF1372" t="s">
        <v>73</v>
      </c>
      <c r="AH1372" t="s">
        <v>3463</v>
      </c>
      <c r="AI1372" t="s">
        <v>3463</v>
      </c>
      <c r="AJ1372" t="s">
        <v>3463</v>
      </c>
      <c r="AK1372" t="s">
        <v>3463</v>
      </c>
      <c r="AL1372" t="s">
        <v>3465</v>
      </c>
      <c r="AM1372" t="s">
        <v>2971</v>
      </c>
      <c r="AN1372" t="s">
        <v>3878</v>
      </c>
      <c r="AO1372" t="s">
        <v>3463</v>
      </c>
      <c r="AP1372" t="s">
        <v>3465</v>
      </c>
      <c r="AQ1372" t="s">
        <v>1567</v>
      </c>
      <c r="AR1372" t="s">
        <v>3491</v>
      </c>
      <c r="AT1372" t="s">
        <v>3463</v>
      </c>
      <c r="AV1372" t="s">
        <v>74</v>
      </c>
      <c r="AW1372" t="s">
        <v>3915</v>
      </c>
      <c r="AX1372" t="s">
        <v>3463</v>
      </c>
      <c r="AY1372" t="s">
        <v>3463</v>
      </c>
      <c r="BC1372" t="s">
        <v>128</v>
      </c>
      <c r="BE1372" t="s">
        <v>2972</v>
      </c>
      <c r="BF1372" t="s">
        <v>3992</v>
      </c>
      <c r="BG1372" t="s">
        <v>2973</v>
      </c>
      <c r="BH1372" t="s">
        <v>4021</v>
      </c>
      <c r="BI1372" t="s">
        <v>76</v>
      </c>
      <c r="BK1372" t="s">
        <v>1366</v>
      </c>
      <c r="BL1372" t="s">
        <v>2974</v>
      </c>
      <c r="BP1372" t="s">
        <v>4546</v>
      </c>
      <c r="BQ1372" t="s">
        <v>3463</v>
      </c>
      <c r="BR1372" t="s">
        <v>3463</v>
      </c>
      <c r="BS1372" t="s">
        <v>3463</v>
      </c>
      <c r="BT1372" t="s">
        <v>3463</v>
      </c>
      <c r="BU1372" t="s">
        <v>3463</v>
      </c>
      <c r="BV1372" t="s">
        <v>3463</v>
      </c>
      <c r="BW1372" t="s">
        <v>3463</v>
      </c>
      <c r="BX1372" t="s">
        <v>79</v>
      </c>
      <c r="BY1372" t="s">
        <v>79</v>
      </c>
      <c r="BZ1372" t="s">
        <v>79</v>
      </c>
      <c r="CA1372" s="10">
        <v>45913</v>
      </c>
    </row>
    <row r="1373" spans="1:79">
      <c r="A1373">
        <v>1386</v>
      </c>
      <c r="B1373">
        <v>12</v>
      </c>
      <c r="C1373">
        <v>60</v>
      </c>
      <c r="D1373" t="s">
        <v>3466</v>
      </c>
      <c r="E1373" t="s">
        <v>2975</v>
      </c>
      <c r="F1373" t="s">
        <v>1804</v>
      </c>
      <c r="G1373" s="12" t="s">
        <v>3463</v>
      </c>
      <c r="I1373">
        <v>67</v>
      </c>
      <c r="J1373">
        <v>65</v>
      </c>
      <c r="K1373">
        <v>153</v>
      </c>
      <c r="L1373">
        <v>74</v>
      </c>
      <c r="M1373" t="s">
        <v>72</v>
      </c>
      <c r="N1373">
        <v>144</v>
      </c>
      <c r="O1373">
        <v>78</v>
      </c>
      <c r="P1373" t="s">
        <v>72</v>
      </c>
      <c r="Q1373" t="s">
        <v>72</v>
      </c>
      <c r="R1373">
        <v>81.400000000000006</v>
      </c>
      <c r="S1373">
        <v>163</v>
      </c>
      <c r="T1373" s="8">
        <f t="shared" si="43"/>
        <v>30.637208777146299</v>
      </c>
      <c r="U1373" s="13" t="str" cm="1">
        <f t="array" ref="U1373">IF(T1373="","",_xlfn.IFS(T1373&lt;18.5,"Bajo peso",T1373&lt;25,"Peso normal",T1373&lt;30,"Sobrepeso",T1373&lt;35,"Obesidad clase I",T1373&lt;40,"Obesidad clase II",T1373&gt;=40,"Obesidad clase III"))</f>
        <v>Obesidad clase I</v>
      </c>
      <c r="V1373">
        <v>83</v>
      </c>
      <c r="X1373" t="s">
        <v>3463</v>
      </c>
      <c r="Y1373">
        <v>1</v>
      </c>
      <c r="AA1373">
        <v>86</v>
      </c>
      <c r="AB1373" s="9">
        <f t="shared" si="42"/>
        <v>64.495000353944988</v>
      </c>
      <c r="AD1373" t="s">
        <v>73</v>
      </c>
      <c r="AF1373" t="s">
        <v>73</v>
      </c>
      <c r="AH1373" t="s">
        <v>3463</v>
      </c>
      <c r="AI1373" t="s">
        <v>3465</v>
      </c>
      <c r="AJ1373" t="s">
        <v>3465</v>
      </c>
      <c r="AK1373" t="s">
        <v>3463</v>
      </c>
      <c r="AL1373" t="s">
        <v>3465</v>
      </c>
      <c r="AM1373" t="s">
        <v>110</v>
      </c>
      <c r="AN1373" t="s">
        <v>110</v>
      </c>
      <c r="AP1373" t="s">
        <v>3463</v>
      </c>
      <c r="AQ1373" t="s">
        <v>2976</v>
      </c>
      <c r="AR1373" t="s">
        <v>3508</v>
      </c>
      <c r="AS1373" t="s">
        <v>3465</v>
      </c>
      <c r="AT1373" t="s">
        <v>3465</v>
      </c>
      <c r="AU1373" t="s">
        <v>80</v>
      </c>
      <c r="AV1373" t="s">
        <v>74</v>
      </c>
      <c r="AW1373" t="s">
        <v>3915</v>
      </c>
      <c r="AX1373" t="s">
        <v>3463</v>
      </c>
      <c r="AY1373" t="s">
        <v>3465</v>
      </c>
      <c r="AZ1373" t="s">
        <v>90</v>
      </c>
      <c r="BA1373" t="s">
        <v>3920</v>
      </c>
      <c r="BF1373" t="s">
        <v>3921</v>
      </c>
      <c r="BG1373" t="s">
        <v>2977</v>
      </c>
      <c r="BH1373" t="s">
        <v>4238</v>
      </c>
      <c r="BI1373" t="s">
        <v>411</v>
      </c>
      <c r="BK1373" t="s">
        <v>1366</v>
      </c>
      <c r="BL1373" t="s">
        <v>2978</v>
      </c>
      <c r="BP1373" t="s">
        <v>4378</v>
      </c>
      <c r="BQ1373" t="s">
        <v>3463</v>
      </c>
      <c r="BR1373" t="s">
        <v>3463</v>
      </c>
      <c r="BS1373" t="s">
        <v>3463</v>
      </c>
      <c r="BT1373" t="s">
        <v>3465</v>
      </c>
      <c r="BU1373" t="s">
        <v>3463</v>
      </c>
      <c r="BV1373" t="s">
        <v>3463</v>
      </c>
      <c r="BW1373" t="s">
        <v>3463</v>
      </c>
      <c r="BX1373" t="s">
        <v>79</v>
      </c>
      <c r="BY1373" t="s">
        <v>79</v>
      </c>
      <c r="BZ1373" t="s">
        <v>79</v>
      </c>
      <c r="CA1373" s="10">
        <v>45913</v>
      </c>
    </row>
    <row r="1374" spans="1:79">
      <c r="A1374">
        <v>1387</v>
      </c>
      <c r="B1374">
        <v>13</v>
      </c>
      <c r="C1374">
        <v>58</v>
      </c>
      <c r="D1374" t="s">
        <v>3466</v>
      </c>
      <c r="E1374" t="s">
        <v>2965</v>
      </c>
      <c r="F1374" t="s">
        <v>1804</v>
      </c>
      <c r="G1374" s="12" t="s">
        <v>3463</v>
      </c>
      <c r="I1374">
        <v>70</v>
      </c>
      <c r="J1374">
        <v>69</v>
      </c>
      <c r="K1374">
        <v>154</v>
      </c>
      <c r="L1374">
        <v>75</v>
      </c>
      <c r="M1374" t="s">
        <v>72</v>
      </c>
      <c r="N1374">
        <v>140</v>
      </c>
      <c r="O1374">
        <v>78</v>
      </c>
      <c r="P1374" t="s">
        <v>72</v>
      </c>
      <c r="Q1374" t="s">
        <v>72</v>
      </c>
      <c r="R1374">
        <v>67.099999999999994</v>
      </c>
      <c r="S1374">
        <v>152</v>
      </c>
      <c r="T1374" s="8">
        <f t="shared" si="43"/>
        <v>29.042590027700829</v>
      </c>
      <c r="U1374" s="13" t="str" cm="1">
        <f t="array" ref="U1374">IF(T1374="","",_xlfn.IFS(T1374&lt;18.5,"Bajo peso",T1374&lt;25,"Peso normal",T1374&lt;30,"Sobrepeso",T1374&lt;35,"Obesidad clase I",T1374&lt;40,"Obesidad clase II",T1374&gt;=40,"Obesidad clase III"))</f>
        <v>Sobrepeso</v>
      </c>
      <c r="V1374">
        <v>101</v>
      </c>
      <c r="X1374" t="s">
        <v>3463</v>
      </c>
      <c r="Y1374">
        <v>0.85</v>
      </c>
      <c r="AA1374">
        <v>90</v>
      </c>
      <c r="AB1374" s="9">
        <f t="shared" si="42"/>
        <v>79.364329916673697</v>
      </c>
      <c r="AD1374" t="s">
        <v>73</v>
      </c>
      <c r="AF1374" t="s">
        <v>73</v>
      </c>
      <c r="AH1374" t="s">
        <v>3463</v>
      </c>
      <c r="AI1374" t="s">
        <v>3463</v>
      </c>
      <c r="AJ1374" t="s">
        <v>3463</v>
      </c>
      <c r="AK1374" t="s">
        <v>3463</v>
      </c>
      <c r="AL1374" t="s">
        <v>3465</v>
      </c>
      <c r="AM1374" t="s">
        <v>2979</v>
      </c>
      <c r="AN1374" t="s">
        <v>1511</v>
      </c>
      <c r="AP1374" t="s">
        <v>3463</v>
      </c>
      <c r="AQ1374" t="s">
        <v>2980</v>
      </c>
      <c r="AR1374" t="s">
        <v>3488</v>
      </c>
      <c r="AT1374" t="s">
        <v>3465</v>
      </c>
      <c r="AU1374" t="s">
        <v>80</v>
      </c>
      <c r="AV1374" t="s">
        <v>126</v>
      </c>
      <c r="AW1374" t="s">
        <v>126</v>
      </c>
      <c r="AX1374" t="s">
        <v>3465</v>
      </c>
      <c r="AY1374" t="s">
        <v>3465</v>
      </c>
      <c r="AZ1374" t="s">
        <v>90</v>
      </c>
      <c r="BF1374" t="s">
        <v>3921</v>
      </c>
      <c r="BH1374" t="s">
        <v>4020</v>
      </c>
      <c r="BP1374" t="s">
        <v>4260</v>
      </c>
      <c r="BQ1374" t="s">
        <v>3465</v>
      </c>
      <c r="BR1374" t="s">
        <v>3465</v>
      </c>
      <c r="BS1374" t="s">
        <v>3465</v>
      </c>
      <c r="BT1374" t="s">
        <v>3465</v>
      </c>
      <c r="BU1374" t="s">
        <v>3463</v>
      </c>
      <c r="BV1374" t="s">
        <v>3463</v>
      </c>
      <c r="BW1374" t="s">
        <v>3463</v>
      </c>
      <c r="BX1374" t="s">
        <v>79</v>
      </c>
      <c r="BY1374" t="s">
        <v>79</v>
      </c>
      <c r="BZ1374" t="s">
        <v>79</v>
      </c>
      <c r="CA1374" s="10">
        <v>45913</v>
      </c>
    </row>
    <row r="1375" spans="1:79">
      <c r="A1375">
        <v>1388</v>
      </c>
      <c r="B1375">
        <v>14</v>
      </c>
      <c r="C1375">
        <v>59</v>
      </c>
      <c r="D1375" t="s">
        <v>3466</v>
      </c>
      <c r="E1375" t="s">
        <v>2981</v>
      </c>
      <c r="F1375" t="s">
        <v>1804</v>
      </c>
      <c r="G1375" s="12" t="s">
        <v>3463</v>
      </c>
      <c r="H1375" s="12"/>
      <c r="I1375">
        <v>74</v>
      </c>
      <c r="J1375">
        <v>69</v>
      </c>
      <c r="K1375">
        <v>167</v>
      </c>
      <c r="L1375">
        <v>91</v>
      </c>
      <c r="M1375" t="s">
        <v>72</v>
      </c>
      <c r="N1375">
        <v>154</v>
      </c>
      <c r="O1375">
        <v>90</v>
      </c>
      <c r="P1375" t="s">
        <v>72</v>
      </c>
      <c r="Q1375" t="s">
        <v>72</v>
      </c>
      <c r="R1375">
        <v>75.5</v>
      </c>
      <c r="S1375">
        <v>149</v>
      </c>
      <c r="T1375" s="8">
        <f t="shared" si="43"/>
        <v>34.007477140669337</v>
      </c>
      <c r="U1375" s="13" t="str" cm="1">
        <f t="array" ref="U1375">IF(T1375="","",_xlfn.IFS(T1375&lt;18.5,"Bajo peso",T1375&lt;25,"Peso normal",T1375&lt;30,"Sobrepeso",T1375&lt;35,"Obesidad clase I",T1375&lt;40,"Obesidad clase II",T1375&gt;=40,"Obesidad clase III"))</f>
        <v>Obesidad clase I</v>
      </c>
      <c r="V1375">
        <v>103</v>
      </c>
      <c r="X1375" t="s">
        <v>3463</v>
      </c>
      <c r="Y1375">
        <v>0.64</v>
      </c>
      <c r="AA1375">
        <v>90</v>
      </c>
      <c r="AB1375" s="9">
        <f t="shared" si="42"/>
        <v>101.73928073075942</v>
      </c>
      <c r="AD1375" t="s">
        <v>73</v>
      </c>
      <c r="AF1375" t="s">
        <v>73</v>
      </c>
      <c r="AG1375" t="s">
        <v>3463</v>
      </c>
      <c r="AH1375" t="s">
        <v>3465</v>
      </c>
      <c r="AI1375" t="s">
        <v>3465</v>
      </c>
      <c r="AJ1375" t="s">
        <v>3463</v>
      </c>
      <c r="AK1375" t="s">
        <v>3463</v>
      </c>
      <c r="AL1375" t="s">
        <v>3463</v>
      </c>
      <c r="AO1375" t="s">
        <v>3464</v>
      </c>
      <c r="AP1375" t="s">
        <v>3465</v>
      </c>
      <c r="AQ1375" t="s">
        <v>2982</v>
      </c>
      <c r="AR1375" t="s">
        <v>3488</v>
      </c>
      <c r="AS1375" t="s">
        <v>3463</v>
      </c>
      <c r="AT1375" t="s">
        <v>3465</v>
      </c>
      <c r="AU1375" t="s">
        <v>80</v>
      </c>
      <c r="AV1375" t="s">
        <v>126</v>
      </c>
      <c r="AW1375" t="s">
        <v>126</v>
      </c>
      <c r="AX1375" t="s">
        <v>3465</v>
      </c>
      <c r="AY1375" t="s">
        <v>3465</v>
      </c>
      <c r="AZ1375" t="s">
        <v>247</v>
      </c>
      <c r="BA1375" t="s">
        <v>3920</v>
      </c>
      <c r="BB1375" t="s">
        <v>3485</v>
      </c>
      <c r="BF1375" t="s">
        <v>3921</v>
      </c>
      <c r="BG1375" t="s">
        <v>2983</v>
      </c>
      <c r="BH1375" t="s">
        <v>4014</v>
      </c>
      <c r="BI1375" t="s">
        <v>76</v>
      </c>
      <c r="BL1375" t="s">
        <v>650</v>
      </c>
      <c r="BP1375" t="s">
        <v>4271</v>
      </c>
      <c r="BQ1375" t="s">
        <v>3465</v>
      </c>
      <c r="BR1375" t="s">
        <v>3465</v>
      </c>
      <c r="BS1375" t="s">
        <v>3463</v>
      </c>
      <c r="BT1375" t="s">
        <v>3463</v>
      </c>
      <c r="BU1375" t="s">
        <v>3463</v>
      </c>
      <c r="BV1375" t="s">
        <v>3463</v>
      </c>
      <c r="BW1375" t="s">
        <v>3463</v>
      </c>
      <c r="BX1375" t="s">
        <v>79</v>
      </c>
      <c r="BY1375" t="s">
        <v>79</v>
      </c>
      <c r="BZ1375" t="s">
        <v>79</v>
      </c>
      <c r="CA1375" s="10">
        <v>45913</v>
      </c>
    </row>
    <row r="1376" spans="1:79">
      <c r="A1376">
        <v>1389</v>
      </c>
      <c r="B1376">
        <v>15</v>
      </c>
      <c r="C1376">
        <v>60</v>
      </c>
      <c r="D1376" t="s">
        <v>3462</v>
      </c>
      <c r="E1376" t="s">
        <v>2984</v>
      </c>
      <c r="F1376" t="s">
        <v>1804</v>
      </c>
      <c r="G1376" s="12" t="s">
        <v>3463</v>
      </c>
      <c r="I1376">
        <v>66</v>
      </c>
      <c r="J1376">
        <v>66</v>
      </c>
      <c r="K1376">
        <v>151</v>
      </c>
      <c r="L1376">
        <v>96</v>
      </c>
      <c r="M1376" t="s">
        <v>72</v>
      </c>
      <c r="N1376">
        <v>145</v>
      </c>
      <c r="O1376">
        <v>88</v>
      </c>
      <c r="P1376" t="s">
        <v>72</v>
      </c>
      <c r="Q1376" t="s">
        <v>72</v>
      </c>
      <c r="R1376">
        <v>72.7</v>
      </c>
      <c r="S1376">
        <v>158</v>
      </c>
      <c r="T1376" s="8">
        <f t="shared" si="43"/>
        <v>29.121935587245634</v>
      </c>
      <c r="U1376" s="13" t="str" cm="1">
        <f t="array" ref="U1376">IF(T1376="","",_xlfn.IFS(T1376&lt;18.5,"Bajo peso",T1376&lt;25,"Peso normal",T1376&lt;30,"Sobrepeso",T1376&lt;35,"Obesidad clase I",T1376&lt;40,"Obesidad clase II",T1376&gt;=40,"Obesidad clase III"))</f>
        <v>Sobrepeso</v>
      </c>
      <c r="V1376">
        <v>105</v>
      </c>
      <c r="X1376" t="s">
        <v>3463</v>
      </c>
      <c r="Y1376">
        <v>1.01</v>
      </c>
      <c r="AA1376">
        <v>85</v>
      </c>
      <c r="AB1376" s="9">
        <f t="shared" si="42"/>
        <v>85.139922740001694</v>
      </c>
      <c r="AD1376" t="s">
        <v>73</v>
      </c>
      <c r="AF1376" t="s">
        <v>73</v>
      </c>
      <c r="AH1376" t="s">
        <v>3464</v>
      </c>
      <c r="AI1376" t="s">
        <v>3465</v>
      </c>
      <c r="AJ1376" t="s">
        <v>3463</v>
      </c>
      <c r="AK1376" t="s">
        <v>3463</v>
      </c>
      <c r="AL1376" t="s">
        <v>3465</v>
      </c>
      <c r="AM1376" t="s">
        <v>472</v>
      </c>
      <c r="AN1376" t="s">
        <v>3617</v>
      </c>
      <c r="AP1376" t="s">
        <v>3463</v>
      </c>
      <c r="AS1376" t="s">
        <v>3465</v>
      </c>
      <c r="AV1376" t="s">
        <v>74</v>
      </c>
      <c r="AW1376" t="s">
        <v>3915</v>
      </c>
      <c r="BA1376" t="s">
        <v>3920</v>
      </c>
      <c r="BE1376" t="s">
        <v>2985</v>
      </c>
      <c r="BF1376" t="s">
        <v>3993</v>
      </c>
      <c r="BH1376" t="s">
        <v>4029</v>
      </c>
      <c r="BI1376" t="s">
        <v>1125</v>
      </c>
      <c r="BP1376" t="s">
        <v>4260</v>
      </c>
      <c r="BQ1376" t="s">
        <v>3463</v>
      </c>
      <c r="BR1376" t="s">
        <v>3465</v>
      </c>
      <c r="BS1376" t="s">
        <v>3463</v>
      </c>
      <c r="BT1376" t="s">
        <v>3463</v>
      </c>
      <c r="BU1376" t="s">
        <v>3463</v>
      </c>
      <c r="BV1376" t="s">
        <v>3463</v>
      </c>
      <c r="BW1376" t="s">
        <v>3463</v>
      </c>
      <c r="BX1376" t="s">
        <v>79</v>
      </c>
      <c r="BY1376" t="s">
        <v>79</v>
      </c>
      <c r="BZ1376" t="s">
        <v>79</v>
      </c>
      <c r="CA1376" s="10">
        <v>45913</v>
      </c>
    </row>
    <row r="1377" spans="1:79">
      <c r="A1377">
        <v>1390</v>
      </c>
      <c r="B1377">
        <v>16</v>
      </c>
      <c r="C1377">
        <v>88</v>
      </c>
      <c r="D1377" t="s">
        <v>3462</v>
      </c>
      <c r="E1377" t="s">
        <v>2986</v>
      </c>
      <c r="F1377" t="s">
        <v>1804</v>
      </c>
      <c r="G1377" s="12" t="s">
        <v>3463</v>
      </c>
      <c r="H1377" s="12"/>
      <c r="I1377">
        <v>98</v>
      </c>
      <c r="K1377">
        <v>137</v>
      </c>
      <c r="L1377">
        <v>70</v>
      </c>
      <c r="M1377" t="s">
        <v>82</v>
      </c>
      <c r="P1377" t="s">
        <v>83</v>
      </c>
      <c r="Q1377" t="s">
        <v>82</v>
      </c>
      <c r="R1377">
        <v>80</v>
      </c>
      <c r="S1377">
        <v>161</v>
      </c>
      <c r="T1377" s="8">
        <f t="shared" si="43"/>
        <v>30.863006828440263</v>
      </c>
      <c r="U1377" s="13" t="str" cm="1">
        <f t="array" ref="U1377">IF(T1377="","",_xlfn.IFS(T1377&lt;18.5,"Bajo peso",T1377&lt;25,"Peso normal",T1377&lt;30,"Sobrepeso",T1377&lt;35,"Obesidad clase I",T1377&lt;40,"Obesidad clase II",T1377&gt;=40,"Obesidad clase III"))</f>
        <v>Obesidad clase I</v>
      </c>
      <c r="V1377">
        <v>198</v>
      </c>
      <c r="X1377" t="s">
        <v>3463</v>
      </c>
      <c r="Y1377">
        <v>0.9</v>
      </c>
      <c r="AA1377">
        <v>83</v>
      </c>
      <c r="AB1377" s="9">
        <f t="shared" si="42"/>
        <v>82.148507306436116</v>
      </c>
      <c r="AD1377" t="s">
        <v>73</v>
      </c>
      <c r="AF1377" t="s">
        <v>73</v>
      </c>
      <c r="AG1377" t="s">
        <v>3465</v>
      </c>
      <c r="AH1377" t="s">
        <v>3465</v>
      </c>
      <c r="AI1377" t="s">
        <v>3465</v>
      </c>
      <c r="AJ1377" t="s">
        <v>3463</v>
      </c>
      <c r="AK1377" t="s">
        <v>3463</v>
      </c>
      <c r="AL1377" t="s">
        <v>3465</v>
      </c>
      <c r="AM1377" t="s">
        <v>156</v>
      </c>
      <c r="AN1377" t="s">
        <v>3616</v>
      </c>
      <c r="AP1377" t="s">
        <v>3463</v>
      </c>
      <c r="AQ1377" t="s">
        <v>2987</v>
      </c>
      <c r="AR1377" t="s">
        <v>3508</v>
      </c>
      <c r="AS1377" t="s">
        <v>3465</v>
      </c>
      <c r="AV1377" t="s">
        <v>178</v>
      </c>
      <c r="AW1377" t="s">
        <v>3918</v>
      </c>
      <c r="BF1377" t="s">
        <v>3921</v>
      </c>
      <c r="BH1377" t="s">
        <v>4020</v>
      </c>
      <c r="BP1377" t="s">
        <v>4260</v>
      </c>
      <c r="BQ1377" t="s">
        <v>3463</v>
      </c>
      <c r="BR1377" t="s">
        <v>3463</v>
      </c>
      <c r="BS1377" t="s">
        <v>3465</v>
      </c>
      <c r="BT1377" t="s">
        <v>3465</v>
      </c>
      <c r="BU1377" t="s">
        <v>3463</v>
      </c>
      <c r="BV1377" t="s">
        <v>3463</v>
      </c>
      <c r="BW1377" t="s">
        <v>3463</v>
      </c>
      <c r="BX1377" t="s">
        <v>79</v>
      </c>
      <c r="BY1377" t="s">
        <v>79</v>
      </c>
      <c r="BZ1377" t="s">
        <v>79</v>
      </c>
      <c r="CA1377" s="10">
        <v>45913</v>
      </c>
    </row>
    <row r="1378" spans="1:79">
      <c r="A1378">
        <v>1391</v>
      </c>
      <c r="B1378">
        <v>17</v>
      </c>
      <c r="C1378">
        <v>85</v>
      </c>
      <c r="D1378" t="s">
        <v>3466</v>
      </c>
      <c r="E1378" t="s">
        <v>2565</v>
      </c>
      <c r="F1378" t="s">
        <v>1804</v>
      </c>
      <c r="G1378" s="12" t="s">
        <v>3463</v>
      </c>
      <c r="I1378">
        <v>84</v>
      </c>
      <c r="J1378">
        <v>81</v>
      </c>
      <c r="K1378">
        <v>160</v>
      </c>
      <c r="L1378">
        <v>75</v>
      </c>
      <c r="M1378" t="s">
        <v>72</v>
      </c>
      <c r="N1378">
        <v>146</v>
      </c>
      <c r="O1378">
        <v>77</v>
      </c>
      <c r="P1378" t="s">
        <v>72</v>
      </c>
      <c r="Q1378" t="s">
        <v>72</v>
      </c>
      <c r="R1378">
        <v>83.9</v>
      </c>
      <c r="S1378">
        <v>142</v>
      </c>
      <c r="T1378" s="8">
        <f t="shared" si="43"/>
        <v>41.608807776234876</v>
      </c>
      <c r="U1378" s="13" t="str" cm="1">
        <f t="array" ref="U1378">IF(T1378="","",_xlfn.IFS(T1378&lt;18.5,"Bajo peso",T1378&lt;25,"Peso normal",T1378&lt;30,"Sobrepeso",T1378&lt;35,"Obesidad clase I",T1378&lt;40,"Obesidad clase II",T1378&gt;=40,"Obesidad clase III"))</f>
        <v>Obesidad clase III</v>
      </c>
      <c r="V1378">
        <v>148</v>
      </c>
      <c r="X1378" t="s">
        <v>3463</v>
      </c>
      <c r="Y1378">
        <v>0.78</v>
      </c>
      <c r="AA1378">
        <v>87</v>
      </c>
      <c r="AB1378" s="9">
        <f t="shared" si="42"/>
        <v>74.385337270247973</v>
      </c>
      <c r="AD1378" t="s">
        <v>73</v>
      </c>
      <c r="AF1378" t="s">
        <v>73</v>
      </c>
      <c r="AG1378" t="s">
        <v>3465</v>
      </c>
      <c r="AH1378" t="s">
        <v>3465</v>
      </c>
      <c r="AI1378" t="s">
        <v>3465</v>
      </c>
      <c r="AJ1378" t="s">
        <v>3465</v>
      </c>
      <c r="AK1378" t="s">
        <v>3465</v>
      </c>
      <c r="AL1378" t="s">
        <v>3465</v>
      </c>
      <c r="AM1378" t="s">
        <v>2988</v>
      </c>
      <c r="AN1378" t="s">
        <v>3879</v>
      </c>
      <c r="AP1378" t="s">
        <v>3463</v>
      </c>
      <c r="AQ1378" t="s">
        <v>2989</v>
      </c>
      <c r="AR1378" t="s">
        <v>3490</v>
      </c>
      <c r="AS1378" t="s">
        <v>3465</v>
      </c>
      <c r="AT1378" t="s">
        <v>3463</v>
      </c>
      <c r="AV1378" t="s">
        <v>74</v>
      </c>
      <c r="AW1378" t="s">
        <v>3915</v>
      </c>
      <c r="AX1378" t="s">
        <v>3463</v>
      </c>
      <c r="AY1378" t="s">
        <v>3463</v>
      </c>
      <c r="BA1378" t="s">
        <v>3920</v>
      </c>
      <c r="BB1378" t="s">
        <v>3485</v>
      </c>
      <c r="BF1378" t="s">
        <v>3921</v>
      </c>
      <c r="BG1378" t="s">
        <v>2990</v>
      </c>
      <c r="BH1378" t="s">
        <v>4014</v>
      </c>
      <c r="BI1378" t="s">
        <v>411</v>
      </c>
      <c r="BK1378" t="s">
        <v>2991</v>
      </c>
      <c r="BL1378" t="s">
        <v>2992</v>
      </c>
      <c r="BP1378" t="s">
        <v>4547</v>
      </c>
      <c r="BQ1378" t="s">
        <v>3463</v>
      </c>
      <c r="BR1378" t="s">
        <v>3465</v>
      </c>
      <c r="BS1378" t="s">
        <v>3463</v>
      </c>
      <c r="BT1378" t="s">
        <v>3463</v>
      </c>
      <c r="BU1378" t="s">
        <v>3463</v>
      </c>
      <c r="BV1378" t="s">
        <v>3463</v>
      </c>
      <c r="BW1378" t="s">
        <v>3463</v>
      </c>
      <c r="BX1378" t="s">
        <v>79</v>
      </c>
      <c r="BY1378" t="s">
        <v>121</v>
      </c>
      <c r="BZ1378" t="s">
        <v>79</v>
      </c>
      <c r="CA1378" s="10">
        <v>45913</v>
      </c>
    </row>
    <row r="1379" spans="1:79">
      <c r="A1379">
        <v>1392</v>
      </c>
      <c r="B1379">
        <v>18</v>
      </c>
      <c r="C1379">
        <v>62</v>
      </c>
      <c r="D1379" t="s">
        <v>3466</v>
      </c>
      <c r="E1379" t="s">
        <v>2993</v>
      </c>
      <c r="F1379" t="s">
        <v>1804</v>
      </c>
      <c r="G1379" s="12" t="s">
        <v>3463</v>
      </c>
      <c r="I1379">
        <v>82</v>
      </c>
      <c r="K1379">
        <v>131</v>
      </c>
      <c r="L1379">
        <v>71</v>
      </c>
      <c r="M1379" t="s">
        <v>82</v>
      </c>
      <c r="P1379" t="s">
        <v>83</v>
      </c>
      <c r="Q1379" t="s">
        <v>82</v>
      </c>
      <c r="R1379">
        <v>67.900000000000006</v>
      </c>
      <c r="S1379">
        <v>146</v>
      </c>
      <c r="T1379" s="8">
        <f t="shared" si="43"/>
        <v>31.854006380183904</v>
      </c>
      <c r="U1379" s="13" t="str" cm="1">
        <f t="array" ref="U1379">IF(T1379="","",_xlfn.IFS(T1379&lt;18.5,"Bajo peso",T1379&lt;25,"Peso normal",T1379&lt;30,"Sobrepeso",T1379&lt;35,"Obesidad clase I",T1379&lt;40,"Obesidad clase II",T1379&gt;=40,"Obesidad clase III"))</f>
        <v>Obesidad clase I</v>
      </c>
      <c r="V1379">
        <v>155</v>
      </c>
      <c r="X1379" t="s">
        <v>3463</v>
      </c>
      <c r="Y1379">
        <v>0.73</v>
      </c>
      <c r="AA1379">
        <v>90</v>
      </c>
      <c r="AB1379" s="9">
        <f t="shared" si="42"/>
        <v>92.925862803480626</v>
      </c>
      <c r="AD1379" t="s">
        <v>73</v>
      </c>
      <c r="AF1379" t="s">
        <v>73</v>
      </c>
      <c r="AG1379" t="s">
        <v>3465</v>
      </c>
      <c r="AH1379" t="s">
        <v>3465</v>
      </c>
      <c r="AI1379" t="s">
        <v>3463</v>
      </c>
      <c r="AJ1379" t="s">
        <v>3463</v>
      </c>
      <c r="AK1379" t="s">
        <v>3463</v>
      </c>
      <c r="AL1379" t="s">
        <v>3465</v>
      </c>
      <c r="AM1379" t="s">
        <v>110</v>
      </c>
      <c r="AN1379" t="s">
        <v>110</v>
      </c>
      <c r="AP1379" t="s">
        <v>3463</v>
      </c>
      <c r="AQ1379" t="s">
        <v>2994</v>
      </c>
      <c r="AR1379" t="s">
        <v>3508</v>
      </c>
      <c r="AT1379" t="s">
        <v>3465</v>
      </c>
      <c r="AU1379" t="s">
        <v>125</v>
      </c>
      <c r="AV1379" t="s">
        <v>74</v>
      </c>
      <c r="AW1379" t="s">
        <v>3915</v>
      </c>
      <c r="AX1379" t="s">
        <v>3463</v>
      </c>
      <c r="AY1379" t="s">
        <v>3465</v>
      </c>
      <c r="AZ1379" t="s">
        <v>90</v>
      </c>
      <c r="BF1379" t="s">
        <v>3921</v>
      </c>
      <c r="BH1379" t="s">
        <v>4020</v>
      </c>
      <c r="BP1379" t="s">
        <v>4260</v>
      </c>
      <c r="BQ1379" t="s">
        <v>3465</v>
      </c>
      <c r="BR1379" t="s">
        <v>3463</v>
      </c>
      <c r="BS1379" t="s">
        <v>3463</v>
      </c>
      <c r="BT1379" t="s">
        <v>3465</v>
      </c>
      <c r="BU1379" t="s">
        <v>3463</v>
      </c>
      <c r="BV1379" t="s">
        <v>3463</v>
      </c>
      <c r="BW1379" t="s">
        <v>3463</v>
      </c>
      <c r="BX1379" t="s">
        <v>79</v>
      </c>
      <c r="BY1379" t="s">
        <v>121</v>
      </c>
      <c r="BZ1379" t="s">
        <v>79</v>
      </c>
      <c r="CA1379" s="10">
        <v>45913</v>
      </c>
    </row>
    <row r="1380" spans="1:79">
      <c r="A1380">
        <v>1393</v>
      </c>
      <c r="B1380">
        <v>19</v>
      </c>
      <c r="C1380">
        <v>71</v>
      </c>
      <c r="D1380" t="s">
        <v>3466</v>
      </c>
      <c r="E1380" t="s">
        <v>1804</v>
      </c>
      <c r="F1380" t="s">
        <v>1804</v>
      </c>
      <c r="G1380" s="12" t="s">
        <v>3463</v>
      </c>
      <c r="I1380">
        <v>73</v>
      </c>
      <c r="J1380">
        <v>68</v>
      </c>
      <c r="K1380">
        <v>140</v>
      </c>
      <c r="L1380">
        <v>76</v>
      </c>
      <c r="M1380" t="s">
        <v>72</v>
      </c>
      <c r="N1380">
        <v>129</v>
      </c>
      <c r="O1380">
        <v>73</v>
      </c>
      <c r="P1380" t="s">
        <v>118</v>
      </c>
      <c r="Q1380" t="s">
        <v>118</v>
      </c>
      <c r="R1380">
        <v>58</v>
      </c>
      <c r="S1380">
        <v>146</v>
      </c>
      <c r="T1380" s="8">
        <f t="shared" si="43"/>
        <v>27.209607806342653</v>
      </c>
      <c r="U1380" s="13" t="str" cm="1">
        <f t="array" ref="U1380">IF(T1380="","",_xlfn.IFS(T1380&lt;18.5,"Bajo peso",T1380&lt;25,"Peso normal",T1380&lt;30,"Sobrepeso",T1380&lt;35,"Obesidad clase I",T1380&lt;40,"Obesidad clase II",T1380&gt;=40,"Obesidad clase III"))</f>
        <v>Sobrepeso</v>
      </c>
      <c r="V1380">
        <v>110</v>
      </c>
      <c r="X1380" t="s">
        <v>3463</v>
      </c>
      <c r="Y1380">
        <v>1.05</v>
      </c>
      <c r="AA1380">
        <v>76</v>
      </c>
      <c r="AB1380" s="9">
        <f t="shared" si="42"/>
        <v>56.805162571982926</v>
      </c>
      <c r="AD1380" t="s">
        <v>73</v>
      </c>
      <c r="AF1380" t="s">
        <v>73</v>
      </c>
      <c r="AH1380" t="s">
        <v>3463</v>
      </c>
      <c r="AI1380" t="s">
        <v>3465</v>
      </c>
      <c r="AJ1380" t="s">
        <v>3463</v>
      </c>
      <c r="AK1380" t="s">
        <v>3463</v>
      </c>
      <c r="AL1380" t="s">
        <v>3463</v>
      </c>
      <c r="AO1380" t="s">
        <v>3463</v>
      </c>
      <c r="AP1380" t="s">
        <v>3465</v>
      </c>
      <c r="AQ1380" t="s">
        <v>2995</v>
      </c>
      <c r="AR1380" t="s">
        <v>3509</v>
      </c>
      <c r="AS1380" t="s">
        <v>3465</v>
      </c>
      <c r="AT1380" t="s">
        <v>3465</v>
      </c>
      <c r="AU1380" t="s">
        <v>80</v>
      </c>
      <c r="AV1380" t="s">
        <v>74</v>
      </c>
      <c r="AW1380" t="s">
        <v>3915</v>
      </c>
      <c r="AY1380" t="s">
        <v>3463</v>
      </c>
      <c r="BF1380" t="s">
        <v>3921</v>
      </c>
      <c r="BH1380" t="s">
        <v>4020</v>
      </c>
      <c r="BP1380" t="s">
        <v>4260</v>
      </c>
      <c r="BQ1380" t="s">
        <v>3463</v>
      </c>
      <c r="BR1380" t="s">
        <v>3463</v>
      </c>
      <c r="BS1380" t="s">
        <v>3463</v>
      </c>
      <c r="BT1380" t="s">
        <v>3463</v>
      </c>
      <c r="BU1380" t="s">
        <v>3463</v>
      </c>
      <c r="BX1380" t="s">
        <v>654</v>
      </c>
      <c r="BY1380" t="s">
        <v>79</v>
      </c>
      <c r="BZ1380" t="s">
        <v>79</v>
      </c>
      <c r="CA1380" s="10">
        <v>45913</v>
      </c>
    </row>
    <row r="1381" spans="1:79">
      <c r="A1381">
        <v>1394</v>
      </c>
      <c r="B1381">
        <v>20</v>
      </c>
      <c r="C1381">
        <v>65</v>
      </c>
      <c r="D1381" t="s">
        <v>3466</v>
      </c>
      <c r="E1381" t="s">
        <v>2565</v>
      </c>
      <c r="F1381" t="s">
        <v>1804</v>
      </c>
      <c r="G1381" s="12" t="s">
        <v>3465</v>
      </c>
      <c r="H1381" t="s">
        <v>88</v>
      </c>
      <c r="I1381">
        <v>69</v>
      </c>
      <c r="K1381">
        <v>139</v>
      </c>
      <c r="L1381">
        <v>92</v>
      </c>
      <c r="M1381" t="s">
        <v>72</v>
      </c>
      <c r="P1381" t="s">
        <v>83</v>
      </c>
      <c r="Q1381" t="s">
        <v>72</v>
      </c>
      <c r="R1381">
        <v>57.5</v>
      </c>
      <c r="S1381">
        <v>154</v>
      </c>
      <c r="T1381" s="8">
        <f t="shared" si="43"/>
        <v>24.245235284196323</v>
      </c>
      <c r="U1381" s="13" t="str" cm="1">
        <f t="array" ref="U1381">IF(T1381="","",_xlfn.IFS(T1381&lt;18.5,"Bajo peso",T1381&lt;25,"Peso normal",T1381&lt;30,"Sobrepeso",T1381&lt;35,"Obesidad clase I",T1381&lt;40,"Obesidad clase II",T1381&gt;=40,"Obesidad clase III"))</f>
        <v>Peso normal</v>
      </c>
      <c r="V1381">
        <v>89</v>
      </c>
      <c r="X1381" t="s">
        <v>3463</v>
      </c>
      <c r="Y1381">
        <v>0.95</v>
      </c>
      <c r="AA1381">
        <v>89</v>
      </c>
      <c r="AB1381" s="9">
        <f t="shared" si="42"/>
        <v>66.489441531967941</v>
      </c>
      <c r="AD1381" t="s">
        <v>73</v>
      </c>
      <c r="AF1381" t="s">
        <v>73</v>
      </c>
      <c r="AH1381" t="s">
        <v>3463</v>
      </c>
      <c r="AI1381" t="s">
        <v>3463</v>
      </c>
      <c r="AJ1381" t="s">
        <v>3463</v>
      </c>
      <c r="AK1381" t="s">
        <v>3463</v>
      </c>
      <c r="AL1381" t="s">
        <v>3463</v>
      </c>
      <c r="AP1381" t="s">
        <v>3463</v>
      </c>
      <c r="AT1381" t="s">
        <v>3465</v>
      </c>
      <c r="AV1381" t="s">
        <v>74</v>
      </c>
      <c r="AW1381" t="s">
        <v>3915</v>
      </c>
      <c r="AX1381" t="s">
        <v>3463</v>
      </c>
      <c r="AY1381" t="s">
        <v>3465</v>
      </c>
      <c r="AZ1381" t="s">
        <v>90</v>
      </c>
      <c r="BE1381" t="s">
        <v>68</v>
      </c>
      <c r="BF1381" t="s">
        <v>68</v>
      </c>
      <c r="BG1381" t="s">
        <v>2996</v>
      </c>
      <c r="BH1381" t="s">
        <v>4076</v>
      </c>
      <c r="BK1381" t="s">
        <v>2761</v>
      </c>
      <c r="BL1381" t="s">
        <v>2206</v>
      </c>
      <c r="BP1381" t="s">
        <v>4519</v>
      </c>
      <c r="BQ1381" t="s">
        <v>3465</v>
      </c>
      <c r="BR1381" t="s">
        <v>3465</v>
      </c>
      <c r="BS1381" t="s">
        <v>3463</v>
      </c>
      <c r="BT1381" t="s">
        <v>3463</v>
      </c>
      <c r="BU1381" t="s">
        <v>3463</v>
      </c>
      <c r="BV1381" t="s">
        <v>3463</v>
      </c>
      <c r="BW1381" t="s">
        <v>3463</v>
      </c>
      <c r="BX1381" t="s">
        <v>79</v>
      </c>
      <c r="BY1381" t="s">
        <v>87</v>
      </c>
      <c r="BZ1381" t="s">
        <v>95</v>
      </c>
      <c r="CA1381" s="10">
        <v>45913</v>
      </c>
    </row>
    <row r="1382" spans="1:79">
      <c r="A1382">
        <v>1395</v>
      </c>
      <c r="B1382">
        <v>20</v>
      </c>
      <c r="C1382">
        <v>27</v>
      </c>
      <c r="D1382" t="s">
        <v>3462</v>
      </c>
      <c r="E1382" t="s">
        <v>2997</v>
      </c>
      <c r="F1382" t="s">
        <v>1804</v>
      </c>
      <c r="G1382" s="12" t="s">
        <v>3463</v>
      </c>
      <c r="I1382">
        <v>59</v>
      </c>
      <c r="J1382">
        <v>64</v>
      </c>
      <c r="K1382">
        <v>149</v>
      </c>
      <c r="L1382">
        <v>79</v>
      </c>
      <c r="M1382" t="s">
        <v>72</v>
      </c>
      <c r="N1382">
        <v>130</v>
      </c>
      <c r="O1382">
        <v>72</v>
      </c>
      <c r="P1382" t="s">
        <v>82</v>
      </c>
      <c r="Q1382" t="s">
        <v>82</v>
      </c>
      <c r="R1382">
        <v>74.599999999999994</v>
      </c>
      <c r="S1382">
        <v>170</v>
      </c>
      <c r="T1382" s="8">
        <f t="shared" si="43"/>
        <v>25.813148788927332</v>
      </c>
      <c r="U1382" s="13" t="str" cm="1">
        <f t="array" ref="U1382">IF(T1382="","",_xlfn.IFS(T1382&lt;18.5,"Bajo peso",T1382&lt;25,"Peso normal",T1382&lt;30,"Sobrepeso",T1382&lt;35,"Obesidad clase I",T1382&lt;40,"Obesidad clase II",T1382&gt;=40,"Obesidad clase III"))</f>
        <v>Sobrepeso</v>
      </c>
      <c r="V1382">
        <v>107</v>
      </c>
      <c r="X1382" t="s">
        <v>3463</v>
      </c>
      <c r="Y1382">
        <v>1.24</v>
      </c>
      <c r="AA1382">
        <v>82</v>
      </c>
      <c r="AB1382" s="9">
        <f t="shared" si="42"/>
        <v>81.723343915677674</v>
      </c>
      <c r="AD1382" t="s">
        <v>73</v>
      </c>
      <c r="AF1382" t="s">
        <v>73</v>
      </c>
      <c r="AH1382" t="s">
        <v>3463</v>
      </c>
      <c r="AI1382" t="s">
        <v>3463</v>
      </c>
      <c r="AJ1382" t="s">
        <v>3463</v>
      </c>
      <c r="AK1382" t="s">
        <v>3463</v>
      </c>
      <c r="AL1382" t="s">
        <v>3465</v>
      </c>
      <c r="AO1382" t="s">
        <v>3464</v>
      </c>
      <c r="AP1382" t="s">
        <v>3465</v>
      </c>
      <c r="AQ1382" t="s">
        <v>120</v>
      </c>
      <c r="AR1382" t="s">
        <v>3491</v>
      </c>
      <c r="AV1382" t="s">
        <v>126</v>
      </c>
      <c r="AW1382" t="s">
        <v>126</v>
      </c>
      <c r="BF1382" t="s">
        <v>3921</v>
      </c>
      <c r="BG1382" t="s">
        <v>2998</v>
      </c>
      <c r="BH1382" t="s">
        <v>4048</v>
      </c>
      <c r="BP1382" t="s">
        <v>4548</v>
      </c>
      <c r="BQ1382" t="s">
        <v>3463</v>
      </c>
      <c r="BR1382" t="s">
        <v>3463</v>
      </c>
      <c r="BS1382" t="s">
        <v>3463</v>
      </c>
      <c r="BT1382" t="s">
        <v>3463</v>
      </c>
      <c r="BU1382" t="s">
        <v>3463</v>
      </c>
      <c r="BV1382" t="s">
        <v>3463</v>
      </c>
      <c r="BW1382" t="s">
        <v>3463</v>
      </c>
      <c r="BX1382" t="s">
        <v>79</v>
      </c>
      <c r="BY1382" t="s">
        <v>79</v>
      </c>
      <c r="BZ1382" t="s">
        <v>79</v>
      </c>
      <c r="CA1382" s="10">
        <v>45913</v>
      </c>
    </row>
    <row r="1383" spans="1:79">
      <c r="A1383">
        <v>1396</v>
      </c>
      <c r="B1383">
        <v>22</v>
      </c>
      <c r="C1383">
        <v>74</v>
      </c>
      <c r="D1383" t="s">
        <v>3462</v>
      </c>
      <c r="E1383" t="s">
        <v>2999</v>
      </c>
      <c r="F1383" t="s">
        <v>1804</v>
      </c>
      <c r="G1383" s="12" t="s">
        <v>3463</v>
      </c>
      <c r="I1383">
        <v>65</v>
      </c>
      <c r="J1383">
        <v>58</v>
      </c>
      <c r="K1383">
        <v>154</v>
      </c>
      <c r="L1383">
        <v>54</v>
      </c>
      <c r="M1383" t="s">
        <v>72</v>
      </c>
      <c r="N1383">
        <v>155</v>
      </c>
      <c r="O1383">
        <v>57</v>
      </c>
      <c r="P1383" t="s">
        <v>72</v>
      </c>
      <c r="Q1383" t="s">
        <v>72</v>
      </c>
      <c r="R1383">
        <v>73.400000000000006</v>
      </c>
      <c r="S1383">
        <v>158.5</v>
      </c>
      <c r="T1383" s="8">
        <f t="shared" si="43"/>
        <v>29.217128242892258</v>
      </c>
      <c r="U1383" s="13" t="str" cm="1">
        <f t="array" ref="U1383">IF(T1383="","",_xlfn.IFS(T1383&lt;18.5,"Bajo peso",T1383&lt;25,"Peso normal",T1383&lt;30,"Sobrepeso",T1383&lt;35,"Obesidad clase I",T1383&lt;40,"Obesidad clase II",T1383&gt;=40,"Obesidad clase III"))</f>
        <v>Sobrepeso</v>
      </c>
      <c r="V1383">
        <v>105</v>
      </c>
      <c r="X1383" t="s">
        <v>3463</v>
      </c>
      <c r="Y1383">
        <v>0.9</v>
      </c>
      <c r="AA1383">
        <v>90</v>
      </c>
      <c r="AB1383" s="9">
        <f t="shared" si="42"/>
        <v>89.621824862221217</v>
      </c>
      <c r="AD1383" t="s">
        <v>73</v>
      </c>
      <c r="AF1383" t="s">
        <v>73</v>
      </c>
      <c r="AH1383" t="s">
        <v>3463</v>
      </c>
      <c r="AI1383" t="s">
        <v>3463</v>
      </c>
      <c r="AJ1383" t="s">
        <v>3463</v>
      </c>
      <c r="AK1383" t="s">
        <v>3463</v>
      </c>
      <c r="AL1383" t="s">
        <v>3465</v>
      </c>
      <c r="AM1383" t="s">
        <v>110</v>
      </c>
      <c r="AN1383" t="s">
        <v>110</v>
      </c>
      <c r="AP1383" t="s">
        <v>3463</v>
      </c>
      <c r="AV1383" t="s">
        <v>74</v>
      </c>
      <c r="AW1383" t="s">
        <v>3915</v>
      </c>
      <c r="BF1383" t="s">
        <v>3921</v>
      </c>
      <c r="BH1383" t="s">
        <v>4020</v>
      </c>
      <c r="BP1383" t="s">
        <v>4260</v>
      </c>
      <c r="BQ1383" t="s">
        <v>3465</v>
      </c>
      <c r="BR1383" t="s">
        <v>3465</v>
      </c>
      <c r="BS1383" t="s">
        <v>3463</v>
      </c>
      <c r="BT1383" t="s">
        <v>3463</v>
      </c>
      <c r="BU1383" t="s">
        <v>3463</v>
      </c>
      <c r="BV1383" t="s">
        <v>3463</v>
      </c>
      <c r="BW1383" t="s">
        <v>3463</v>
      </c>
      <c r="BX1383" t="s">
        <v>79</v>
      </c>
      <c r="BY1383" t="s">
        <v>79</v>
      </c>
      <c r="BZ1383" t="s">
        <v>79</v>
      </c>
      <c r="CA1383" s="10">
        <v>45913</v>
      </c>
    </row>
    <row r="1384" spans="1:79">
      <c r="A1384">
        <v>1397</v>
      </c>
      <c r="B1384">
        <v>23</v>
      </c>
      <c r="C1384">
        <v>69</v>
      </c>
      <c r="D1384" t="s">
        <v>3466</v>
      </c>
      <c r="E1384" t="s">
        <v>3000</v>
      </c>
      <c r="F1384" t="s">
        <v>1804</v>
      </c>
      <c r="G1384" s="12" t="s">
        <v>3463</v>
      </c>
      <c r="I1384">
        <v>57</v>
      </c>
      <c r="J1384">
        <v>57</v>
      </c>
      <c r="K1384">
        <v>198</v>
      </c>
      <c r="L1384">
        <v>113</v>
      </c>
      <c r="M1384" t="s">
        <v>96</v>
      </c>
      <c r="N1384">
        <v>200</v>
      </c>
      <c r="O1384">
        <v>106</v>
      </c>
      <c r="P1384" t="s">
        <v>96</v>
      </c>
      <c r="Q1384" t="s">
        <v>96</v>
      </c>
      <c r="R1384">
        <v>71.2</v>
      </c>
      <c r="S1384">
        <v>151</v>
      </c>
      <c r="T1384" s="8">
        <f t="shared" si="43"/>
        <v>31.226700583307753</v>
      </c>
      <c r="U1384" s="13" t="str" cm="1">
        <f t="array" ref="U1384">IF(T1384="","",_xlfn.IFS(T1384&lt;18.5,"Bajo peso",T1384&lt;25,"Peso normal",T1384&lt;30,"Sobrepeso",T1384&lt;35,"Obesidad clase I",T1384&lt;40,"Obesidad clase II",T1384&gt;=40,"Obesidad clase III"))</f>
        <v>Obesidad clase I</v>
      </c>
      <c r="V1384">
        <v>106</v>
      </c>
      <c r="X1384" t="s">
        <v>3463</v>
      </c>
      <c r="Y1384">
        <v>0.78</v>
      </c>
      <c r="AA1384">
        <v>82</v>
      </c>
      <c r="AB1384" s="9">
        <f t="shared" si="42"/>
        <v>82.168140332750809</v>
      </c>
      <c r="AD1384" t="s">
        <v>73</v>
      </c>
      <c r="AF1384" t="s">
        <v>73</v>
      </c>
      <c r="AH1384" t="s">
        <v>3463</v>
      </c>
      <c r="AI1384" t="s">
        <v>3465</v>
      </c>
      <c r="AJ1384" t="s">
        <v>3463</v>
      </c>
      <c r="AK1384" t="s">
        <v>3463</v>
      </c>
      <c r="AL1384" t="s">
        <v>3463</v>
      </c>
      <c r="AP1384" t="s">
        <v>3463</v>
      </c>
      <c r="AQ1384" t="s">
        <v>3001</v>
      </c>
      <c r="AR1384" t="s">
        <v>3508</v>
      </c>
      <c r="AS1384" t="s">
        <v>3463</v>
      </c>
      <c r="AT1384" t="s">
        <v>3465</v>
      </c>
      <c r="AU1384" t="s">
        <v>80</v>
      </c>
      <c r="AV1384" t="s">
        <v>74</v>
      </c>
      <c r="AW1384" t="s">
        <v>3915</v>
      </c>
      <c r="AX1384" t="s">
        <v>3463</v>
      </c>
      <c r="AY1384" t="s">
        <v>3465</v>
      </c>
      <c r="AZ1384" t="s">
        <v>104</v>
      </c>
      <c r="BF1384" t="s">
        <v>3921</v>
      </c>
      <c r="BH1384" t="s">
        <v>4239</v>
      </c>
      <c r="BI1384" t="s">
        <v>820</v>
      </c>
      <c r="BK1384" t="s">
        <v>3002</v>
      </c>
      <c r="BP1384" t="s">
        <v>4406</v>
      </c>
      <c r="BQ1384" t="s">
        <v>3463</v>
      </c>
      <c r="BR1384" t="s">
        <v>3463</v>
      </c>
      <c r="BS1384" t="s">
        <v>3463</v>
      </c>
      <c r="BT1384" t="s">
        <v>3465</v>
      </c>
      <c r="BU1384" t="s">
        <v>3463</v>
      </c>
      <c r="BV1384" t="s">
        <v>3463</v>
      </c>
      <c r="BW1384" t="s">
        <v>3463</v>
      </c>
      <c r="BX1384" t="s">
        <v>79</v>
      </c>
      <c r="BY1384" t="s">
        <v>79</v>
      </c>
      <c r="BZ1384" t="s">
        <v>79</v>
      </c>
      <c r="CA1384" s="10">
        <v>45913</v>
      </c>
    </row>
    <row r="1385" spans="1:79">
      <c r="A1385">
        <v>1398</v>
      </c>
      <c r="B1385">
        <v>24</v>
      </c>
      <c r="C1385">
        <v>79</v>
      </c>
      <c r="D1385" t="s">
        <v>3466</v>
      </c>
      <c r="E1385" t="s">
        <v>2565</v>
      </c>
      <c r="F1385" t="s">
        <v>1804</v>
      </c>
      <c r="G1385" s="12" t="s">
        <v>3463</v>
      </c>
      <c r="I1385">
        <v>57</v>
      </c>
      <c r="J1385">
        <v>63</v>
      </c>
      <c r="K1385">
        <v>185</v>
      </c>
      <c r="L1385">
        <v>87</v>
      </c>
      <c r="M1385" t="s">
        <v>96</v>
      </c>
      <c r="N1385">
        <v>187</v>
      </c>
      <c r="O1385">
        <v>98</v>
      </c>
      <c r="P1385" t="s">
        <v>96</v>
      </c>
      <c r="Q1385" t="s">
        <v>96</v>
      </c>
      <c r="R1385">
        <v>59.3</v>
      </c>
      <c r="S1385">
        <v>155</v>
      </c>
      <c r="T1385" s="8">
        <f t="shared" si="43"/>
        <v>24.682622268470343</v>
      </c>
      <c r="U1385" s="13" t="str" cm="1">
        <f t="array" ref="U1385">IF(T1385="","",_xlfn.IFS(T1385&lt;18.5,"Bajo peso",T1385&lt;25,"Peso normal",T1385&lt;30,"Sobrepeso",T1385&lt;35,"Obesidad clase I",T1385&lt;40,"Obesidad clase II",T1385&gt;=40,"Obesidad clase III"))</f>
        <v>Peso normal</v>
      </c>
      <c r="V1385">
        <v>127</v>
      </c>
      <c r="X1385" t="s">
        <v>3463</v>
      </c>
      <c r="Y1385">
        <v>0.83</v>
      </c>
      <c r="AA1385">
        <v>72</v>
      </c>
      <c r="AB1385" s="9">
        <f t="shared" si="42"/>
        <v>71.666004814501321</v>
      </c>
      <c r="AD1385" t="s">
        <v>73</v>
      </c>
      <c r="AF1385" t="s">
        <v>73</v>
      </c>
      <c r="AH1385" t="s">
        <v>3463</v>
      </c>
      <c r="AI1385" t="s">
        <v>3465</v>
      </c>
      <c r="AJ1385" t="s">
        <v>3463</v>
      </c>
      <c r="AK1385" t="s">
        <v>3463</v>
      </c>
      <c r="AL1385" t="s">
        <v>3465</v>
      </c>
      <c r="AM1385" t="s">
        <v>709</v>
      </c>
      <c r="AN1385" t="s">
        <v>3669</v>
      </c>
      <c r="AP1385" t="s">
        <v>3463</v>
      </c>
      <c r="AQ1385" t="s">
        <v>1059</v>
      </c>
      <c r="AR1385" t="s">
        <v>3491</v>
      </c>
      <c r="AS1385" t="s">
        <v>3465</v>
      </c>
      <c r="AT1385" t="s">
        <v>3463</v>
      </c>
      <c r="AV1385" t="s">
        <v>74</v>
      </c>
      <c r="AW1385" t="s">
        <v>3915</v>
      </c>
      <c r="AX1385" t="s">
        <v>3463</v>
      </c>
      <c r="AY1385" t="s">
        <v>3463</v>
      </c>
      <c r="BA1385" t="s">
        <v>3920</v>
      </c>
      <c r="BF1385" t="s">
        <v>3921</v>
      </c>
      <c r="BG1385" t="s">
        <v>3003</v>
      </c>
      <c r="BH1385" t="s">
        <v>4014</v>
      </c>
      <c r="BI1385" t="s">
        <v>1206</v>
      </c>
      <c r="BK1385" t="s">
        <v>3004</v>
      </c>
      <c r="BL1385" t="s">
        <v>3005</v>
      </c>
      <c r="BP1385" t="s">
        <v>4466</v>
      </c>
      <c r="BQ1385" t="s">
        <v>3463</v>
      </c>
      <c r="BR1385" t="s">
        <v>3463</v>
      </c>
      <c r="BS1385" t="s">
        <v>3463</v>
      </c>
      <c r="BT1385" t="s">
        <v>3463</v>
      </c>
      <c r="BU1385" t="s">
        <v>3463</v>
      </c>
      <c r="BV1385" t="s">
        <v>3463</v>
      </c>
      <c r="BW1385" t="s">
        <v>3463</v>
      </c>
      <c r="BX1385" t="s">
        <v>79</v>
      </c>
      <c r="BY1385" t="s">
        <v>87</v>
      </c>
      <c r="BZ1385" t="s">
        <v>79</v>
      </c>
      <c r="CA1385" s="10">
        <v>45913</v>
      </c>
    </row>
    <row r="1386" spans="1:79">
      <c r="A1386">
        <v>1399</v>
      </c>
      <c r="B1386">
        <v>25</v>
      </c>
      <c r="C1386">
        <v>68</v>
      </c>
      <c r="D1386" t="s">
        <v>3462</v>
      </c>
      <c r="E1386" t="s">
        <v>3006</v>
      </c>
      <c r="F1386" t="s">
        <v>1804</v>
      </c>
      <c r="G1386" s="12" t="s">
        <v>3463</v>
      </c>
      <c r="I1386">
        <v>70</v>
      </c>
      <c r="K1386">
        <v>139</v>
      </c>
      <c r="L1386">
        <v>73</v>
      </c>
      <c r="M1386" t="s">
        <v>82</v>
      </c>
      <c r="P1386" t="s">
        <v>83</v>
      </c>
      <c r="Q1386" t="s">
        <v>82</v>
      </c>
      <c r="R1386">
        <v>84</v>
      </c>
      <c r="S1386">
        <v>173</v>
      </c>
      <c r="T1386" s="8">
        <f t="shared" si="43"/>
        <v>28.066423869825254</v>
      </c>
      <c r="U1386" s="13" t="str" cm="1">
        <f t="array" ref="U1386">IF(T1386="","",_xlfn.IFS(T1386&lt;18.5,"Bajo peso",T1386&lt;25,"Peso normal",T1386&lt;30,"Sobrepeso",T1386&lt;35,"Obesidad clase I",T1386&lt;40,"Obesidad clase II",T1386&gt;=40,"Obesidad clase III"))</f>
        <v>Sobrepeso</v>
      </c>
      <c r="V1386">
        <v>110</v>
      </c>
      <c r="X1386" t="s">
        <v>3463</v>
      </c>
      <c r="Y1386">
        <v>1.02</v>
      </c>
      <c r="AA1386">
        <v>80</v>
      </c>
      <c r="AB1386" s="9">
        <f t="shared" si="42"/>
        <v>80.055400296502</v>
      </c>
      <c r="AD1386" t="s">
        <v>73</v>
      </c>
      <c r="AF1386" t="s">
        <v>73</v>
      </c>
      <c r="AG1386" t="s">
        <v>3465</v>
      </c>
      <c r="AH1386" t="s">
        <v>3465</v>
      </c>
      <c r="AI1386" t="s">
        <v>3463</v>
      </c>
      <c r="AJ1386" t="s">
        <v>3463</v>
      </c>
      <c r="AK1386" t="s">
        <v>3463</v>
      </c>
      <c r="AL1386" t="s">
        <v>3465</v>
      </c>
      <c r="AM1386" t="s">
        <v>3007</v>
      </c>
      <c r="AN1386" t="s">
        <v>3616</v>
      </c>
      <c r="AO1386" t="s">
        <v>3463</v>
      </c>
      <c r="AP1386" t="s">
        <v>3465</v>
      </c>
      <c r="AQ1386" t="s">
        <v>196</v>
      </c>
      <c r="AR1386" t="s">
        <v>3522</v>
      </c>
      <c r="AV1386" t="s">
        <v>126</v>
      </c>
      <c r="AW1386" t="s">
        <v>126</v>
      </c>
      <c r="BF1386" t="s">
        <v>3921</v>
      </c>
      <c r="BH1386" t="s">
        <v>4020</v>
      </c>
      <c r="BP1386" t="s">
        <v>4260</v>
      </c>
      <c r="BQ1386" t="s">
        <v>3463</v>
      </c>
      <c r="BR1386" t="s">
        <v>3463</v>
      </c>
      <c r="BS1386" t="s">
        <v>3463</v>
      </c>
      <c r="BT1386" t="s">
        <v>3463</v>
      </c>
      <c r="BU1386" t="s">
        <v>3463</v>
      </c>
      <c r="BV1386" t="s">
        <v>3463</v>
      </c>
      <c r="BW1386" t="s">
        <v>3463</v>
      </c>
      <c r="BX1386" t="s">
        <v>79</v>
      </c>
      <c r="BY1386" t="s">
        <v>87</v>
      </c>
      <c r="BZ1386" t="s">
        <v>79</v>
      </c>
      <c r="CA1386" s="10">
        <v>45913</v>
      </c>
    </row>
    <row r="1387" spans="1:79">
      <c r="A1387">
        <v>1400</v>
      </c>
      <c r="B1387">
        <v>26</v>
      </c>
      <c r="C1387">
        <v>70</v>
      </c>
      <c r="D1387" t="s">
        <v>3466</v>
      </c>
      <c r="E1387" t="s">
        <v>3008</v>
      </c>
      <c r="F1387" t="s">
        <v>1804</v>
      </c>
      <c r="G1387" s="12" t="s">
        <v>3463</v>
      </c>
      <c r="I1387">
        <v>59</v>
      </c>
      <c r="J1387">
        <v>62</v>
      </c>
      <c r="K1387">
        <v>143</v>
      </c>
      <c r="L1387">
        <v>83</v>
      </c>
      <c r="M1387" t="s">
        <v>72</v>
      </c>
      <c r="N1387">
        <v>139</v>
      </c>
      <c r="O1387">
        <v>75</v>
      </c>
      <c r="P1387" t="s">
        <v>82</v>
      </c>
      <c r="Q1387" t="s">
        <v>82</v>
      </c>
      <c r="R1387">
        <v>68.7</v>
      </c>
      <c r="S1387">
        <v>167</v>
      </c>
      <c r="T1387" s="8">
        <f t="shared" si="43"/>
        <v>24.633367994549822</v>
      </c>
      <c r="U1387" s="13" t="str" cm="1">
        <f t="array" ref="U1387">IF(T1387="","",_xlfn.IFS(T1387&lt;18.5,"Bajo peso",T1387&lt;25,"Peso normal",T1387&lt;30,"Sobrepeso",T1387&lt;35,"Obesidad clase I",T1387&lt;40,"Obesidad clase II",T1387&gt;=40,"Obesidad clase III"))</f>
        <v>Peso normal</v>
      </c>
      <c r="V1387">
        <v>108</v>
      </c>
      <c r="X1387" t="s">
        <v>3463</v>
      </c>
      <c r="Y1387">
        <v>0.7</v>
      </c>
      <c r="AA1387">
        <v>90</v>
      </c>
      <c r="AB1387" s="9">
        <f t="shared" ref="AB1387:AB1450" si="44">IF(OR(C1387="",D1387="",Y1387=""),"",142*POWER(MIN(Y1387/IF(D1387="Mujer",0.7,0.9),1),IF(D1387="Mujer",-0.241,-0.302))*POWER(MAX(Y1387/IF(D1387="Mujer",0.7,0.9),1),-1.2)*POWER(0.9938,C1387)*IF(D1387="Mujer",1.012,1))</f>
        <v>92.981880560894879</v>
      </c>
      <c r="AD1387" t="s">
        <v>73</v>
      </c>
      <c r="AF1387" t="s">
        <v>73</v>
      </c>
      <c r="AH1387" t="s">
        <v>3463</v>
      </c>
      <c r="AI1387" t="s">
        <v>3463</v>
      </c>
      <c r="AJ1387" t="s">
        <v>3463</v>
      </c>
      <c r="AK1387" t="s">
        <v>3463</v>
      </c>
      <c r="AL1387" t="s">
        <v>3463</v>
      </c>
      <c r="AO1387" t="s">
        <v>3464</v>
      </c>
      <c r="AP1387" t="s">
        <v>3465</v>
      </c>
      <c r="AQ1387" t="s">
        <v>3009</v>
      </c>
      <c r="AR1387" t="s">
        <v>3490</v>
      </c>
      <c r="AT1387" t="s">
        <v>3465</v>
      </c>
      <c r="AU1387" t="s">
        <v>80</v>
      </c>
      <c r="AV1387" t="s">
        <v>74</v>
      </c>
      <c r="AW1387" t="s">
        <v>3915</v>
      </c>
      <c r="AY1387" t="s">
        <v>3463</v>
      </c>
      <c r="BF1387" t="s">
        <v>3921</v>
      </c>
      <c r="BH1387" t="s">
        <v>4020</v>
      </c>
      <c r="BP1387" t="s">
        <v>4260</v>
      </c>
      <c r="BQ1387" t="s">
        <v>3463</v>
      </c>
      <c r="BR1387" t="s">
        <v>3463</v>
      </c>
      <c r="BS1387" t="s">
        <v>3463</v>
      </c>
      <c r="BT1387" t="s">
        <v>3463</v>
      </c>
      <c r="BU1387" t="s">
        <v>3463</v>
      </c>
      <c r="BV1387" t="s">
        <v>3463</v>
      </c>
      <c r="BW1387" t="s">
        <v>3463</v>
      </c>
      <c r="BX1387" t="s">
        <v>79</v>
      </c>
      <c r="BY1387" t="s">
        <v>79</v>
      </c>
      <c r="BZ1387" t="s">
        <v>79</v>
      </c>
      <c r="CA1387" s="10">
        <v>45913</v>
      </c>
    </row>
    <row r="1388" spans="1:79">
      <c r="A1388">
        <v>1401</v>
      </c>
      <c r="B1388">
        <v>27</v>
      </c>
      <c r="C1388">
        <v>80</v>
      </c>
      <c r="D1388" t="s">
        <v>3466</v>
      </c>
      <c r="E1388" t="s">
        <v>2981</v>
      </c>
      <c r="F1388" t="s">
        <v>1804</v>
      </c>
      <c r="G1388" s="12" t="s">
        <v>3463</v>
      </c>
      <c r="I1388">
        <v>64</v>
      </c>
      <c r="J1388">
        <v>64</v>
      </c>
      <c r="K1388">
        <v>190</v>
      </c>
      <c r="L1388">
        <v>68</v>
      </c>
      <c r="M1388" t="s">
        <v>96</v>
      </c>
      <c r="N1388">
        <v>174</v>
      </c>
      <c r="O1388">
        <v>61</v>
      </c>
      <c r="P1388" t="s">
        <v>72</v>
      </c>
      <c r="Q1388" t="s">
        <v>72</v>
      </c>
      <c r="R1388">
        <v>77.3</v>
      </c>
      <c r="S1388">
        <v>155</v>
      </c>
      <c r="T1388" s="8">
        <f t="shared" si="43"/>
        <v>32.174817898022887</v>
      </c>
      <c r="U1388" s="13" t="str" cm="1">
        <f t="array" ref="U1388">IF(T1388="","",_xlfn.IFS(T1388&lt;18.5,"Bajo peso",T1388&lt;25,"Peso normal",T1388&lt;30,"Sobrepeso",T1388&lt;35,"Obesidad clase I",T1388&lt;40,"Obesidad clase II",T1388&gt;=40,"Obesidad clase III"))</f>
        <v>Obesidad clase I</v>
      </c>
      <c r="V1388">
        <v>169</v>
      </c>
      <c r="X1388" t="s">
        <v>3463</v>
      </c>
      <c r="Y1388">
        <v>1.04</v>
      </c>
      <c r="AA1388">
        <v>54</v>
      </c>
      <c r="AB1388" s="9">
        <f t="shared" si="44"/>
        <v>54.33327588695402</v>
      </c>
      <c r="AD1388" t="s">
        <v>158</v>
      </c>
      <c r="AF1388" t="s">
        <v>158</v>
      </c>
      <c r="AG1388" t="s">
        <v>3463</v>
      </c>
      <c r="AH1388" t="s">
        <v>3465</v>
      </c>
      <c r="AI1388" t="s">
        <v>3465</v>
      </c>
      <c r="AJ1388" t="s">
        <v>3463</v>
      </c>
      <c r="AK1388" t="s">
        <v>3463</v>
      </c>
      <c r="AL1388" t="s">
        <v>3463</v>
      </c>
      <c r="AP1388" t="s">
        <v>3463</v>
      </c>
      <c r="AS1388" t="s">
        <v>3465</v>
      </c>
      <c r="AT1388" t="s">
        <v>3465</v>
      </c>
      <c r="AU1388" t="s">
        <v>80</v>
      </c>
      <c r="AV1388" t="s">
        <v>74</v>
      </c>
      <c r="AW1388" t="s">
        <v>3915</v>
      </c>
      <c r="AX1388" t="s">
        <v>3463</v>
      </c>
      <c r="AY1388" t="s">
        <v>3465</v>
      </c>
      <c r="AZ1388" t="s">
        <v>247</v>
      </c>
      <c r="BA1388" t="s">
        <v>3920</v>
      </c>
      <c r="BB1388" t="s">
        <v>3485</v>
      </c>
      <c r="BF1388" t="s">
        <v>3921</v>
      </c>
      <c r="BG1388" t="s">
        <v>3010</v>
      </c>
      <c r="BH1388" t="s">
        <v>4190</v>
      </c>
      <c r="BI1388" t="s">
        <v>411</v>
      </c>
      <c r="BK1388" t="s">
        <v>3011</v>
      </c>
      <c r="BL1388" t="s">
        <v>3012</v>
      </c>
      <c r="BP1388" t="s">
        <v>4549</v>
      </c>
      <c r="BQ1388" t="s">
        <v>3463</v>
      </c>
      <c r="BR1388" t="s">
        <v>3463</v>
      </c>
      <c r="BS1388" t="s">
        <v>3465</v>
      </c>
      <c r="BT1388" t="s">
        <v>3465</v>
      </c>
      <c r="BU1388" t="s">
        <v>3463</v>
      </c>
      <c r="BX1388" t="s">
        <v>79</v>
      </c>
      <c r="BY1388" t="s">
        <v>87</v>
      </c>
      <c r="BZ1388" t="s">
        <v>79</v>
      </c>
      <c r="CA1388" s="10">
        <v>45913</v>
      </c>
    </row>
    <row r="1389" spans="1:79">
      <c r="A1389">
        <v>1402</v>
      </c>
      <c r="B1389">
        <v>28</v>
      </c>
      <c r="C1389">
        <v>43</v>
      </c>
      <c r="D1389" t="s">
        <v>3466</v>
      </c>
      <c r="E1389" t="s">
        <v>3013</v>
      </c>
      <c r="F1389" t="s">
        <v>380</v>
      </c>
      <c r="G1389" s="12" t="s">
        <v>3465</v>
      </c>
      <c r="H1389" t="s">
        <v>88</v>
      </c>
      <c r="I1389">
        <v>67</v>
      </c>
      <c r="K1389">
        <v>134</v>
      </c>
      <c r="L1389">
        <v>93</v>
      </c>
      <c r="M1389" t="s">
        <v>72</v>
      </c>
      <c r="P1389" t="s">
        <v>83</v>
      </c>
      <c r="Q1389" t="s">
        <v>72</v>
      </c>
      <c r="R1389">
        <v>87.2</v>
      </c>
      <c r="S1389">
        <v>157.5</v>
      </c>
      <c r="T1389" s="8">
        <f t="shared" si="43"/>
        <v>35.152431342907533</v>
      </c>
      <c r="U1389" s="13" t="str" cm="1">
        <f t="array" ref="U1389">IF(T1389="","",_xlfn.IFS(T1389&lt;18.5,"Bajo peso",T1389&lt;25,"Peso normal",T1389&lt;30,"Sobrepeso",T1389&lt;35,"Obesidad clase I",T1389&lt;40,"Obesidad clase II",T1389&gt;=40,"Obesidad clase III"))</f>
        <v>Obesidad clase II</v>
      </c>
      <c r="V1389">
        <v>90</v>
      </c>
      <c r="X1389" t="s">
        <v>3463</v>
      </c>
      <c r="Y1389">
        <v>0.8</v>
      </c>
      <c r="AA1389">
        <v>94</v>
      </c>
      <c r="AB1389" s="9">
        <f t="shared" si="44"/>
        <v>93.699051392964279</v>
      </c>
      <c r="AD1389" t="s">
        <v>73</v>
      </c>
      <c r="AF1389" t="s">
        <v>73</v>
      </c>
      <c r="AH1389" t="s">
        <v>3463</v>
      </c>
      <c r="AI1389" t="s">
        <v>3463</v>
      </c>
      <c r="AJ1389" t="s">
        <v>3465</v>
      </c>
      <c r="AK1389" t="s">
        <v>3463</v>
      </c>
      <c r="AL1389" t="s">
        <v>3463</v>
      </c>
      <c r="AP1389" t="s">
        <v>3463</v>
      </c>
      <c r="AQ1389" t="s">
        <v>3001</v>
      </c>
      <c r="AR1389" t="s">
        <v>3508</v>
      </c>
      <c r="AT1389" t="s">
        <v>3465</v>
      </c>
      <c r="AU1389" t="s">
        <v>80</v>
      </c>
      <c r="AV1389" t="s">
        <v>74</v>
      </c>
      <c r="AW1389" t="s">
        <v>3915</v>
      </c>
      <c r="AX1389" t="s">
        <v>3463</v>
      </c>
      <c r="AY1389" t="s">
        <v>3465</v>
      </c>
      <c r="AZ1389" t="s">
        <v>247</v>
      </c>
      <c r="BF1389" t="s">
        <v>3921</v>
      </c>
      <c r="BH1389" t="s">
        <v>4020</v>
      </c>
      <c r="BP1389" t="s">
        <v>4260</v>
      </c>
      <c r="BQ1389" t="s">
        <v>3463</v>
      </c>
      <c r="BR1389" t="s">
        <v>3463</v>
      </c>
      <c r="BS1389" t="s">
        <v>3463</v>
      </c>
      <c r="BT1389" t="s">
        <v>3465</v>
      </c>
      <c r="BU1389" t="s">
        <v>3463</v>
      </c>
      <c r="BV1389" t="s">
        <v>3463</v>
      </c>
      <c r="BW1389" t="s">
        <v>3463</v>
      </c>
      <c r="BX1389" t="s">
        <v>79</v>
      </c>
      <c r="BY1389" t="s">
        <v>79</v>
      </c>
      <c r="BZ1389" t="s">
        <v>79</v>
      </c>
      <c r="CA1389" s="10">
        <v>45913</v>
      </c>
    </row>
    <row r="1390" spans="1:79">
      <c r="A1390">
        <v>1403</v>
      </c>
      <c r="B1390">
        <v>29</v>
      </c>
      <c r="C1390">
        <v>46</v>
      </c>
      <c r="D1390" t="s">
        <v>3466</v>
      </c>
      <c r="F1390" t="s">
        <v>1804</v>
      </c>
      <c r="G1390" s="12" t="s">
        <v>3463</v>
      </c>
      <c r="I1390">
        <v>87</v>
      </c>
      <c r="K1390">
        <v>130</v>
      </c>
      <c r="L1390">
        <v>80</v>
      </c>
      <c r="M1390" t="s">
        <v>82</v>
      </c>
      <c r="P1390" t="s">
        <v>83</v>
      </c>
      <c r="Q1390" t="s">
        <v>82</v>
      </c>
      <c r="R1390">
        <v>74.400000000000006</v>
      </c>
      <c r="S1390">
        <v>158</v>
      </c>
      <c r="T1390" s="8">
        <f t="shared" si="43"/>
        <v>29.802916199327033</v>
      </c>
      <c r="U1390" s="13" t="str" cm="1">
        <f t="array" ref="U1390">IF(T1390="","",_xlfn.IFS(T1390&lt;18.5,"Bajo peso",T1390&lt;25,"Peso normal",T1390&lt;30,"Sobrepeso",T1390&lt;35,"Obesidad clase I",T1390&lt;40,"Obesidad clase II",T1390&gt;=40,"Obesidad clase III"))</f>
        <v>Sobrepeso</v>
      </c>
      <c r="V1390">
        <v>105</v>
      </c>
      <c r="X1390" t="s">
        <v>3463</v>
      </c>
      <c r="Y1390">
        <v>1.25</v>
      </c>
      <c r="AA1390">
        <v>54</v>
      </c>
      <c r="AB1390" s="9">
        <f t="shared" si="44"/>
        <v>53.83294512793595</v>
      </c>
      <c r="AD1390" t="s">
        <v>158</v>
      </c>
      <c r="AF1390" t="s">
        <v>158</v>
      </c>
      <c r="AH1390" t="s">
        <v>3463</v>
      </c>
      <c r="AI1390" t="s">
        <v>3463</v>
      </c>
      <c r="AJ1390" t="s">
        <v>3463</v>
      </c>
      <c r="AK1390" t="s">
        <v>3463</v>
      </c>
      <c r="AL1390" t="s">
        <v>3463</v>
      </c>
      <c r="AP1390" t="s">
        <v>3463</v>
      </c>
      <c r="AQ1390" t="s">
        <v>3014</v>
      </c>
      <c r="AR1390" t="s">
        <v>3488</v>
      </c>
      <c r="AT1390" t="s">
        <v>3465</v>
      </c>
      <c r="AU1390" t="s">
        <v>80</v>
      </c>
      <c r="AV1390" t="s">
        <v>74</v>
      </c>
      <c r="AW1390" t="s">
        <v>3915</v>
      </c>
      <c r="AX1390" t="s">
        <v>3465</v>
      </c>
      <c r="AY1390" t="s">
        <v>3465</v>
      </c>
      <c r="AZ1390" t="s">
        <v>90</v>
      </c>
      <c r="BE1390" t="s">
        <v>3015</v>
      </c>
      <c r="BF1390" t="s">
        <v>3994</v>
      </c>
      <c r="BH1390" t="s">
        <v>4120</v>
      </c>
      <c r="BK1390" t="s">
        <v>3016</v>
      </c>
      <c r="BL1390" t="s">
        <v>2328</v>
      </c>
      <c r="BP1390" t="s">
        <v>4310</v>
      </c>
      <c r="BQ1390" t="s">
        <v>3465</v>
      </c>
      <c r="BR1390" t="s">
        <v>3465</v>
      </c>
      <c r="BS1390" t="s">
        <v>3465</v>
      </c>
      <c r="BT1390" t="s">
        <v>3465</v>
      </c>
      <c r="BU1390" t="s">
        <v>3463</v>
      </c>
      <c r="BV1390" t="s">
        <v>3463</v>
      </c>
      <c r="BW1390" t="s">
        <v>3463</v>
      </c>
      <c r="BX1390" t="s">
        <v>79</v>
      </c>
      <c r="BY1390" t="s">
        <v>79</v>
      </c>
      <c r="BZ1390" t="s">
        <v>95</v>
      </c>
      <c r="CA1390" s="10">
        <v>45913</v>
      </c>
    </row>
    <row r="1391" spans="1:79">
      <c r="A1391">
        <v>1404</v>
      </c>
      <c r="B1391">
        <v>30</v>
      </c>
      <c r="C1391">
        <v>68</v>
      </c>
      <c r="D1391" t="s">
        <v>3462</v>
      </c>
      <c r="E1391" t="s">
        <v>3017</v>
      </c>
      <c r="F1391" t="s">
        <v>380</v>
      </c>
      <c r="G1391" s="12" t="s">
        <v>3463</v>
      </c>
      <c r="I1391">
        <v>71</v>
      </c>
      <c r="J1391">
        <v>70</v>
      </c>
      <c r="K1391">
        <v>175</v>
      </c>
      <c r="L1391">
        <v>85</v>
      </c>
      <c r="M1391" t="s">
        <v>72</v>
      </c>
      <c r="N1391">
        <v>158</v>
      </c>
      <c r="O1391">
        <v>83</v>
      </c>
      <c r="P1391" t="s">
        <v>72</v>
      </c>
      <c r="Q1391" t="s">
        <v>72</v>
      </c>
      <c r="R1391">
        <v>73.5</v>
      </c>
      <c r="S1391">
        <v>167</v>
      </c>
      <c r="T1391" s="8">
        <f t="shared" si="43"/>
        <v>26.354476675391734</v>
      </c>
      <c r="U1391" s="13" t="str" cm="1">
        <f t="array" ref="U1391">IF(T1391="","",_xlfn.IFS(T1391&lt;18.5,"Bajo peso",T1391&lt;25,"Peso normal",T1391&lt;30,"Sobrepeso",T1391&lt;35,"Obesidad clase I",T1391&lt;40,"Obesidad clase II",T1391&gt;=40,"Obesidad clase III"))</f>
        <v>Sobrepeso</v>
      </c>
      <c r="V1391">
        <v>347</v>
      </c>
      <c r="X1391" t="s">
        <v>3465</v>
      </c>
      <c r="Y1391">
        <v>0.89</v>
      </c>
      <c r="AA1391">
        <v>93</v>
      </c>
      <c r="AB1391" s="9">
        <f t="shared" si="44"/>
        <v>93.343758552076793</v>
      </c>
      <c r="AD1391" t="s">
        <v>73</v>
      </c>
      <c r="AF1391" t="s">
        <v>73</v>
      </c>
      <c r="AG1391" t="s">
        <v>3465</v>
      </c>
      <c r="AH1391" t="s">
        <v>3465</v>
      </c>
      <c r="AI1391" t="s">
        <v>3465</v>
      </c>
      <c r="AJ1391" t="s">
        <v>3463</v>
      </c>
      <c r="AK1391" t="s">
        <v>3463</v>
      </c>
      <c r="AL1391" t="s">
        <v>3463</v>
      </c>
      <c r="AP1391" t="s">
        <v>3463</v>
      </c>
      <c r="AQ1391" t="s">
        <v>169</v>
      </c>
      <c r="AR1391" t="s">
        <v>3493</v>
      </c>
      <c r="AS1391" t="s">
        <v>3465</v>
      </c>
      <c r="AV1391" t="s">
        <v>74</v>
      </c>
      <c r="AW1391" t="s">
        <v>3915</v>
      </c>
      <c r="BF1391" t="s">
        <v>3921</v>
      </c>
      <c r="BH1391" t="s">
        <v>4020</v>
      </c>
      <c r="BP1391" t="s">
        <v>4260</v>
      </c>
      <c r="BQ1391" t="s">
        <v>3463</v>
      </c>
      <c r="BR1391" t="s">
        <v>3465</v>
      </c>
      <c r="BS1391" t="s">
        <v>3463</v>
      </c>
      <c r="BT1391" t="s">
        <v>3463</v>
      </c>
      <c r="BU1391" t="s">
        <v>3463</v>
      </c>
      <c r="BV1391" t="s">
        <v>3463</v>
      </c>
      <c r="BW1391" t="s">
        <v>3463</v>
      </c>
      <c r="BX1391" t="s">
        <v>79</v>
      </c>
      <c r="BY1391" t="s">
        <v>121</v>
      </c>
      <c r="BZ1391" t="s">
        <v>79</v>
      </c>
      <c r="CA1391" s="10">
        <v>45913</v>
      </c>
    </row>
    <row r="1392" spans="1:79">
      <c r="A1392">
        <v>1405</v>
      </c>
      <c r="B1392">
        <v>32</v>
      </c>
      <c r="C1392">
        <v>63</v>
      </c>
      <c r="D1392" t="s">
        <v>3466</v>
      </c>
      <c r="E1392" t="s">
        <v>2565</v>
      </c>
      <c r="F1392" t="s">
        <v>1804</v>
      </c>
      <c r="G1392" s="12" t="s">
        <v>3463</v>
      </c>
      <c r="I1392">
        <v>79</v>
      </c>
      <c r="J1392">
        <v>80</v>
      </c>
      <c r="K1392">
        <v>145</v>
      </c>
      <c r="L1392">
        <v>81</v>
      </c>
      <c r="M1392" t="s">
        <v>72</v>
      </c>
      <c r="N1392">
        <v>124</v>
      </c>
      <c r="O1392">
        <v>76</v>
      </c>
      <c r="P1392" t="s">
        <v>118</v>
      </c>
      <c r="Q1392" t="s">
        <v>118</v>
      </c>
      <c r="R1392">
        <v>100.7</v>
      </c>
      <c r="S1392">
        <v>150</v>
      </c>
      <c r="T1392" s="8">
        <f t="shared" si="43"/>
        <v>44.755555555555553</v>
      </c>
      <c r="U1392" s="13" t="str" cm="1">
        <f t="array" ref="U1392">IF(T1392="","",_xlfn.IFS(T1392&lt;18.5,"Bajo peso",T1392&lt;25,"Peso normal",T1392&lt;30,"Sobrepeso",T1392&lt;35,"Obesidad clase I",T1392&lt;40,"Obesidad clase II",T1392&gt;=40,"Obesidad clase III"))</f>
        <v>Obesidad clase III</v>
      </c>
      <c r="V1392">
        <v>114</v>
      </c>
      <c r="X1392" t="s">
        <v>3463</v>
      </c>
      <c r="Y1392">
        <v>1.06</v>
      </c>
      <c r="AA1392">
        <v>59</v>
      </c>
      <c r="AB1392" s="9">
        <f t="shared" si="44"/>
        <v>59.027717263246146</v>
      </c>
      <c r="AD1392" t="s">
        <v>158</v>
      </c>
      <c r="AF1392" t="s">
        <v>158</v>
      </c>
      <c r="AH1392" t="s">
        <v>3463</v>
      </c>
      <c r="AI1392" t="s">
        <v>3465</v>
      </c>
      <c r="AJ1392" t="s">
        <v>3463</v>
      </c>
      <c r="AK1392" t="s">
        <v>3463</v>
      </c>
      <c r="AL1392" t="s">
        <v>3465</v>
      </c>
      <c r="AM1392" t="s">
        <v>3018</v>
      </c>
      <c r="AN1392" t="s">
        <v>110</v>
      </c>
      <c r="AP1392" t="s">
        <v>3463</v>
      </c>
      <c r="AQ1392" t="s">
        <v>3019</v>
      </c>
      <c r="AR1392" t="s">
        <v>3520</v>
      </c>
      <c r="AS1392" t="s">
        <v>3465</v>
      </c>
      <c r="AT1392" t="s">
        <v>3463</v>
      </c>
      <c r="AV1392" t="s">
        <v>74</v>
      </c>
      <c r="AW1392" t="s">
        <v>3915</v>
      </c>
      <c r="AX1392" t="s">
        <v>3465</v>
      </c>
      <c r="AY1392" t="s">
        <v>3465</v>
      </c>
      <c r="AZ1392" t="s">
        <v>2279</v>
      </c>
      <c r="BC1392" t="s">
        <v>128</v>
      </c>
      <c r="BF1392" t="s">
        <v>3921</v>
      </c>
      <c r="BG1392" t="s">
        <v>3020</v>
      </c>
      <c r="BH1392" t="s">
        <v>4043</v>
      </c>
      <c r="BL1392" t="s">
        <v>3021</v>
      </c>
      <c r="BP1392" t="s">
        <v>4550</v>
      </c>
      <c r="BQ1392" t="s">
        <v>3463</v>
      </c>
      <c r="BR1392" t="s">
        <v>3463</v>
      </c>
      <c r="BS1392" t="s">
        <v>3463</v>
      </c>
      <c r="BT1392" t="s">
        <v>3463</v>
      </c>
      <c r="BU1392" t="s">
        <v>3463</v>
      </c>
      <c r="BV1392" t="s">
        <v>3463</v>
      </c>
      <c r="BW1392" t="s">
        <v>3463</v>
      </c>
      <c r="BX1392" t="s">
        <v>79</v>
      </c>
      <c r="BY1392" t="s">
        <v>79</v>
      </c>
      <c r="BZ1392" t="s">
        <v>79</v>
      </c>
      <c r="CA1392" s="10">
        <v>45913</v>
      </c>
    </row>
    <row r="1393" spans="1:79">
      <c r="A1393">
        <v>1406</v>
      </c>
      <c r="B1393">
        <v>33</v>
      </c>
      <c r="C1393">
        <v>48</v>
      </c>
      <c r="D1393" t="s">
        <v>3466</v>
      </c>
      <c r="E1393" t="s">
        <v>3013</v>
      </c>
      <c r="F1393" t="s">
        <v>1804</v>
      </c>
      <c r="G1393" s="12" t="s">
        <v>3465</v>
      </c>
      <c r="H1393" t="s">
        <v>88</v>
      </c>
      <c r="I1393">
        <v>73</v>
      </c>
      <c r="K1393">
        <v>127</v>
      </c>
      <c r="L1393">
        <v>74</v>
      </c>
      <c r="M1393" t="s">
        <v>118</v>
      </c>
      <c r="P1393" t="s">
        <v>83</v>
      </c>
      <c r="Q1393" t="s">
        <v>118</v>
      </c>
      <c r="R1393">
        <v>80.2</v>
      </c>
      <c r="S1393">
        <v>156</v>
      </c>
      <c r="T1393" s="8">
        <f t="shared" si="43"/>
        <v>32.955292570677187</v>
      </c>
      <c r="U1393" s="13" t="str" cm="1">
        <f t="array" ref="U1393">IF(T1393="","",_xlfn.IFS(T1393&lt;18.5,"Bajo peso",T1393&lt;25,"Peso normal",T1393&lt;30,"Sobrepeso",T1393&lt;35,"Obesidad clase I",T1393&lt;40,"Obesidad clase II",T1393&gt;=40,"Obesidad clase III"))</f>
        <v>Obesidad clase I</v>
      </c>
      <c r="V1393">
        <v>94</v>
      </c>
      <c r="X1393" t="s">
        <v>3463</v>
      </c>
      <c r="Y1393">
        <v>0.73</v>
      </c>
      <c r="AA1393">
        <v>90</v>
      </c>
      <c r="AB1393" s="9">
        <f t="shared" si="44"/>
        <v>101.3796315285189</v>
      </c>
      <c r="AD1393" t="s">
        <v>73</v>
      </c>
      <c r="AF1393" t="s">
        <v>73</v>
      </c>
      <c r="AH1393" t="s">
        <v>3463</v>
      </c>
      <c r="AI1393" t="s">
        <v>3463</v>
      </c>
      <c r="AJ1393" t="s">
        <v>3463</v>
      </c>
      <c r="AK1393" t="s">
        <v>3463</v>
      </c>
      <c r="AL1393" t="s">
        <v>3463</v>
      </c>
      <c r="AP1393" t="s">
        <v>3463</v>
      </c>
      <c r="AT1393" t="s">
        <v>3465</v>
      </c>
      <c r="AU1393" t="s">
        <v>80</v>
      </c>
      <c r="AV1393" t="s">
        <v>126</v>
      </c>
      <c r="AW1393" t="s">
        <v>126</v>
      </c>
      <c r="AX1393" t="s">
        <v>3463</v>
      </c>
      <c r="AY1393" t="s">
        <v>3465</v>
      </c>
      <c r="AZ1393" t="s">
        <v>104</v>
      </c>
      <c r="BF1393" t="s">
        <v>3921</v>
      </c>
      <c r="BH1393" t="s">
        <v>4020</v>
      </c>
      <c r="BP1393" t="s">
        <v>4260</v>
      </c>
      <c r="BQ1393" t="s">
        <v>3465</v>
      </c>
      <c r="BR1393" t="s">
        <v>3463</v>
      </c>
      <c r="BS1393" t="s">
        <v>3465</v>
      </c>
      <c r="BT1393" t="s">
        <v>3465</v>
      </c>
      <c r="BU1393" t="s">
        <v>3463</v>
      </c>
      <c r="BV1393" t="s">
        <v>3463</v>
      </c>
      <c r="BW1393" t="s">
        <v>3463</v>
      </c>
      <c r="BX1393" t="s">
        <v>79</v>
      </c>
      <c r="BY1393" t="s">
        <v>79</v>
      </c>
      <c r="BZ1393" t="s">
        <v>79</v>
      </c>
      <c r="CA1393" s="10">
        <v>45913</v>
      </c>
    </row>
    <row r="1394" spans="1:79">
      <c r="A1394">
        <v>1407</v>
      </c>
      <c r="B1394">
        <v>34</v>
      </c>
      <c r="C1394">
        <v>50</v>
      </c>
      <c r="D1394" t="s">
        <v>3466</v>
      </c>
      <c r="E1394" t="s">
        <v>3022</v>
      </c>
      <c r="F1394" t="s">
        <v>1804</v>
      </c>
      <c r="G1394" s="12" t="s">
        <v>3463</v>
      </c>
      <c r="I1394">
        <v>85</v>
      </c>
      <c r="K1394">
        <v>130</v>
      </c>
      <c r="L1394">
        <v>77</v>
      </c>
      <c r="M1394" t="s">
        <v>82</v>
      </c>
      <c r="P1394" t="s">
        <v>83</v>
      </c>
      <c r="Q1394" t="s">
        <v>82</v>
      </c>
      <c r="R1394">
        <v>79.8</v>
      </c>
      <c r="S1394">
        <v>163</v>
      </c>
      <c r="T1394" s="8">
        <f t="shared" si="43"/>
        <v>30.035003199217133</v>
      </c>
      <c r="U1394" s="13" t="str" cm="1">
        <f t="array" ref="U1394">IF(T1394="","",_xlfn.IFS(T1394&lt;18.5,"Bajo peso",T1394&lt;25,"Peso normal",T1394&lt;30,"Sobrepeso",T1394&lt;35,"Obesidad clase I",T1394&lt;40,"Obesidad clase II",T1394&gt;=40,"Obesidad clase III"))</f>
        <v>Obesidad clase I</v>
      </c>
      <c r="V1394">
        <v>115</v>
      </c>
      <c r="X1394" t="s">
        <v>3463</v>
      </c>
      <c r="Y1394">
        <v>0.95</v>
      </c>
      <c r="AA1394">
        <v>76</v>
      </c>
      <c r="AB1394" s="9">
        <f t="shared" si="44"/>
        <v>72.990745439416528</v>
      </c>
      <c r="AD1394" t="s">
        <v>73</v>
      </c>
      <c r="AF1394" t="s">
        <v>73</v>
      </c>
      <c r="AH1394" t="s">
        <v>3463</v>
      </c>
      <c r="AI1394" t="s">
        <v>3465</v>
      </c>
      <c r="AJ1394" t="s">
        <v>3463</v>
      </c>
      <c r="AK1394" t="s">
        <v>3463</v>
      </c>
      <c r="AL1394" t="s">
        <v>3464</v>
      </c>
      <c r="AQ1394" t="s">
        <v>120</v>
      </c>
      <c r="AR1394" t="s">
        <v>3491</v>
      </c>
      <c r="AS1394" t="s">
        <v>3465</v>
      </c>
      <c r="AT1394" t="s">
        <v>3465</v>
      </c>
      <c r="AU1394" t="s">
        <v>80</v>
      </c>
      <c r="AV1394" t="s">
        <v>74</v>
      </c>
      <c r="AW1394" t="s">
        <v>3915</v>
      </c>
      <c r="AX1394" t="s">
        <v>3463</v>
      </c>
      <c r="AY1394" t="s">
        <v>3465</v>
      </c>
      <c r="AZ1394" t="s">
        <v>247</v>
      </c>
      <c r="BF1394" t="s">
        <v>3921</v>
      </c>
      <c r="BH1394" t="s">
        <v>4020</v>
      </c>
      <c r="BP1394" t="s">
        <v>4260</v>
      </c>
      <c r="BQ1394" t="s">
        <v>3463</v>
      </c>
      <c r="BR1394" t="s">
        <v>3465</v>
      </c>
      <c r="BS1394" t="s">
        <v>3465</v>
      </c>
      <c r="BT1394" t="s">
        <v>3465</v>
      </c>
      <c r="BU1394" t="s">
        <v>3463</v>
      </c>
      <c r="BV1394" t="s">
        <v>3463</v>
      </c>
      <c r="BW1394" t="s">
        <v>3463</v>
      </c>
      <c r="BX1394" t="s">
        <v>518</v>
      </c>
      <c r="BY1394" t="s">
        <v>79</v>
      </c>
      <c r="BZ1394" t="s">
        <v>79</v>
      </c>
      <c r="CA1394" s="10">
        <v>45913</v>
      </c>
    </row>
    <row r="1395" spans="1:79">
      <c r="A1395">
        <v>1408</v>
      </c>
      <c r="B1395">
        <v>35</v>
      </c>
      <c r="C1395">
        <v>33</v>
      </c>
      <c r="D1395" t="s">
        <v>3466</v>
      </c>
      <c r="E1395" t="s">
        <v>3023</v>
      </c>
      <c r="F1395" t="s">
        <v>1804</v>
      </c>
      <c r="G1395" s="12" t="s">
        <v>3465</v>
      </c>
      <c r="H1395" s="12" t="s">
        <v>88</v>
      </c>
      <c r="I1395">
        <v>83</v>
      </c>
      <c r="K1395">
        <v>115</v>
      </c>
      <c r="L1395">
        <v>78</v>
      </c>
      <c r="M1395" t="s">
        <v>80</v>
      </c>
      <c r="P1395" t="s">
        <v>83</v>
      </c>
      <c r="Q1395" t="s">
        <v>80</v>
      </c>
      <c r="R1395">
        <v>91.3</v>
      </c>
      <c r="S1395">
        <v>160</v>
      </c>
      <c r="T1395" s="8">
        <f t="shared" si="43"/>
        <v>35.6640625</v>
      </c>
      <c r="U1395" s="13" t="str" cm="1">
        <f t="array" ref="U1395">IF(T1395="","",_xlfn.IFS(T1395&lt;18.5,"Bajo peso",T1395&lt;25,"Peso normal",T1395&lt;30,"Sobrepeso",T1395&lt;35,"Obesidad clase I",T1395&lt;40,"Obesidad clase II",T1395&gt;=40,"Obesidad clase III"))</f>
        <v>Obesidad clase II</v>
      </c>
      <c r="V1395">
        <v>90</v>
      </c>
      <c r="X1395" t="s">
        <v>3463</v>
      </c>
      <c r="Y1395">
        <v>0.75</v>
      </c>
      <c r="AA1395">
        <v>90</v>
      </c>
      <c r="AB1395" s="9">
        <f t="shared" si="44"/>
        <v>107.74068647519788</v>
      </c>
      <c r="AD1395" t="s">
        <v>73</v>
      </c>
      <c r="AF1395" t="s">
        <v>73</v>
      </c>
      <c r="AH1395" t="s">
        <v>3463</v>
      </c>
      <c r="AI1395" t="s">
        <v>3463</v>
      </c>
      <c r="AJ1395" t="s">
        <v>3465</v>
      </c>
      <c r="AK1395" t="s">
        <v>3465</v>
      </c>
      <c r="AL1395" t="s">
        <v>3465</v>
      </c>
      <c r="AM1395" t="s">
        <v>1938</v>
      </c>
      <c r="AN1395" t="s">
        <v>1938</v>
      </c>
      <c r="AP1395" t="s">
        <v>3463</v>
      </c>
      <c r="AQ1395" t="s">
        <v>3024</v>
      </c>
      <c r="AR1395" t="s">
        <v>3488</v>
      </c>
      <c r="AT1395" t="s">
        <v>3463</v>
      </c>
      <c r="AV1395" t="s">
        <v>126</v>
      </c>
      <c r="AW1395" t="s">
        <v>126</v>
      </c>
      <c r="AX1395" t="s">
        <v>3463</v>
      </c>
      <c r="AY1395" t="s">
        <v>3465</v>
      </c>
      <c r="AZ1395" t="s">
        <v>3025</v>
      </c>
      <c r="BF1395" t="s">
        <v>3921</v>
      </c>
      <c r="BH1395" t="s">
        <v>4020</v>
      </c>
      <c r="BP1395" t="s">
        <v>4260</v>
      </c>
      <c r="BQ1395" t="s">
        <v>3463</v>
      </c>
      <c r="BR1395" t="s">
        <v>3465</v>
      </c>
      <c r="BS1395" t="s">
        <v>3465</v>
      </c>
      <c r="BT1395" t="s">
        <v>3465</v>
      </c>
      <c r="BU1395" t="s">
        <v>3463</v>
      </c>
      <c r="BV1395" t="s">
        <v>3463</v>
      </c>
      <c r="BW1395" t="s">
        <v>3463</v>
      </c>
      <c r="BX1395" t="s">
        <v>79</v>
      </c>
      <c r="BY1395" t="s">
        <v>79</v>
      </c>
      <c r="BZ1395" t="s">
        <v>79</v>
      </c>
      <c r="CA1395" s="10">
        <v>45913</v>
      </c>
    </row>
    <row r="1396" spans="1:79">
      <c r="A1396">
        <v>1409</v>
      </c>
      <c r="B1396">
        <v>36</v>
      </c>
      <c r="C1396">
        <v>56</v>
      </c>
      <c r="D1396" t="s">
        <v>3466</v>
      </c>
      <c r="E1396" t="s">
        <v>3026</v>
      </c>
      <c r="F1396" t="s">
        <v>1804</v>
      </c>
      <c r="G1396" s="12" t="s">
        <v>3463</v>
      </c>
      <c r="I1396">
        <v>66</v>
      </c>
      <c r="J1396">
        <v>70</v>
      </c>
      <c r="K1396">
        <v>162</v>
      </c>
      <c r="L1396">
        <v>94</v>
      </c>
      <c r="M1396" t="s">
        <v>72</v>
      </c>
      <c r="N1396">
        <v>155</v>
      </c>
      <c r="O1396">
        <v>96</v>
      </c>
      <c r="P1396" t="s">
        <v>72</v>
      </c>
      <c r="Q1396" t="s">
        <v>72</v>
      </c>
      <c r="R1396">
        <v>88.4</v>
      </c>
      <c r="S1396">
        <v>158</v>
      </c>
      <c r="T1396" s="8">
        <f t="shared" ref="T1396:T1459" si="45">IFERROR(R1396/(S1396^2)*10000,"")</f>
        <v>35.41099182823266</v>
      </c>
      <c r="U1396" s="13" t="str" cm="1">
        <f t="array" ref="U1396">IF(T1396="","",_xlfn.IFS(T1396&lt;18.5,"Bajo peso",T1396&lt;25,"Peso normal",T1396&lt;30,"Sobrepeso",T1396&lt;35,"Obesidad clase I",T1396&lt;40,"Obesidad clase II",T1396&gt;=40,"Obesidad clase III"))</f>
        <v>Obesidad clase II</v>
      </c>
      <c r="V1396">
        <v>96</v>
      </c>
      <c r="X1396" t="s">
        <v>3463</v>
      </c>
      <c r="Y1396">
        <v>1.33</v>
      </c>
      <c r="AA1396">
        <v>47</v>
      </c>
      <c r="AB1396" s="9">
        <f t="shared" si="44"/>
        <v>46.957839887826943</v>
      </c>
      <c r="AD1396" t="s">
        <v>158</v>
      </c>
      <c r="AF1396" t="s">
        <v>158</v>
      </c>
      <c r="AH1396" t="s">
        <v>3463</v>
      </c>
      <c r="AI1396" t="s">
        <v>3463</v>
      </c>
      <c r="AJ1396" t="s">
        <v>3463</v>
      </c>
      <c r="AK1396" t="s">
        <v>3463</v>
      </c>
      <c r="AL1396" t="s">
        <v>3465</v>
      </c>
      <c r="AM1396" t="s">
        <v>3027</v>
      </c>
      <c r="AN1396" t="s">
        <v>3661</v>
      </c>
      <c r="AO1396" t="s">
        <v>3465</v>
      </c>
      <c r="AP1396" t="s">
        <v>3465</v>
      </c>
      <c r="AQ1396" t="s">
        <v>3028</v>
      </c>
      <c r="AR1396" t="s">
        <v>3508</v>
      </c>
      <c r="AT1396" t="s">
        <v>3465</v>
      </c>
      <c r="AU1396" t="s">
        <v>80</v>
      </c>
      <c r="AV1396" t="s">
        <v>112</v>
      </c>
      <c r="AW1396" t="s">
        <v>3917</v>
      </c>
      <c r="AX1396" t="s">
        <v>3463</v>
      </c>
      <c r="AY1396" t="s">
        <v>3465</v>
      </c>
      <c r="AZ1396" t="s">
        <v>90</v>
      </c>
      <c r="BC1396" t="s">
        <v>128</v>
      </c>
      <c r="BF1396" t="s">
        <v>3921</v>
      </c>
      <c r="BG1396" t="s">
        <v>3029</v>
      </c>
      <c r="BH1396" t="s">
        <v>4240</v>
      </c>
      <c r="BI1396" t="s">
        <v>3030</v>
      </c>
      <c r="BK1396" t="s">
        <v>3031</v>
      </c>
      <c r="BL1396" t="s">
        <v>3032</v>
      </c>
      <c r="BP1396" t="s">
        <v>4551</v>
      </c>
      <c r="BQ1396" t="s">
        <v>3465</v>
      </c>
      <c r="BR1396" t="s">
        <v>3463</v>
      </c>
      <c r="BS1396" t="s">
        <v>3465</v>
      </c>
      <c r="BT1396" t="s">
        <v>3465</v>
      </c>
      <c r="BU1396" t="s">
        <v>3463</v>
      </c>
      <c r="BV1396" t="s">
        <v>3463</v>
      </c>
      <c r="BW1396" t="s">
        <v>3463</v>
      </c>
      <c r="BX1396" t="s">
        <v>79</v>
      </c>
      <c r="BY1396" t="s">
        <v>79</v>
      </c>
      <c r="BZ1396" t="s">
        <v>79</v>
      </c>
      <c r="CA1396" s="10">
        <v>45913</v>
      </c>
    </row>
    <row r="1397" spans="1:79">
      <c r="A1397">
        <v>1410</v>
      </c>
      <c r="B1397">
        <v>37</v>
      </c>
      <c r="C1397">
        <v>52</v>
      </c>
      <c r="D1397" t="s">
        <v>3462</v>
      </c>
      <c r="E1397" t="s">
        <v>3033</v>
      </c>
      <c r="F1397" t="s">
        <v>1804</v>
      </c>
      <c r="G1397" s="12" t="s">
        <v>3463</v>
      </c>
      <c r="I1397">
        <v>68</v>
      </c>
      <c r="J1397">
        <v>64</v>
      </c>
      <c r="K1397">
        <v>179</v>
      </c>
      <c r="L1397">
        <v>94</v>
      </c>
      <c r="M1397" t="s">
        <v>72</v>
      </c>
      <c r="N1397">
        <v>169</v>
      </c>
      <c r="O1397">
        <v>90</v>
      </c>
      <c r="P1397" t="s">
        <v>72</v>
      </c>
      <c r="Q1397" t="s">
        <v>72</v>
      </c>
      <c r="R1397">
        <v>89.5</v>
      </c>
      <c r="S1397">
        <v>168</v>
      </c>
      <c r="T1397" s="8">
        <f t="shared" si="45"/>
        <v>31.71060090702948</v>
      </c>
      <c r="U1397" s="13" t="str" cm="1">
        <f t="array" ref="U1397">IF(T1397="","",_xlfn.IFS(T1397&lt;18.5,"Bajo peso",T1397&lt;25,"Peso normal",T1397&lt;30,"Sobrepeso",T1397&lt;35,"Obesidad clase I",T1397&lt;40,"Obesidad clase II",T1397&gt;=40,"Obesidad clase III"))</f>
        <v>Obesidad clase I</v>
      </c>
      <c r="V1397">
        <v>120</v>
      </c>
      <c r="X1397" t="s">
        <v>3463</v>
      </c>
      <c r="Y1397">
        <v>0.68</v>
      </c>
      <c r="AA1397">
        <v>90</v>
      </c>
      <c r="AB1397" s="9">
        <f t="shared" si="44"/>
        <v>111.84060195454461</v>
      </c>
      <c r="AD1397" t="s">
        <v>73</v>
      </c>
      <c r="AF1397" t="s">
        <v>73</v>
      </c>
      <c r="AH1397" t="s">
        <v>3463</v>
      </c>
      <c r="AI1397" t="s">
        <v>3465</v>
      </c>
      <c r="AJ1397" t="s">
        <v>3463</v>
      </c>
      <c r="AK1397" t="s">
        <v>3463</v>
      </c>
      <c r="AL1397" t="s">
        <v>3463</v>
      </c>
      <c r="AP1397" t="s">
        <v>3463</v>
      </c>
      <c r="AQ1397" t="s">
        <v>3034</v>
      </c>
      <c r="AR1397" t="s">
        <v>3491</v>
      </c>
      <c r="AS1397" t="s">
        <v>3463</v>
      </c>
      <c r="AV1397" t="s">
        <v>74</v>
      </c>
      <c r="AW1397" t="s">
        <v>3915</v>
      </c>
      <c r="BA1397" t="s">
        <v>3920</v>
      </c>
      <c r="BF1397" t="s">
        <v>3921</v>
      </c>
      <c r="BG1397" t="s">
        <v>3035</v>
      </c>
      <c r="BH1397" t="s">
        <v>4014</v>
      </c>
      <c r="BI1397" t="s">
        <v>411</v>
      </c>
      <c r="BK1397" t="s">
        <v>3036</v>
      </c>
      <c r="BL1397" t="s">
        <v>3037</v>
      </c>
      <c r="BP1397" t="s">
        <v>4494</v>
      </c>
      <c r="BQ1397" t="s">
        <v>3465</v>
      </c>
      <c r="BR1397" t="s">
        <v>3465</v>
      </c>
      <c r="BS1397" t="s">
        <v>3465</v>
      </c>
      <c r="BT1397" t="s">
        <v>3465</v>
      </c>
      <c r="BU1397" t="s">
        <v>3463</v>
      </c>
      <c r="BX1397" t="s">
        <v>79</v>
      </c>
      <c r="BY1397" t="s">
        <v>79</v>
      </c>
      <c r="BZ1397" t="s">
        <v>79</v>
      </c>
      <c r="CA1397" s="10">
        <v>45913</v>
      </c>
    </row>
    <row r="1398" spans="1:79">
      <c r="A1398">
        <v>1411</v>
      </c>
      <c r="B1398">
        <v>38</v>
      </c>
      <c r="C1398">
        <v>61</v>
      </c>
      <c r="D1398" t="s">
        <v>3462</v>
      </c>
      <c r="F1398" t="s">
        <v>1804</v>
      </c>
      <c r="G1398" s="12" t="s">
        <v>3463</v>
      </c>
      <c r="I1398">
        <v>89</v>
      </c>
      <c r="K1398">
        <v>139</v>
      </c>
      <c r="L1398">
        <v>86</v>
      </c>
      <c r="M1398" t="s">
        <v>82</v>
      </c>
      <c r="P1398" t="s">
        <v>83</v>
      </c>
      <c r="Q1398" t="s">
        <v>82</v>
      </c>
      <c r="R1398">
        <v>77.8</v>
      </c>
      <c r="S1398">
        <v>163.5</v>
      </c>
      <c r="T1398" s="8">
        <f t="shared" si="45"/>
        <v>29.103423767172607</v>
      </c>
      <c r="U1398" s="13" t="str" cm="1">
        <f t="array" ref="U1398">IF(T1398="","",_xlfn.IFS(T1398&lt;18.5,"Bajo peso",T1398&lt;25,"Peso normal",T1398&lt;30,"Sobrepeso",T1398&lt;35,"Obesidad clase I",T1398&lt;40,"Obesidad clase II",T1398&gt;=40,"Obesidad clase III"))</f>
        <v>Sobrepeso</v>
      </c>
      <c r="V1398">
        <v>102</v>
      </c>
      <c r="X1398" t="s">
        <v>3463</v>
      </c>
      <c r="Y1398">
        <v>1.07</v>
      </c>
      <c r="AA1398">
        <v>79</v>
      </c>
      <c r="AB1398" s="9">
        <f t="shared" si="44"/>
        <v>78.950949876273697</v>
      </c>
      <c r="AD1398" t="s">
        <v>73</v>
      </c>
      <c r="AF1398" t="s">
        <v>73</v>
      </c>
      <c r="AH1398" t="s">
        <v>3463</v>
      </c>
      <c r="AI1398" t="s">
        <v>3463</v>
      </c>
      <c r="AJ1398" t="s">
        <v>3463</v>
      </c>
      <c r="AK1398" t="s">
        <v>3463</v>
      </c>
      <c r="AL1398" t="s">
        <v>3463</v>
      </c>
      <c r="AP1398" t="s">
        <v>3463</v>
      </c>
      <c r="AQ1398" t="s">
        <v>3038</v>
      </c>
      <c r="AV1398" t="s">
        <v>74</v>
      </c>
      <c r="AW1398" t="s">
        <v>3915</v>
      </c>
      <c r="BF1398" t="s">
        <v>3921</v>
      </c>
      <c r="BH1398" t="s">
        <v>4020</v>
      </c>
      <c r="BP1398" t="s">
        <v>4260</v>
      </c>
      <c r="BQ1398" t="s">
        <v>3463</v>
      </c>
      <c r="BR1398" t="s">
        <v>3463</v>
      </c>
      <c r="BS1398" t="s">
        <v>3463</v>
      </c>
      <c r="BT1398" t="s">
        <v>3463</v>
      </c>
      <c r="BU1398" t="s">
        <v>3463</v>
      </c>
      <c r="BV1398" t="s">
        <v>3463</v>
      </c>
      <c r="BW1398" t="s">
        <v>3463</v>
      </c>
      <c r="BX1398" t="s">
        <v>79</v>
      </c>
      <c r="BY1398" t="s">
        <v>79</v>
      </c>
      <c r="BZ1398" t="s">
        <v>79</v>
      </c>
      <c r="CA1398" s="10">
        <v>45913</v>
      </c>
    </row>
    <row r="1399" spans="1:79">
      <c r="A1399">
        <v>1412</v>
      </c>
      <c r="B1399">
        <v>39</v>
      </c>
      <c r="C1399">
        <v>56</v>
      </c>
      <c r="D1399" t="s">
        <v>3466</v>
      </c>
      <c r="E1399" t="s">
        <v>3013</v>
      </c>
      <c r="F1399" t="s">
        <v>1804</v>
      </c>
      <c r="G1399" s="12" t="s">
        <v>3463</v>
      </c>
      <c r="I1399">
        <v>75</v>
      </c>
      <c r="K1399">
        <v>138</v>
      </c>
      <c r="L1399">
        <v>81</v>
      </c>
      <c r="M1399" t="s">
        <v>82</v>
      </c>
      <c r="P1399" t="s">
        <v>83</v>
      </c>
      <c r="Q1399" t="s">
        <v>82</v>
      </c>
      <c r="R1399">
        <v>73.099999999999994</v>
      </c>
      <c r="S1399">
        <v>153</v>
      </c>
      <c r="T1399" s="8">
        <f t="shared" si="45"/>
        <v>31.227305737109656</v>
      </c>
      <c r="U1399" s="13" t="str" cm="1">
        <f t="array" ref="U1399">IF(T1399="","",_xlfn.IFS(T1399&lt;18.5,"Bajo peso",T1399&lt;25,"Peso normal",T1399&lt;30,"Sobrepeso",T1399&lt;35,"Obesidad clase I",T1399&lt;40,"Obesidad clase II",T1399&gt;=40,"Obesidad clase III"))</f>
        <v>Obesidad clase I</v>
      </c>
      <c r="V1399">
        <v>118</v>
      </c>
      <c r="X1399" t="s">
        <v>3463</v>
      </c>
      <c r="Y1399">
        <v>0.84</v>
      </c>
      <c r="AA1399">
        <v>82</v>
      </c>
      <c r="AB1399" s="9">
        <f t="shared" si="44"/>
        <v>81.507005265790355</v>
      </c>
      <c r="AD1399" t="s">
        <v>73</v>
      </c>
      <c r="AF1399" t="s">
        <v>73</v>
      </c>
      <c r="AG1399" t="s">
        <v>3463</v>
      </c>
      <c r="AH1399" t="s">
        <v>3465</v>
      </c>
      <c r="AI1399" t="s">
        <v>3463</v>
      </c>
      <c r="AJ1399" t="s">
        <v>3465</v>
      </c>
      <c r="AK1399" t="s">
        <v>3463</v>
      </c>
      <c r="AL1399" t="s">
        <v>3465</v>
      </c>
      <c r="AM1399" t="s">
        <v>2789</v>
      </c>
      <c r="AN1399" t="s">
        <v>576</v>
      </c>
      <c r="AO1399" t="s">
        <v>3465</v>
      </c>
      <c r="AP1399" t="s">
        <v>3465</v>
      </c>
      <c r="AQ1399" t="s">
        <v>3028</v>
      </c>
      <c r="AR1399" t="s">
        <v>3508</v>
      </c>
      <c r="AT1399" t="s">
        <v>3465</v>
      </c>
      <c r="AU1399" t="s">
        <v>125</v>
      </c>
      <c r="AV1399" t="s">
        <v>74</v>
      </c>
      <c r="AW1399" t="s">
        <v>3915</v>
      </c>
      <c r="AX1399" t="s">
        <v>3465</v>
      </c>
      <c r="AY1399" t="s">
        <v>3465</v>
      </c>
      <c r="AZ1399" t="s">
        <v>90</v>
      </c>
      <c r="BF1399" t="s">
        <v>3921</v>
      </c>
      <c r="BH1399" t="s">
        <v>4020</v>
      </c>
      <c r="BP1399" t="s">
        <v>4260</v>
      </c>
      <c r="BQ1399" t="s">
        <v>3463</v>
      </c>
      <c r="BR1399" t="s">
        <v>3463</v>
      </c>
      <c r="BS1399" t="s">
        <v>3465</v>
      </c>
      <c r="BT1399" t="s">
        <v>3465</v>
      </c>
      <c r="BU1399" t="s">
        <v>3463</v>
      </c>
      <c r="BV1399" t="s">
        <v>3463</v>
      </c>
      <c r="BW1399" t="s">
        <v>3463</v>
      </c>
      <c r="BX1399" t="s">
        <v>79</v>
      </c>
      <c r="BY1399" t="s">
        <v>79</v>
      </c>
      <c r="BZ1399" t="s">
        <v>79</v>
      </c>
      <c r="CA1399" s="10">
        <v>45913</v>
      </c>
    </row>
    <row r="1400" spans="1:79">
      <c r="A1400">
        <v>1413</v>
      </c>
      <c r="B1400">
        <v>40</v>
      </c>
      <c r="C1400">
        <v>69</v>
      </c>
      <c r="D1400" t="s">
        <v>3466</v>
      </c>
      <c r="E1400" t="s">
        <v>3039</v>
      </c>
      <c r="F1400" t="s">
        <v>1804</v>
      </c>
      <c r="G1400" s="12" t="s">
        <v>3465</v>
      </c>
      <c r="H1400" t="s">
        <v>88</v>
      </c>
      <c r="I1400">
        <v>74</v>
      </c>
      <c r="J1400">
        <v>75</v>
      </c>
      <c r="K1400">
        <v>170</v>
      </c>
      <c r="L1400">
        <v>94</v>
      </c>
      <c r="M1400" t="s">
        <v>72</v>
      </c>
      <c r="N1400">
        <v>171</v>
      </c>
      <c r="O1400">
        <v>99</v>
      </c>
      <c r="P1400" t="s">
        <v>72</v>
      </c>
      <c r="Q1400" t="s">
        <v>72</v>
      </c>
      <c r="R1400">
        <v>64.099999999999994</v>
      </c>
      <c r="S1400">
        <v>144</v>
      </c>
      <c r="T1400" s="8">
        <f t="shared" si="45"/>
        <v>30.912422839506171</v>
      </c>
      <c r="U1400" s="13" t="str" cm="1">
        <f t="array" ref="U1400">IF(T1400="","",_xlfn.IFS(T1400&lt;18.5,"Bajo peso",T1400&lt;25,"Peso normal",T1400&lt;30,"Sobrepeso",T1400&lt;35,"Obesidad clase I",T1400&lt;40,"Obesidad clase II",T1400&gt;=40,"Obesidad clase III"))</f>
        <v>Obesidad clase I</v>
      </c>
      <c r="V1400">
        <v>78</v>
      </c>
      <c r="X1400" t="s">
        <v>3463</v>
      </c>
      <c r="Y1400">
        <v>0.88</v>
      </c>
      <c r="AA1400">
        <v>71</v>
      </c>
      <c r="AB1400" s="9">
        <f t="shared" si="44"/>
        <v>71.09478981102275</v>
      </c>
      <c r="AD1400" t="s">
        <v>73</v>
      </c>
      <c r="AF1400" t="s">
        <v>73</v>
      </c>
      <c r="AH1400" t="s">
        <v>3463</v>
      </c>
      <c r="AI1400" t="s">
        <v>3463</v>
      </c>
      <c r="AJ1400" t="s">
        <v>3463</v>
      </c>
      <c r="AK1400" t="s">
        <v>3463</v>
      </c>
      <c r="AL1400" t="s">
        <v>3465</v>
      </c>
      <c r="AM1400" t="s">
        <v>3040</v>
      </c>
      <c r="AN1400" t="s">
        <v>3635</v>
      </c>
      <c r="AP1400" t="s">
        <v>3463</v>
      </c>
      <c r="AT1400" t="s">
        <v>3465</v>
      </c>
      <c r="AU1400" t="s">
        <v>125</v>
      </c>
      <c r="AV1400" t="s">
        <v>126</v>
      </c>
      <c r="AW1400" t="s">
        <v>126</v>
      </c>
      <c r="AX1400" t="s">
        <v>3465</v>
      </c>
      <c r="AY1400" t="s">
        <v>3465</v>
      </c>
      <c r="AZ1400" t="s">
        <v>3041</v>
      </c>
      <c r="BA1400" t="s">
        <v>3920</v>
      </c>
      <c r="BC1400" t="s">
        <v>128</v>
      </c>
      <c r="BF1400" t="s">
        <v>3921</v>
      </c>
      <c r="BG1400" t="s">
        <v>3042</v>
      </c>
      <c r="BH1400" t="s">
        <v>4021</v>
      </c>
      <c r="BI1400" t="s">
        <v>76</v>
      </c>
      <c r="BL1400" t="s">
        <v>3043</v>
      </c>
      <c r="BP1400" t="s">
        <v>4282</v>
      </c>
      <c r="BQ1400" t="s">
        <v>3463</v>
      </c>
      <c r="BR1400" t="s">
        <v>3465</v>
      </c>
      <c r="BS1400" t="s">
        <v>3465</v>
      </c>
      <c r="BT1400" t="s">
        <v>3465</v>
      </c>
      <c r="BU1400" t="s">
        <v>3465</v>
      </c>
      <c r="BV1400" t="s">
        <v>3463</v>
      </c>
      <c r="BW1400" t="s">
        <v>3463</v>
      </c>
      <c r="BX1400" t="s">
        <v>79</v>
      </c>
      <c r="BY1400" t="s">
        <v>79</v>
      </c>
      <c r="BZ1400" t="s">
        <v>79</v>
      </c>
      <c r="CA1400" s="10">
        <v>45913</v>
      </c>
    </row>
    <row r="1401" spans="1:79">
      <c r="A1401">
        <v>1414</v>
      </c>
      <c r="B1401">
        <v>41</v>
      </c>
      <c r="C1401">
        <v>43</v>
      </c>
      <c r="D1401" t="s">
        <v>3466</v>
      </c>
      <c r="E1401" t="s">
        <v>3044</v>
      </c>
      <c r="F1401" t="s">
        <v>1804</v>
      </c>
      <c r="G1401" s="12" t="s">
        <v>3463</v>
      </c>
      <c r="I1401">
        <v>77</v>
      </c>
      <c r="K1401">
        <v>122</v>
      </c>
      <c r="L1401">
        <v>75</v>
      </c>
      <c r="M1401" t="s">
        <v>118</v>
      </c>
      <c r="P1401" t="s">
        <v>83</v>
      </c>
      <c r="Q1401" t="s">
        <v>118</v>
      </c>
      <c r="R1401">
        <v>48.8</v>
      </c>
      <c r="S1401">
        <v>151</v>
      </c>
      <c r="T1401" s="8">
        <f t="shared" si="45"/>
        <v>21.402570062716546</v>
      </c>
      <c r="U1401" s="13" t="str" cm="1">
        <f t="array" ref="U1401">IF(T1401="","",_xlfn.IFS(T1401&lt;18.5,"Bajo peso",T1401&lt;25,"Peso normal",T1401&lt;30,"Sobrepeso",T1401&lt;35,"Obesidad clase I",T1401&lt;40,"Obesidad clase II",T1401&gt;=40,"Obesidad clase III"))</f>
        <v>Peso normal</v>
      </c>
      <c r="V1401">
        <v>107</v>
      </c>
      <c r="X1401" t="s">
        <v>3463</v>
      </c>
      <c r="Y1401">
        <v>0.75</v>
      </c>
      <c r="AA1401">
        <v>90</v>
      </c>
      <c r="AB1401" s="9">
        <f t="shared" si="44"/>
        <v>101.24408562333005</v>
      </c>
      <c r="AD1401" t="s">
        <v>73</v>
      </c>
      <c r="AF1401" t="s">
        <v>73</v>
      </c>
      <c r="AH1401" t="s">
        <v>3463</v>
      </c>
      <c r="AI1401" t="s">
        <v>3463</v>
      </c>
      <c r="AJ1401" t="s">
        <v>3463</v>
      </c>
      <c r="AK1401" t="s">
        <v>3463</v>
      </c>
      <c r="AL1401" t="s">
        <v>3463</v>
      </c>
      <c r="AO1401" t="s">
        <v>3463</v>
      </c>
      <c r="AP1401" t="s">
        <v>3465</v>
      </c>
      <c r="AT1401" t="s">
        <v>3463</v>
      </c>
      <c r="AV1401" t="s">
        <v>74</v>
      </c>
      <c r="AW1401" t="s">
        <v>3915</v>
      </c>
      <c r="AX1401" t="s">
        <v>3463</v>
      </c>
      <c r="AY1401" t="s">
        <v>3465</v>
      </c>
      <c r="AZ1401" t="s">
        <v>104</v>
      </c>
      <c r="BF1401" t="s">
        <v>3921</v>
      </c>
      <c r="BH1401" t="s">
        <v>4020</v>
      </c>
      <c r="BP1401" t="s">
        <v>4260</v>
      </c>
      <c r="BQ1401" t="s">
        <v>3465</v>
      </c>
      <c r="BR1401" t="s">
        <v>3465</v>
      </c>
      <c r="BT1401" t="s">
        <v>3465</v>
      </c>
      <c r="BU1401" t="s">
        <v>3463</v>
      </c>
      <c r="BX1401" t="s">
        <v>518</v>
      </c>
      <c r="BY1401" t="s">
        <v>79</v>
      </c>
      <c r="BZ1401" t="s">
        <v>79</v>
      </c>
      <c r="CA1401" s="10">
        <v>45913</v>
      </c>
    </row>
    <row r="1402" spans="1:79">
      <c r="A1402">
        <v>1415</v>
      </c>
      <c r="B1402">
        <v>42</v>
      </c>
      <c r="C1402">
        <v>38</v>
      </c>
      <c r="D1402" t="s">
        <v>3466</v>
      </c>
      <c r="F1402" t="s">
        <v>1804</v>
      </c>
      <c r="G1402" s="12" t="s">
        <v>3463</v>
      </c>
      <c r="I1402">
        <v>82</v>
      </c>
      <c r="J1402">
        <v>83</v>
      </c>
      <c r="K1402">
        <v>146</v>
      </c>
      <c r="L1402">
        <v>87</v>
      </c>
      <c r="M1402" t="s">
        <v>72</v>
      </c>
      <c r="N1402">
        <v>139</v>
      </c>
      <c r="O1402">
        <v>94</v>
      </c>
      <c r="P1402" t="s">
        <v>72</v>
      </c>
      <c r="Q1402" t="s">
        <v>72</v>
      </c>
      <c r="R1402">
        <v>99.8</v>
      </c>
      <c r="S1402">
        <v>162</v>
      </c>
      <c r="T1402" s="8">
        <f t="shared" si="45"/>
        <v>38.027739673830204</v>
      </c>
      <c r="U1402" s="13" t="str" cm="1">
        <f t="array" ref="U1402">IF(T1402="","",_xlfn.IFS(T1402&lt;18.5,"Bajo peso",T1402&lt;25,"Peso normal",T1402&lt;30,"Sobrepeso",T1402&lt;35,"Obesidad clase I",T1402&lt;40,"Obesidad clase II",T1402&gt;=40,"Obesidad clase III"))</f>
        <v>Obesidad clase II</v>
      </c>
      <c r="V1402">
        <v>81</v>
      </c>
      <c r="X1402" t="s">
        <v>3463</v>
      </c>
      <c r="Y1402">
        <v>0.69</v>
      </c>
      <c r="AA1402">
        <v>90</v>
      </c>
      <c r="AB1402" s="9">
        <f t="shared" si="44"/>
        <v>113.85092546239306</v>
      </c>
      <c r="AD1402" t="s">
        <v>73</v>
      </c>
      <c r="AF1402" t="s">
        <v>73</v>
      </c>
      <c r="AH1402" t="s">
        <v>3463</v>
      </c>
      <c r="AI1402" t="s">
        <v>3463</v>
      </c>
      <c r="AJ1402" t="s">
        <v>3463</v>
      </c>
      <c r="AK1402" t="s">
        <v>3463</v>
      </c>
      <c r="AL1402" t="s">
        <v>3465</v>
      </c>
      <c r="AM1402" t="s">
        <v>3045</v>
      </c>
      <c r="AN1402" t="s">
        <v>3880</v>
      </c>
      <c r="AP1402" t="s">
        <v>3463</v>
      </c>
      <c r="AT1402" t="s">
        <v>3465</v>
      </c>
      <c r="AU1402" t="s">
        <v>80</v>
      </c>
      <c r="AV1402" t="s">
        <v>112</v>
      </c>
      <c r="AW1402" t="s">
        <v>3917</v>
      </c>
      <c r="AX1402" t="s">
        <v>3463</v>
      </c>
      <c r="AY1402" t="s">
        <v>3465</v>
      </c>
      <c r="AZ1402" t="s">
        <v>90</v>
      </c>
      <c r="BF1402" t="s">
        <v>3921</v>
      </c>
      <c r="BH1402" t="s">
        <v>4020</v>
      </c>
      <c r="BP1402" t="s">
        <v>4260</v>
      </c>
      <c r="BQ1402" t="s">
        <v>3463</v>
      </c>
      <c r="BR1402" t="s">
        <v>3463</v>
      </c>
      <c r="BS1402" t="s">
        <v>3465</v>
      </c>
      <c r="BT1402" t="s">
        <v>3465</v>
      </c>
      <c r="BU1402" t="s">
        <v>3463</v>
      </c>
      <c r="BV1402" t="s">
        <v>3463</v>
      </c>
      <c r="BX1402" t="s">
        <v>79</v>
      </c>
      <c r="BY1402" t="s">
        <v>79</v>
      </c>
      <c r="BZ1402" t="s">
        <v>79</v>
      </c>
      <c r="CA1402" s="10">
        <v>45913</v>
      </c>
    </row>
    <row r="1403" spans="1:79">
      <c r="A1403">
        <v>1416</v>
      </c>
      <c r="B1403">
        <v>43</v>
      </c>
      <c r="C1403">
        <v>80</v>
      </c>
      <c r="D1403" t="s">
        <v>3462</v>
      </c>
      <c r="E1403" t="s">
        <v>3046</v>
      </c>
      <c r="F1403" t="s">
        <v>1804</v>
      </c>
      <c r="G1403" s="12" t="s">
        <v>3463</v>
      </c>
      <c r="H1403" s="12"/>
      <c r="I1403">
        <v>63</v>
      </c>
      <c r="J1403">
        <v>65</v>
      </c>
      <c r="K1403">
        <v>151</v>
      </c>
      <c r="L1403">
        <v>83</v>
      </c>
      <c r="M1403" t="s">
        <v>72</v>
      </c>
      <c r="N1403">
        <v>149</v>
      </c>
      <c r="O1403">
        <v>85</v>
      </c>
      <c r="P1403" t="s">
        <v>72</v>
      </c>
      <c r="Q1403" t="s">
        <v>72</v>
      </c>
      <c r="R1403">
        <v>63.7</v>
      </c>
      <c r="S1403">
        <v>157</v>
      </c>
      <c r="T1403" s="8">
        <f t="shared" si="45"/>
        <v>25.84283338066453</v>
      </c>
      <c r="U1403" s="13" t="str" cm="1">
        <f t="array" ref="U1403">IF(T1403="","",_xlfn.IFS(T1403&lt;18.5,"Bajo peso",T1403&lt;25,"Peso normal",T1403&lt;30,"Sobrepeso",T1403&lt;35,"Obesidad clase I",T1403&lt;40,"Obesidad clase II",T1403&gt;=40,"Obesidad clase III"))</f>
        <v>Sobrepeso</v>
      </c>
      <c r="V1403">
        <v>106</v>
      </c>
      <c r="X1403" t="s">
        <v>3463</v>
      </c>
      <c r="Y1403">
        <v>0.84</v>
      </c>
      <c r="AA1403">
        <v>88</v>
      </c>
      <c r="AB1403" s="9">
        <f t="shared" si="44"/>
        <v>88.156965080091808</v>
      </c>
      <c r="AD1403" t="s">
        <v>73</v>
      </c>
      <c r="AF1403" t="s">
        <v>73</v>
      </c>
      <c r="AH1403" t="s">
        <v>3463</v>
      </c>
      <c r="AI1403" t="s">
        <v>3465</v>
      </c>
      <c r="AJ1403" t="s">
        <v>3463</v>
      </c>
      <c r="AK1403" t="s">
        <v>3463</v>
      </c>
      <c r="AL1403" t="s">
        <v>3463</v>
      </c>
      <c r="AP1403" t="s">
        <v>3463</v>
      </c>
      <c r="AQ1403" t="s">
        <v>3047</v>
      </c>
      <c r="AR1403" t="s">
        <v>3508</v>
      </c>
      <c r="AS1403" t="s">
        <v>3465</v>
      </c>
      <c r="AV1403" t="s">
        <v>74</v>
      </c>
      <c r="AW1403" t="s">
        <v>3915</v>
      </c>
      <c r="BF1403" t="s">
        <v>3921</v>
      </c>
      <c r="BH1403" t="s">
        <v>4020</v>
      </c>
      <c r="BP1403" t="s">
        <v>4260</v>
      </c>
      <c r="BQ1403" t="s">
        <v>3463</v>
      </c>
      <c r="BR1403" t="s">
        <v>3463</v>
      </c>
      <c r="BS1403" t="s">
        <v>3465</v>
      </c>
      <c r="BT1403" t="s">
        <v>3465</v>
      </c>
      <c r="BU1403" t="s">
        <v>3463</v>
      </c>
      <c r="BV1403" t="s">
        <v>3463</v>
      </c>
      <c r="BW1403" t="s">
        <v>3463</v>
      </c>
      <c r="BX1403" t="s">
        <v>79</v>
      </c>
      <c r="BY1403" t="s">
        <v>79</v>
      </c>
      <c r="BZ1403" t="s">
        <v>79</v>
      </c>
      <c r="CA1403" s="10">
        <v>45913</v>
      </c>
    </row>
    <row r="1404" spans="1:79">
      <c r="A1404">
        <v>1417</v>
      </c>
      <c r="B1404">
        <v>44</v>
      </c>
      <c r="C1404">
        <v>54</v>
      </c>
      <c r="D1404" t="s">
        <v>3462</v>
      </c>
      <c r="E1404" t="s">
        <v>3048</v>
      </c>
      <c r="F1404" t="s">
        <v>1804</v>
      </c>
      <c r="G1404" s="12" t="s">
        <v>3465</v>
      </c>
      <c r="H1404" t="s">
        <v>88</v>
      </c>
      <c r="I1404">
        <v>63</v>
      </c>
      <c r="K1404">
        <v>135</v>
      </c>
      <c r="L1404">
        <v>86</v>
      </c>
      <c r="M1404" t="s">
        <v>82</v>
      </c>
      <c r="P1404" t="s">
        <v>83</v>
      </c>
      <c r="Q1404" t="s">
        <v>82</v>
      </c>
      <c r="R1404">
        <v>87.8</v>
      </c>
      <c r="S1404">
        <v>174</v>
      </c>
      <c r="T1404" s="8">
        <f t="shared" si="45"/>
        <v>28.999867882150877</v>
      </c>
      <c r="U1404" s="13" t="str" cm="1">
        <f t="array" ref="U1404">IF(T1404="","",_xlfn.IFS(T1404&lt;18.5,"Bajo peso",T1404&lt;25,"Peso normal",T1404&lt;30,"Sobrepeso",T1404&lt;35,"Obesidad clase I",T1404&lt;40,"Obesidad clase II",T1404&gt;=40,"Obesidad clase III"))</f>
        <v>Sobrepeso</v>
      </c>
      <c r="V1404">
        <v>101</v>
      </c>
      <c r="X1404" t="s">
        <v>3463</v>
      </c>
      <c r="Y1404">
        <v>1.1100000000000001</v>
      </c>
      <c r="AA1404">
        <v>79</v>
      </c>
      <c r="AB1404" s="9">
        <f t="shared" si="44"/>
        <v>78.910968068951206</v>
      </c>
      <c r="AD1404" t="s">
        <v>73</v>
      </c>
      <c r="AF1404" t="s">
        <v>73</v>
      </c>
      <c r="AH1404" t="s">
        <v>3463</v>
      </c>
      <c r="AI1404" t="s">
        <v>3463</v>
      </c>
      <c r="AJ1404" t="s">
        <v>3463</v>
      </c>
      <c r="AK1404" t="s">
        <v>3463</v>
      </c>
      <c r="AL1404" t="s">
        <v>3465</v>
      </c>
      <c r="AM1404" t="s">
        <v>3049</v>
      </c>
      <c r="AN1404" t="s">
        <v>3881</v>
      </c>
      <c r="AP1404" t="s">
        <v>3463</v>
      </c>
      <c r="AV1404" t="s">
        <v>1346</v>
      </c>
      <c r="AW1404" t="s">
        <v>3919</v>
      </c>
      <c r="BF1404" t="s">
        <v>3921</v>
      </c>
      <c r="BH1404" t="s">
        <v>4020</v>
      </c>
      <c r="BP1404" t="s">
        <v>4260</v>
      </c>
      <c r="BQ1404" t="s">
        <v>3465</v>
      </c>
      <c r="BR1404" t="s">
        <v>3465</v>
      </c>
      <c r="BS1404" t="s">
        <v>3465</v>
      </c>
      <c r="BT1404" t="s">
        <v>3465</v>
      </c>
      <c r="BU1404" t="s">
        <v>3463</v>
      </c>
      <c r="BV1404" t="s">
        <v>3463</v>
      </c>
      <c r="BW1404" t="s">
        <v>3463</v>
      </c>
      <c r="BX1404" t="s">
        <v>79</v>
      </c>
      <c r="BY1404" t="s">
        <v>79</v>
      </c>
      <c r="BZ1404" t="s">
        <v>79</v>
      </c>
      <c r="CA1404" s="10">
        <v>45913</v>
      </c>
    </row>
    <row r="1405" spans="1:79">
      <c r="A1405">
        <v>1418</v>
      </c>
      <c r="B1405">
        <v>45</v>
      </c>
      <c r="C1405">
        <v>63</v>
      </c>
      <c r="D1405" t="s">
        <v>3466</v>
      </c>
      <c r="E1405" t="s">
        <v>1804</v>
      </c>
      <c r="F1405" t="s">
        <v>1804</v>
      </c>
      <c r="G1405" s="12" t="s">
        <v>3463</v>
      </c>
      <c r="I1405">
        <v>81</v>
      </c>
      <c r="K1405">
        <v>126</v>
      </c>
      <c r="L1405">
        <v>88</v>
      </c>
      <c r="M1405" t="s">
        <v>82</v>
      </c>
      <c r="P1405" t="s">
        <v>83</v>
      </c>
      <c r="Q1405" t="s">
        <v>82</v>
      </c>
      <c r="R1405">
        <v>88.4</v>
      </c>
      <c r="S1405">
        <v>161.5</v>
      </c>
      <c r="T1405" s="8">
        <f t="shared" si="45"/>
        <v>33.892781489327035</v>
      </c>
      <c r="U1405" s="13" t="str" cm="1">
        <f t="array" ref="U1405">IF(T1405="","",_xlfn.IFS(T1405&lt;18.5,"Bajo peso",T1405&lt;25,"Peso normal",T1405&lt;30,"Sobrepeso",T1405&lt;35,"Obesidad clase I",T1405&lt;40,"Obesidad clase II",T1405&gt;=40,"Obesidad clase III"))</f>
        <v>Obesidad clase I</v>
      </c>
      <c r="V1405">
        <v>88</v>
      </c>
      <c r="X1405" t="s">
        <v>3463</v>
      </c>
      <c r="Y1405">
        <v>0.84</v>
      </c>
      <c r="AA1405">
        <v>78</v>
      </c>
      <c r="AB1405" s="9">
        <f t="shared" si="44"/>
        <v>78.034721262795088</v>
      </c>
      <c r="AD1405" t="s">
        <v>73</v>
      </c>
      <c r="AF1405" t="s">
        <v>73</v>
      </c>
      <c r="AH1405" t="s">
        <v>3463</v>
      </c>
      <c r="AI1405" t="s">
        <v>3463</v>
      </c>
      <c r="AJ1405" t="s">
        <v>3463</v>
      </c>
      <c r="AK1405" t="s">
        <v>3463</v>
      </c>
      <c r="AL1405" t="s">
        <v>3465</v>
      </c>
      <c r="AM1405" t="s">
        <v>3050</v>
      </c>
      <c r="AN1405" t="s">
        <v>3882</v>
      </c>
      <c r="AP1405" t="s">
        <v>3463</v>
      </c>
      <c r="AQ1405" t="s">
        <v>3051</v>
      </c>
      <c r="AR1405" t="s">
        <v>3490</v>
      </c>
      <c r="AT1405" t="s">
        <v>3465</v>
      </c>
      <c r="AU1405" t="s">
        <v>80</v>
      </c>
      <c r="AV1405" t="s">
        <v>74</v>
      </c>
      <c r="AW1405" t="s">
        <v>3915</v>
      </c>
      <c r="AX1405" t="s">
        <v>3465</v>
      </c>
      <c r="AY1405" t="s">
        <v>3465</v>
      </c>
      <c r="AZ1405" t="s">
        <v>104</v>
      </c>
      <c r="BE1405" t="s">
        <v>3052</v>
      </c>
      <c r="BF1405" t="s">
        <v>3995</v>
      </c>
      <c r="BH1405" t="s">
        <v>4020</v>
      </c>
      <c r="BP1405" t="s">
        <v>4260</v>
      </c>
      <c r="BQ1405" t="s">
        <v>3463</v>
      </c>
      <c r="BR1405" t="s">
        <v>3463</v>
      </c>
      <c r="BS1405" t="s">
        <v>3463</v>
      </c>
      <c r="BT1405" t="s">
        <v>3463</v>
      </c>
      <c r="BU1405" t="s">
        <v>3463</v>
      </c>
      <c r="BX1405" t="s">
        <v>79</v>
      </c>
      <c r="BY1405" t="s">
        <v>79</v>
      </c>
      <c r="BZ1405" t="s">
        <v>95</v>
      </c>
      <c r="CA1405" s="10">
        <v>45913</v>
      </c>
    </row>
    <row r="1406" spans="1:79">
      <c r="A1406">
        <v>1419</v>
      </c>
      <c r="B1406">
        <v>46</v>
      </c>
      <c r="C1406">
        <v>42</v>
      </c>
      <c r="D1406" t="s">
        <v>3466</v>
      </c>
      <c r="F1406" t="s">
        <v>1804</v>
      </c>
      <c r="G1406" s="12" t="s">
        <v>3463</v>
      </c>
      <c r="I1406">
        <v>73</v>
      </c>
      <c r="K1406">
        <v>114</v>
      </c>
      <c r="L1406">
        <v>76</v>
      </c>
      <c r="M1406" t="s">
        <v>80</v>
      </c>
      <c r="P1406" t="s">
        <v>83</v>
      </c>
      <c r="Q1406" t="s">
        <v>80</v>
      </c>
      <c r="R1406">
        <v>104.1</v>
      </c>
      <c r="S1406">
        <v>177</v>
      </c>
      <c r="T1406" s="8">
        <f t="shared" si="45"/>
        <v>33.227999616968305</v>
      </c>
      <c r="U1406" s="13" t="str" cm="1">
        <f t="array" ref="U1406">IF(T1406="","",_xlfn.IFS(T1406&lt;18.5,"Bajo peso",T1406&lt;25,"Peso normal",T1406&lt;30,"Sobrepeso",T1406&lt;35,"Obesidad clase I",T1406&lt;40,"Obesidad clase II",T1406&gt;=40,"Obesidad clase III"))</f>
        <v>Obesidad clase I</v>
      </c>
      <c r="V1406">
        <v>106</v>
      </c>
      <c r="X1406" t="s">
        <v>3463</v>
      </c>
      <c r="Y1406">
        <v>1.02</v>
      </c>
      <c r="AA1406">
        <v>70</v>
      </c>
      <c r="AB1406" s="9">
        <f t="shared" si="44"/>
        <v>70.440751399612225</v>
      </c>
      <c r="AD1406" t="s">
        <v>73</v>
      </c>
      <c r="AF1406" t="s">
        <v>73</v>
      </c>
      <c r="AH1406" t="s">
        <v>3463</v>
      </c>
      <c r="AI1406" t="s">
        <v>3463</v>
      </c>
      <c r="AJ1406" t="s">
        <v>3463</v>
      </c>
      <c r="AK1406" t="s">
        <v>3463</v>
      </c>
      <c r="AL1406" t="s">
        <v>3463</v>
      </c>
      <c r="AP1406" t="s">
        <v>3463</v>
      </c>
      <c r="AQ1406" t="s">
        <v>3053</v>
      </c>
      <c r="AR1406" t="s">
        <v>3601</v>
      </c>
      <c r="AT1406" t="s">
        <v>3463</v>
      </c>
      <c r="AV1406" t="s">
        <v>74</v>
      </c>
      <c r="AW1406" t="s">
        <v>3915</v>
      </c>
      <c r="AX1406" t="s">
        <v>3465</v>
      </c>
      <c r="AY1406" t="s">
        <v>3465</v>
      </c>
      <c r="AZ1406" t="s">
        <v>90</v>
      </c>
      <c r="BB1406" t="s">
        <v>3485</v>
      </c>
      <c r="BC1406" t="s">
        <v>128</v>
      </c>
      <c r="BF1406" t="s">
        <v>3921</v>
      </c>
      <c r="BG1406" t="s">
        <v>3054</v>
      </c>
      <c r="BH1406" t="s">
        <v>4241</v>
      </c>
      <c r="BI1406" t="s">
        <v>86</v>
      </c>
      <c r="BK1406" t="s">
        <v>2620</v>
      </c>
      <c r="BL1406" t="s">
        <v>3055</v>
      </c>
      <c r="BP1406" t="s">
        <v>4552</v>
      </c>
      <c r="BQ1406" t="s">
        <v>3463</v>
      </c>
      <c r="BR1406" t="s">
        <v>3463</v>
      </c>
      <c r="BS1406" t="s">
        <v>3465</v>
      </c>
      <c r="BT1406" t="s">
        <v>3465</v>
      </c>
      <c r="BU1406" t="s">
        <v>3463</v>
      </c>
      <c r="BV1406" t="s">
        <v>3463</v>
      </c>
      <c r="BW1406" t="s">
        <v>3463</v>
      </c>
      <c r="BX1406" t="s">
        <v>79</v>
      </c>
      <c r="BY1406" t="s">
        <v>79</v>
      </c>
      <c r="BZ1406" t="s">
        <v>79</v>
      </c>
      <c r="CA1406" s="10">
        <v>45913</v>
      </c>
    </row>
    <row r="1407" spans="1:79">
      <c r="A1407">
        <v>1420</v>
      </c>
      <c r="B1407">
        <v>47</v>
      </c>
      <c r="C1407">
        <v>49</v>
      </c>
      <c r="D1407" t="s">
        <v>3462</v>
      </c>
      <c r="E1407" t="s">
        <v>3046</v>
      </c>
      <c r="F1407" t="s">
        <v>1804</v>
      </c>
      <c r="G1407" s="12" t="s">
        <v>3463</v>
      </c>
      <c r="H1407" s="12"/>
      <c r="I1407">
        <v>70</v>
      </c>
      <c r="J1407">
        <v>67</v>
      </c>
      <c r="K1407">
        <v>155</v>
      </c>
      <c r="L1407">
        <v>96</v>
      </c>
      <c r="M1407" t="s">
        <v>72</v>
      </c>
      <c r="N1407">
        <v>155</v>
      </c>
      <c r="O1407">
        <v>88</v>
      </c>
      <c r="P1407" t="s">
        <v>72</v>
      </c>
      <c r="Q1407" t="s">
        <v>72</v>
      </c>
      <c r="R1407">
        <v>100.9</v>
      </c>
      <c r="S1407">
        <v>175.5</v>
      </c>
      <c r="T1407" s="8">
        <f t="shared" si="45"/>
        <v>32.759474354915952</v>
      </c>
      <c r="U1407" s="13" t="str" cm="1">
        <f t="array" ref="U1407">IF(T1407="","",_xlfn.IFS(T1407&lt;18.5,"Bajo peso",T1407&lt;25,"Peso normal",T1407&lt;30,"Sobrepeso",T1407&lt;35,"Obesidad clase I",T1407&lt;40,"Obesidad clase II",T1407&gt;=40,"Obesidad clase III"))</f>
        <v>Obesidad clase I</v>
      </c>
      <c r="V1407">
        <v>101</v>
      </c>
      <c r="X1407" t="s">
        <v>3463</v>
      </c>
      <c r="Y1407">
        <v>0.75</v>
      </c>
      <c r="AA1407">
        <v>90</v>
      </c>
      <c r="AB1407" s="9">
        <f t="shared" si="44"/>
        <v>110.62459882392346</v>
      </c>
      <c r="AD1407" t="s">
        <v>73</v>
      </c>
      <c r="AF1407" t="s">
        <v>73</v>
      </c>
      <c r="AH1407" t="s">
        <v>3463</v>
      </c>
      <c r="AI1407" t="s">
        <v>3463</v>
      </c>
      <c r="AJ1407" t="s">
        <v>3463</v>
      </c>
      <c r="AK1407" t="s">
        <v>3463</v>
      </c>
      <c r="AL1407" t="s">
        <v>3463</v>
      </c>
      <c r="AP1407" t="s">
        <v>3463</v>
      </c>
      <c r="AQ1407" t="s">
        <v>3047</v>
      </c>
      <c r="AR1407" t="s">
        <v>3508</v>
      </c>
      <c r="AV1407" t="s">
        <v>74</v>
      </c>
      <c r="AW1407" t="s">
        <v>3915</v>
      </c>
      <c r="BC1407" t="s">
        <v>128</v>
      </c>
      <c r="BF1407" t="s">
        <v>3921</v>
      </c>
      <c r="BG1407" t="s">
        <v>3056</v>
      </c>
      <c r="BH1407" t="s">
        <v>4014</v>
      </c>
      <c r="BI1407" t="s">
        <v>820</v>
      </c>
      <c r="BK1407" t="s">
        <v>3057</v>
      </c>
      <c r="BL1407" t="s">
        <v>3058</v>
      </c>
      <c r="BP1407" t="s">
        <v>4271</v>
      </c>
      <c r="BQ1407" t="s">
        <v>3463</v>
      </c>
      <c r="BR1407" t="s">
        <v>3463</v>
      </c>
      <c r="BS1407" t="s">
        <v>3463</v>
      </c>
      <c r="BT1407" t="s">
        <v>3465</v>
      </c>
      <c r="BU1407" t="s">
        <v>3463</v>
      </c>
      <c r="BV1407" t="s">
        <v>3463</v>
      </c>
      <c r="BW1407" t="s">
        <v>3463</v>
      </c>
      <c r="BX1407" t="s">
        <v>79</v>
      </c>
      <c r="BY1407" t="s">
        <v>87</v>
      </c>
      <c r="BZ1407" t="s">
        <v>79</v>
      </c>
      <c r="CA1407" s="10">
        <v>45913</v>
      </c>
    </row>
    <row r="1408" spans="1:79">
      <c r="A1408">
        <v>1421</v>
      </c>
      <c r="B1408">
        <v>48</v>
      </c>
      <c r="C1408">
        <v>54</v>
      </c>
      <c r="D1408" t="s">
        <v>3466</v>
      </c>
      <c r="E1408" t="s">
        <v>3059</v>
      </c>
      <c r="F1408" t="s">
        <v>1804</v>
      </c>
      <c r="G1408" s="12" t="s">
        <v>3463</v>
      </c>
      <c r="I1408">
        <v>84</v>
      </c>
      <c r="J1408">
        <v>83</v>
      </c>
      <c r="K1408">
        <v>171</v>
      </c>
      <c r="L1408">
        <v>91</v>
      </c>
      <c r="M1408" t="s">
        <v>72</v>
      </c>
      <c r="N1408">
        <v>154</v>
      </c>
      <c r="O1408">
        <v>86</v>
      </c>
      <c r="P1408" t="s">
        <v>72</v>
      </c>
      <c r="Q1408" t="s">
        <v>72</v>
      </c>
      <c r="R1408">
        <v>73</v>
      </c>
      <c r="S1408">
        <v>165</v>
      </c>
      <c r="T1408" s="8">
        <f t="shared" si="45"/>
        <v>26.813590449954088</v>
      </c>
      <c r="U1408" s="13" t="str" cm="1">
        <f t="array" ref="U1408">IF(T1408="","",_xlfn.IFS(T1408&lt;18.5,"Bajo peso",T1408&lt;25,"Peso normal",T1408&lt;30,"Sobrepeso",T1408&lt;35,"Obesidad clase I",T1408&lt;40,"Obesidad clase II",T1408&gt;=40,"Obesidad clase III"))</f>
        <v>Sobrepeso</v>
      </c>
      <c r="V1408">
        <v>137</v>
      </c>
      <c r="X1408" t="s">
        <v>3463</v>
      </c>
      <c r="Y1408">
        <v>0.91</v>
      </c>
      <c r="AA1408">
        <v>75</v>
      </c>
      <c r="AB1408" s="9">
        <f t="shared" si="44"/>
        <v>74.969121929442778</v>
      </c>
      <c r="AD1408" t="s">
        <v>73</v>
      </c>
      <c r="AF1408" t="s">
        <v>73</v>
      </c>
      <c r="AH1408" t="s">
        <v>3463</v>
      </c>
      <c r="AI1408" t="s">
        <v>3463</v>
      </c>
      <c r="AJ1408" t="s">
        <v>3463</v>
      </c>
      <c r="AK1408" t="s">
        <v>3463</v>
      </c>
      <c r="AL1408" t="s">
        <v>3463</v>
      </c>
      <c r="AO1408" t="s">
        <v>3465</v>
      </c>
      <c r="AP1408" t="s">
        <v>3465</v>
      </c>
      <c r="AQ1408" t="s">
        <v>3060</v>
      </c>
      <c r="AR1408" t="s">
        <v>3602</v>
      </c>
      <c r="AT1408" t="s">
        <v>3465</v>
      </c>
      <c r="AU1408" t="s">
        <v>80</v>
      </c>
      <c r="AV1408" t="s">
        <v>126</v>
      </c>
      <c r="AW1408" t="s">
        <v>126</v>
      </c>
      <c r="AX1408" t="s">
        <v>3463</v>
      </c>
      <c r="AY1408" t="s">
        <v>3465</v>
      </c>
      <c r="AZ1408" t="s">
        <v>2970</v>
      </c>
      <c r="BF1408" t="s">
        <v>3921</v>
      </c>
      <c r="BG1408" t="s">
        <v>3061</v>
      </c>
      <c r="BH1408" t="s">
        <v>4242</v>
      </c>
      <c r="BI1408" t="s">
        <v>76</v>
      </c>
      <c r="BK1408" t="s">
        <v>1734</v>
      </c>
      <c r="BL1408" t="s">
        <v>3062</v>
      </c>
      <c r="BP1408" t="s">
        <v>4553</v>
      </c>
      <c r="BQ1408" t="s">
        <v>3465</v>
      </c>
      <c r="BR1408" t="s">
        <v>3463</v>
      </c>
      <c r="BS1408" t="s">
        <v>3465</v>
      </c>
      <c r="BT1408" t="s">
        <v>3465</v>
      </c>
      <c r="BU1408" t="s">
        <v>3463</v>
      </c>
      <c r="BV1408" t="s">
        <v>3463</v>
      </c>
      <c r="BW1408" t="s">
        <v>3463</v>
      </c>
      <c r="BX1408" t="s">
        <v>121</v>
      </c>
      <c r="BY1408" t="s">
        <v>79</v>
      </c>
      <c r="BZ1408" t="s">
        <v>79</v>
      </c>
      <c r="CA1408" s="10">
        <v>45913</v>
      </c>
    </row>
    <row r="1409" spans="1:79">
      <c r="A1409">
        <v>1422</v>
      </c>
      <c r="B1409">
        <v>49</v>
      </c>
      <c r="C1409">
        <v>53</v>
      </c>
      <c r="D1409" t="s">
        <v>3462</v>
      </c>
      <c r="E1409" t="s">
        <v>2981</v>
      </c>
      <c r="F1409" t="s">
        <v>1804</v>
      </c>
      <c r="G1409" s="12" t="s">
        <v>3463</v>
      </c>
      <c r="H1409" s="12"/>
      <c r="I1409">
        <v>106</v>
      </c>
      <c r="J1409">
        <v>106</v>
      </c>
      <c r="K1409">
        <v>146</v>
      </c>
      <c r="L1409">
        <v>87</v>
      </c>
      <c r="M1409" t="s">
        <v>72</v>
      </c>
      <c r="N1409">
        <v>130</v>
      </c>
      <c r="O1409">
        <v>81</v>
      </c>
      <c r="P1409" t="s">
        <v>82</v>
      </c>
      <c r="Q1409" t="s">
        <v>82</v>
      </c>
      <c r="R1409">
        <v>83.7</v>
      </c>
      <c r="S1409">
        <v>173</v>
      </c>
      <c r="T1409" s="8">
        <f t="shared" si="45"/>
        <v>27.966186641718735</v>
      </c>
      <c r="U1409" s="13" t="str" cm="1">
        <f t="array" ref="U1409">IF(T1409="","",_xlfn.IFS(T1409&lt;18.5,"Bajo peso",T1409&lt;25,"Peso normal",T1409&lt;30,"Sobrepeso",T1409&lt;35,"Obesidad clase I",T1409&lt;40,"Obesidad clase II",T1409&gt;=40,"Obesidad clase III"))</f>
        <v>Sobrepeso</v>
      </c>
      <c r="V1409">
        <v>103</v>
      </c>
      <c r="X1409" t="s">
        <v>3463</v>
      </c>
      <c r="Y1409">
        <v>1.22</v>
      </c>
      <c r="AA1409">
        <v>71</v>
      </c>
      <c r="AB1409" s="9">
        <f t="shared" si="44"/>
        <v>70.891498510857218</v>
      </c>
      <c r="AD1409" t="s">
        <v>73</v>
      </c>
      <c r="AF1409" t="s">
        <v>73</v>
      </c>
      <c r="AH1409" t="s">
        <v>3463</v>
      </c>
      <c r="AI1409" t="s">
        <v>3463</v>
      </c>
      <c r="AJ1409" t="s">
        <v>3463</v>
      </c>
      <c r="AK1409" t="s">
        <v>3463</v>
      </c>
      <c r="AL1409" t="s">
        <v>3463</v>
      </c>
      <c r="AP1409" t="s">
        <v>3463</v>
      </c>
      <c r="AQ1409" t="s">
        <v>962</v>
      </c>
      <c r="AR1409" t="s">
        <v>3488</v>
      </c>
      <c r="AV1409" t="s">
        <v>126</v>
      </c>
      <c r="AW1409" t="s">
        <v>126</v>
      </c>
      <c r="BE1409" t="s">
        <v>153</v>
      </c>
      <c r="BF1409" t="s">
        <v>153</v>
      </c>
      <c r="BH1409" t="s">
        <v>4021</v>
      </c>
      <c r="BI1409" t="s">
        <v>76</v>
      </c>
      <c r="BL1409" t="s">
        <v>1374</v>
      </c>
      <c r="BP1409" t="s">
        <v>4261</v>
      </c>
      <c r="BQ1409" t="s">
        <v>3465</v>
      </c>
      <c r="BR1409" t="s">
        <v>3465</v>
      </c>
      <c r="BS1409" t="s">
        <v>3463</v>
      </c>
      <c r="BT1409" t="s">
        <v>3463</v>
      </c>
      <c r="BU1409" t="s">
        <v>3463</v>
      </c>
      <c r="BX1409" t="s">
        <v>79</v>
      </c>
      <c r="BY1409" t="s">
        <v>79</v>
      </c>
      <c r="BZ1409" t="s">
        <v>79</v>
      </c>
      <c r="CA1409" s="10">
        <v>45913</v>
      </c>
    </row>
    <row r="1410" spans="1:79">
      <c r="A1410">
        <v>1423</v>
      </c>
      <c r="B1410">
        <v>50</v>
      </c>
      <c r="C1410">
        <v>33</v>
      </c>
      <c r="D1410" t="s">
        <v>3466</v>
      </c>
      <c r="E1410" t="s">
        <v>2965</v>
      </c>
      <c r="F1410" t="s">
        <v>1804</v>
      </c>
      <c r="G1410" s="12" t="s">
        <v>3463</v>
      </c>
      <c r="I1410">
        <v>82</v>
      </c>
      <c r="J1410">
        <v>83</v>
      </c>
      <c r="K1410">
        <v>129</v>
      </c>
      <c r="L1410">
        <v>91</v>
      </c>
      <c r="M1410" t="s">
        <v>72</v>
      </c>
      <c r="N1410">
        <v>123</v>
      </c>
      <c r="O1410">
        <v>88</v>
      </c>
      <c r="P1410" t="s">
        <v>82</v>
      </c>
      <c r="Q1410" t="s">
        <v>82</v>
      </c>
      <c r="R1410">
        <v>96.4</v>
      </c>
      <c r="S1410">
        <v>164</v>
      </c>
      <c r="T1410" s="8">
        <f t="shared" si="45"/>
        <v>35.841760856632959</v>
      </c>
      <c r="U1410" s="13" t="str" cm="1">
        <f t="array" ref="U1410">IF(T1410="","",_xlfn.IFS(T1410&lt;18.5,"Bajo peso",T1410&lt;25,"Peso normal",T1410&lt;30,"Sobrepeso",T1410&lt;35,"Obesidad clase I",T1410&lt;40,"Obesidad clase II",T1410&gt;=40,"Obesidad clase III"))</f>
        <v>Obesidad clase II</v>
      </c>
      <c r="V1410">
        <v>85</v>
      </c>
      <c r="X1410" t="s">
        <v>3463</v>
      </c>
      <c r="Y1410">
        <v>1.04</v>
      </c>
      <c r="AA1410">
        <v>73</v>
      </c>
      <c r="AB1410" s="9">
        <f t="shared" si="44"/>
        <v>72.780200430053057</v>
      </c>
      <c r="AD1410" t="s">
        <v>73</v>
      </c>
      <c r="AF1410" t="s">
        <v>73</v>
      </c>
      <c r="AH1410" t="s">
        <v>3463</v>
      </c>
      <c r="AI1410" t="s">
        <v>3463</v>
      </c>
      <c r="AJ1410" t="s">
        <v>3463</v>
      </c>
      <c r="AK1410" t="s">
        <v>3465</v>
      </c>
      <c r="AL1410" t="s">
        <v>3463</v>
      </c>
      <c r="AO1410" t="s">
        <v>3465</v>
      </c>
      <c r="AP1410" t="s">
        <v>3465</v>
      </c>
      <c r="AQ1410" t="s">
        <v>2596</v>
      </c>
      <c r="AR1410" t="s">
        <v>3509</v>
      </c>
      <c r="AT1410" t="s">
        <v>3463</v>
      </c>
      <c r="AV1410" t="s">
        <v>74</v>
      </c>
      <c r="AW1410" t="s">
        <v>3915</v>
      </c>
      <c r="AX1410" t="s">
        <v>3465</v>
      </c>
      <c r="AY1410" t="s">
        <v>3465</v>
      </c>
      <c r="AZ1410" t="s">
        <v>247</v>
      </c>
      <c r="BF1410" t="s">
        <v>3921</v>
      </c>
      <c r="BH1410" t="s">
        <v>4020</v>
      </c>
      <c r="BP1410" t="s">
        <v>4260</v>
      </c>
      <c r="BQ1410" t="s">
        <v>3465</v>
      </c>
      <c r="BR1410" t="s">
        <v>3465</v>
      </c>
      <c r="BS1410" t="s">
        <v>3465</v>
      </c>
      <c r="BT1410" t="s">
        <v>3465</v>
      </c>
      <c r="BU1410" t="s">
        <v>3463</v>
      </c>
      <c r="BV1410" t="s">
        <v>3463</v>
      </c>
      <c r="BW1410" t="s">
        <v>3463</v>
      </c>
      <c r="BX1410" t="s">
        <v>79</v>
      </c>
      <c r="BY1410" t="s">
        <v>79</v>
      </c>
      <c r="BZ1410" t="s">
        <v>79</v>
      </c>
      <c r="CA1410" s="10">
        <v>45913</v>
      </c>
    </row>
    <row r="1411" spans="1:79">
      <c r="A1411">
        <v>1424</v>
      </c>
      <c r="B1411">
        <v>51</v>
      </c>
      <c r="C1411">
        <v>65</v>
      </c>
      <c r="D1411" t="s">
        <v>3466</v>
      </c>
      <c r="E1411" t="s">
        <v>3063</v>
      </c>
      <c r="F1411" t="s">
        <v>1804</v>
      </c>
      <c r="G1411" s="12" t="s">
        <v>3463</v>
      </c>
      <c r="I1411">
        <v>67</v>
      </c>
      <c r="J1411">
        <v>67</v>
      </c>
      <c r="K1411">
        <v>174</v>
      </c>
      <c r="L1411">
        <v>84</v>
      </c>
      <c r="M1411" t="s">
        <v>72</v>
      </c>
      <c r="N1411">
        <v>168</v>
      </c>
      <c r="O1411">
        <v>79</v>
      </c>
      <c r="P1411" t="s">
        <v>72</v>
      </c>
      <c r="Q1411" t="s">
        <v>72</v>
      </c>
      <c r="R1411">
        <v>75.099999999999994</v>
      </c>
      <c r="S1411">
        <v>152</v>
      </c>
      <c r="T1411" s="8">
        <f t="shared" si="45"/>
        <v>32.505193905817173</v>
      </c>
      <c r="U1411" s="13" t="str" cm="1">
        <f t="array" ref="U1411">IF(T1411="","",_xlfn.IFS(T1411&lt;18.5,"Bajo peso",T1411&lt;25,"Peso normal",T1411&lt;30,"Sobrepeso",T1411&lt;35,"Obesidad clase I",T1411&lt;40,"Obesidad clase II",T1411&gt;=40,"Obesidad clase III"))</f>
        <v>Obesidad clase I</v>
      </c>
      <c r="V1411">
        <v>302</v>
      </c>
      <c r="X1411" t="s">
        <v>3465</v>
      </c>
      <c r="Y1411">
        <v>0.98</v>
      </c>
      <c r="AA1411">
        <v>64</v>
      </c>
      <c r="AB1411" s="9">
        <f t="shared" si="44"/>
        <v>64.054511089785279</v>
      </c>
      <c r="AD1411" t="s">
        <v>73</v>
      </c>
      <c r="AF1411" t="s">
        <v>73</v>
      </c>
      <c r="AG1411" t="s">
        <v>3465</v>
      </c>
      <c r="AH1411" t="s">
        <v>3465</v>
      </c>
      <c r="AI1411" t="s">
        <v>3465</v>
      </c>
      <c r="AJ1411" t="s">
        <v>3465</v>
      </c>
      <c r="AK1411" t="s">
        <v>3465</v>
      </c>
      <c r="AL1411" t="s">
        <v>3463</v>
      </c>
      <c r="AO1411" t="s">
        <v>3463</v>
      </c>
      <c r="AP1411" t="s">
        <v>3465</v>
      </c>
      <c r="AQ1411" t="s">
        <v>2976</v>
      </c>
      <c r="AR1411" t="s">
        <v>3508</v>
      </c>
      <c r="AS1411" t="s">
        <v>3465</v>
      </c>
      <c r="AT1411" t="s">
        <v>3465</v>
      </c>
      <c r="AV1411" t="s">
        <v>74</v>
      </c>
      <c r="AW1411" t="s">
        <v>3915</v>
      </c>
      <c r="AX1411" t="s">
        <v>3465</v>
      </c>
      <c r="AY1411" t="s">
        <v>3465</v>
      </c>
      <c r="AZ1411" t="s">
        <v>90</v>
      </c>
      <c r="BA1411" t="s">
        <v>3920</v>
      </c>
      <c r="BB1411" t="s">
        <v>3485</v>
      </c>
      <c r="BF1411" t="s">
        <v>3921</v>
      </c>
      <c r="BG1411" t="s">
        <v>3064</v>
      </c>
      <c r="BH1411" t="s">
        <v>4029</v>
      </c>
      <c r="BI1411" t="s">
        <v>3065</v>
      </c>
      <c r="BL1411" t="s">
        <v>3066</v>
      </c>
      <c r="BP1411" t="s">
        <v>4491</v>
      </c>
      <c r="BQ1411" t="s">
        <v>3463</v>
      </c>
      <c r="BR1411" t="s">
        <v>3463</v>
      </c>
      <c r="BS1411" t="s">
        <v>3463</v>
      </c>
      <c r="BT1411" t="s">
        <v>3463</v>
      </c>
      <c r="BU1411" t="s">
        <v>3463</v>
      </c>
      <c r="BV1411" t="s">
        <v>3463</v>
      </c>
      <c r="BW1411" t="s">
        <v>3463</v>
      </c>
      <c r="BX1411" t="s">
        <v>79</v>
      </c>
      <c r="BY1411" t="s">
        <v>487</v>
      </c>
      <c r="BZ1411" t="s">
        <v>563</v>
      </c>
      <c r="CA1411" s="10">
        <v>45913</v>
      </c>
    </row>
    <row r="1412" spans="1:79">
      <c r="A1412">
        <v>1425</v>
      </c>
      <c r="B1412">
        <v>52</v>
      </c>
      <c r="C1412">
        <v>64</v>
      </c>
      <c r="D1412" t="s">
        <v>3466</v>
      </c>
      <c r="E1412" t="s">
        <v>3067</v>
      </c>
      <c r="F1412" t="s">
        <v>1804</v>
      </c>
      <c r="G1412" s="12" t="s">
        <v>3463</v>
      </c>
      <c r="I1412">
        <v>76</v>
      </c>
      <c r="K1412">
        <v>130</v>
      </c>
      <c r="L1412">
        <v>86</v>
      </c>
      <c r="M1412" t="s">
        <v>82</v>
      </c>
      <c r="P1412" t="s">
        <v>83</v>
      </c>
      <c r="Q1412" t="s">
        <v>82</v>
      </c>
      <c r="R1412">
        <v>74.5</v>
      </c>
      <c r="S1412">
        <v>157</v>
      </c>
      <c r="T1412" s="8">
        <f t="shared" si="45"/>
        <v>30.224349872205771</v>
      </c>
      <c r="U1412" s="13" t="str" cm="1">
        <f t="array" ref="U1412">IF(T1412="","",_xlfn.IFS(T1412&lt;18.5,"Bajo peso",T1412&lt;25,"Peso normal",T1412&lt;30,"Sobrepeso",T1412&lt;35,"Obesidad clase I",T1412&lt;40,"Obesidad clase II",T1412&gt;=40,"Obesidad clase III"))</f>
        <v>Obesidad clase I</v>
      </c>
      <c r="V1412">
        <v>92</v>
      </c>
      <c r="X1412" t="s">
        <v>3463</v>
      </c>
      <c r="Y1412">
        <v>0.98</v>
      </c>
      <c r="AA1412">
        <v>64</v>
      </c>
      <c r="AB1412" s="9">
        <f t="shared" si="44"/>
        <v>64.454126675171352</v>
      </c>
      <c r="AD1412" t="s">
        <v>73</v>
      </c>
      <c r="AF1412" t="s">
        <v>73</v>
      </c>
      <c r="AH1412" t="s">
        <v>3463</v>
      </c>
      <c r="AI1412" t="s">
        <v>3463</v>
      </c>
      <c r="AJ1412" t="s">
        <v>3463</v>
      </c>
      <c r="AK1412" t="s">
        <v>3463</v>
      </c>
      <c r="AL1412" t="s">
        <v>3465</v>
      </c>
      <c r="AM1412" t="s">
        <v>3068</v>
      </c>
      <c r="AN1412" t="s">
        <v>3883</v>
      </c>
      <c r="AO1412" t="s">
        <v>3464</v>
      </c>
      <c r="AP1412" t="s">
        <v>3465</v>
      </c>
      <c r="AT1412" t="s">
        <v>3465</v>
      </c>
      <c r="AU1412" t="s">
        <v>80</v>
      </c>
      <c r="AV1412" t="s">
        <v>74</v>
      </c>
      <c r="AW1412" t="s">
        <v>3915</v>
      </c>
      <c r="AX1412" t="s">
        <v>3463</v>
      </c>
      <c r="AY1412" t="s">
        <v>3465</v>
      </c>
      <c r="AZ1412" t="s">
        <v>247</v>
      </c>
      <c r="BF1412" t="s">
        <v>3921</v>
      </c>
      <c r="BH1412" t="s">
        <v>4020</v>
      </c>
      <c r="BP1412" t="s">
        <v>4260</v>
      </c>
      <c r="BQ1412" t="s">
        <v>3463</v>
      </c>
      <c r="BR1412" t="s">
        <v>3463</v>
      </c>
      <c r="BS1412" t="s">
        <v>3465</v>
      </c>
      <c r="BT1412" t="s">
        <v>3465</v>
      </c>
      <c r="BU1412" t="s">
        <v>3463</v>
      </c>
      <c r="BX1412" t="s">
        <v>79</v>
      </c>
      <c r="BY1412" t="s">
        <v>79</v>
      </c>
      <c r="BZ1412" t="s">
        <v>79</v>
      </c>
      <c r="CA1412" s="10">
        <v>45913</v>
      </c>
    </row>
    <row r="1413" spans="1:79">
      <c r="A1413">
        <v>1426</v>
      </c>
      <c r="B1413">
        <v>53</v>
      </c>
      <c r="C1413">
        <v>35</v>
      </c>
      <c r="D1413" t="s">
        <v>3466</v>
      </c>
      <c r="F1413" t="s">
        <v>1804</v>
      </c>
      <c r="G1413" s="12" t="s">
        <v>3463</v>
      </c>
      <c r="I1413">
        <v>88</v>
      </c>
      <c r="K1413">
        <v>137</v>
      </c>
      <c r="L1413">
        <v>86</v>
      </c>
      <c r="M1413" t="s">
        <v>82</v>
      </c>
      <c r="P1413" t="s">
        <v>83</v>
      </c>
      <c r="Q1413" t="s">
        <v>82</v>
      </c>
      <c r="R1413">
        <v>83.5</v>
      </c>
      <c r="S1413">
        <v>151</v>
      </c>
      <c r="T1413" s="8">
        <f t="shared" si="45"/>
        <v>36.621200824525239</v>
      </c>
      <c r="U1413" s="13" t="str" cm="1">
        <f t="array" ref="U1413">IF(T1413="","",_xlfn.IFS(T1413&lt;18.5,"Bajo peso",T1413&lt;25,"Peso normal",T1413&lt;30,"Sobrepeso",T1413&lt;35,"Obesidad clase I",T1413&lt;40,"Obesidad clase II",T1413&gt;=40,"Obesidad clase III"))</f>
        <v>Obesidad clase II</v>
      </c>
      <c r="V1413">
        <v>97</v>
      </c>
      <c r="X1413" t="s">
        <v>3463</v>
      </c>
      <c r="Y1413">
        <v>0.69</v>
      </c>
      <c r="AA1413">
        <v>90</v>
      </c>
      <c r="AB1413" s="9">
        <f t="shared" si="44"/>
        <v>115.99508513761123</v>
      </c>
      <c r="AD1413" t="s">
        <v>73</v>
      </c>
      <c r="AF1413" t="s">
        <v>73</v>
      </c>
      <c r="AH1413" t="s">
        <v>3463</v>
      </c>
      <c r="AI1413" t="s">
        <v>3463</v>
      </c>
      <c r="AJ1413" t="s">
        <v>3465</v>
      </c>
      <c r="AK1413" t="s">
        <v>3465</v>
      </c>
      <c r="AL1413" t="s">
        <v>3463</v>
      </c>
      <c r="AP1413" t="s">
        <v>3463</v>
      </c>
      <c r="AT1413" t="s">
        <v>3463</v>
      </c>
      <c r="AV1413" t="s">
        <v>126</v>
      </c>
      <c r="AW1413" t="s">
        <v>126</v>
      </c>
      <c r="AX1413" t="s">
        <v>3463</v>
      </c>
      <c r="AY1413" t="s">
        <v>3465</v>
      </c>
      <c r="AZ1413" t="s">
        <v>90</v>
      </c>
      <c r="BF1413" t="s">
        <v>3921</v>
      </c>
      <c r="BH1413" t="s">
        <v>4020</v>
      </c>
      <c r="BP1413" t="s">
        <v>4260</v>
      </c>
      <c r="BQ1413" t="s">
        <v>3463</v>
      </c>
      <c r="BR1413" t="s">
        <v>3465</v>
      </c>
      <c r="BS1413" t="s">
        <v>3465</v>
      </c>
      <c r="BT1413" t="s">
        <v>3465</v>
      </c>
      <c r="BU1413" t="s">
        <v>3463</v>
      </c>
      <c r="BV1413" t="s">
        <v>3463</v>
      </c>
      <c r="BW1413" t="s">
        <v>3463</v>
      </c>
      <c r="BX1413" t="s">
        <v>79</v>
      </c>
      <c r="BY1413" t="s">
        <v>79</v>
      </c>
      <c r="BZ1413" t="s">
        <v>79</v>
      </c>
      <c r="CA1413" s="10">
        <v>45913</v>
      </c>
    </row>
    <row r="1414" spans="1:79">
      <c r="A1414">
        <v>1427</v>
      </c>
      <c r="B1414">
        <v>54</v>
      </c>
      <c r="C1414">
        <v>63</v>
      </c>
      <c r="D1414" t="s">
        <v>3462</v>
      </c>
      <c r="F1414" t="s">
        <v>1804</v>
      </c>
      <c r="G1414" s="12" t="s">
        <v>3465</v>
      </c>
      <c r="H1414" s="12" t="s">
        <v>88</v>
      </c>
      <c r="I1414">
        <v>64</v>
      </c>
      <c r="J1414">
        <v>63</v>
      </c>
      <c r="K1414">
        <v>176</v>
      </c>
      <c r="L1414">
        <v>96</v>
      </c>
      <c r="M1414" t="s">
        <v>72</v>
      </c>
      <c r="N1414">
        <v>176</v>
      </c>
      <c r="O1414">
        <v>92</v>
      </c>
      <c r="P1414" t="s">
        <v>72</v>
      </c>
      <c r="Q1414" t="s">
        <v>72</v>
      </c>
      <c r="R1414">
        <v>95.8</v>
      </c>
      <c r="S1414">
        <v>169</v>
      </c>
      <c r="T1414" s="8">
        <f t="shared" si="45"/>
        <v>33.542242918665309</v>
      </c>
      <c r="U1414" s="13" t="str" cm="1">
        <f t="array" ref="U1414">IF(T1414="","",_xlfn.IFS(T1414&lt;18.5,"Bajo peso",T1414&lt;25,"Peso normal",T1414&lt;30,"Sobrepeso",T1414&lt;35,"Obesidad clase I",T1414&lt;40,"Obesidad clase II",T1414&gt;=40,"Obesidad clase III"))</f>
        <v>Obesidad clase I</v>
      </c>
      <c r="V1414">
        <v>124</v>
      </c>
      <c r="X1414" t="s">
        <v>3463</v>
      </c>
      <c r="Y1414">
        <v>1.23</v>
      </c>
      <c r="AA1414">
        <v>66</v>
      </c>
      <c r="AB1414" s="9">
        <f t="shared" si="44"/>
        <v>65.967457171969997</v>
      </c>
      <c r="AD1414" t="s">
        <v>73</v>
      </c>
      <c r="AF1414" t="s">
        <v>73</v>
      </c>
      <c r="AH1414" t="s">
        <v>3463</v>
      </c>
      <c r="AI1414" t="s">
        <v>3465</v>
      </c>
      <c r="AJ1414" t="s">
        <v>3463</v>
      </c>
      <c r="AK1414" t="s">
        <v>3463</v>
      </c>
      <c r="AL1414" t="s">
        <v>3464</v>
      </c>
      <c r="AP1414" t="s">
        <v>3463</v>
      </c>
      <c r="AQ1414" t="s">
        <v>1078</v>
      </c>
      <c r="AR1414" t="s">
        <v>3512</v>
      </c>
      <c r="AS1414" t="s">
        <v>3465</v>
      </c>
      <c r="AV1414" t="s">
        <v>112</v>
      </c>
      <c r="AW1414" t="s">
        <v>3917</v>
      </c>
      <c r="BA1414" t="s">
        <v>3920</v>
      </c>
      <c r="BE1414" t="s">
        <v>3069</v>
      </c>
      <c r="BF1414" t="s">
        <v>3996</v>
      </c>
      <c r="BH1414" t="s">
        <v>4029</v>
      </c>
      <c r="BI1414" t="s">
        <v>1257</v>
      </c>
      <c r="BP1414" t="s">
        <v>4260</v>
      </c>
      <c r="BQ1414" t="s">
        <v>3465</v>
      </c>
      <c r="BR1414" t="s">
        <v>3465</v>
      </c>
      <c r="BS1414" t="s">
        <v>3463</v>
      </c>
      <c r="BT1414" t="s">
        <v>3463</v>
      </c>
      <c r="BU1414" t="s">
        <v>3463</v>
      </c>
      <c r="BV1414" t="s">
        <v>3463</v>
      </c>
      <c r="BW1414" t="s">
        <v>3463</v>
      </c>
      <c r="BX1414" t="s">
        <v>79</v>
      </c>
      <c r="BY1414" t="s">
        <v>79</v>
      </c>
      <c r="BZ1414" t="s">
        <v>95</v>
      </c>
      <c r="CA1414" s="10">
        <v>45913</v>
      </c>
    </row>
    <row r="1415" spans="1:79">
      <c r="A1415">
        <v>1428</v>
      </c>
      <c r="B1415">
        <v>55</v>
      </c>
      <c r="C1415">
        <v>56</v>
      </c>
      <c r="D1415" t="s">
        <v>3466</v>
      </c>
      <c r="E1415" t="s">
        <v>2955</v>
      </c>
      <c r="F1415" t="s">
        <v>1804</v>
      </c>
      <c r="G1415" s="12" t="s">
        <v>3463</v>
      </c>
      <c r="I1415">
        <v>80</v>
      </c>
      <c r="J1415">
        <v>73</v>
      </c>
      <c r="K1415">
        <v>148</v>
      </c>
      <c r="L1415">
        <v>68</v>
      </c>
      <c r="M1415" t="s">
        <v>72</v>
      </c>
      <c r="N1415">
        <v>136</v>
      </c>
      <c r="O1415">
        <v>64</v>
      </c>
      <c r="P1415" t="s">
        <v>82</v>
      </c>
      <c r="Q1415" t="s">
        <v>82</v>
      </c>
      <c r="R1415">
        <v>84.1</v>
      </c>
      <c r="S1415">
        <v>160.5</v>
      </c>
      <c r="T1415" s="8">
        <f t="shared" si="45"/>
        <v>32.647198687900932</v>
      </c>
      <c r="U1415" s="13" t="str" cm="1">
        <f t="array" ref="U1415">IF(T1415="","",_xlfn.IFS(T1415&lt;18.5,"Bajo peso",T1415&lt;25,"Peso normal",T1415&lt;30,"Sobrepeso",T1415&lt;35,"Obesidad clase I",T1415&lt;40,"Obesidad clase II",T1415&gt;=40,"Obesidad clase III"))</f>
        <v>Obesidad clase I</v>
      </c>
      <c r="V1415">
        <v>145</v>
      </c>
      <c r="X1415" t="s">
        <v>3463</v>
      </c>
      <c r="Y1415">
        <v>0.69</v>
      </c>
      <c r="AA1415">
        <v>90</v>
      </c>
      <c r="AB1415" s="9">
        <f t="shared" si="44"/>
        <v>101.79312063902103</v>
      </c>
      <c r="AD1415" t="s">
        <v>73</v>
      </c>
      <c r="AF1415" t="s">
        <v>73</v>
      </c>
      <c r="AG1415" t="s">
        <v>3465</v>
      </c>
      <c r="AH1415" t="s">
        <v>3465</v>
      </c>
      <c r="AI1415" t="s">
        <v>3465</v>
      </c>
      <c r="AJ1415" t="s">
        <v>3463</v>
      </c>
      <c r="AK1415" t="s">
        <v>3463</v>
      </c>
      <c r="AL1415" t="s">
        <v>3465</v>
      </c>
      <c r="AM1415" t="s">
        <v>3070</v>
      </c>
      <c r="AN1415" t="s">
        <v>3649</v>
      </c>
      <c r="AP1415" t="s">
        <v>3463</v>
      </c>
      <c r="AQ1415" t="s">
        <v>3071</v>
      </c>
      <c r="AR1415" t="s">
        <v>3488</v>
      </c>
      <c r="AS1415" t="s">
        <v>3465</v>
      </c>
      <c r="AT1415" t="s">
        <v>3465</v>
      </c>
      <c r="AU1415" t="s">
        <v>80</v>
      </c>
      <c r="AV1415" t="s">
        <v>74</v>
      </c>
      <c r="AW1415" t="s">
        <v>3915</v>
      </c>
      <c r="AY1415" t="s">
        <v>3465</v>
      </c>
      <c r="AZ1415" t="s">
        <v>90</v>
      </c>
      <c r="BF1415" t="s">
        <v>3921</v>
      </c>
      <c r="BH1415" t="s">
        <v>4020</v>
      </c>
      <c r="BP1415" t="s">
        <v>4260</v>
      </c>
      <c r="BQ1415" t="s">
        <v>3463</v>
      </c>
      <c r="BR1415" t="s">
        <v>3463</v>
      </c>
      <c r="BS1415" t="s">
        <v>3463</v>
      </c>
      <c r="BT1415" t="s">
        <v>3465</v>
      </c>
      <c r="BU1415" t="s">
        <v>3463</v>
      </c>
      <c r="BX1415" t="s">
        <v>79</v>
      </c>
      <c r="BY1415" t="s">
        <v>121</v>
      </c>
      <c r="BZ1415" t="s">
        <v>79</v>
      </c>
      <c r="CA1415" s="10">
        <v>45913</v>
      </c>
    </row>
    <row r="1416" spans="1:79">
      <c r="A1416">
        <v>1429</v>
      </c>
      <c r="B1416">
        <v>56</v>
      </c>
      <c r="C1416">
        <v>62</v>
      </c>
      <c r="D1416" t="s">
        <v>3462</v>
      </c>
      <c r="E1416" t="s">
        <v>2975</v>
      </c>
      <c r="F1416" t="s">
        <v>1804</v>
      </c>
      <c r="G1416" s="12" t="s">
        <v>3463</v>
      </c>
      <c r="I1416">
        <v>54</v>
      </c>
      <c r="J1416">
        <v>59</v>
      </c>
      <c r="K1416">
        <v>146</v>
      </c>
      <c r="L1416">
        <v>78</v>
      </c>
      <c r="M1416" t="s">
        <v>72</v>
      </c>
      <c r="N1416">
        <v>143</v>
      </c>
      <c r="O1416">
        <v>84</v>
      </c>
      <c r="P1416" t="s">
        <v>72</v>
      </c>
      <c r="Q1416" t="s">
        <v>72</v>
      </c>
      <c r="R1416">
        <v>94.2</v>
      </c>
      <c r="S1416">
        <v>177</v>
      </c>
      <c r="T1416" s="8">
        <f t="shared" si="45"/>
        <v>30.067988126017429</v>
      </c>
      <c r="U1416" s="13" t="str" cm="1">
        <f t="array" ref="U1416">IF(T1416="","",_xlfn.IFS(T1416&lt;18.5,"Bajo peso",T1416&lt;25,"Peso normal",T1416&lt;30,"Sobrepeso",T1416&lt;35,"Obesidad clase I",T1416&lt;40,"Obesidad clase II",T1416&gt;=40,"Obesidad clase III"))</f>
        <v>Obesidad clase I</v>
      </c>
      <c r="V1416">
        <v>107</v>
      </c>
      <c r="X1416" t="s">
        <v>3463</v>
      </c>
      <c r="Y1416">
        <v>0.88</v>
      </c>
      <c r="AA1416">
        <v>90</v>
      </c>
      <c r="AB1416" s="9">
        <f t="shared" si="44"/>
        <v>97.223968600273508</v>
      </c>
      <c r="AD1416" t="s">
        <v>73</v>
      </c>
      <c r="AF1416" t="s">
        <v>73</v>
      </c>
      <c r="AG1416" t="s">
        <v>3465</v>
      </c>
      <c r="AH1416" t="s">
        <v>3465</v>
      </c>
      <c r="AI1416" t="s">
        <v>3465</v>
      </c>
      <c r="AJ1416" t="s">
        <v>3463</v>
      </c>
      <c r="AK1416" t="s">
        <v>3463</v>
      </c>
      <c r="AL1416" t="s">
        <v>3465</v>
      </c>
      <c r="AM1416" t="s">
        <v>1301</v>
      </c>
      <c r="AN1416" t="s">
        <v>3723</v>
      </c>
      <c r="AP1416" t="s">
        <v>3463</v>
      </c>
      <c r="AQ1416" t="s">
        <v>3028</v>
      </c>
      <c r="AR1416" t="s">
        <v>3508</v>
      </c>
      <c r="AS1416" t="s">
        <v>3465</v>
      </c>
      <c r="AV1416" t="s">
        <v>112</v>
      </c>
      <c r="AW1416" t="s">
        <v>3917</v>
      </c>
      <c r="BF1416" t="s">
        <v>3921</v>
      </c>
      <c r="BH1416" t="s">
        <v>4020</v>
      </c>
      <c r="BP1416" t="s">
        <v>4260</v>
      </c>
      <c r="BQ1416" t="s">
        <v>3463</v>
      </c>
      <c r="BR1416" t="s">
        <v>3463</v>
      </c>
      <c r="BS1416" t="s">
        <v>3463</v>
      </c>
      <c r="BT1416" t="s">
        <v>3463</v>
      </c>
      <c r="BU1416" t="s">
        <v>3463</v>
      </c>
      <c r="BV1416" t="s">
        <v>3463</v>
      </c>
      <c r="BW1416" t="s">
        <v>3463</v>
      </c>
      <c r="BX1416" t="s">
        <v>79</v>
      </c>
      <c r="BY1416" t="s">
        <v>79</v>
      </c>
      <c r="BZ1416" t="s">
        <v>79</v>
      </c>
      <c r="CA1416" s="10">
        <v>45913</v>
      </c>
    </row>
    <row r="1417" spans="1:79">
      <c r="A1417">
        <v>1430</v>
      </c>
      <c r="B1417">
        <v>57</v>
      </c>
      <c r="C1417">
        <v>59</v>
      </c>
      <c r="D1417" t="s">
        <v>3466</v>
      </c>
      <c r="E1417" t="s">
        <v>3072</v>
      </c>
      <c r="F1417" t="s">
        <v>1804</v>
      </c>
      <c r="G1417" s="12" t="s">
        <v>3463</v>
      </c>
      <c r="I1417">
        <v>76</v>
      </c>
      <c r="K1417">
        <v>135</v>
      </c>
      <c r="L1417">
        <v>83</v>
      </c>
      <c r="M1417" t="s">
        <v>82</v>
      </c>
      <c r="P1417" t="s">
        <v>83</v>
      </c>
      <c r="Q1417" t="s">
        <v>82</v>
      </c>
      <c r="R1417">
        <v>91.8</v>
      </c>
      <c r="S1417">
        <v>145</v>
      </c>
      <c r="T1417" s="8">
        <f t="shared" si="45"/>
        <v>43.662306777645661</v>
      </c>
      <c r="U1417" s="13" t="str" cm="1">
        <f t="array" ref="U1417">IF(T1417="","",_xlfn.IFS(T1417&lt;18.5,"Bajo peso",T1417&lt;25,"Peso normal",T1417&lt;30,"Sobrepeso",T1417&lt;35,"Obesidad clase I",T1417&lt;40,"Obesidad clase II",T1417&gt;=40,"Obesidad clase III"))</f>
        <v>Obesidad clase III</v>
      </c>
      <c r="V1417">
        <v>102</v>
      </c>
      <c r="X1417" t="s">
        <v>3463</v>
      </c>
      <c r="Y1417">
        <v>0.85</v>
      </c>
      <c r="AA1417">
        <v>79</v>
      </c>
      <c r="AB1417" s="9">
        <f t="shared" si="44"/>
        <v>78.872271071190326</v>
      </c>
      <c r="AD1417" t="s">
        <v>73</v>
      </c>
      <c r="AF1417" t="s">
        <v>73</v>
      </c>
      <c r="AH1417" t="s">
        <v>3463</v>
      </c>
      <c r="AI1417" t="s">
        <v>3465</v>
      </c>
      <c r="AJ1417" t="s">
        <v>3465</v>
      </c>
      <c r="AK1417" t="s">
        <v>3463</v>
      </c>
      <c r="AL1417" t="s">
        <v>3465</v>
      </c>
      <c r="AM1417" t="s">
        <v>3073</v>
      </c>
      <c r="AN1417" t="s">
        <v>3664</v>
      </c>
      <c r="AP1417" t="s">
        <v>3463</v>
      </c>
      <c r="AS1417" t="s">
        <v>3465</v>
      </c>
      <c r="AT1417" t="s">
        <v>3465</v>
      </c>
      <c r="AU1417" t="s">
        <v>80</v>
      </c>
      <c r="AV1417" t="s">
        <v>74</v>
      </c>
      <c r="AW1417" t="s">
        <v>3915</v>
      </c>
      <c r="AX1417" t="s">
        <v>3463</v>
      </c>
      <c r="AY1417" t="s">
        <v>3465</v>
      </c>
      <c r="AZ1417" t="s">
        <v>90</v>
      </c>
      <c r="BF1417" t="s">
        <v>3921</v>
      </c>
      <c r="BH1417" t="s">
        <v>4020</v>
      </c>
      <c r="BP1417" t="s">
        <v>4260</v>
      </c>
      <c r="BQ1417" t="s">
        <v>3463</v>
      </c>
      <c r="BR1417" t="s">
        <v>3463</v>
      </c>
      <c r="BS1417" t="s">
        <v>3465</v>
      </c>
      <c r="BT1417" t="s">
        <v>3465</v>
      </c>
      <c r="BU1417" t="s">
        <v>3463</v>
      </c>
      <c r="BV1417" t="s">
        <v>3463</v>
      </c>
      <c r="BW1417" t="s">
        <v>3463</v>
      </c>
      <c r="BX1417" t="s">
        <v>79</v>
      </c>
      <c r="BY1417" t="s">
        <v>79</v>
      </c>
      <c r="BZ1417" t="s">
        <v>79</v>
      </c>
      <c r="CA1417" s="10">
        <v>45913</v>
      </c>
    </row>
    <row r="1418" spans="1:79">
      <c r="A1418">
        <v>1431</v>
      </c>
      <c r="B1418">
        <v>58</v>
      </c>
      <c r="C1418">
        <v>63</v>
      </c>
      <c r="D1418" t="s">
        <v>3466</v>
      </c>
      <c r="E1418" t="s">
        <v>3074</v>
      </c>
      <c r="F1418" t="s">
        <v>1804</v>
      </c>
      <c r="G1418" s="12" t="s">
        <v>3463</v>
      </c>
      <c r="H1418" s="12"/>
      <c r="I1418">
        <v>89</v>
      </c>
      <c r="K1418">
        <v>135</v>
      </c>
      <c r="L1418">
        <v>75</v>
      </c>
      <c r="M1418" t="s">
        <v>82</v>
      </c>
      <c r="P1418" t="s">
        <v>83</v>
      </c>
      <c r="Q1418" t="s">
        <v>82</v>
      </c>
      <c r="R1418">
        <v>79.900000000000006</v>
      </c>
      <c r="S1418">
        <v>146</v>
      </c>
      <c r="T1418" s="8">
        <f t="shared" si="45"/>
        <v>37.483580409082386</v>
      </c>
      <c r="U1418" s="13" t="str" cm="1">
        <f t="array" ref="U1418">IF(T1418="","",_xlfn.IFS(T1418&lt;18.5,"Bajo peso",T1418&lt;25,"Peso normal",T1418&lt;30,"Sobrepeso",T1418&lt;35,"Obesidad clase I",T1418&lt;40,"Obesidad clase II",T1418&gt;=40,"Obesidad clase III"))</f>
        <v>Obesidad clase II</v>
      </c>
      <c r="V1418">
        <v>114</v>
      </c>
      <c r="X1418" t="s">
        <v>3463</v>
      </c>
      <c r="Y1418">
        <v>0.87</v>
      </c>
      <c r="AA1418">
        <v>75</v>
      </c>
      <c r="AB1418" s="9">
        <f t="shared" si="44"/>
        <v>74.816936882784304</v>
      </c>
      <c r="AD1418" t="s">
        <v>73</v>
      </c>
      <c r="AF1418" t="s">
        <v>73</v>
      </c>
      <c r="AH1418" t="s">
        <v>3463</v>
      </c>
      <c r="AI1418" t="s">
        <v>3463</v>
      </c>
      <c r="AJ1418" t="s">
        <v>3465</v>
      </c>
      <c r="AK1418" t="s">
        <v>3465</v>
      </c>
      <c r="AL1418" t="s">
        <v>3465</v>
      </c>
      <c r="AM1418" t="s">
        <v>116</v>
      </c>
      <c r="AN1418" t="s">
        <v>116</v>
      </c>
      <c r="AP1418" t="s">
        <v>3463</v>
      </c>
      <c r="AQ1418" t="s">
        <v>120</v>
      </c>
      <c r="AR1418" t="s">
        <v>3491</v>
      </c>
      <c r="AT1418" t="s">
        <v>3465</v>
      </c>
      <c r="AU1418" t="s">
        <v>80</v>
      </c>
      <c r="AV1418" t="s">
        <v>74</v>
      </c>
      <c r="AW1418" t="s">
        <v>3915</v>
      </c>
      <c r="AX1418" t="s">
        <v>3463</v>
      </c>
      <c r="AY1418" t="s">
        <v>3465</v>
      </c>
      <c r="AZ1418" t="s">
        <v>247</v>
      </c>
      <c r="BF1418" t="s">
        <v>3921</v>
      </c>
      <c r="BH1418" t="s">
        <v>4020</v>
      </c>
      <c r="BP1418" t="s">
        <v>4260</v>
      </c>
      <c r="BQ1418" t="s">
        <v>3463</v>
      </c>
      <c r="BR1418" t="s">
        <v>3463</v>
      </c>
      <c r="BS1418" t="s">
        <v>3463</v>
      </c>
      <c r="BT1418" t="s">
        <v>3463</v>
      </c>
      <c r="BU1418" t="s">
        <v>3463</v>
      </c>
      <c r="BX1418" t="s">
        <v>79</v>
      </c>
      <c r="BY1418" t="s">
        <v>79</v>
      </c>
      <c r="BZ1418" t="s">
        <v>79</v>
      </c>
      <c r="CA1418" s="10">
        <v>45913</v>
      </c>
    </row>
    <row r="1419" spans="1:79">
      <c r="A1419">
        <v>1432</v>
      </c>
      <c r="B1419">
        <v>59</v>
      </c>
      <c r="C1419">
        <v>78</v>
      </c>
      <c r="D1419" t="s">
        <v>3466</v>
      </c>
      <c r="E1419" t="s">
        <v>2975</v>
      </c>
      <c r="F1419" t="s">
        <v>1804</v>
      </c>
      <c r="G1419" s="12" t="s">
        <v>3463</v>
      </c>
      <c r="I1419">
        <v>60</v>
      </c>
      <c r="J1419">
        <v>60</v>
      </c>
      <c r="K1419">
        <v>214</v>
      </c>
      <c r="L1419">
        <v>81</v>
      </c>
      <c r="M1419" t="s">
        <v>96</v>
      </c>
      <c r="N1419">
        <v>173</v>
      </c>
      <c r="O1419">
        <v>83</v>
      </c>
      <c r="P1419" t="s">
        <v>72</v>
      </c>
      <c r="Q1419" t="s">
        <v>72</v>
      </c>
      <c r="R1419">
        <v>78.8</v>
      </c>
      <c r="S1419">
        <v>149</v>
      </c>
      <c r="T1419" s="8">
        <f t="shared" si="45"/>
        <v>35.49389667132111</v>
      </c>
      <c r="U1419" s="13" t="str" cm="1">
        <f t="array" ref="U1419">IF(T1419="","",_xlfn.IFS(T1419&lt;18.5,"Bajo peso",T1419&lt;25,"Peso normal",T1419&lt;30,"Sobrepeso",T1419&lt;35,"Obesidad clase I",T1419&lt;40,"Obesidad clase II",T1419&gt;=40,"Obesidad clase III"))</f>
        <v>Obesidad clase II</v>
      </c>
      <c r="V1419">
        <v>123</v>
      </c>
      <c r="X1419" t="s">
        <v>3463</v>
      </c>
      <c r="Y1419">
        <v>1.21</v>
      </c>
      <c r="AA1419">
        <v>46</v>
      </c>
      <c r="AB1419" s="9">
        <f t="shared" si="44"/>
        <v>45.873879395216875</v>
      </c>
      <c r="AD1419" t="s">
        <v>158</v>
      </c>
      <c r="AF1419" t="s">
        <v>158</v>
      </c>
      <c r="AG1419" t="s">
        <v>3463</v>
      </c>
      <c r="AH1419" t="s">
        <v>3465</v>
      </c>
      <c r="AI1419" t="s">
        <v>3465</v>
      </c>
      <c r="AJ1419" t="s">
        <v>3463</v>
      </c>
      <c r="AK1419" t="s">
        <v>3463</v>
      </c>
      <c r="AL1419" t="s">
        <v>3465</v>
      </c>
      <c r="AM1419" t="s">
        <v>110</v>
      </c>
      <c r="AN1419" t="s">
        <v>110</v>
      </c>
      <c r="AP1419" t="s">
        <v>3463</v>
      </c>
      <c r="AQ1419" t="s">
        <v>3028</v>
      </c>
      <c r="AR1419" t="s">
        <v>3508</v>
      </c>
      <c r="AS1419" t="s">
        <v>3465</v>
      </c>
      <c r="AT1419" t="s">
        <v>3465</v>
      </c>
      <c r="AU1419" t="s">
        <v>125</v>
      </c>
      <c r="AV1419" t="s">
        <v>74</v>
      </c>
      <c r="AW1419" t="s">
        <v>3915</v>
      </c>
      <c r="AX1419" t="s">
        <v>3463</v>
      </c>
      <c r="AY1419" t="s">
        <v>3463</v>
      </c>
      <c r="BA1419" t="s">
        <v>3920</v>
      </c>
      <c r="BB1419" t="s">
        <v>3485</v>
      </c>
      <c r="BF1419" t="s">
        <v>3921</v>
      </c>
      <c r="BG1419" t="s">
        <v>3075</v>
      </c>
      <c r="BH1419" t="s">
        <v>4243</v>
      </c>
      <c r="BI1419" t="s">
        <v>2961</v>
      </c>
      <c r="BK1419" t="s">
        <v>3076</v>
      </c>
      <c r="BL1419" t="s">
        <v>3077</v>
      </c>
      <c r="BP1419" t="s">
        <v>4554</v>
      </c>
      <c r="BQ1419" t="s">
        <v>3463</v>
      </c>
      <c r="BR1419" t="s">
        <v>3463</v>
      </c>
      <c r="BS1419" t="s">
        <v>3463</v>
      </c>
      <c r="BT1419" t="s">
        <v>3463</v>
      </c>
      <c r="BU1419" t="s">
        <v>3463</v>
      </c>
      <c r="BV1419" t="s">
        <v>3463</v>
      </c>
      <c r="BW1419" t="s">
        <v>3463</v>
      </c>
      <c r="BX1419" t="s">
        <v>79</v>
      </c>
      <c r="BY1419" t="s">
        <v>79</v>
      </c>
      <c r="BZ1419" t="s">
        <v>79</v>
      </c>
      <c r="CA1419" s="10">
        <v>45913</v>
      </c>
    </row>
    <row r="1420" spans="1:79">
      <c r="A1420">
        <v>1433</v>
      </c>
      <c r="B1420">
        <v>60</v>
      </c>
      <c r="C1420">
        <v>70</v>
      </c>
      <c r="D1420" t="s">
        <v>3466</v>
      </c>
      <c r="E1420" t="s">
        <v>3072</v>
      </c>
      <c r="F1420" t="s">
        <v>1804</v>
      </c>
      <c r="G1420" s="12" t="s">
        <v>3463</v>
      </c>
      <c r="I1420">
        <v>97</v>
      </c>
      <c r="J1420">
        <v>94</v>
      </c>
      <c r="K1420">
        <v>170</v>
      </c>
      <c r="L1420">
        <v>77</v>
      </c>
      <c r="M1420" t="s">
        <v>72</v>
      </c>
      <c r="N1420">
        <v>147</v>
      </c>
      <c r="O1420">
        <v>73</v>
      </c>
      <c r="P1420" t="s">
        <v>72</v>
      </c>
      <c r="Q1420" t="s">
        <v>72</v>
      </c>
      <c r="R1420">
        <v>67.8</v>
      </c>
      <c r="S1420">
        <v>153</v>
      </c>
      <c r="T1420" s="8">
        <f t="shared" si="45"/>
        <v>28.963219274637957</v>
      </c>
      <c r="U1420" s="13" t="str" cm="1">
        <f t="array" ref="U1420">IF(T1420="","",_xlfn.IFS(T1420&lt;18.5,"Bajo peso",T1420&lt;25,"Peso normal",T1420&lt;30,"Sobrepeso",T1420&lt;35,"Obesidad clase I",T1420&lt;40,"Obesidad clase II",T1420&gt;=40,"Obesidad clase III"))</f>
        <v>Sobrepeso</v>
      </c>
      <c r="V1420">
        <v>87</v>
      </c>
      <c r="X1420" t="s">
        <v>3463</v>
      </c>
      <c r="Y1420">
        <v>0.99</v>
      </c>
      <c r="AA1420">
        <v>61</v>
      </c>
      <c r="AB1420" s="9">
        <f t="shared" si="44"/>
        <v>61.341407959556072</v>
      </c>
      <c r="AD1420" t="s">
        <v>73</v>
      </c>
      <c r="AF1420" t="s">
        <v>73</v>
      </c>
      <c r="AH1420" t="s">
        <v>3463</v>
      </c>
      <c r="AI1420" t="s">
        <v>3463</v>
      </c>
      <c r="AJ1420" t="s">
        <v>3463</v>
      </c>
      <c r="AK1420" t="s">
        <v>3463</v>
      </c>
      <c r="AL1420" t="s">
        <v>3465</v>
      </c>
      <c r="AM1420" t="s">
        <v>697</v>
      </c>
      <c r="AN1420" t="s">
        <v>697</v>
      </c>
      <c r="AP1420" t="s">
        <v>3463</v>
      </c>
      <c r="AT1420" t="s">
        <v>3465</v>
      </c>
      <c r="AU1420" t="s">
        <v>80</v>
      </c>
      <c r="AV1420" t="s">
        <v>1346</v>
      </c>
      <c r="AW1420" t="s">
        <v>3919</v>
      </c>
      <c r="AX1420" t="s">
        <v>3463</v>
      </c>
      <c r="AY1420" t="s">
        <v>3463</v>
      </c>
      <c r="AZ1420" t="s">
        <v>3078</v>
      </c>
      <c r="BA1420" t="s">
        <v>3920</v>
      </c>
      <c r="BC1420" t="s">
        <v>128</v>
      </c>
      <c r="BF1420" t="s">
        <v>3921</v>
      </c>
      <c r="BG1420" t="s">
        <v>3079</v>
      </c>
      <c r="BH1420" t="s">
        <v>4167</v>
      </c>
      <c r="BI1420" t="s">
        <v>425</v>
      </c>
      <c r="BK1420" t="s">
        <v>911</v>
      </c>
      <c r="BL1420" t="s">
        <v>3080</v>
      </c>
      <c r="BP1420" t="s">
        <v>4282</v>
      </c>
      <c r="BQ1420" t="s">
        <v>3463</v>
      </c>
      <c r="BR1420" t="s">
        <v>3463</v>
      </c>
      <c r="BS1420" t="s">
        <v>3463</v>
      </c>
      <c r="BT1420" t="s">
        <v>3463</v>
      </c>
      <c r="BU1420" t="s">
        <v>3465</v>
      </c>
      <c r="BV1420" t="s">
        <v>3463</v>
      </c>
      <c r="BW1420" t="s">
        <v>3463</v>
      </c>
      <c r="BX1420" t="s">
        <v>518</v>
      </c>
      <c r="BY1420" t="s">
        <v>87</v>
      </c>
      <c r="BZ1420" t="s">
        <v>79</v>
      </c>
      <c r="CA1420" s="10">
        <v>45913</v>
      </c>
    </row>
    <row r="1421" spans="1:79">
      <c r="A1421">
        <v>1434</v>
      </c>
      <c r="B1421">
        <v>61</v>
      </c>
      <c r="C1421">
        <v>62</v>
      </c>
      <c r="D1421" t="s">
        <v>3466</v>
      </c>
      <c r="E1421" t="s">
        <v>3081</v>
      </c>
      <c r="F1421" t="s">
        <v>1804</v>
      </c>
      <c r="G1421" s="12" t="s">
        <v>3465</v>
      </c>
      <c r="H1421" t="s">
        <v>88</v>
      </c>
      <c r="I1421">
        <v>77</v>
      </c>
      <c r="J1421">
        <v>74</v>
      </c>
      <c r="K1421">
        <v>143</v>
      </c>
      <c r="L1421">
        <v>86</v>
      </c>
      <c r="M1421" t="s">
        <v>72</v>
      </c>
      <c r="N1421">
        <v>149</v>
      </c>
      <c r="O1421">
        <v>93</v>
      </c>
      <c r="P1421" t="s">
        <v>72</v>
      </c>
      <c r="Q1421" t="s">
        <v>72</v>
      </c>
      <c r="R1421">
        <v>73.3</v>
      </c>
      <c r="S1421">
        <v>144</v>
      </c>
      <c r="T1421" s="8">
        <f t="shared" si="45"/>
        <v>35.349151234567898</v>
      </c>
      <c r="U1421" s="13" t="str" cm="1">
        <f t="array" ref="U1421">IF(T1421="","",_xlfn.IFS(T1421&lt;18.5,"Bajo peso",T1421&lt;25,"Peso normal",T1421&lt;30,"Sobrepeso",T1421&lt;35,"Obesidad clase I",T1421&lt;40,"Obesidad clase II",T1421&gt;=40,"Obesidad clase III"))</f>
        <v>Obesidad clase II</v>
      </c>
      <c r="V1421">
        <v>100</v>
      </c>
      <c r="X1421" t="s">
        <v>3463</v>
      </c>
      <c r="Y1421">
        <v>0.72</v>
      </c>
      <c r="AA1421">
        <v>90</v>
      </c>
      <c r="AB1421" s="9">
        <f t="shared" si="44"/>
        <v>94.476770327691838</v>
      </c>
      <c r="AD1421" t="s">
        <v>73</v>
      </c>
      <c r="AF1421" t="s">
        <v>73</v>
      </c>
      <c r="AH1421" t="s">
        <v>3463</v>
      </c>
      <c r="AI1421" t="s">
        <v>3465</v>
      </c>
      <c r="AJ1421" t="s">
        <v>3463</v>
      </c>
      <c r="AK1421" t="s">
        <v>3463</v>
      </c>
      <c r="AL1421" t="s">
        <v>3465</v>
      </c>
      <c r="AM1421" t="s">
        <v>334</v>
      </c>
      <c r="AN1421" t="s">
        <v>334</v>
      </c>
      <c r="AP1421" t="s">
        <v>3463</v>
      </c>
      <c r="AQ1421" t="s">
        <v>3082</v>
      </c>
      <c r="AR1421" t="s">
        <v>3580</v>
      </c>
      <c r="AS1421" t="s">
        <v>3465</v>
      </c>
      <c r="AT1421" t="s">
        <v>3465</v>
      </c>
      <c r="AU1421" t="s">
        <v>80</v>
      </c>
      <c r="AV1421" t="s">
        <v>112</v>
      </c>
      <c r="AW1421" t="s">
        <v>3917</v>
      </c>
      <c r="AY1421" t="s">
        <v>3465</v>
      </c>
      <c r="AZ1421" t="s">
        <v>90</v>
      </c>
      <c r="BF1421" t="s">
        <v>3921</v>
      </c>
      <c r="BH1421" t="s">
        <v>4020</v>
      </c>
      <c r="BP1421" t="s">
        <v>4260</v>
      </c>
      <c r="BQ1421" t="s">
        <v>3463</v>
      </c>
      <c r="BR1421" t="s">
        <v>3463</v>
      </c>
      <c r="BS1421" t="s">
        <v>3465</v>
      </c>
      <c r="BT1421" t="s">
        <v>3465</v>
      </c>
      <c r="BU1421" t="s">
        <v>3463</v>
      </c>
      <c r="BV1421" t="s">
        <v>3463</v>
      </c>
      <c r="BW1421" t="s">
        <v>3463</v>
      </c>
      <c r="BX1421" t="s">
        <v>79</v>
      </c>
      <c r="BY1421" t="s">
        <v>79</v>
      </c>
      <c r="BZ1421" t="s">
        <v>79</v>
      </c>
      <c r="CA1421" s="10">
        <v>45913</v>
      </c>
    </row>
    <row r="1422" spans="1:79">
      <c r="A1422">
        <v>1435</v>
      </c>
      <c r="B1422">
        <v>62</v>
      </c>
      <c r="C1422">
        <v>48</v>
      </c>
      <c r="D1422" t="s">
        <v>3466</v>
      </c>
      <c r="E1422" t="s">
        <v>2955</v>
      </c>
      <c r="F1422" t="s">
        <v>1804</v>
      </c>
      <c r="G1422" s="12" t="s">
        <v>3465</v>
      </c>
      <c r="H1422" t="s">
        <v>88</v>
      </c>
      <c r="I1422">
        <v>63</v>
      </c>
      <c r="J1422">
        <v>62</v>
      </c>
      <c r="K1422">
        <v>150</v>
      </c>
      <c r="L1422">
        <v>71</v>
      </c>
      <c r="M1422" t="s">
        <v>72</v>
      </c>
      <c r="N1422">
        <v>126</v>
      </c>
      <c r="O1422">
        <v>85</v>
      </c>
      <c r="P1422" t="s">
        <v>82</v>
      </c>
      <c r="Q1422" t="s">
        <v>82</v>
      </c>
      <c r="R1422">
        <v>72</v>
      </c>
      <c r="S1422">
        <v>153</v>
      </c>
      <c r="T1422" s="8">
        <f t="shared" si="45"/>
        <v>30.757400999615534</v>
      </c>
      <c r="U1422" s="13" t="str" cm="1">
        <f t="array" ref="U1422">IF(T1422="","",_xlfn.IFS(T1422&lt;18.5,"Bajo peso",T1422&lt;25,"Peso normal",T1422&lt;30,"Sobrepeso",T1422&lt;35,"Obesidad clase I",T1422&lt;40,"Obesidad clase II",T1422&gt;=40,"Obesidad clase III"))</f>
        <v>Obesidad clase I</v>
      </c>
      <c r="V1422">
        <v>98</v>
      </c>
      <c r="X1422" t="s">
        <v>3463</v>
      </c>
      <c r="Y1422">
        <v>0.67</v>
      </c>
      <c r="AA1422">
        <v>90</v>
      </c>
      <c r="AB1422" s="9">
        <f t="shared" si="44"/>
        <v>107.74697662863534</v>
      </c>
      <c r="AD1422" t="s">
        <v>73</v>
      </c>
      <c r="AF1422" t="s">
        <v>73</v>
      </c>
      <c r="AH1422" t="s">
        <v>3463</v>
      </c>
      <c r="AI1422" t="s">
        <v>3463</v>
      </c>
      <c r="AJ1422" t="s">
        <v>3463</v>
      </c>
      <c r="AK1422" t="s">
        <v>3463</v>
      </c>
      <c r="AL1422" t="s">
        <v>3463</v>
      </c>
      <c r="AP1422" t="s">
        <v>3463</v>
      </c>
      <c r="AQ1422" t="s">
        <v>120</v>
      </c>
      <c r="AR1422" t="s">
        <v>3491</v>
      </c>
      <c r="AT1422" t="s">
        <v>3465</v>
      </c>
      <c r="AU1422" t="s">
        <v>125</v>
      </c>
      <c r="AV1422" t="s">
        <v>74</v>
      </c>
      <c r="AW1422" t="s">
        <v>3915</v>
      </c>
      <c r="AX1422" t="s">
        <v>3463</v>
      </c>
      <c r="AY1422" t="s">
        <v>3465</v>
      </c>
      <c r="AZ1422" t="s">
        <v>104</v>
      </c>
      <c r="BC1422" t="s">
        <v>128</v>
      </c>
      <c r="BF1422" t="s">
        <v>3921</v>
      </c>
      <c r="BG1422" t="s">
        <v>3083</v>
      </c>
      <c r="BH1422" t="s">
        <v>4021</v>
      </c>
      <c r="BI1422" t="s">
        <v>76</v>
      </c>
      <c r="BL1422" t="s">
        <v>720</v>
      </c>
      <c r="BP1422" t="s">
        <v>4261</v>
      </c>
      <c r="BQ1422" t="s">
        <v>3463</v>
      </c>
      <c r="BR1422" t="s">
        <v>3463</v>
      </c>
      <c r="BS1422" t="s">
        <v>3463</v>
      </c>
      <c r="BT1422" t="s">
        <v>3465</v>
      </c>
      <c r="BU1422" t="s">
        <v>3463</v>
      </c>
      <c r="BX1422" t="s">
        <v>79</v>
      </c>
      <c r="BY1422" t="s">
        <v>79</v>
      </c>
      <c r="BZ1422" t="s">
        <v>79</v>
      </c>
      <c r="CA1422" s="10">
        <v>45913</v>
      </c>
    </row>
    <row r="1423" spans="1:79">
      <c r="A1423">
        <v>1436</v>
      </c>
      <c r="B1423">
        <v>63</v>
      </c>
      <c r="C1423">
        <v>26</v>
      </c>
      <c r="D1423" t="s">
        <v>3466</v>
      </c>
      <c r="E1423" t="s">
        <v>2975</v>
      </c>
      <c r="F1423" t="s">
        <v>1804</v>
      </c>
      <c r="G1423" s="12" t="s">
        <v>3465</v>
      </c>
      <c r="H1423" t="s">
        <v>88</v>
      </c>
      <c r="I1423">
        <v>72</v>
      </c>
      <c r="J1423">
        <v>71</v>
      </c>
      <c r="K1423">
        <v>169</v>
      </c>
      <c r="L1423">
        <v>96</v>
      </c>
      <c r="M1423" t="s">
        <v>72</v>
      </c>
      <c r="N1423">
        <v>151</v>
      </c>
      <c r="O1423">
        <v>86</v>
      </c>
      <c r="P1423" t="s">
        <v>72</v>
      </c>
      <c r="Q1423" t="s">
        <v>72</v>
      </c>
      <c r="R1423">
        <v>80.7</v>
      </c>
      <c r="S1423">
        <v>150</v>
      </c>
      <c r="T1423" s="8">
        <f t="shared" si="45"/>
        <v>35.866666666666667</v>
      </c>
      <c r="U1423" s="13" t="str" cm="1">
        <f t="array" ref="U1423">IF(T1423="","",_xlfn.IFS(T1423&lt;18.5,"Bajo peso",T1423&lt;25,"Peso normal",T1423&lt;30,"Sobrepeso",T1423&lt;35,"Obesidad clase I",T1423&lt;40,"Obesidad clase II",T1423&gt;=40,"Obesidad clase III"))</f>
        <v>Obesidad clase II</v>
      </c>
      <c r="V1423">
        <v>90</v>
      </c>
      <c r="X1423" t="s">
        <v>3463</v>
      </c>
      <c r="Y1423">
        <v>0.61</v>
      </c>
      <c r="AA1423">
        <v>90</v>
      </c>
      <c r="AB1423" s="9">
        <f t="shared" si="44"/>
        <v>126.37081807176227</v>
      </c>
      <c r="AD1423" t="s">
        <v>73</v>
      </c>
      <c r="AF1423" t="s">
        <v>73</v>
      </c>
      <c r="AH1423" t="s">
        <v>3463</v>
      </c>
      <c r="AI1423" t="s">
        <v>3463</v>
      </c>
      <c r="AJ1423" t="s">
        <v>3463</v>
      </c>
      <c r="AK1423" t="s">
        <v>3463</v>
      </c>
      <c r="AL1423" t="s">
        <v>3463</v>
      </c>
      <c r="AP1423" t="s">
        <v>3463</v>
      </c>
      <c r="AQ1423" t="s">
        <v>3001</v>
      </c>
      <c r="AR1423" t="s">
        <v>3508</v>
      </c>
      <c r="AT1423" t="s">
        <v>3463</v>
      </c>
      <c r="AV1423" t="s">
        <v>74</v>
      </c>
      <c r="AW1423" t="s">
        <v>3915</v>
      </c>
      <c r="AX1423" t="s">
        <v>3463</v>
      </c>
      <c r="AY1423" t="s">
        <v>3465</v>
      </c>
      <c r="AZ1423" t="s">
        <v>247</v>
      </c>
      <c r="BE1423" t="s">
        <v>3084</v>
      </c>
      <c r="BF1423" t="s">
        <v>3997</v>
      </c>
      <c r="BG1423" t="s">
        <v>3085</v>
      </c>
      <c r="BH1423" t="s">
        <v>4021</v>
      </c>
      <c r="BK1423" t="s">
        <v>3086</v>
      </c>
      <c r="BL1423" t="s">
        <v>3087</v>
      </c>
      <c r="BP1423" t="s">
        <v>4450</v>
      </c>
      <c r="BQ1423" t="s">
        <v>3463</v>
      </c>
      <c r="BR1423" t="s">
        <v>3463</v>
      </c>
      <c r="BS1423" t="s">
        <v>3463</v>
      </c>
      <c r="BT1423" t="s">
        <v>3465</v>
      </c>
      <c r="BU1423" t="s">
        <v>3463</v>
      </c>
      <c r="BV1423" t="s">
        <v>3463</v>
      </c>
      <c r="BW1423" t="s">
        <v>3463</v>
      </c>
      <c r="BX1423" t="s">
        <v>79</v>
      </c>
      <c r="BY1423" t="s">
        <v>79</v>
      </c>
      <c r="BZ1423" t="s">
        <v>79</v>
      </c>
      <c r="CA1423" s="10">
        <v>45913</v>
      </c>
    </row>
    <row r="1424" spans="1:79">
      <c r="A1424">
        <v>1437</v>
      </c>
      <c r="B1424">
        <v>64</v>
      </c>
      <c r="C1424">
        <v>66</v>
      </c>
      <c r="D1424" t="s">
        <v>3466</v>
      </c>
      <c r="E1424" t="s">
        <v>2955</v>
      </c>
      <c r="F1424" t="s">
        <v>1804</v>
      </c>
      <c r="G1424" s="12" t="s">
        <v>3463</v>
      </c>
      <c r="I1424">
        <v>84</v>
      </c>
      <c r="K1424">
        <v>135</v>
      </c>
      <c r="L1424">
        <v>86</v>
      </c>
      <c r="M1424" t="s">
        <v>82</v>
      </c>
      <c r="P1424" t="s">
        <v>83</v>
      </c>
      <c r="Q1424" t="s">
        <v>82</v>
      </c>
      <c r="R1424">
        <v>73</v>
      </c>
      <c r="S1424">
        <v>152</v>
      </c>
      <c r="T1424" s="8">
        <f t="shared" si="45"/>
        <v>31.596260387811636</v>
      </c>
      <c r="U1424" s="13" t="str" cm="1">
        <f t="array" ref="U1424">IF(T1424="","",_xlfn.IFS(T1424&lt;18.5,"Bajo peso",T1424&lt;25,"Peso normal",T1424&lt;30,"Sobrepeso",T1424&lt;35,"Obesidad clase I",T1424&lt;40,"Obesidad clase II",T1424&gt;=40,"Obesidad clase III"))</f>
        <v>Obesidad clase I</v>
      </c>
      <c r="V1424">
        <v>91</v>
      </c>
      <c r="X1424" t="s">
        <v>3463</v>
      </c>
      <c r="Y1424">
        <v>1.02</v>
      </c>
      <c r="AA1424">
        <v>61</v>
      </c>
      <c r="AB1424" s="9">
        <f t="shared" si="44"/>
        <v>60.673604712717115</v>
      </c>
      <c r="AD1424" t="s">
        <v>73</v>
      </c>
      <c r="AF1424" t="s">
        <v>73</v>
      </c>
      <c r="AH1424" t="s">
        <v>3463</v>
      </c>
      <c r="AI1424" t="s">
        <v>3463</v>
      </c>
      <c r="AJ1424" t="s">
        <v>3465</v>
      </c>
      <c r="AK1424" t="s">
        <v>3463</v>
      </c>
      <c r="AL1424" t="s">
        <v>3465</v>
      </c>
      <c r="AM1424" t="s">
        <v>116</v>
      </c>
      <c r="AN1424" t="s">
        <v>116</v>
      </c>
      <c r="AP1424" t="s">
        <v>3463</v>
      </c>
      <c r="AT1424" t="s">
        <v>3465</v>
      </c>
      <c r="AU1424" t="s">
        <v>125</v>
      </c>
      <c r="AV1424" t="s">
        <v>126</v>
      </c>
      <c r="AW1424" t="s">
        <v>126</v>
      </c>
      <c r="AX1424" t="s">
        <v>3463</v>
      </c>
      <c r="AY1424" t="s">
        <v>3465</v>
      </c>
      <c r="AZ1424" t="s">
        <v>104</v>
      </c>
      <c r="BF1424" t="s">
        <v>3921</v>
      </c>
      <c r="BH1424" t="s">
        <v>4020</v>
      </c>
      <c r="BP1424" t="s">
        <v>4260</v>
      </c>
      <c r="BQ1424" t="s">
        <v>3463</v>
      </c>
      <c r="BR1424" t="s">
        <v>3463</v>
      </c>
      <c r="BS1424" t="s">
        <v>3463</v>
      </c>
      <c r="BT1424" t="s">
        <v>3465</v>
      </c>
      <c r="BU1424" t="s">
        <v>3463</v>
      </c>
      <c r="BX1424" t="s">
        <v>79</v>
      </c>
      <c r="BY1424" t="s">
        <v>79</v>
      </c>
      <c r="BZ1424" t="s">
        <v>79</v>
      </c>
      <c r="CA1424" s="10">
        <v>45913</v>
      </c>
    </row>
    <row r="1425" spans="1:79">
      <c r="A1425">
        <v>1438</v>
      </c>
      <c r="B1425">
        <v>65</v>
      </c>
      <c r="C1425">
        <v>66</v>
      </c>
      <c r="D1425" t="s">
        <v>3466</v>
      </c>
      <c r="E1425" t="s">
        <v>3072</v>
      </c>
      <c r="F1425" t="s">
        <v>1804</v>
      </c>
      <c r="G1425" s="12" t="s">
        <v>3463</v>
      </c>
      <c r="I1425">
        <v>74</v>
      </c>
      <c r="J1425">
        <v>67</v>
      </c>
      <c r="K1425">
        <v>144</v>
      </c>
      <c r="L1425">
        <v>64</v>
      </c>
      <c r="M1425" t="s">
        <v>72</v>
      </c>
      <c r="N1425">
        <v>136</v>
      </c>
      <c r="O1425">
        <v>69</v>
      </c>
      <c r="P1425" t="s">
        <v>82</v>
      </c>
      <c r="Q1425" t="s">
        <v>82</v>
      </c>
      <c r="R1425">
        <v>61.3</v>
      </c>
      <c r="S1425">
        <v>151</v>
      </c>
      <c r="T1425" s="8">
        <f t="shared" si="45"/>
        <v>26.884785755010746</v>
      </c>
      <c r="U1425" s="13" t="str" cm="1">
        <f t="array" ref="U1425">IF(T1425="","",_xlfn.IFS(T1425&lt;18.5,"Bajo peso",T1425&lt;25,"Peso normal",T1425&lt;30,"Sobrepeso",T1425&lt;35,"Obesidad clase I",T1425&lt;40,"Obesidad clase II",T1425&gt;=40,"Obesidad clase III"))</f>
        <v>Sobrepeso</v>
      </c>
      <c r="V1425">
        <v>82</v>
      </c>
      <c r="X1425" t="s">
        <v>3463</v>
      </c>
      <c r="Y1425">
        <v>0.94</v>
      </c>
      <c r="AA1425">
        <v>67</v>
      </c>
      <c r="AB1425" s="9">
        <f t="shared" si="44"/>
        <v>66.921640655232039</v>
      </c>
      <c r="AD1425" t="s">
        <v>73</v>
      </c>
      <c r="AF1425" t="s">
        <v>73</v>
      </c>
      <c r="AH1425" t="s">
        <v>3463</v>
      </c>
      <c r="AI1425" t="s">
        <v>3465</v>
      </c>
      <c r="AJ1425" t="s">
        <v>3463</v>
      </c>
      <c r="AK1425" t="s">
        <v>3463</v>
      </c>
      <c r="AL1425" t="s">
        <v>3465</v>
      </c>
      <c r="AM1425" t="s">
        <v>116</v>
      </c>
      <c r="AN1425" t="s">
        <v>116</v>
      </c>
      <c r="AP1425" t="s">
        <v>3463</v>
      </c>
      <c r="AQ1425" t="s">
        <v>148</v>
      </c>
      <c r="AR1425" t="s">
        <v>3491</v>
      </c>
      <c r="AS1425" t="s">
        <v>3465</v>
      </c>
      <c r="AT1425" t="s">
        <v>3465</v>
      </c>
      <c r="AU1425" t="s">
        <v>125</v>
      </c>
      <c r="AV1425" t="s">
        <v>126</v>
      </c>
      <c r="AW1425" t="s">
        <v>126</v>
      </c>
      <c r="AX1425" t="s">
        <v>3463</v>
      </c>
      <c r="AY1425" t="s">
        <v>3465</v>
      </c>
      <c r="AZ1425" t="s">
        <v>104</v>
      </c>
      <c r="BA1425" t="s">
        <v>3920</v>
      </c>
      <c r="BF1425" t="s">
        <v>3921</v>
      </c>
      <c r="BG1425" t="s">
        <v>3088</v>
      </c>
      <c r="BH1425" t="s">
        <v>4086</v>
      </c>
      <c r="BL1425" t="s">
        <v>2083</v>
      </c>
      <c r="BP1425" t="s">
        <v>4338</v>
      </c>
      <c r="BQ1425" t="s">
        <v>3463</v>
      </c>
      <c r="BR1425" t="s">
        <v>3463</v>
      </c>
      <c r="BS1425" t="s">
        <v>3465</v>
      </c>
      <c r="BT1425" t="s">
        <v>3465</v>
      </c>
      <c r="BU1425" t="s">
        <v>3463</v>
      </c>
      <c r="BV1425" t="s">
        <v>3463</v>
      </c>
      <c r="BW1425" t="s">
        <v>3463</v>
      </c>
      <c r="BX1425" t="s">
        <v>121</v>
      </c>
      <c r="BY1425" t="s">
        <v>79</v>
      </c>
      <c r="BZ1425" t="s">
        <v>79</v>
      </c>
      <c r="CA1425" s="10">
        <v>45913</v>
      </c>
    </row>
    <row r="1426" spans="1:79">
      <c r="A1426">
        <v>1439</v>
      </c>
      <c r="B1426">
        <v>66</v>
      </c>
      <c r="C1426">
        <v>34</v>
      </c>
      <c r="D1426" t="s">
        <v>3462</v>
      </c>
      <c r="E1426" t="s">
        <v>3026</v>
      </c>
      <c r="F1426" t="s">
        <v>1804</v>
      </c>
      <c r="G1426" s="12" t="s">
        <v>3465</v>
      </c>
      <c r="H1426" t="s">
        <v>88</v>
      </c>
      <c r="I1426">
        <v>74</v>
      </c>
      <c r="K1426">
        <v>131</v>
      </c>
      <c r="L1426">
        <v>74</v>
      </c>
      <c r="M1426" t="s">
        <v>82</v>
      </c>
      <c r="P1426" t="s">
        <v>83</v>
      </c>
      <c r="Q1426" t="s">
        <v>82</v>
      </c>
      <c r="R1426">
        <v>98.3</v>
      </c>
      <c r="S1426">
        <v>182</v>
      </c>
      <c r="T1426" s="8">
        <f t="shared" si="45"/>
        <v>29.676367588455498</v>
      </c>
      <c r="U1426" s="13" t="str" cm="1">
        <f t="array" ref="U1426">IF(T1426="","",_xlfn.IFS(T1426&lt;18.5,"Bajo peso",T1426&lt;25,"Peso normal",T1426&lt;30,"Sobrepeso",T1426&lt;35,"Obesidad clase I",T1426&lt;40,"Obesidad clase II",T1426&gt;=40,"Obesidad clase III"))</f>
        <v>Sobrepeso</v>
      </c>
      <c r="V1426">
        <v>98</v>
      </c>
      <c r="X1426" t="s">
        <v>3463</v>
      </c>
      <c r="Y1426">
        <v>1.04</v>
      </c>
      <c r="AA1426">
        <v>90</v>
      </c>
      <c r="AB1426" s="9">
        <f t="shared" si="44"/>
        <v>96.628467203663519</v>
      </c>
      <c r="AD1426" t="s">
        <v>73</v>
      </c>
      <c r="AF1426" t="s">
        <v>73</v>
      </c>
      <c r="AH1426" t="s">
        <v>3463</v>
      </c>
      <c r="AI1426" t="s">
        <v>3465</v>
      </c>
      <c r="AJ1426" t="s">
        <v>3463</v>
      </c>
      <c r="AK1426" t="s">
        <v>3463</v>
      </c>
      <c r="AL1426" t="s">
        <v>3465</v>
      </c>
      <c r="AM1426" t="s">
        <v>2789</v>
      </c>
      <c r="AN1426" t="s">
        <v>576</v>
      </c>
      <c r="AP1426" t="s">
        <v>3463</v>
      </c>
      <c r="AQ1426" t="s">
        <v>3089</v>
      </c>
      <c r="AR1426" t="s">
        <v>3508</v>
      </c>
      <c r="AS1426" t="s">
        <v>3465</v>
      </c>
      <c r="AV1426" t="s">
        <v>112</v>
      </c>
      <c r="AW1426" t="s">
        <v>3917</v>
      </c>
      <c r="BF1426" t="s">
        <v>3921</v>
      </c>
      <c r="BH1426" t="s">
        <v>4020</v>
      </c>
      <c r="BP1426" t="s">
        <v>4260</v>
      </c>
      <c r="BQ1426" t="s">
        <v>3465</v>
      </c>
      <c r="BR1426" t="s">
        <v>3463</v>
      </c>
      <c r="BS1426" t="s">
        <v>3463</v>
      </c>
      <c r="BT1426" t="s">
        <v>3465</v>
      </c>
      <c r="BU1426" t="s">
        <v>3463</v>
      </c>
      <c r="BV1426" t="s">
        <v>3463</v>
      </c>
      <c r="BW1426" t="s">
        <v>3463</v>
      </c>
      <c r="BX1426" t="s">
        <v>79</v>
      </c>
      <c r="BY1426" t="s">
        <v>79</v>
      </c>
      <c r="BZ1426" t="s">
        <v>79</v>
      </c>
      <c r="CA1426" s="10">
        <v>45913</v>
      </c>
    </row>
    <row r="1427" spans="1:79">
      <c r="A1427">
        <v>1440</v>
      </c>
      <c r="B1427">
        <v>67</v>
      </c>
      <c r="C1427">
        <v>64</v>
      </c>
      <c r="D1427" t="s">
        <v>3462</v>
      </c>
      <c r="E1427" t="s">
        <v>3090</v>
      </c>
      <c r="F1427" t="s">
        <v>1804</v>
      </c>
      <c r="G1427" s="12" t="s">
        <v>3463</v>
      </c>
      <c r="I1427">
        <v>63</v>
      </c>
      <c r="J1427">
        <v>60</v>
      </c>
      <c r="K1427">
        <v>178</v>
      </c>
      <c r="L1427">
        <v>89</v>
      </c>
      <c r="M1427" t="s">
        <v>72</v>
      </c>
      <c r="N1427">
        <v>149</v>
      </c>
      <c r="O1427">
        <v>87</v>
      </c>
      <c r="P1427" t="s">
        <v>72</v>
      </c>
      <c r="Q1427" t="s">
        <v>72</v>
      </c>
      <c r="R1427">
        <v>68.5</v>
      </c>
      <c r="S1427">
        <v>161</v>
      </c>
      <c r="T1427" s="8">
        <f t="shared" si="45"/>
        <v>26.42644959685197</v>
      </c>
      <c r="U1427" s="13" t="str" cm="1">
        <f t="array" ref="U1427">IF(T1427="","",_xlfn.IFS(T1427&lt;18.5,"Bajo peso",T1427&lt;25,"Peso normal",T1427&lt;30,"Sobrepeso",T1427&lt;35,"Obesidad clase I",T1427&lt;40,"Obesidad clase II",T1427&gt;=40,"Obesidad clase III"))</f>
        <v>Sobrepeso</v>
      </c>
      <c r="V1427">
        <v>100</v>
      </c>
      <c r="X1427" t="s">
        <v>3463</v>
      </c>
      <c r="Y1427">
        <v>0.89</v>
      </c>
      <c r="AA1427">
        <v>90</v>
      </c>
      <c r="AB1427" s="9">
        <f t="shared" si="44"/>
        <v>95.69501490939497</v>
      </c>
      <c r="AD1427" t="s">
        <v>73</v>
      </c>
      <c r="AF1427" t="s">
        <v>73</v>
      </c>
      <c r="AH1427" t="s">
        <v>3463</v>
      </c>
      <c r="AI1427" t="s">
        <v>3463</v>
      </c>
      <c r="AJ1427" t="s">
        <v>3463</v>
      </c>
      <c r="AK1427" t="s">
        <v>3463</v>
      </c>
      <c r="AL1427" t="s">
        <v>3463</v>
      </c>
      <c r="AP1427" t="s">
        <v>3463</v>
      </c>
      <c r="AQ1427" t="s">
        <v>1135</v>
      </c>
      <c r="AR1427" t="s">
        <v>3505</v>
      </c>
      <c r="AV1427" t="s">
        <v>112</v>
      </c>
      <c r="AW1427" t="s">
        <v>3917</v>
      </c>
      <c r="BF1427" t="s">
        <v>3921</v>
      </c>
      <c r="BG1427" t="s">
        <v>3091</v>
      </c>
      <c r="BH1427" t="s">
        <v>4131</v>
      </c>
      <c r="BI1427" t="s">
        <v>76</v>
      </c>
      <c r="BL1427" t="s">
        <v>2054</v>
      </c>
      <c r="BP1427" t="s">
        <v>4261</v>
      </c>
      <c r="BQ1427" t="s">
        <v>3463</v>
      </c>
      <c r="BR1427" t="s">
        <v>3463</v>
      </c>
      <c r="BS1427" t="s">
        <v>3463</v>
      </c>
      <c r="BT1427" t="s">
        <v>3463</v>
      </c>
      <c r="BU1427" t="s">
        <v>3463</v>
      </c>
      <c r="BV1427" t="s">
        <v>3463</v>
      </c>
      <c r="BW1427" t="s">
        <v>3463</v>
      </c>
      <c r="BX1427" t="s">
        <v>79</v>
      </c>
      <c r="BY1427" t="s">
        <v>79</v>
      </c>
      <c r="BZ1427" t="s">
        <v>79</v>
      </c>
      <c r="CA1427" s="10">
        <v>45913</v>
      </c>
    </row>
    <row r="1428" spans="1:79">
      <c r="A1428">
        <v>1441</v>
      </c>
      <c r="B1428">
        <v>68</v>
      </c>
      <c r="C1428">
        <v>32</v>
      </c>
      <c r="D1428" t="s">
        <v>3466</v>
      </c>
      <c r="E1428" t="s">
        <v>2955</v>
      </c>
      <c r="F1428" t="s">
        <v>1804</v>
      </c>
      <c r="G1428" s="12" t="s">
        <v>3465</v>
      </c>
      <c r="H1428" s="12" t="s">
        <v>88</v>
      </c>
      <c r="I1428">
        <v>88</v>
      </c>
      <c r="K1428">
        <v>125</v>
      </c>
      <c r="L1428">
        <v>72</v>
      </c>
      <c r="M1428" t="s">
        <v>118</v>
      </c>
      <c r="P1428" t="s">
        <v>83</v>
      </c>
      <c r="Q1428" t="s">
        <v>118</v>
      </c>
      <c r="R1428">
        <v>64.2</v>
      </c>
      <c r="S1428">
        <v>158</v>
      </c>
      <c r="T1428" s="8">
        <f t="shared" si="45"/>
        <v>25.717032526838651</v>
      </c>
      <c r="U1428" s="13" t="str" cm="1">
        <f t="array" ref="U1428">IF(T1428="","",_xlfn.IFS(T1428&lt;18.5,"Bajo peso",T1428&lt;25,"Peso normal",T1428&lt;30,"Sobrepeso",T1428&lt;35,"Obesidad clase I",T1428&lt;40,"Obesidad clase II",T1428&gt;=40,"Obesidad clase III"))</f>
        <v>Sobrepeso</v>
      </c>
      <c r="V1428">
        <v>88</v>
      </c>
      <c r="X1428" t="s">
        <v>3463</v>
      </c>
      <c r="Y1428">
        <v>0.79</v>
      </c>
      <c r="AA1428">
        <v>90</v>
      </c>
      <c r="AB1428" s="9">
        <f t="shared" si="44"/>
        <v>101.85954982701109</v>
      </c>
      <c r="AD1428" t="s">
        <v>73</v>
      </c>
      <c r="AF1428" t="s">
        <v>73</v>
      </c>
      <c r="AH1428" t="s">
        <v>3463</v>
      </c>
      <c r="AI1428" t="s">
        <v>3463</v>
      </c>
      <c r="AJ1428" t="s">
        <v>3463</v>
      </c>
      <c r="AK1428" t="s">
        <v>3463</v>
      </c>
      <c r="AL1428" t="s">
        <v>3463</v>
      </c>
      <c r="AP1428" t="s">
        <v>3463</v>
      </c>
      <c r="AT1428" t="s">
        <v>3463</v>
      </c>
      <c r="AV1428" t="s">
        <v>74</v>
      </c>
      <c r="AW1428" t="s">
        <v>3915</v>
      </c>
      <c r="AX1428" t="s">
        <v>3463</v>
      </c>
      <c r="AY1428" t="s">
        <v>3465</v>
      </c>
      <c r="AZ1428" t="s">
        <v>90</v>
      </c>
      <c r="BF1428" t="s">
        <v>3921</v>
      </c>
      <c r="BH1428" t="s">
        <v>4020</v>
      </c>
      <c r="BP1428" t="s">
        <v>4260</v>
      </c>
      <c r="BQ1428" t="s">
        <v>3463</v>
      </c>
      <c r="BR1428" t="s">
        <v>3463</v>
      </c>
      <c r="BT1428" t="s">
        <v>3465</v>
      </c>
      <c r="BU1428" t="s">
        <v>3463</v>
      </c>
      <c r="BX1428" t="s">
        <v>121</v>
      </c>
      <c r="BY1428" t="s">
        <v>79</v>
      </c>
      <c r="BZ1428" t="s">
        <v>79</v>
      </c>
      <c r="CA1428" s="10">
        <v>45913</v>
      </c>
    </row>
    <row r="1429" spans="1:79">
      <c r="A1429">
        <v>1442</v>
      </c>
      <c r="B1429">
        <v>69</v>
      </c>
      <c r="C1429">
        <v>79</v>
      </c>
      <c r="D1429" t="s">
        <v>3466</v>
      </c>
      <c r="E1429" t="s">
        <v>3092</v>
      </c>
      <c r="F1429" t="s">
        <v>1804</v>
      </c>
      <c r="G1429" s="12" t="s">
        <v>3463</v>
      </c>
      <c r="I1429">
        <v>62</v>
      </c>
      <c r="K1429">
        <v>140</v>
      </c>
      <c r="L1429">
        <v>80</v>
      </c>
      <c r="M1429" t="s">
        <v>72</v>
      </c>
      <c r="P1429" t="s">
        <v>83</v>
      </c>
      <c r="Q1429" t="s">
        <v>72</v>
      </c>
      <c r="R1429">
        <v>65.900000000000006</v>
      </c>
      <c r="S1429">
        <v>150</v>
      </c>
      <c r="T1429" s="8">
        <f t="shared" si="45"/>
        <v>29.288888888888891</v>
      </c>
      <c r="U1429" s="13" t="str" cm="1">
        <f t="array" ref="U1429">IF(T1429="","",_xlfn.IFS(T1429&lt;18.5,"Bajo peso",T1429&lt;25,"Peso normal",T1429&lt;30,"Sobrepeso",T1429&lt;35,"Obesidad clase I",T1429&lt;40,"Obesidad clase II",T1429&gt;=40,"Obesidad clase III"))</f>
        <v>Sobrepeso</v>
      </c>
      <c r="V1429">
        <v>88</v>
      </c>
      <c r="X1429" t="s">
        <v>3463</v>
      </c>
      <c r="Y1429">
        <v>0.85</v>
      </c>
      <c r="AA1429">
        <v>70</v>
      </c>
      <c r="AB1429" s="9">
        <f t="shared" si="44"/>
        <v>69.647285486784057</v>
      </c>
      <c r="AD1429" t="s">
        <v>73</v>
      </c>
      <c r="AF1429" t="s">
        <v>73</v>
      </c>
      <c r="AH1429" t="s">
        <v>3463</v>
      </c>
      <c r="AI1429" t="s">
        <v>3465</v>
      </c>
      <c r="AJ1429" t="s">
        <v>3463</v>
      </c>
      <c r="AK1429" t="s">
        <v>3463</v>
      </c>
      <c r="AL1429" t="s">
        <v>3465</v>
      </c>
      <c r="AM1429" t="s">
        <v>3093</v>
      </c>
      <c r="AN1429" t="s">
        <v>3792</v>
      </c>
      <c r="AP1429" t="s">
        <v>3463</v>
      </c>
      <c r="AS1429" t="s">
        <v>3465</v>
      </c>
      <c r="AT1429" t="s">
        <v>3463</v>
      </c>
      <c r="AV1429" t="s">
        <v>74</v>
      </c>
      <c r="AW1429" t="s">
        <v>3915</v>
      </c>
      <c r="AX1429" t="s">
        <v>3463</v>
      </c>
      <c r="AY1429" t="s">
        <v>3463</v>
      </c>
      <c r="AZ1429" t="s">
        <v>490</v>
      </c>
      <c r="BF1429" t="s">
        <v>3921</v>
      </c>
      <c r="BH1429" t="s">
        <v>4020</v>
      </c>
      <c r="BP1429" t="s">
        <v>4260</v>
      </c>
      <c r="BQ1429" t="s">
        <v>3463</v>
      </c>
      <c r="BR1429" t="s">
        <v>3463</v>
      </c>
      <c r="BS1429" t="s">
        <v>3463</v>
      </c>
      <c r="BT1429" t="s">
        <v>3463</v>
      </c>
      <c r="BU1429" t="s">
        <v>3463</v>
      </c>
      <c r="BV1429" t="s">
        <v>3463</v>
      </c>
      <c r="BW1429" t="s">
        <v>3463</v>
      </c>
      <c r="BX1429" t="s">
        <v>3094</v>
      </c>
      <c r="BY1429" t="s">
        <v>87</v>
      </c>
      <c r="BZ1429" t="s">
        <v>79</v>
      </c>
      <c r="CA1429" s="10">
        <v>45913</v>
      </c>
    </row>
    <row r="1430" spans="1:79">
      <c r="A1430">
        <v>1443</v>
      </c>
      <c r="B1430">
        <v>70</v>
      </c>
      <c r="C1430">
        <v>73</v>
      </c>
      <c r="D1430" t="s">
        <v>3462</v>
      </c>
      <c r="E1430" t="s">
        <v>2565</v>
      </c>
      <c r="F1430" t="s">
        <v>1804</v>
      </c>
      <c r="G1430" s="12" t="s">
        <v>3463</v>
      </c>
      <c r="I1430">
        <v>66</v>
      </c>
      <c r="K1430">
        <v>132</v>
      </c>
      <c r="L1430">
        <v>70</v>
      </c>
      <c r="M1430" t="s">
        <v>82</v>
      </c>
      <c r="P1430" t="s">
        <v>83</v>
      </c>
      <c r="Q1430" t="s">
        <v>82</v>
      </c>
      <c r="R1430">
        <v>71.3</v>
      </c>
      <c r="S1430">
        <v>153</v>
      </c>
      <c r="T1430" s="8">
        <f t="shared" si="45"/>
        <v>30.458370712119269</v>
      </c>
      <c r="U1430" s="13" t="str" cm="1">
        <f t="array" ref="U1430">IF(T1430="","",_xlfn.IFS(T1430&lt;18.5,"Bajo peso",T1430&lt;25,"Peso normal",T1430&lt;30,"Sobrepeso",T1430&lt;35,"Obesidad clase I",T1430&lt;40,"Obesidad clase II",T1430&gt;=40,"Obesidad clase III"))</f>
        <v>Obesidad clase I</v>
      </c>
      <c r="V1430">
        <v>104</v>
      </c>
      <c r="X1430" t="s">
        <v>3463</v>
      </c>
      <c r="Y1430">
        <v>0.84</v>
      </c>
      <c r="AA1430">
        <v>90</v>
      </c>
      <c r="AB1430" s="9">
        <f t="shared" si="44"/>
        <v>92.079655065353023</v>
      </c>
      <c r="AD1430" t="s">
        <v>73</v>
      </c>
      <c r="AF1430" t="s">
        <v>73</v>
      </c>
      <c r="AH1430" t="s">
        <v>3463</v>
      </c>
      <c r="AI1430" t="s">
        <v>3465</v>
      </c>
      <c r="AJ1430" t="s">
        <v>3465</v>
      </c>
      <c r="AK1430" t="s">
        <v>3463</v>
      </c>
      <c r="AL1430" t="s">
        <v>3463</v>
      </c>
      <c r="AO1430" t="s">
        <v>3464</v>
      </c>
      <c r="AP1430" t="s">
        <v>3465</v>
      </c>
      <c r="AQ1430" t="s">
        <v>148</v>
      </c>
      <c r="AR1430" t="s">
        <v>3491</v>
      </c>
      <c r="AS1430" t="s">
        <v>3465</v>
      </c>
      <c r="AV1430" t="s">
        <v>112</v>
      </c>
      <c r="AW1430" t="s">
        <v>3917</v>
      </c>
      <c r="BF1430" t="s">
        <v>3921</v>
      </c>
      <c r="BH1430" t="s">
        <v>4020</v>
      </c>
      <c r="BP1430" t="s">
        <v>4260</v>
      </c>
      <c r="BQ1430" t="s">
        <v>3463</v>
      </c>
      <c r="BR1430" t="s">
        <v>3463</v>
      </c>
      <c r="BS1430" t="s">
        <v>3463</v>
      </c>
      <c r="BT1430" t="s">
        <v>3463</v>
      </c>
      <c r="BU1430" t="s">
        <v>3463</v>
      </c>
      <c r="BV1430" t="s">
        <v>3463</v>
      </c>
      <c r="BW1430" t="s">
        <v>3463</v>
      </c>
      <c r="BX1430" t="s">
        <v>79</v>
      </c>
      <c r="BY1430" t="s">
        <v>79</v>
      </c>
      <c r="BZ1430" t="s">
        <v>79</v>
      </c>
      <c r="CA1430" s="10">
        <v>45913</v>
      </c>
    </row>
    <row r="1431" spans="1:79">
      <c r="A1431">
        <v>1444</v>
      </c>
      <c r="B1431">
        <v>71</v>
      </c>
      <c r="C1431">
        <v>82</v>
      </c>
      <c r="D1431" t="s">
        <v>3466</v>
      </c>
      <c r="E1431" t="s">
        <v>3095</v>
      </c>
      <c r="F1431" t="s">
        <v>1804</v>
      </c>
      <c r="G1431" s="12" t="s">
        <v>3463</v>
      </c>
      <c r="I1431">
        <v>79</v>
      </c>
      <c r="J1431">
        <v>751</v>
      </c>
      <c r="K1431">
        <v>172</v>
      </c>
      <c r="L1431">
        <v>79</v>
      </c>
      <c r="M1431" t="s">
        <v>72</v>
      </c>
      <c r="N1431">
        <v>172</v>
      </c>
      <c r="O1431">
        <v>86</v>
      </c>
      <c r="P1431" t="s">
        <v>72</v>
      </c>
      <c r="Q1431" t="s">
        <v>72</v>
      </c>
      <c r="R1431">
        <v>66.400000000000006</v>
      </c>
      <c r="S1431">
        <v>147</v>
      </c>
      <c r="T1431" s="8">
        <f t="shared" si="45"/>
        <v>30.727937433476793</v>
      </c>
      <c r="U1431" s="13" t="str" cm="1">
        <f t="array" ref="U1431">IF(T1431="","",_xlfn.IFS(T1431&lt;18.5,"Bajo peso",T1431&lt;25,"Peso normal",T1431&lt;30,"Sobrepeso",T1431&lt;35,"Obesidad clase I",T1431&lt;40,"Obesidad clase II",T1431&gt;=40,"Obesidad clase III"))</f>
        <v>Obesidad clase I</v>
      </c>
      <c r="V1431">
        <v>193</v>
      </c>
      <c r="X1431" t="s">
        <v>3463</v>
      </c>
      <c r="Y1431">
        <v>1.23</v>
      </c>
      <c r="AA1431">
        <v>59</v>
      </c>
      <c r="AB1431" s="9">
        <f t="shared" si="44"/>
        <v>43.875062563673325</v>
      </c>
      <c r="AD1431" t="s">
        <v>158</v>
      </c>
      <c r="AF1431" t="s">
        <v>158</v>
      </c>
      <c r="AG1431" t="s">
        <v>3465</v>
      </c>
      <c r="AH1431" t="s">
        <v>3465</v>
      </c>
      <c r="AI1431" t="s">
        <v>3465</v>
      </c>
      <c r="AJ1431" t="s">
        <v>3464</v>
      </c>
      <c r="AK1431" t="s">
        <v>3465</v>
      </c>
      <c r="AL1431" t="s">
        <v>3463</v>
      </c>
      <c r="AP1431" t="s">
        <v>3464</v>
      </c>
      <c r="AQ1431" t="s">
        <v>3096</v>
      </c>
      <c r="AR1431" t="s">
        <v>3488</v>
      </c>
      <c r="AS1431" t="s">
        <v>3465</v>
      </c>
      <c r="AT1431" t="s">
        <v>3463</v>
      </c>
      <c r="AV1431" t="s">
        <v>74</v>
      </c>
      <c r="AW1431" t="s">
        <v>3915</v>
      </c>
      <c r="AY1431" t="s">
        <v>3463</v>
      </c>
      <c r="BA1431" t="s">
        <v>3920</v>
      </c>
      <c r="BB1431" t="s">
        <v>3485</v>
      </c>
      <c r="BF1431" t="s">
        <v>3921</v>
      </c>
      <c r="BG1431" t="s">
        <v>3097</v>
      </c>
      <c r="BH1431" t="s">
        <v>4244</v>
      </c>
      <c r="BL1431" t="s">
        <v>3098</v>
      </c>
      <c r="BP1431" t="s">
        <v>4396</v>
      </c>
      <c r="BQ1431" t="s">
        <v>3463</v>
      </c>
      <c r="BR1431" t="s">
        <v>3463</v>
      </c>
      <c r="BS1431" t="s">
        <v>3463</v>
      </c>
      <c r="BT1431" t="s">
        <v>3463</v>
      </c>
      <c r="BU1431" t="s">
        <v>3463</v>
      </c>
      <c r="BX1431" t="s">
        <v>518</v>
      </c>
      <c r="BY1431" t="s">
        <v>79</v>
      </c>
      <c r="BZ1431" t="s">
        <v>79</v>
      </c>
      <c r="CA1431" s="10">
        <v>45913</v>
      </c>
    </row>
    <row r="1432" spans="1:79">
      <c r="A1432">
        <v>1445</v>
      </c>
      <c r="B1432">
        <v>72</v>
      </c>
      <c r="C1432">
        <v>57</v>
      </c>
      <c r="D1432" t="s">
        <v>3466</v>
      </c>
      <c r="E1432" t="s">
        <v>3063</v>
      </c>
      <c r="F1432" t="s">
        <v>1804</v>
      </c>
      <c r="G1432" s="12" t="s">
        <v>3463</v>
      </c>
      <c r="I1432">
        <v>65</v>
      </c>
      <c r="J1432">
        <v>66</v>
      </c>
      <c r="K1432">
        <v>148</v>
      </c>
      <c r="L1432">
        <v>62</v>
      </c>
      <c r="M1432" t="s">
        <v>72</v>
      </c>
      <c r="N1432">
        <v>135</v>
      </c>
      <c r="O1432">
        <v>79</v>
      </c>
      <c r="P1432" t="s">
        <v>82</v>
      </c>
      <c r="Q1432" t="s">
        <v>82</v>
      </c>
      <c r="R1432">
        <v>49.9</v>
      </c>
      <c r="S1432">
        <v>149</v>
      </c>
      <c r="T1432" s="8">
        <f t="shared" si="45"/>
        <v>22.476465024098012</v>
      </c>
      <c r="U1432" s="13" t="str" cm="1">
        <f t="array" ref="U1432">IF(T1432="","",_xlfn.IFS(T1432&lt;18.5,"Bajo peso",T1432&lt;25,"Peso normal",T1432&lt;30,"Sobrepeso",T1432&lt;35,"Obesidad clase I",T1432&lt;40,"Obesidad clase II",T1432&gt;=40,"Obesidad clase III"))</f>
        <v>Peso normal</v>
      </c>
      <c r="V1432">
        <v>85</v>
      </c>
      <c r="X1432" t="s">
        <v>3463</v>
      </c>
      <c r="Y1432">
        <v>0.62</v>
      </c>
      <c r="AA1432">
        <v>90</v>
      </c>
      <c r="AB1432" s="9">
        <f t="shared" si="44"/>
        <v>103.80389619361465</v>
      </c>
      <c r="AD1432" t="s">
        <v>73</v>
      </c>
      <c r="AF1432" t="s">
        <v>73</v>
      </c>
      <c r="AH1432" t="s">
        <v>3463</v>
      </c>
      <c r="AI1432" t="s">
        <v>3463</v>
      </c>
      <c r="AJ1432" t="s">
        <v>3465</v>
      </c>
      <c r="AK1432" t="s">
        <v>3463</v>
      </c>
      <c r="AL1432" t="s">
        <v>3465</v>
      </c>
      <c r="AM1432" t="s">
        <v>3099</v>
      </c>
      <c r="AN1432" t="s">
        <v>3884</v>
      </c>
      <c r="AP1432" t="s">
        <v>3463</v>
      </c>
      <c r="AQ1432" t="s">
        <v>3047</v>
      </c>
      <c r="AR1432" t="s">
        <v>3508</v>
      </c>
      <c r="AT1432" t="s">
        <v>3465</v>
      </c>
      <c r="AU1432" t="s">
        <v>80</v>
      </c>
      <c r="AV1432" t="s">
        <v>74</v>
      </c>
      <c r="AW1432" t="s">
        <v>3915</v>
      </c>
      <c r="AX1432" t="s">
        <v>3463</v>
      </c>
      <c r="AY1432" t="s">
        <v>3463</v>
      </c>
      <c r="BF1432" t="s">
        <v>3921</v>
      </c>
      <c r="BH1432" t="s">
        <v>4020</v>
      </c>
      <c r="BP1432" t="s">
        <v>4260</v>
      </c>
      <c r="BQ1432" t="s">
        <v>3463</v>
      </c>
      <c r="BR1432" t="s">
        <v>3463</v>
      </c>
      <c r="BS1432" t="s">
        <v>3463</v>
      </c>
      <c r="BT1432" t="s">
        <v>3463</v>
      </c>
      <c r="BU1432" t="s">
        <v>3463</v>
      </c>
      <c r="BV1432" t="s">
        <v>3463</v>
      </c>
      <c r="BW1432" t="s">
        <v>3463</v>
      </c>
      <c r="BX1432" t="s">
        <v>518</v>
      </c>
      <c r="BY1432" t="s">
        <v>79</v>
      </c>
      <c r="BZ1432" t="s">
        <v>79</v>
      </c>
      <c r="CA1432" s="10">
        <v>45913</v>
      </c>
    </row>
    <row r="1433" spans="1:79">
      <c r="A1433">
        <v>1446</v>
      </c>
      <c r="B1433">
        <v>73</v>
      </c>
      <c r="C1433">
        <v>67</v>
      </c>
      <c r="D1433" t="s">
        <v>3466</v>
      </c>
      <c r="E1433" t="s">
        <v>3100</v>
      </c>
      <c r="F1433" t="s">
        <v>1804</v>
      </c>
      <c r="G1433" s="12" t="s">
        <v>3463</v>
      </c>
      <c r="I1433">
        <v>73</v>
      </c>
      <c r="J1433">
        <v>69</v>
      </c>
      <c r="K1433">
        <v>173</v>
      </c>
      <c r="L1433">
        <v>111</v>
      </c>
      <c r="M1433" t="s">
        <v>72</v>
      </c>
      <c r="N1433">
        <v>166</v>
      </c>
      <c r="O1433">
        <v>93</v>
      </c>
      <c r="P1433" t="s">
        <v>72</v>
      </c>
      <c r="Q1433" t="s">
        <v>72</v>
      </c>
      <c r="R1433">
        <v>76.099999999999994</v>
      </c>
      <c r="S1433">
        <v>152</v>
      </c>
      <c r="T1433" s="8">
        <f t="shared" si="45"/>
        <v>32.938019390581715</v>
      </c>
      <c r="U1433" s="13" t="str" cm="1">
        <f t="array" ref="U1433">IF(T1433="","",_xlfn.IFS(T1433&lt;18.5,"Bajo peso",T1433&lt;25,"Peso normal",T1433&lt;30,"Sobrepeso",T1433&lt;35,"Obesidad clase I",T1433&lt;40,"Obesidad clase II",T1433&gt;=40,"Obesidad clase III"))</f>
        <v>Obesidad clase I</v>
      </c>
      <c r="V1433">
        <v>108</v>
      </c>
      <c r="X1433" t="s">
        <v>3463</v>
      </c>
      <c r="Y1433">
        <v>1.1499999999999999</v>
      </c>
      <c r="AA1433">
        <v>54</v>
      </c>
      <c r="AB1433" s="9">
        <f t="shared" si="44"/>
        <v>52.21335355260311</v>
      </c>
      <c r="AD1433" t="s">
        <v>158</v>
      </c>
      <c r="AF1433" t="s">
        <v>158</v>
      </c>
      <c r="AH1433" t="s">
        <v>3463</v>
      </c>
      <c r="AI1433" t="s">
        <v>3465</v>
      </c>
      <c r="AJ1433" t="s">
        <v>3463</v>
      </c>
      <c r="AK1433" t="s">
        <v>3463</v>
      </c>
      <c r="AL1433" t="s">
        <v>3465</v>
      </c>
      <c r="AM1433" t="s">
        <v>457</v>
      </c>
      <c r="AN1433" t="s">
        <v>3617</v>
      </c>
      <c r="AP1433" t="s">
        <v>3463</v>
      </c>
      <c r="AS1433" t="s">
        <v>3465</v>
      </c>
      <c r="AT1433" t="s">
        <v>3465</v>
      </c>
      <c r="AU1433" t="s">
        <v>80</v>
      </c>
      <c r="AV1433" t="s">
        <v>74</v>
      </c>
      <c r="AW1433" t="s">
        <v>3915</v>
      </c>
      <c r="AX1433" t="s">
        <v>3463</v>
      </c>
      <c r="AY1433" t="s">
        <v>3465</v>
      </c>
      <c r="AZ1433" t="s">
        <v>90</v>
      </c>
      <c r="BF1433" t="s">
        <v>3921</v>
      </c>
      <c r="BG1433" t="s">
        <v>3101</v>
      </c>
      <c r="BH1433" t="s">
        <v>4245</v>
      </c>
      <c r="BL1433" t="s">
        <v>1125</v>
      </c>
      <c r="BP1433" t="s">
        <v>4260</v>
      </c>
      <c r="BQ1433" t="s">
        <v>3463</v>
      </c>
      <c r="BR1433" t="s">
        <v>3465</v>
      </c>
      <c r="BS1433" t="s">
        <v>3465</v>
      </c>
      <c r="BT1433" t="s">
        <v>3465</v>
      </c>
      <c r="BU1433" t="s">
        <v>3463</v>
      </c>
      <c r="BV1433" t="s">
        <v>3463</v>
      </c>
      <c r="BW1433" t="s">
        <v>3463</v>
      </c>
      <c r="BX1433" t="s">
        <v>79</v>
      </c>
      <c r="BY1433" t="s">
        <v>79</v>
      </c>
      <c r="BZ1433" t="s">
        <v>79</v>
      </c>
      <c r="CA1433" s="10">
        <v>45913</v>
      </c>
    </row>
    <row r="1434" spans="1:79">
      <c r="A1434">
        <v>1447</v>
      </c>
      <c r="B1434">
        <v>74</v>
      </c>
      <c r="C1434">
        <v>35</v>
      </c>
      <c r="D1434" t="s">
        <v>3462</v>
      </c>
      <c r="F1434" t="s">
        <v>1804</v>
      </c>
      <c r="G1434" s="12" t="s">
        <v>3463</v>
      </c>
      <c r="I1434">
        <v>60</v>
      </c>
      <c r="K1434">
        <v>126</v>
      </c>
      <c r="L1434">
        <v>88</v>
      </c>
      <c r="M1434" t="s">
        <v>82</v>
      </c>
      <c r="P1434" t="s">
        <v>83</v>
      </c>
      <c r="Q1434" t="s">
        <v>82</v>
      </c>
      <c r="R1434">
        <v>90.3</v>
      </c>
      <c r="S1434">
        <v>170</v>
      </c>
      <c r="T1434" s="8">
        <f t="shared" si="45"/>
        <v>31.245674740484429</v>
      </c>
      <c r="U1434" s="13" t="str" cm="1">
        <f t="array" ref="U1434">IF(T1434="","",_xlfn.IFS(T1434&lt;18.5,"Bajo peso",T1434&lt;25,"Peso normal",T1434&lt;30,"Sobrepeso",T1434&lt;35,"Obesidad clase I",T1434&lt;40,"Obesidad clase II",T1434&gt;=40,"Obesidad clase III"))</f>
        <v>Obesidad clase I</v>
      </c>
      <c r="V1434">
        <v>98</v>
      </c>
      <c r="X1434" t="s">
        <v>3463</v>
      </c>
      <c r="Y1434">
        <v>0.85</v>
      </c>
      <c r="AA1434">
        <v>90</v>
      </c>
      <c r="AB1434" s="9">
        <f t="shared" si="44"/>
        <v>116.21168573810702</v>
      </c>
      <c r="AD1434" t="s">
        <v>73</v>
      </c>
      <c r="AF1434" t="s">
        <v>73</v>
      </c>
      <c r="AH1434" t="s">
        <v>3463</v>
      </c>
      <c r="AI1434" t="s">
        <v>3463</v>
      </c>
      <c r="AJ1434" t="s">
        <v>3463</v>
      </c>
      <c r="AK1434" t="s">
        <v>3463</v>
      </c>
      <c r="AL1434" t="s">
        <v>3464</v>
      </c>
      <c r="AP1434" t="s">
        <v>3464</v>
      </c>
      <c r="AQ1434" t="s">
        <v>3102</v>
      </c>
      <c r="AR1434" t="s">
        <v>3568</v>
      </c>
      <c r="AV1434" t="s">
        <v>74</v>
      </c>
      <c r="AW1434" t="s">
        <v>3915</v>
      </c>
      <c r="BF1434" t="s">
        <v>3921</v>
      </c>
      <c r="BH1434" t="s">
        <v>4020</v>
      </c>
      <c r="BP1434" t="s">
        <v>4260</v>
      </c>
      <c r="BQ1434" t="s">
        <v>3463</v>
      </c>
      <c r="BR1434" t="s">
        <v>3463</v>
      </c>
      <c r="BS1434" t="s">
        <v>3465</v>
      </c>
      <c r="BT1434" t="s">
        <v>3465</v>
      </c>
      <c r="BU1434" t="s">
        <v>3463</v>
      </c>
      <c r="BV1434" t="s">
        <v>3463</v>
      </c>
      <c r="BW1434" t="s">
        <v>3463</v>
      </c>
      <c r="BX1434" t="s">
        <v>79</v>
      </c>
      <c r="BY1434" t="s">
        <v>79</v>
      </c>
      <c r="BZ1434" t="s">
        <v>79</v>
      </c>
      <c r="CA1434" s="10">
        <v>45913</v>
      </c>
    </row>
    <row r="1435" spans="1:79">
      <c r="A1435">
        <v>1448</v>
      </c>
      <c r="B1435">
        <v>75</v>
      </c>
      <c r="C1435">
        <v>52</v>
      </c>
      <c r="D1435" t="s">
        <v>3466</v>
      </c>
      <c r="E1435" t="s">
        <v>3103</v>
      </c>
      <c r="F1435" t="s">
        <v>1804</v>
      </c>
      <c r="G1435" s="12" t="s">
        <v>3463</v>
      </c>
      <c r="H1435" s="12"/>
      <c r="I1435">
        <v>66</v>
      </c>
      <c r="K1435">
        <v>130</v>
      </c>
      <c r="L1435">
        <v>71</v>
      </c>
      <c r="M1435" t="s">
        <v>82</v>
      </c>
      <c r="P1435" t="s">
        <v>83</v>
      </c>
      <c r="Q1435" t="s">
        <v>82</v>
      </c>
      <c r="R1435">
        <v>61.4</v>
      </c>
      <c r="S1435">
        <v>156</v>
      </c>
      <c r="T1435" s="8">
        <f t="shared" si="45"/>
        <v>25.230111768573309</v>
      </c>
      <c r="U1435" s="13" t="str" cm="1">
        <f t="array" ref="U1435">IF(T1435="","",_xlfn.IFS(T1435&lt;18.5,"Bajo peso",T1435&lt;25,"Peso normal",T1435&lt;30,"Sobrepeso",T1435&lt;35,"Obesidad clase I",T1435&lt;40,"Obesidad clase II",T1435&gt;=40,"Obesidad clase III"))</f>
        <v>Sobrepeso</v>
      </c>
      <c r="V1435">
        <v>83</v>
      </c>
      <c r="X1435" t="s">
        <v>3463</v>
      </c>
      <c r="Y1435">
        <v>0.8</v>
      </c>
      <c r="AA1435">
        <v>89</v>
      </c>
      <c r="AB1435" s="9">
        <f t="shared" si="44"/>
        <v>88.598450344832486</v>
      </c>
      <c r="AD1435" t="s">
        <v>73</v>
      </c>
      <c r="AF1435" t="s">
        <v>73</v>
      </c>
      <c r="AH1435" t="s">
        <v>3463</v>
      </c>
      <c r="AI1435" t="s">
        <v>3463</v>
      </c>
      <c r="AJ1435" t="s">
        <v>3465</v>
      </c>
      <c r="AK1435" t="s">
        <v>3463</v>
      </c>
      <c r="AL1435" t="s">
        <v>3465</v>
      </c>
      <c r="AM1435" t="s">
        <v>3027</v>
      </c>
      <c r="AN1435" t="s">
        <v>3661</v>
      </c>
      <c r="AP1435" t="s">
        <v>3463</v>
      </c>
      <c r="AQ1435" t="s">
        <v>3104</v>
      </c>
      <c r="AR1435" t="s">
        <v>3508</v>
      </c>
      <c r="AT1435" t="s">
        <v>3465</v>
      </c>
      <c r="AU1435" t="s">
        <v>80</v>
      </c>
      <c r="AV1435" t="s">
        <v>112</v>
      </c>
      <c r="AW1435" t="s">
        <v>3917</v>
      </c>
      <c r="AX1435" t="s">
        <v>3463</v>
      </c>
      <c r="AY1435" t="s">
        <v>3465</v>
      </c>
      <c r="AZ1435" t="s">
        <v>104</v>
      </c>
      <c r="BF1435" t="s">
        <v>3921</v>
      </c>
      <c r="BH1435" t="s">
        <v>4020</v>
      </c>
      <c r="BP1435" t="s">
        <v>4260</v>
      </c>
      <c r="BQ1435" t="s">
        <v>3463</v>
      </c>
      <c r="BR1435" t="s">
        <v>3463</v>
      </c>
      <c r="BS1435" t="s">
        <v>3465</v>
      </c>
      <c r="BT1435" t="s">
        <v>3465</v>
      </c>
      <c r="BU1435" t="s">
        <v>3463</v>
      </c>
      <c r="BV1435" t="s">
        <v>3463</v>
      </c>
      <c r="BW1435" t="s">
        <v>3463</v>
      </c>
      <c r="BX1435" t="s">
        <v>79</v>
      </c>
      <c r="BY1435" t="s">
        <v>79</v>
      </c>
      <c r="BZ1435" t="s">
        <v>79</v>
      </c>
      <c r="CA1435" s="10">
        <v>45913</v>
      </c>
    </row>
    <row r="1436" spans="1:79">
      <c r="A1436">
        <v>1449</v>
      </c>
      <c r="B1436">
        <v>76</v>
      </c>
      <c r="C1436">
        <v>85</v>
      </c>
      <c r="D1436" t="s">
        <v>3466</v>
      </c>
      <c r="E1436" t="s">
        <v>1804</v>
      </c>
      <c r="F1436" t="s">
        <v>1804</v>
      </c>
      <c r="G1436" s="12" t="s">
        <v>3463</v>
      </c>
      <c r="H1436" s="12"/>
      <c r="I1436">
        <v>61</v>
      </c>
      <c r="K1436">
        <v>138</v>
      </c>
      <c r="L1436">
        <v>71</v>
      </c>
      <c r="M1436" t="s">
        <v>82</v>
      </c>
      <c r="P1436" t="s">
        <v>83</v>
      </c>
      <c r="Q1436" t="s">
        <v>82</v>
      </c>
      <c r="R1436">
        <v>63.6</v>
      </c>
      <c r="S1436">
        <v>144.5</v>
      </c>
      <c r="T1436" s="8">
        <f t="shared" si="45"/>
        <v>30.459405418996418</v>
      </c>
      <c r="U1436" s="13" t="str" cm="1">
        <f t="array" ref="U1436">IF(T1436="","",_xlfn.IFS(T1436&lt;18.5,"Bajo peso",T1436&lt;25,"Peso normal",T1436&lt;30,"Sobrepeso",T1436&lt;35,"Obesidad clase I",T1436&lt;40,"Obesidad clase II",T1436&gt;=40,"Obesidad clase III"))</f>
        <v>Obesidad clase I</v>
      </c>
      <c r="V1436">
        <v>245</v>
      </c>
      <c r="X1436" t="s">
        <v>3465</v>
      </c>
      <c r="Y1436">
        <v>1.45</v>
      </c>
      <c r="AA1436">
        <v>47</v>
      </c>
      <c r="AB1436" s="9">
        <f t="shared" si="44"/>
        <v>35.34754508061431</v>
      </c>
      <c r="AD1436" t="s">
        <v>158</v>
      </c>
      <c r="AF1436" t="s">
        <v>158</v>
      </c>
      <c r="AG1436" t="s">
        <v>3465</v>
      </c>
      <c r="AH1436" t="s">
        <v>3465</v>
      </c>
      <c r="AI1436" t="s">
        <v>3465</v>
      </c>
      <c r="AJ1436" t="s">
        <v>3463</v>
      </c>
      <c r="AK1436" t="s">
        <v>3463</v>
      </c>
      <c r="AL1436" t="s">
        <v>3463</v>
      </c>
      <c r="AO1436" t="s">
        <v>3463</v>
      </c>
      <c r="AP1436" t="s">
        <v>3465</v>
      </c>
      <c r="AQ1436" t="s">
        <v>143</v>
      </c>
      <c r="AR1436" t="s">
        <v>3493</v>
      </c>
      <c r="AS1436" t="s">
        <v>3465</v>
      </c>
      <c r="AT1436" t="s">
        <v>3463</v>
      </c>
      <c r="AV1436" t="s">
        <v>74</v>
      </c>
      <c r="AW1436" t="s">
        <v>3915</v>
      </c>
      <c r="AY1436" t="s">
        <v>3463</v>
      </c>
      <c r="BA1436" t="s">
        <v>3920</v>
      </c>
      <c r="BB1436" t="s">
        <v>3485</v>
      </c>
      <c r="BD1436" t="s">
        <v>105</v>
      </c>
      <c r="BF1436" t="s">
        <v>3921</v>
      </c>
      <c r="BG1436" t="s">
        <v>3105</v>
      </c>
      <c r="BH1436" t="s">
        <v>4129</v>
      </c>
      <c r="BI1436" t="s">
        <v>411</v>
      </c>
      <c r="BK1436" t="s">
        <v>3106</v>
      </c>
      <c r="BL1436" t="s">
        <v>3107</v>
      </c>
      <c r="BP1436" t="s">
        <v>4492</v>
      </c>
      <c r="BQ1436" t="s">
        <v>3463</v>
      </c>
      <c r="BR1436" t="s">
        <v>3463</v>
      </c>
      <c r="BS1436" t="s">
        <v>3463</v>
      </c>
      <c r="BT1436" t="s">
        <v>3463</v>
      </c>
      <c r="BU1436" t="s">
        <v>3463</v>
      </c>
      <c r="BX1436" t="s">
        <v>79</v>
      </c>
      <c r="BY1436" t="s">
        <v>79</v>
      </c>
      <c r="BZ1436" t="s">
        <v>95</v>
      </c>
      <c r="CA1436" s="10">
        <v>45913</v>
      </c>
    </row>
    <row r="1437" spans="1:79">
      <c r="A1437">
        <v>1450</v>
      </c>
      <c r="B1437">
        <v>77</v>
      </c>
      <c r="C1437">
        <v>68</v>
      </c>
      <c r="D1437" t="s">
        <v>3466</v>
      </c>
      <c r="E1437" t="s">
        <v>3100</v>
      </c>
      <c r="F1437" t="s">
        <v>1804</v>
      </c>
      <c r="G1437" s="12" t="s">
        <v>3463</v>
      </c>
      <c r="H1437" s="12"/>
      <c r="I1437">
        <v>61</v>
      </c>
      <c r="J1437">
        <v>59</v>
      </c>
      <c r="K1437">
        <v>144</v>
      </c>
      <c r="L1437">
        <v>83</v>
      </c>
      <c r="M1437" t="s">
        <v>72</v>
      </c>
      <c r="N1437">
        <v>138</v>
      </c>
      <c r="O1437">
        <v>86</v>
      </c>
      <c r="P1437" t="s">
        <v>82</v>
      </c>
      <c r="Q1437" t="s">
        <v>82</v>
      </c>
      <c r="R1437">
        <v>84.1</v>
      </c>
      <c r="S1437">
        <v>161</v>
      </c>
      <c r="T1437" s="8">
        <f t="shared" si="45"/>
        <v>32.444735928397826</v>
      </c>
      <c r="U1437" s="13" t="str" cm="1">
        <f t="array" ref="U1437">IF(T1437="","",_xlfn.IFS(T1437&lt;18.5,"Bajo peso",T1437&lt;25,"Peso normal",T1437&lt;30,"Sobrepeso",T1437&lt;35,"Obesidad clase I",T1437&lt;40,"Obesidad clase II",T1437&gt;=40,"Obesidad clase III"))</f>
        <v>Obesidad clase I</v>
      </c>
      <c r="V1437">
        <v>105</v>
      </c>
      <c r="X1437" t="s">
        <v>3463</v>
      </c>
      <c r="Y1437">
        <v>0.99</v>
      </c>
      <c r="AA1437">
        <v>62</v>
      </c>
      <c r="AB1437" s="9">
        <f t="shared" si="44"/>
        <v>62.109174243517771</v>
      </c>
      <c r="AD1437" t="s">
        <v>73</v>
      </c>
      <c r="AF1437" t="s">
        <v>73</v>
      </c>
      <c r="AH1437" t="s">
        <v>3463</v>
      </c>
      <c r="AI1437" t="s">
        <v>3463</v>
      </c>
      <c r="AJ1437" t="s">
        <v>3463</v>
      </c>
      <c r="AK1437" t="s">
        <v>3463</v>
      </c>
      <c r="AL1437" t="s">
        <v>3465</v>
      </c>
      <c r="AM1437" t="s">
        <v>3108</v>
      </c>
      <c r="AN1437" t="s">
        <v>3881</v>
      </c>
      <c r="AP1437" t="s">
        <v>3463</v>
      </c>
      <c r="AQ1437" t="s">
        <v>148</v>
      </c>
      <c r="AR1437" t="s">
        <v>3491</v>
      </c>
      <c r="AT1437" t="s">
        <v>3465</v>
      </c>
      <c r="AU1437" t="s">
        <v>125</v>
      </c>
      <c r="AV1437" t="s">
        <v>74</v>
      </c>
      <c r="AW1437" t="s">
        <v>3915</v>
      </c>
      <c r="AX1437" t="s">
        <v>3463</v>
      </c>
      <c r="AY1437" t="s">
        <v>3463</v>
      </c>
      <c r="AZ1437" t="s">
        <v>490</v>
      </c>
      <c r="BE1437" t="s">
        <v>3109</v>
      </c>
      <c r="BF1437" t="s">
        <v>3998</v>
      </c>
      <c r="BH1437" t="s">
        <v>4021</v>
      </c>
      <c r="BI1437" t="s">
        <v>76</v>
      </c>
      <c r="BP1437" t="s">
        <v>4261</v>
      </c>
      <c r="BQ1437" t="s">
        <v>3463</v>
      </c>
      <c r="BR1437" t="s">
        <v>3465</v>
      </c>
      <c r="BS1437" t="s">
        <v>3465</v>
      </c>
      <c r="BT1437" t="s">
        <v>3465</v>
      </c>
      <c r="BU1437" t="s">
        <v>3463</v>
      </c>
      <c r="BV1437" t="s">
        <v>3463</v>
      </c>
      <c r="BW1437" t="s">
        <v>3463</v>
      </c>
      <c r="BX1437" t="s">
        <v>79</v>
      </c>
      <c r="BY1437" t="s">
        <v>79</v>
      </c>
      <c r="BZ1437" t="s">
        <v>79</v>
      </c>
      <c r="CA1437" s="10">
        <v>45913</v>
      </c>
    </row>
    <row r="1438" spans="1:79">
      <c r="A1438">
        <v>1451</v>
      </c>
      <c r="B1438">
        <v>78</v>
      </c>
      <c r="C1438">
        <v>54</v>
      </c>
      <c r="D1438" t="s">
        <v>3466</v>
      </c>
      <c r="E1438" t="s">
        <v>3110</v>
      </c>
      <c r="F1438" t="s">
        <v>1804</v>
      </c>
      <c r="G1438" s="12" t="s">
        <v>3463</v>
      </c>
      <c r="I1438">
        <v>81</v>
      </c>
      <c r="J1438">
        <v>82</v>
      </c>
      <c r="K1438">
        <v>153</v>
      </c>
      <c r="L1438">
        <v>101</v>
      </c>
      <c r="M1438" t="s">
        <v>72</v>
      </c>
      <c r="N1438">
        <v>142</v>
      </c>
      <c r="O1438">
        <v>101</v>
      </c>
      <c r="P1438" t="s">
        <v>72</v>
      </c>
      <c r="Q1438" t="s">
        <v>72</v>
      </c>
      <c r="R1438">
        <v>100</v>
      </c>
      <c r="S1438">
        <v>156</v>
      </c>
      <c r="T1438" s="8">
        <f t="shared" si="45"/>
        <v>41.091387245233399</v>
      </c>
      <c r="U1438" s="13" t="str" cm="1">
        <f t="array" ref="U1438">IF(T1438="","",_xlfn.IFS(T1438&lt;18.5,"Bajo peso",T1438&lt;25,"Peso normal",T1438&lt;30,"Sobrepeso",T1438&lt;35,"Obesidad clase I",T1438&lt;40,"Obesidad clase II",T1438&gt;=40,"Obesidad clase III"))</f>
        <v>Obesidad clase III</v>
      </c>
      <c r="V1438">
        <v>118</v>
      </c>
      <c r="X1438" t="s">
        <v>3463</v>
      </c>
      <c r="Y1438">
        <v>0.96</v>
      </c>
      <c r="AA1438">
        <v>70</v>
      </c>
      <c r="AB1438" s="9">
        <f t="shared" si="44"/>
        <v>70.308302948136202</v>
      </c>
      <c r="AD1438" t="s">
        <v>73</v>
      </c>
      <c r="AF1438" t="s">
        <v>73</v>
      </c>
      <c r="AH1438" t="s">
        <v>3463</v>
      </c>
      <c r="AI1438" t="s">
        <v>3463</v>
      </c>
      <c r="AJ1438" t="s">
        <v>3463</v>
      </c>
      <c r="AK1438" t="s">
        <v>3463</v>
      </c>
      <c r="AL1438" t="s">
        <v>3463</v>
      </c>
      <c r="AP1438" t="s">
        <v>3463</v>
      </c>
      <c r="AQ1438" t="s">
        <v>120</v>
      </c>
      <c r="AR1438" t="s">
        <v>3491</v>
      </c>
      <c r="AT1438" t="s">
        <v>3465</v>
      </c>
      <c r="AU1438" t="s">
        <v>80</v>
      </c>
      <c r="AV1438" t="s">
        <v>126</v>
      </c>
      <c r="AW1438" t="s">
        <v>126</v>
      </c>
      <c r="AX1438" t="s">
        <v>3463</v>
      </c>
      <c r="AY1438" t="s">
        <v>3465</v>
      </c>
      <c r="AZ1438" t="s">
        <v>90</v>
      </c>
      <c r="BF1438" t="s">
        <v>3921</v>
      </c>
      <c r="BH1438" t="s">
        <v>4021</v>
      </c>
      <c r="BI1438" t="s">
        <v>76</v>
      </c>
      <c r="BP1438" t="s">
        <v>4261</v>
      </c>
      <c r="BQ1438" t="s">
        <v>3463</v>
      </c>
      <c r="BR1438" t="s">
        <v>3463</v>
      </c>
      <c r="BS1438" t="s">
        <v>3465</v>
      </c>
      <c r="BT1438" t="s">
        <v>3465</v>
      </c>
      <c r="BU1438" t="s">
        <v>3463</v>
      </c>
      <c r="BV1438" t="s">
        <v>3463</v>
      </c>
      <c r="BW1438" t="s">
        <v>3463</v>
      </c>
      <c r="BX1438" t="s">
        <v>79</v>
      </c>
      <c r="BY1438" t="s">
        <v>79</v>
      </c>
      <c r="BZ1438" t="s">
        <v>79</v>
      </c>
      <c r="CA1438" s="10">
        <v>45913</v>
      </c>
    </row>
    <row r="1439" spans="1:79">
      <c r="A1439">
        <v>1452</v>
      </c>
      <c r="B1439">
        <v>79</v>
      </c>
      <c r="C1439">
        <v>54</v>
      </c>
      <c r="D1439" t="s">
        <v>3462</v>
      </c>
      <c r="E1439" t="s">
        <v>3111</v>
      </c>
      <c r="F1439" t="s">
        <v>1804</v>
      </c>
      <c r="G1439" s="12" t="s">
        <v>3463</v>
      </c>
      <c r="I1439">
        <v>67</v>
      </c>
      <c r="J1439">
        <v>68</v>
      </c>
      <c r="K1439">
        <v>146</v>
      </c>
      <c r="L1439">
        <v>87</v>
      </c>
      <c r="M1439" t="s">
        <v>72</v>
      </c>
      <c r="N1439">
        <v>150</v>
      </c>
      <c r="O1439">
        <v>88</v>
      </c>
      <c r="P1439" t="s">
        <v>72</v>
      </c>
      <c r="Q1439" t="s">
        <v>72</v>
      </c>
      <c r="R1439">
        <v>76.3</v>
      </c>
      <c r="S1439">
        <v>161</v>
      </c>
      <c r="T1439" s="8">
        <f t="shared" si="45"/>
        <v>29.435592762624896</v>
      </c>
      <c r="U1439" s="13" t="str" cm="1">
        <f t="array" ref="U1439">IF(T1439="","",_xlfn.IFS(T1439&lt;18.5,"Bajo peso",T1439&lt;25,"Peso normal",T1439&lt;30,"Sobrepeso",T1439&lt;35,"Obesidad clase I",T1439&lt;40,"Obesidad clase II",T1439&gt;=40,"Obesidad clase III"))</f>
        <v>Sobrepeso</v>
      </c>
      <c r="V1439">
        <v>97</v>
      </c>
      <c r="X1439" t="s">
        <v>3463</v>
      </c>
      <c r="Y1439">
        <v>1.19</v>
      </c>
      <c r="AA1439">
        <v>73</v>
      </c>
      <c r="AB1439" s="9">
        <f t="shared" si="44"/>
        <v>72.588628716386452</v>
      </c>
      <c r="AD1439" t="s">
        <v>73</v>
      </c>
      <c r="AF1439" t="s">
        <v>73</v>
      </c>
      <c r="AH1439" t="s">
        <v>3463</v>
      </c>
      <c r="AI1439" t="s">
        <v>3463</v>
      </c>
      <c r="AJ1439" t="s">
        <v>3463</v>
      </c>
      <c r="AK1439" t="s">
        <v>3463</v>
      </c>
      <c r="AL1439" t="s">
        <v>3463</v>
      </c>
      <c r="AP1439" t="s">
        <v>3463</v>
      </c>
      <c r="AV1439" t="s">
        <v>74</v>
      </c>
      <c r="AW1439" t="s">
        <v>3915</v>
      </c>
      <c r="BF1439" t="s">
        <v>3921</v>
      </c>
      <c r="BG1439" t="s">
        <v>3112</v>
      </c>
      <c r="BH1439" t="s">
        <v>4021</v>
      </c>
      <c r="BI1439" t="s">
        <v>425</v>
      </c>
      <c r="BK1439" t="s">
        <v>1653</v>
      </c>
      <c r="BL1439" t="s">
        <v>3113</v>
      </c>
      <c r="BP1439" t="s">
        <v>4555</v>
      </c>
      <c r="BQ1439" t="s">
        <v>3465</v>
      </c>
      <c r="BR1439" t="s">
        <v>3463</v>
      </c>
      <c r="BS1439" t="s">
        <v>3463</v>
      </c>
      <c r="BT1439" t="s">
        <v>3463</v>
      </c>
      <c r="BU1439" t="s">
        <v>3463</v>
      </c>
      <c r="BV1439" t="s">
        <v>3463</v>
      </c>
      <c r="BW1439" t="s">
        <v>3463</v>
      </c>
      <c r="BX1439" t="s">
        <v>79</v>
      </c>
      <c r="BY1439" t="s">
        <v>79</v>
      </c>
      <c r="BZ1439" t="s">
        <v>79</v>
      </c>
      <c r="CA1439" s="10">
        <v>45913</v>
      </c>
    </row>
    <row r="1440" spans="1:79">
      <c r="A1440">
        <v>1453</v>
      </c>
      <c r="B1440">
        <v>80</v>
      </c>
      <c r="C1440">
        <v>70</v>
      </c>
      <c r="D1440" t="s">
        <v>3466</v>
      </c>
      <c r="E1440" t="s">
        <v>3114</v>
      </c>
      <c r="F1440" t="s">
        <v>1804</v>
      </c>
      <c r="G1440" s="12" t="s">
        <v>3465</v>
      </c>
      <c r="H1440" s="12" t="s">
        <v>88</v>
      </c>
      <c r="I1440">
        <v>74</v>
      </c>
      <c r="J1440">
        <v>71</v>
      </c>
      <c r="K1440">
        <v>145</v>
      </c>
      <c r="L1440">
        <v>84</v>
      </c>
      <c r="M1440" t="s">
        <v>72</v>
      </c>
      <c r="N1440">
        <v>142</v>
      </c>
      <c r="O1440">
        <v>75</v>
      </c>
      <c r="P1440" t="s">
        <v>72</v>
      </c>
      <c r="Q1440" t="s">
        <v>72</v>
      </c>
      <c r="R1440">
        <v>87.7</v>
      </c>
      <c r="S1440">
        <v>153</v>
      </c>
      <c r="T1440" s="8">
        <f t="shared" si="45"/>
        <v>37.464223162031693</v>
      </c>
      <c r="U1440" s="13" t="str" cm="1">
        <f t="array" ref="U1440">IF(T1440="","",_xlfn.IFS(T1440&lt;18.5,"Bajo peso",T1440&lt;25,"Peso normal",T1440&lt;30,"Sobrepeso",T1440&lt;35,"Obesidad clase I",T1440&lt;40,"Obesidad clase II",T1440&gt;=40,"Obesidad clase III"))</f>
        <v>Obesidad clase II</v>
      </c>
      <c r="V1440">
        <v>105</v>
      </c>
      <c r="X1440" t="s">
        <v>3463</v>
      </c>
      <c r="Y1440">
        <v>1</v>
      </c>
      <c r="AA1440">
        <v>61</v>
      </c>
      <c r="AB1440" s="9">
        <f t="shared" si="44"/>
        <v>60.606049132744914</v>
      </c>
      <c r="AD1440" t="s">
        <v>73</v>
      </c>
      <c r="AF1440" t="s">
        <v>73</v>
      </c>
      <c r="AG1440" t="s">
        <v>3465</v>
      </c>
      <c r="AH1440" t="s">
        <v>3465</v>
      </c>
      <c r="AI1440" t="s">
        <v>3465</v>
      </c>
      <c r="AJ1440" t="s">
        <v>3463</v>
      </c>
      <c r="AK1440" t="s">
        <v>3463</v>
      </c>
      <c r="AL1440" t="s">
        <v>3465</v>
      </c>
      <c r="AM1440" t="s">
        <v>3115</v>
      </c>
      <c r="AN1440" t="s">
        <v>3885</v>
      </c>
      <c r="AP1440" t="s">
        <v>3463</v>
      </c>
      <c r="AQ1440" t="s">
        <v>3096</v>
      </c>
      <c r="AR1440" t="s">
        <v>3488</v>
      </c>
      <c r="AS1440" t="s">
        <v>3465</v>
      </c>
      <c r="AT1440" t="s">
        <v>3465</v>
      </c>
      <c r="AU1440" t="s">
        <v>125</v>
      </c>
      <c r="AV1440" t="s">
        <v>74</v>
      </c>
      <c r="AW1440" t="s">
        <v>3915</v>
      </c>
      <c r="AX1440" t="s">
        <v>3463</v>
      </c>
      <c r="AY1440" t="s">
        <v>3463</v>
      </c>
      <c r="BF1440" t="s">
        <v>3921</v>
      </c>
      <c r="BH1440" t="s">
        <v>4020</v>
      </c>
      <c r="BP1440" t="s">
        <v>4260</v>
      </c>
      <c r="BQ1440" t="s">
        <v>3463</v>
      </c>
      <c r="BR1440" t="s">
        <v>3463</v>
      </c>
      <c r="BS1440" t="s">
        <v>3463</v>
      </c>
      <c r="BT1440" t="s">
        <v>3463</v>
      </c>
      <c r="BU1440" t="s">
        <v>3463</v>
      </c>
      <c r="BX1440" t="s">
        <v>79</v>
      </c>
      <c r="BY1440" t="s">
        <v>79</v>
      </c>
      <c r="BZ1440" t="s">
        <v>79</v>
      </c>
      <c r="CA1440" s="10">
        <v>45913</v>
      </c>
    </row>
    <row r="1441" spans="1:79">
      <c r="A1441">
        <v>1454</v>
      </c>
      <c r="B1441">
        <v>81</v>
      </c>
      <c r="C1441">
        <v>77</v>
      </c>
      <c r="D1441" t="s">
        <v>3462</v>
      </c>
      <c r="E1441" t="s">
        <v>3095</v>
      </c>
      <c r="F1441" t="s">
        <v>1804</v>
      </c>
      <c r="G1441" s="12" t="s">
        <v>3463</v>
      </c>
      <c r="I1441">
        <v>88</v>
      </c>
      <c r="K1441">
        <v>136</v>
      </c>
      <c r="L1441">
        <v>79</v>
      </c>
      <c r="M1441" t="s">
        <v>82</v>
      </c>
      <c r="P1441" t="s">
        <v>83</v>
      </c>
      <c r="Q1441" t="s">
        <v>82</v>
      </c>
      <c r="R1441">
        <v>115.5</v>
      </c>
      <c r="S1441">
        <v>174.5</v>
      </c>
      <c r="T1441" s="8">
        <f t="shared" si="45"/>
        <v>37.930723064671064</v>
      </c>
      <c r="U1441" s="13" t="str" cm="1">
        <f t="array" ref="U1441">IF(T1441="","",_xlfn.IFS(T1441&lt;18.5,"Bajo peso",T1441&lt;25,"Peso normal",T1441&lt;30,"Sobrepeso",T1441&lt;35,"Obesidad clase I",T1441&lt;40,"Obesidad clase II",T1441&gt;=40,"Obesidad clase III"))</f>
        <v>Obesidad clase II</v>
      </c>
      <c r="V1441">
        <v>135</v>
      </c>
      <c r="X1441" t="s">
        <v>3463</v>
      </c>
      <c r="Y1441">
        <v>1.54</v>
      </c>
      <c r="AA1441">
        <v>46</v>
      </c>
      <c r="AB1441" s="9">
        <f t="shared" si="44"/>
        <v>46.171810680272735</v>
      </c>
      <c r="AD1441" t="s">
        <v>158</v>
      </c>
      <c r="AF1441" t="s">
        <v>158</v>
      </c>
      <c r="AH1441" t="s">
        <v>3464</v>
      </c>
      <c r="AI1441" t="s">
        <v>3465</v>
      </c>
      <c r="AJ1441" t="s">
        <v>3463</v>
      </c>
      <c r="AK1441" t="s">
        <v>3463</v>
      </c>
      <c r="AL1441" t="s">
        <v>3465</v>
      </c>
      <c r="AM1441" t="s">
        <v>3116</v>
      </c>
      <c r="AN1441" t="s">
        <v>3718</v>
      </c>
      <c r="AP1441" t="s">
        <v>3463</v>
      </c>
      <c r="AS1441" t="s">
        <v>3465</v>
      </c>
      <c r="AW1441" t="s">
        <v>3916</v>
      </c>
      <c r="BA1441" t="s">
        <v>3920</v>
      </c>
      <c r="BC1441" t="s">
        <v>128</v>
      </c>
      <c r="BE1441" t="s">
        <v>1022</v>
      </c>
      <c r="BF1441" t="s">
        <v>3943</v>
      </c>
      <c r="BG1441" t="s">
        <v>3117</v>
      </c>
      <c r="BH1441" t="s">
        <v>4029</v>
      </c>
      <c r="BI1441" t="s">
        <v>411</v>
      </c>
      <c r="BK1441" t="s">
        <v>3118</v>
      </c>
      <c r="BL1441" t="s">
        <v>3119</v>
      </c>
      <c r="BP1441" t="s">
        <v>4383</v>
      </c>
      <c r="BQ1441" t="s">
        <v>3463</v>
      </c>
      <c r="BR1441" t="s">
        <v>3463</v>
      </c>
      <c r="BS1441" t="s">
        <v>3463</v>
      </c>
      <c r="BT1441" t="s">
        <v>3463</v>
      </c>
      <c r="BU1441" t="s">
        <v>3463</v>
      </c>
      <c r="BV1441" t="s">
        <v>3463</v>
      </c>
      <c r="BW1441" t="s">
        <v>3463</v>
      </c>
      <c r="BX1441" t="s">
        <v>79</v>
      </c>
      <c r="BY1441" t="s">
        <v>79</v>
      </c>
      <c r="BZ1441" t="s">
        <v>79</v>
      </c>
      <c r="CA1441" s="10">
        <v>45913</v>
      </c>
    </row>
    <row r="1442" spans="1:79">
      <c r="A1442">
        <v>1455</v>
      </c>
      <c r="B1442">
        <v>82</v>
      </c>
      <c r="C1442">
        <v>35</v>
      </c>
      <c r="D1442" t="s">
        <v>3466</v>
      </c>
      <c r="E1442" t="s">
        <v>2975</v>
      </c>
      <c r="F1442" t="s">
        <v>1804</v>
      </c>
      <c r="G1442" s="12" t="s">
        <v>3465</v>
      </c>
      <c r="H1442" s="12" t="s">
        <v>88</v>
      </c>
      <c r="I1442">
        <v>89</v>
      </c>
      <c r="J1442">
        <v>81</v>
      </c>
      <c r="K1442">
        <v>137</v>
      </c>
      <c r="L1442">
        <v>90</v>
      </c>
      <c r="M1442" t="s">
        <v>72</v>
      </c>
      <c r="N1442">
        <v>142</v>
      </c>
      <c r="O1442">
        <v>93</v>
      </c>
      <c r="P1442" t="s">
        <v>72</v>
      </c>
      <c r="Q1442" t="s">
        <v>72</v>
      </c>
      <c r="R1442">
        <v>91.8</v>
      </c>
      <c r="S1442">
        <v>157.5</v>
      </c>
      <c r="T1442" s="8">
        <f t="shared" si="45"/>
        <v>37.006802721088434</v>
      </c>
      <c r="U1442" s="13" t="str" cm="1">
        <f t="array" ref="U1442">IF(T1442="","",_xlfn.IFS(T1442&lt;18.5,"Bajo peso",T1442&lt;25,"Peso normal",T1442&lt;30,"Sobrepeso",T1442&lt;35,"Obesidad clase I",T1442&lt;40,"Obesidad clase II",T1442&gt;=40,"Obesidad clase III"))</f>
        <v>Obesidad clase II</v>
      </c>
      <c r="V1442">
        <v>111</v>
      </c>
      <c r="X1442" t="s">
        <v>3463</v>
      </c>
      <c r="Y1442">
        <v>0.89</v>
      </c>
      <c r="AA1442">
        <v>87</v>
      </c>
      <c r="AB1442" s="9">
        <f t="shared" si="44"/>
        <v>86.652925838505411</v>
      </c>
      <c r="AD1442" t="s">
        <v>73</v>
      </c>
      <c r="AF1442" t="s">
        <v>73</v>
      </c>
      <c r="AH1442" t="s">
        <v>3463</v>
      </c>
      <c r="AI1442" t="s">
        <v>3463</v>
      </c>
      <c r="AJ1442" t="s">
        <v>3463</v>
      </c>
      <c r="AK1442" t="s">
        <v>3463</v>
      </c>
      <c r="AL1442" t="s">
        <v>3463</v>
      </c>
      <c r="AO1442" t="s">
        <v>3465</v>
      </c>
      <c r="AP1442" t="s">
        <v>3465</v>
      </c>
      <c r="AQ1442" t="s">
        <v>3120</v>
      </c>
      <c r="AR1442" t="s">
        <v>3508</v>
      </c>
      <c r="AT1442" t="s">
        <v>3463</v>
      </c>
      <c r="AV1442" t="s">
        <v>74</v>
      </c>
      <c r="AW1442" t="s">
        <v>3915</v>
      </c>
      <c r="AX1442" t="s">
        <v>3463</v>
      </c>
      <c r="AY1442" t="s">
        <v>3465</v>
      </c>
      <c r="AZ1442" t="s">
        <v>90</v>
      </c>
      <c r="BF1442" t="s">
        <v>3921</v>
      </c>
      <c r="BH1442" t="s">
        <v>4021</v>
      </c>
      <c r="BI1442" t="s">
        <v>76</v>
      </c>
      <c r="BP1442" t="s">
        <v>4261</v>
      </c>
      <c r="BQ1442" t="s">
        <v>3463</v>
      </c>
      <c r="BR1442" t="s">
        <v>3463</v>
      </c>
      <c r="BS1442" t="s">
        <v>3465</v>
      </c>
      <c r="BT1442" t="s">
        <v>3465</v>
      </c>
      <c r="BU1442" t="s">
        <v>3463</v>
      </c>
      <c r="BV1442" t="s">
        <v>3463</v>
      </c>
      <c r="BW1442" t="s">
        <v>3463</v>
      </c>
      <c r="BX1442" t="s">
        <v>79</v>
      </c>
      <c r="BY1442" t="s">
        <v>79</v>
      </c>
      <c r="BZ1442" t="s">
        <v>79</v>
      </c>
      <c r="CA1442" s="10">
        <v>45913</v>
      </c>
    </row>
    <row r="1443" spans="1:79">
      <c r="A1443">
        <v>1456</v>
      </c>
      <c r="B1443">
        <v>83</v>
      </c>
      <c r="C1443">
        <v>59</v>
      </c>
      <c r="D1443" t="s">
        <v>3466</v>
      </c>
      <c r="E1443" t="s">
        <v>2955</v>
      </c>
      <c r="F1443" t="s">
        <v>1804</v>
      </c>
      <c r="G1443" s="12" t="s">
        <v>3465</v>
      </c>
      <c r="H1443" t="s">
        <v>88</v>
      </c>
      <c r="I1443">
        <v>70</v>
      </c>
      <c r="J1443">
        <v>67</v>
      </c>
      <c r="K1443">
        <v>159</v>
      </c>
      <c r="L1443">
        <v>88</v>
      </c>
      <c r="M1443" t="s">
        <v>72</v>
      </c>
      <c r="N1443">
        <v>136</v>
      </c>
      <c r="O1443">
        <v>77</v>
      </c>
      <c r="P1443" t="s">
        <v>82</v>
      </c>
      <c r="Q1443" t="s">
        <v>82</v>
      </c>
      <c r="R1443">
        <v>72.900000000000006</v>
      </c>
      <c r="S1443">
        <v>143</v>
      </c>
      <c r="T1443" s="8">
        <f t="shared" si="45"/>
        <v>35.649665020294393</v>
      </c>
      <c r="U1443" s="13" t="str" cm="1">
        <f t="array" ref="U1443">IF(T1443="","",_xlfn.IFS(T1443&lt;18.5,"Bajo peso",T1443&lt;25,"Peso normal",T1443&lt;30,"Sobrepeso",T1443&lt;35,"Obesidad clase I",T1443&lt;40,"Obesidad clase II",T1443&gt;=40,"Obesidad clase III"))</f>
        <v>Obesidad clase II</v>
      </c>
      <c r="V1443">
        <v>132</v>
      </c>
      <c r="X1443" t="s">
        <v>3463</v>
      </c>
      <c r="Y1443">
        <v>0.93</v>
      </c>
      <c r="AA1443">
        <v>71</v>
      </c>
      <c r="AB1443" s="9">
        <f t="shared" si="44"/>
        <v>70.802324927585218</v>
      </c>
      <c r="AD1443" t="s">
        <v>73</v>
      </c>
      <c r="AF1443" t="s">
        <v>73</v>
      </c>
      <c r="AG1443" t="s">
        <v>3465</v>
      </c>
      <c r="AH1443" t="s">
        <v>3465</v>
      </c>
      <c r="AI1443" t="s">
        <v>3463</v>
      </c>
      <c r="AJ1443" t="s">
        <v>3463</v>
      </c>
      <c r="AK1443" t="s">
        <v>3463</v>
      </c>
      <c r="AL1443" t="s">
        <v>3465</v>
      </c>
      <c r="AM1443" t="s">
        <v>3121</v>
      </c>
      <c r="AN1443" t="s">
        <v>3846</v>
      </c>
      <c r="AO1443" t="s">
        <v>3463</v>
      </c>
      <c r="AP1443" t="s">
        <v>3465</v>
      </c>
      <c r="AQ1443" t="s">
        <v>120</v>
      </c>
      <c r="AR1443" t="s">
        <v>3491</v>
      </c>
      <c r="AT1443" t="s">
        <v>3465</v>
      </c>
      <c r="AU1443" t="s">
        <v>80</v>
      </c>
      <c r="AV1443" t="s">
        <v>74</v>
      </c>
      <c r="AW1443" t="s">
        <v>3915</v>
      </c>
      <c r="AX1443" t="s">
        <v>3463</v>
      </c>
      <c r="AY1443" t="s">
        <v>3465</v>
      </c>
      <c r="AZ1443" t="s">
        <v>104</v>
      </c>
      <c r="BE1443" t="s">
        <v>3122</v>
      </c>
      <c r="BF1443" t="s">
        <v>3999</v>
      </c>
      <c r="BH1443" t="s">
        <v>4021</v>
      </c>
      <c r="BI1443" t="s">
        <v>76</v>
      </c>
      <c r="BP1443" t="s">
        <v>4261</v>
      </c>
      <c r="BQ1443" t="s">
        <v>3463</v>
      </c>
      <c r="BR1443" t="s">
        <v>3463</v>
      </c>
      <c r="BS1443" t="s">
        <v>3465</v>
      </c>
      <c r="BT1443" t="s">
        <v>3465</v>
      </c>
      <c r="BU1443" t="s">
        <v>3463</v>
      </c>
      <c r="BX1443" t="s">
        <v>79</v>
      </c>
      <c r="BY1443" t="s">
        <v>79</v>
      </c>
      <c r="BZ1443" t="s">
        <v>79</v>
      </c>
      <c r="CA1443" s="10">
        <v>45913</v>
      </c>
    </row>
    <row r="1444" spans="1:79">
      <c r="A1444">
        <v>1457</v>
      </c>
      <c r="B1444">
        <v>84</v>
      </c>
      <c r="C1444">
        <v>64</v>
      </c>
      <c r="D1444" t="s">
        <v>3466</v>
      </c>
      <c r="E1444" t="s">
        <v>3123</v>
      </c>
      <c r="F1444" t="s">
        <v>1804</v>
      </c>
      <c r="G1444" s="12" t="s">
        <v>3463</v>
      </c>
      <c r="I1444">
        <v>78</v>
      </c>
      <c r="J1444">
        <v>76</v>
      </c>
      <c r="K1444">
        <v>190</v>
      </c>
      <c r="L1444">
        <v>98</v>
      </c>
      <c r="M1444" t="s">
        <v>96</v>
      </c>
      <c r="N1444">
        <v>199</v>
      </c>
      <c r="O1444">
        <v>95</v>
      </c>
      <c r="P1444" t="s">
        <v>96</v>
      </c>
      <c r="Q1444" t="s">
        <v>96</v>
      </c>
      <c r="R1444">
        <v>77.8</v>
      </c>
      <c r="S1444">
        <v>160</v>
      </c>
      <c r="T1444" s="8">
        <f t="shared" si="45"/>
        <v>30.390625</v>
      </c>
      <c r="U1444" s="13" t="str" cm="1">
        <f t="array" ref="U1444">IF(T1444="","",_xlfn.IFS(T1444&lt;18.5,"Bajo peso",T1444&lt;25,"Peso normal",T1444&lt;30,"Sobrepeso",T1444&lt;35,"Obesidad clase I",T1444&lt;40,"Obesidad clase II",T1444&gt;=40,"Obesidad clase III"))</f>
        <v>Obesidad clase I</v>
      </c>
      <c r="V1444">
        <v>83</v>
      </c>
      <c r="X1444" t="s">
        <v>3463</v>
      </c>
      <c r="Y1444">
        <v>0.74</v>
      </c>
      <c r="AA1444">
        <v>90</v>
      </c>
      <c r="AB1444" s="9">
        <f t="shared" si="44"/>
        <v>90.290894477727662</v>
      </c>
      <c r="AD1444" t="s">
        <v>73</v>
      </c>
      <c r="AF1444" t="s">
        <v>73</v>
      </c>
      <c r="AH1444" t="s">
        <v>3463</v>
      </c>
      <c r="AI1444" t="s">
        <v>3465</v>
      </c>
      <c r="AJ1444" t="s">
        <v>3464</v>
      </c>
      <c r="AK1444" t="s">
        <v>3463</v>
      </c>
      <c r="AL1444" t="s">
        <v>3464</v>
      </c>
      <c r="AP1444" t="s">
        <v>3463</v>
      </c>
      <c r="AQ1444" t="s">
        <v>3009</v>
      </c>
      <c r="AR1444" t="s">
        <v>3490</v>
      </c>
      <c r="AS1444" t="s">
        <v>3465</v>
      </c>
      <c r="AT1444" t="s">
        <v>3465</v>
      </c>
      <c r="AU1444" t="s">
        <v>80</v>
      </c>
      <c r="AV1444" t="s">
        <v>74</v>
      </c>
      <c r="AW1444" t="s">
        <v>3915</v>
      </c>
      <c r="AX1444" t="s">
        <v>3463</v>
      </c>
      <c r="AY1444" t="s">
        <v>3465</v>
      </c>
      <c r="AZ1444" t="s">
        <v>104</v>
      </c>
      <c r="BC1444" t="s">
        <v>128</v>
      </c>
      <c r="BF1444" t="s">
        <v>3921</v>
      </c>
      <c r="BG1444" t="s">
        <v>3124</v>
      </c>
      <c r="BH1444" t="s">
        <v>4043</v>
      </c>
      <c r="BL1444" t="s">
        <v>3125</v>
      </c>
      <c r="BP1444" t="s">
        <v>4260</v>
      </c>
      <c r="BQ1444" t="s">
        <v>3463</v>
      </c>
      <c r="BR1444" t="s">
        <v>3463</v>
      </c>
      <c r="BS1444" t="s">
        <v>3465</v>
      </c>
      <c r="BT1444" t="s">
        <v>3465</v>
      </c>
      <c r="BU1444" t="s">
        <v>3463</v>
      </c>
      <c r="BV1444" t="s">
        <v>3463</v>
      </c>
      <c r="BW1444" t="s">
        <v>3463</v>
      </c>
      <c r="BX1444" t="s">
        <v>79</v>
      </c>
      <c r="BY1444" t="s">
        <v>79</v>
      </c>
      <c r="BZ1444" t="s">
        <v>79</v>
      </c>
      <c r="CA1444" s="10">
        <v>45913</v>
      </c>
    </row>
    <row r="1445" spans="1:79">
      <c r="A1445">
        <v>1458</v>
      </c>
      <c r="B1445">
        <v>85</v>
      </c>
      <c r="C1445">
        <v>51</v>
      </c>
      <c r="D1445" t="s">
        <v>3462</v>
      </c>
      <c r="E1445" t="s">
        <v>2975</v>
      </c>
      <c r="F1445" t="s">
        <v>1804</v>
      </c>
      <c r="G1445" s="12" t="s">
        <v>3463</v>
      </c>
      <c r="I1445">
        <v>68</v>
      </c>
      <c r="K1445">
        <v>128</v>
      </c>
      <c r="L1445">
        <v>89</v>
      </c>
      <c r="M1445" t="s">
        <v>82</v>
      </c>
      <c r="P1445" t="s">
        <v>83</v>
      </c>
      <c r="Q1445" t="s">
        <v>82</v>
      </c>
      <c r="R1445">
        <v>76.7</v>
      </c>
      <c r="S1445">
        <v>161.5</v>
      </c>
      <c r="T1445" s="8">
        <f t="shared" si="45"/>
        <v>29.406972174563162</v>
      </c>
      <c r="U1445" s="13" t="str" cm="1">
        <f t="array" ref="U1445">IF(T1445="","",_xlfn.IFS(T1445&lt;18.5,"Bajo peso",T1445&lt;25,"Peso normal",T1445&lt;30,"Sobrepeso",T1445&lt;35,"Obesidad clase I",T1445&lt;40,"Obesidad clase II",T1445&gt;=40,"Obesidad clase III"))</f>
        <v>Sobrepeso</v>
      </c>
      <c r="V1445">
        <v>94</v>
      </c>
      <c r="X1445" t="s">
        <v>3463</v>
      </c>
      <c r="Y1445">
        <v>0.74</v>
      </c>
      <c r="AA1445">
        <v>90</v>
      </c>
      <c r="AB1445" s="9">
        <f t="shared" si="44"/>
        <v>109.70090635637717</v>
      </c>
      <c r="AD1445" t="s">
        <v>73</v>
      </c>
      <c r="AF1445" t="s">
        <v>73</v>
      </c>
      <c r="AH1445" t="s">
        <v>3463</v>
      </c>
      <c r="AI1445" t="s">
        <v>3465</v>
      </c>
      <c r="AJ1445" t="s">
        <v>3465</v>
      </c>
      <c r="AK1445" t="s">
        <v>3463</v>
      </c>
      <c r="AL1445" t="s">
        <v>3465</v>
      </c>
      <c r="AM1445" t="s">
        <v>301</v>
      </c>
      <c r="AN1445" t="s">
        <v>3617</v>
      </c>
      <c r="AP1445" t="s">
        <v>3463</v>
      </c>
      <c r="AQ1445" t="s">
        <v>3028</v>
      </c>
      <c r="AR1445" t="s">
        <v>3508</v>
      </c>
      <c r="AS1445" t="s">
        <v>3465</v>
      </c>
      <c r="AV1445" t="s">
        <v>74</v>
      </c>
      <c r="AW1445" t="s">
        <v>3915</v>
      </c>
      <c r="BF1445" t="s">
        <v>3921</v>
      </c>
      <c r="BH1445" t="s">
        <v>4020</v>
      </c>
      <c r="BP1445" t="s">
        <v>4260</v>
      </c>
      <c r="BQ1445" t="s">
        <v>3463</v>
      </c>
      <c r="BR1445" t="s">
        <v>3463</v>
      </c>
      <c r="BS1445" t="s">
        <v>3463</v>
      </c>
      <c r="BT1445" t="s">
        <v>3463</v>
      </c>
      <c r="BU1445" t="s">
        <v>3463</v>
      </c>
      <c r="BV1445" t="s">
        <v>3463</v>
      </c>
      <c r="BW1445" t="s">
        <v>3463</v>
      </c>
      <c r="BX1445" t="s">
        <v>79</v>
      </c>
      <c r="BY1445" t="s">
        <v>79</v>
      </c>
      <c r="BZ1445" t="s">
        <v>79</v>
      </c>
      <c r="CA1445" s="10">
        <v>45913</v>
      </c>
    </row>
    <row r="1446" spans="1:79">
      <c r="A1446">
        <v>1459</v>
      </c>
      <c r="B1446">
        <v>86</v>
      </c>
      <c r="C1446">
        <v>50</v>
      </c>
      <c r="D1446" t="s">
        <v>3466</v>
      </c>
      <c r="E1446" t="s">
        <v>3072</v>
      </c>
      <c r="F1446" t="s">
        <v>1804</v>
      </c>
      <c r="G1446" s="12" t="s">
        <v>3463</v>
      </c>
      <c r="I1446">
        <v>66</v>
      </c>
      <c r="J1446">
        <v>64</v>
      </c>
      <c r="K1446">
        <v>142</v>
      </c>
      <c r="L1446">
        <v>78</v>
      </c>
      <c r="M1446" t="s">
        <v>72</v>
      </c>
      <c r="N1446">
        <v>139</v>
      </c>
      <c r="O1446">
        <v>81</v>
      </c>
      <c r="P1446" t="s">
        <v>82</v>
      </c>
      <c r="Q1446" t="s">
        <v>82</v>
      </c>
      <c r="R1446">
        <v>71.2</v>
      </c>
      <c r="S1446">
        <v>156.5</v>
      </c>
      <c r="T1446" s="8">
        <f t="shared" si="45"/>
        <v>29.070420234972289</v>
      </c>
      <c r="U1446" s="13" t="str" cm="1">
        <f t="array" ref="U1446">IF(T1446="","",_xlfn.IFS(T1446&lt;18.5,"Bajo peso",T1446&lt;25,"Peso normal",T1446&lt;30,"Sobrepeso",T1446&lt;35,"Obesidad clase I",T1446&lt;40,"Obesidad clase II",T1446&gt;=40,"Obesidad clase III"))</f>
        <v>Sobrepeso</v>
      </c>
      <c r="V1446">
        <v>96</v>
      </c>
      <c r="X1446" t="s">
        <v>3463</v>
      </c>
      <c r="Y1446">
        <v>0.76</v>
      </c>
      <c r="AA1446">
        <v>90</v>
      </c>
      <c r="AB1446" s="9">
        <f t="shared" si="44"/>
        <v>95.402513005718731</v>
      </c>
      <c r="AD1446" t="s">
        <v>73</v>
      </c>
      <c r="AF1446" t="s">
        <v>73</v>
      </c>
      <c r="AH1446" t="s">
        <v>3463</v>
      </c>
      <c r="AI1446" t="s">
        <v>3463</v>
      </c>
      <c r="AJ1446" t="s">
        <v>3465</v>
      </c>
      <c r="AK1446" t="s">
        <v>3463</v>
      </c>
      <c r="AL1446" t="s">
        <v>3465</v>
      </c>
      <c r="AM1446" t="s">
        <v>110</v>
      </c>
      <c r="AN1446" t="s">
        <v>110</v>
      </c>
      <c r="AP1446" t="s">
        <v>3463</v>
      </c>
      <c r="AT1446" t="s">
        <v>3465</v>
      </c>
      <c r="AU1446" t="s">
        <v>80</v>
      </c>
      <c r="AV1446" t="s">
        <v>74</v>
      </c>
      <c r="AW1446" t="s">
        <v>3915</v>
      </c>
      <c r="AX1446" t="s">
        <v>3465</v>
      </c>
      <c r="AY1446" t="s">
        <v>3465</v>
      </c>
      <c r="AZ1446" t="s">
        <v>247</v>
      </c>
      <c r="BF1446" t="s">
        <v>3921</v>
      </c>
      <c r="BH1446" t="s">
        <v>4020</v>
      </c>
      <c r="BP1446" t="s">
        <v>4260</v>
      </c>
      <c r="BQ1446" t="s">
        <v>3463</v>
      </c>
      <c r="BR1446" t="s">
        <v>3465</v>
      </c>
      <c r="BS1446" t="s">
        <v>3465</v>
      </c>
      <c r="BT1446" t="s">
        <v>3465</v>
      </c>
      <c r="BU1446" t="s">
        <v>3463</v>
      </c>
      <c r="BV1446" t="s">
        <v>3463</v>
      </c>
      <c r="BW1446" t="s">
        <v>3463</v>
      </c>
      <c r="BX1446" t="s">
        <v>79</v>
      </c>
      <c r="BY1446" t="s">
        <v>79</v>
      </c>
      <c r="BZ1446" t="s">
        <v>79</v>
      </c>
      <c r="CA1446" s="10">
        <v>45913</v>
      </c>
    </row>
    <row r="1447" spans="1:79">
      <c r="A1447">
        <v>1460</v>
      </c>
      <c r="B1447">
        <v>87</v>
      </c>
      <c r="C1447">
        <v>38</v>
      </c>
      <c r="D1447" t="s">
        <v>3466</v>
      </c>
      <c r="E1447" t="s">
        <v>3126</v>
      </c>
      <c r="F1447" t="s">
        <v>1804</v>
      </c>
      <c r="G1447" s="12" t="s">
        <v>3463</v>
      </c>
      <c r="I1447">
        <v>63</v>
      </c>
      <c r="J1447">
        <v>70</v>
      </c>
      <c r="K1447">
        <v>141</v>
      </c>
      <c r="L1447">
        <v>72</v>
      </c>
      <c r="M1447" t="s">
        <v>72</v>
      </c>
      <c r="N1447">
        <v>124</v>
      </c>
      <c r="O1447">
        <v>79</v>
      </c>
      <c r="P1447" t="s">
        <v>118</v>
      </c>
      <c r="Q1447" t="s">
        <v>118</v>
      </c>
      <c r="R1447">
        <v>58</v>
      </c>
      <c r="S1447">
        <v>153</v>
      </c>
      <c r="T1447" s="8">
        <f t="shared" si="45"/>
        <v>24.776795249690291</v>
      </c>
      <c r="U1447" s="13" t="str" cm="1">
        <f t="array" ref="U1447">IF(T1447="","",_xlfn.IFS(T1447&lt;18.5,"Bajo peso",T1447&lt;25,"Peso normal",T1447&lt;30,"Sobrepeso",T1447&lt;35,"Obesidad clase I",T1447&lt;40,"Obesidad clase II",T1447&gt;=40,"Obesidad clase III"))</f>
        <v>Peso normal</v>
      </c>
      <c r="V1447">
        <v>101</v>
      </c>
      <c r="X1447" t="s">
        <v>3463</v>
      </c>
      <c r="Y1447">
        <v>0.65</v>
      </c>
      <c r="AA1447">
        <v>90</v>
      </c>
      <c r="AB1447" s="9">
        <f t="shared" si="44"/>
        <v>115.50135446083686</v>
      </c>
      <c r="AD1447" t="s">
        <v>73</v>
      </c>
      <c r="AF1447" t="s">
        <v>73</v>
      </c>
      <c r="AH1447" t="s">
        <v>3463</v>
      </c>
      <c r="AI1447" t="s">
        <v>3463</v>
      </c>
      <c r="AJ1447" t="s">
        <v>3463</v>
      </c>
      <c r="AK1447" t="s">
        <v>3463</v>
      </c>
      <c r="AL1447" t="s">
        <v>3463</v>
      </c>
      <c r="AP1447" t="s">
        <v>3463</v>
      </c>
      <c r="AT1447" t="s">
        <v>3463</v>
      </c>
      <c r="AV1447" t="s">
        <v>126</v>
      </c>
      <c r="AW1447" t="s">
        <v>126</v>
      </c>
      <c r="AX1447" t="s">
        <v>3463</v>
      </c>
      <c r="AY1447" t="s">
        <v>3463</v>
      </c>
      <c r="AZ1447" t="s">
        <v>104</v>
      </c>
      <c r="BF1447" t="s">
        <v>3921</v>
      </c>
      <c r="BH1447" t="s">
        <v>4020</v>
      </c>
      <c r="BP1447" t="s">
        <v>4260</v>
      </c>
      <c r="BQ1447" t="s">
        <v>3463</v>
      </c>
      <c r="BR1447" t="s">
        <v>3463</v>
      </c>
      <c r="BS1447" t="s">
        <v>3463</v>
      </c>
      <c r="BT1447" t="s">
        <v>3463</v>
      </c>
      <c r="BU1447" t="s">
        <v>3463</v>
      </c>
      <c r="BV1447" t="s">
        <v>3463</v>
      </c>
      <c r="BW1447" t="s">
        <v>3463</v>
      </c>
      <c r="BX1447" t="s">
        <v>79</v>
      </c>
      <c r="BY1447" t="s">
        <v>79</v>
      </c>
      <c r="BZ1447" t="s">
        <v>79</v>
      </c>
      <c r="CA1447" s="10">
        <v>45913</v>
      </c>
    </row>
    <row r="1448" spans="1:79">
      <c r="A1448">
        <v>1461</v>
      </c>
      <c r="B1448">
        <v>88</v>
      </c>
      <c r="C1448">
        <v>65</v>
      </c>
      <c r="D1448" t="s">
        <v>3462</v>
      </c>
      <c r="E1448" t="s">
        <v>2993</v>
      </c>
      <c r="F1448" t="s">
        <v>1804</v>
      </c>
      <c r="G1448" s="12" t="s">
        <v>3465</v>
      </c>
      <c r="H1448" s="12" t="s">
        <v>88</v>
      </c>
      <c r="I1448">
        <v>54</v>
      </c>
      <c r="K1448">
        <v>130</v>
      </c>
      <c r="L1448">
        <v>53</v>
      </c>
      <c r="M1448" t="s">
        <v>82</v>
      </c>
      <c r="P1448" t="s">
        <v>83</v>
      </c>
      <c r="Q1448" t="s">
        <v>82</v>
      </c>
      <c r="R1448">
        <v>85.9</v>
      </c>
      <c r="S1448">
        <v>165</v>
      </c>
      <c r="T1448" s="8">
        <f t="shared" si="45"/>
        <v>31.551882460973371</v>
      </c>
      <c r="U1448" s="13" t="str" cm="1">
        <f t="array" ref="U1448">IF(T1448="","",_xlfn.IFS(T1448&lt;18.5,"Bajo peso",T1448&lt;25,"Peso normal",T1448&lt;30,"Sobrepeso",T1448&lt;35,"Obesidad clase I",T1448&lt;40,"Obesidad clase II",T1448&gt;=40,"Obesidad clase III"))</f>
        <v>Obesidad clase I</v>
      </c>
      <c r="V1448">
        <v>191</v>
      </c>
      <c r="X1448" t="s">
        <v>3463</v>
      </c>
      <c r="Y1448">
        <v>0.99</v>
      </c>
      <c r="AA1448">
        <v>85</v>
      </c>
      <c r="AB1448" s="9">
        <f t="shared" si="44"/>
        <v>84.537933765596676</v>
      </c>
      <c r="AD1448" t="s">
        <v>73</v>
      </c>
      <c r="AF1448" t="s">
        <v>73</v>
      </c>
      <c r="AG1448" t="s">
        <v>3465</v>
      </c>
      <c r="AH1448" t="s">
        <v>3465</v>
      </c>
      <c r="AI1448" t="s">
        <v>3463</v>
      </c>
      <c r="AJ1448" t="s">
        <v>3463</v>
      </c>
      <c r="AK1448" t="s">
        <v>3463</v>
      </c>
      <c r="AL1448" t="s">
        <v>3463</v>
      </c>
      <c r="AP1448" t="s">
        <v>3464</v>
      </c>
      <c r="AV1448" t="s">
        <v>74</v>
      </c>
      <c r="AW1448" t="s">
        <v>3915</v>
      </c>
      <c r="BB1448" t="s">
        <v>3485</v>
      </c>
      <c r="BE1448" t="s">
        <v>68</v>
      </c>
      <c r="BF1448" t="s">
        <v>68</v>
      </c>
      <c r="BG1448" t="s">
        <v>3127</v>
      </c>
      <c r="BH1448" t="s">
        <v>4029</v>
      </c>
      <c r="BL1448" t="s">
        <v>3128</v>
      </c>
      <c r="BP1448" t="s">
        <v>4310</v>
      </c>
      <c r="BQ1448" t="s">
        <v>3463</v>
      </c>
      <c r="BR1448" t="s">
        <v>3463</v>
      </c>
      <c r="BS1448" t="s">
        <v>3463</v>
      </c>
      <c r="BT1448" t="s">
        <v>3463</v>
      </c>
      <c r="BU1448" t="s">
        <v>3463</v>
      </c>
      <c r="BV1448" t="s">
        <v>3463</v>
      </c>
      <c r="BW1448" t="s">
        <v>3463</v>
      </c>
      <c r="BX1448" t="s">
        <v>79</v>
      </c>
      <c r="BY1448" t="s">
        <v>121</v>
      </c>
      <c r="BZ1448" t="s">
        <v>95</v>
      </c>
      <c r="CA1448" s="10">
        <v>45913</v>
      </c>
    </row>
    <row r="1449" spans="1:79">
      <c r="A1449">
        <v>1462</v>
      </c>
      <c r="B1449">
        <v>89</v>
      </c>
      <c r="C1449">
        <v>77</v>
      </c>
      <c r="D1449" t="s">
        <v>3466</v>
      </c>
      <c r="E1449" t="s">
        <v>3129</v>
      </c>
      <c r="F1449" t="s">
        <v>1804</v>
      </c>
      <c r="G1449" s="12" t="s">
        <v>3463</v>
      </c>
      <c r="I1449">
        <v>74</v>
      </c>
      <c r="J1449">
        <v>74</v>
      </c>
      <c r="K1449">
        <v>166</v>
      </c>
      <c r="L1449">
        <v>77</v>
      </c>
      <c r="M1449" t="s">
        <v>72</v>
      </c>
      <c r="N1449">
        <v>153</v>
      </c>
      <c r="O1449">
        <v>108</v>
      </c>
      <c r="P1449" t="s">
        <v>72</v>
      </c>
      <c r="Q1449" t="s">
        <v>72</v>
      </c>
      <c r="R1449">
        <v>69.5</v>
      </c>
      <c r="S1449">
        <v>149</v>
      </c>
      <c r="T1449" s="8">
        <f t="shared" si="45"/>
        <v>31.304896175847933</v>
      </c>
      <c r="U1449" s="13" t="str" cm="1">
        <f t="array" ref="U1449">IF(T1449="","",_xlfn.IFS(T1449&lt;18.5,"Bajo peso",T1449&lt;25,"Peso normal",T1449&lt;30,"Sobrepeso",T1449&lt;35,"Obesidad clase I",T1449&lt;40,"Obesidad clase II",T1449&gt;=40,"Obesidad clase III"))</f>
        <v>Obesidad clase I</v>
      </c>
      <c r="V1449">
        <v>101</v>
      </c>
      <c r="X1449" t="s">
        <v>3463</v>
      </c>
      <c r="Y1449">
        <v>0.86</v>
      </c>
      <c r="AA1449">
        <v>89</v>
      </c>
      <c r="AB1449" s="9">
        <f t="shared" si="44"/>
        <v>69.536172009742799</v>
      </c>
      <c r="AD1449" t="s">
        <v>73</v>
      </c>
      <c r="AF1449" t="s">
        <v>73</v>
      </c>
      <c r="AH1449" t="s">
        <v>3463</v>
      </c>
      <c r="AI1449" t="s">
        <v>3465</v>
      </c>
      <c r="AJ1449" t="s">
        <v>3463</v>
      </c>
      <c r="AK1449" t="s">
        <v>3463</v>
      </c>
      <c r="AL1449" t="s">
        <v>3465</v>
      </c>
      <c r="AM1449" t="s">
        <v>110</v>
      </c>
      <c r="AN1449" t="s">
        <v>110</v>
      </c>
      <c r="AP1449" t="s">
        <v>3463</v>
      </c>
      <c r="AQ1449" t="s">
        <v>1135</v>
      </c>
      <c r="AR1449" t="s">
        <v>3505</v>
      </c>
      <c r="AS1449" t="s">
        <v>3464</v>
      </c>
      <c r="AT1449" t="s">
        <v>3463</v>
      </c>
      <c r="AV1449" t="s">
        <v>112</v>
      </c>
      <c r="AW1449" t="s">
        <v>3917</v>
      </c>
      <c r="AX1449" t="s">
        <v>3463</v>
      </c>
      <c r="AY1449" t="s">
        <v>3463</v>
      </c>
      <c r="BE1449" t="s">
        <v>1399</v>
      </c>
      <c r="BF1449" t="s">
        <v>3967</v>
      </c>
      <c r="BH1449" t="s">
        <v>4021</v>
      </c>
      <c r="BL1449" t="s">
        <v>3130</v>
      </c>
      <c r="BP1449" t="s">
        <v>4261</v>
      </c>
      <c r="BQ1449" t="s">
        <v>3463</v>
      </c>
      <c r="BR1449" t="s">
        <v>3463</v>
      </c>
      <c r="BS1449" t="s">
        <v>3463</v>
      </c>
      <c r="BT1449" t="s">
        <v>3463</v>
      </c>
      <c r="BU1449" t="s">
        <v>3463</v>
      </c>
      <c r="BV1449" t="s">
        <v>3463</v>
      </c>
      <c r="BW1449" t="s">
        <v>3463</v>
      </c>
      <c r="BX1449" t="s">
        <v>121</v>
      </c>
      <c r="BY1449" t="s">
        <v>79</v>
      </c>
      <c r="BZ1449" t="s">
        <v>79</v>
      </c>
      <c r="CA1449" s="10">
        <v>45913</v>
      </c>
    </row>
    <row r="1450" spans="1:79">
      <c r="A1450">
        <v>1463</v>
      </c>
      <c r="B1450">
        <v>91</v>
      </c>
      <c r="C1450">
        <v>79</v>
      </c>
      <c r="D1450" t="s">
        <v>3462</v>
      </c>
      <c r="F1450" t="s">
        <v>1804</v>
      </c>
      <c r="G1450" s="12" t="s">
        <v>3465</v>
      </c>
      <c r="H1450" t="s">
        <v>88</v>
      </c>
      <c r="I1450">
        <v>98</v>
      </c>
      <c r="J1450">
        <v>94</v>
      </c>
      <c r="K1450">
        <v>163</v>
      </c>
      <c r="L1450">
        <v>82</v>
      </c>
      <c r="M1450" t="s">
        <v>72</v>
      </c>
      <c r="N1450">
        <v>165</v>
      </c>
      <c r="O1450">
        <v>78</v>
      </c>
      <c r="P1450" t="s">
        <v>72</v>
      </c>
      <c r="Q1450" t="s">
        <v>72</v>
      </c>
      <c r="R1450">
        <v>75.7</v>
      </c>
      <c r="S1450">
        <v>160</v>
      </c>
      <c r="T1450" s="8">
        <f t="shared" si="45"/>
        <v>29.5703125</v>
      </c>
      <c r="U1450" s="13" t="str" cm="1">
        <f t="array" ref="U1450">IF(T1450="","",_xlfn.IFS(T1450&lt;18.5,"Bajo peso",T1450&lt;25,"Peso normal",T1450&lt;30,"Sobrepeso",T1450&lt;35,"Obesidad clase I",T1450&lt;40,"Obesidad clase II",T1450&gt;=40,"Obesidad clase III"))</f>
        <v>Sobrepeso</v>
      </c>
      <c r="V1450">
        <v>69</v>
      </c>
      <c r="X1450" t="s">
        <v>3463</v>
      </c>
      <c r="Y1450">
        <v>1</v>
      </c>
      <c r="AA1450">
        <v>77</v>
      </c>
      <c r="AB1450" s="9">
        <f t="shared" si="44"/>
        <v>76.559617688468606</v>
      </c>
      <c r="AD1450" t="s">
        <v>73</v>
      </c>
      <c r="AF1450" t="s">
        <v>73</v>
      </c>
      <c r="AG1450" t="s">
        <v>3465</v>
      </c>
      <c r="AH1450" t="s">
        <v>3465</v>
      </c>
      <c r="AI1450" t="s">
        <v>3465</v>
      </c>
      <c r="AJ1450" t="s">
        <v>3465</v>
      </c>
      <c r="AK1450" t="s">
        <v>3463</v>
      </c>
      <c r="AL1450" t="s">
        <v>3463</v>
      </c>
      <c r="AP1450" t="s">
        <v>3463</v>
      </c>
      <c r="AQ1450" t="s">
        <v>143</v>
      </c>
      <c r="AR1450" t="s">
        <v>3493</v>
      </c>
      <c r="AS1450" t="s">
        <v>3465</v>
      </c>
      <c r="AV1450" t="s">
        <v>126</v>
      </c>
      <c r="AW1450" t="s">
        <v>126</v>
      </c>
      <c r="BF1450" t="s">
        <v>3921</v>
      </c>
      <c r="BH1450" t="s">
        <v>4020</v>
      </c>
      <c r="BP1450" t="s">
        <v>4260</v>
      </c>
      <c r="BQ1450" t="s">
        <v>3463</v>
      </c>
      <c r="BR1450" t="s">
        <v>3463</v>
      </c>
      <c r="BS1450" t="s">
        <v>3463</v>
      </c>
      <c r="BT1450" t="s">
        <v>3465</v>
      </c>
      <c r="BU1450" t="s">
        <v>3463</v>
      </c>
      <c r="BX1450" t="s">
        <v>79</v>
      </c>
      <c r="BY1450" t="s">
        <v>121</v>
      </c>
      <c r="BZ1450" t="s">
        <v>79</v>
      </c>
      <c r="CA1450" s="10">
        <v>45913</v>
      </c>
    </row>
    <row r="1451" spans="1:79">
      <c r="A1451">
        <v>1464</v>
      </c>
      <c r="B1451">
        <v>92</v>
      </c>
      <c r="C1451">
        <v>61</v>
      </c>
      <c r="D1451" t="s">
        <v>3466</v>
      </c>
      <c r="E1451" t="s">
        <v>3131</v>
      </c>
      <c r="F1451" t="s">
        <v>1804</v>
      </c>
      <c r="G1451" s="12" t="s">
        <v>3465</v>
      </c>
      <c r="H1451" t="s">
        <v>88</v>
      </c>
      <c r="I1451">
        <v>73</v>
      </c>
      <c r="K1451">
        <v>138</v>
      </c>
      <c r="L1451">
        <v>81</v>
      </c>
      <c r="M1451" t="s">
        <v>82</v>
      </c>
      <c r="P1451" t="s">
        <v>83</v>
      </c>
      <c r="Q1451" t="s">
        <v>82</v>
      </c>
      <c r="R1451">
        <v>72.5</v>
      </c>
      <c r="S1451">
        <v>155</v>
      </c>
      <c r="T1451" s="8">
        <f t="shared" si="45"/>
        <v>30.176899063475549</v>
      </c>
      <c r="U1451" s="13" t="str" cm="1">
        <f t="array" ref="U1451">IF(T1451="","",_xlfn.IFS(T1451&lt;18.5,"Bajo peso",T1451&lt;25,"Peso normal",T1451&lt;30,"Sobrepeso",T1451&lt;35,"Obesidad clase I",T1451&lt;40,"Obesidad clase II",T1451&gt;=40,"Obesidad clase III"))</f>
        <v>Obesidad clase I</v>
      </c>
      <c r="V1451">
        <v>119</v>
      </c>
      <c r="X1451" t="s">
        <v>3463</v>
      </c>
      <c r="Y1451">
        <v>1.3</v>
      </c>
      <c r="AA1451">
        <v>63</v>
      </c>
      <c r="AB1451" s="9">
        <f t="shared" ref="AB1451:AB1514" si="46">IF(OR(C1451="",D1451="",Y1451=""),"",142*POWER(MIN(Y1451/IF(D1451="Mujer",0.7,0.9),1),IF(D1451="Mujer",-0.241,-0.302))*POWER(MAX(Y1451/IF(D1451="Mujer",0.7,0.9),1),-1.2)*POWER(0.9938,C1451)*IF(D1451="Mujer",1.012,1))</f>
        <v>46.783533360129766</v>
      </c>
      <c r="AD1451" t="s">
        <v>73</v>
      </c>
      <c r="AF1451" t="s">
        <v>73</v>
      </c>
      <c r="AH1451" t="s">
        <v>3463</v>
      </c>
      <c r="AI1451" t="s">
        <v>3463</v>
      </c>
      <c r="AJ1451" t="s">
        <v>3463</v>
      </c>
      <c r="AK1451" t="s">
        <v>3463</v>
      </c>
      <c r="AL1451" t="s">
        <v>3465</v>
      </c>
      <c r="AM1451" t="s">
        <v>3132</v>
      </c>
      <c r="AN1451" t="s">
        <v>3886</v>
      </c>
      <c r="AP1451" t="s">
        <v>3463</v>
      </c>
      <c r="AT1451" t="s">
        <v>3465</v>
      </c>
      <c r="AU1451" t="s">
        <v>80</v>
      </c>
      <c r="AV1451" t="s">
        <v>74</v>
      </c>
      <c r="AW1451" t="s">
        <v>3915</v>
      </c>
      <c r="AX1451" t="s">
        <v>3465</v>
      </c>
      <c r="AY1451" t="s">
        <v>3465</v>
      </c>
      <c r="AZ1451" t="s">
        <v>90</v>
      </c>
      <c r="BF1451" t="s">
        <v>3921</v>
      </c>
      <c r="BH1451" t="s">
        <v>4020</v>
      </c>
      <c r="BP1451" t="s">
        <v>4260</v>
      </c>
      <c r="BQ1451" t="s">
        <v>3465</v>
      </c>
      <c r="BR1451" t="s">
        <v>3463</v>
      </c>
      <c r="BS1451" t="s">
        <v>3463</v>
      </c>
      <c r="BT1451" t="s">
        <v>3463</v>
      </c>
      <c r="BU1451" t="s">
        <v>3463</v>
      </c>
      <c r="BV1451" t="s">
        <v>3463</v>
      </c>
      <c r="BW1451" t="s">
        <v>3463</v>
      </c>
      <c r="BX1451" t="s">
        <v>79</v>
      </c>
      <c r="BY1451" t="s">
        <v>79</v>
      </c>
      <c r="BZ1451" t="s">
        <v>79</v>
      </c>
      <c r="CA1451" s="10">
        <v>45913</v>
      </c>
    </row>
    <row r="1452" spans="1:79">
      <c r="A1452">
        <v>1465</v>
      </c>
      <c r="B1452">
        <v>93</v>
      </c>
      <c r="C1452">
        <v>73</v>
      </c>
      <c r="D1452" t="s">
        <v>3466</v>
      </c>
      <c r="E1452" t="s">
        <v>3133</v>
      </c>
      <c r="F1452" t="s">
        <v>1804</v>
      </c>
      <c r="G1452" s="12" t="s">
        <v>3463</v>
      </c>
      <c r="I1452">
        <v>76</v>
      </c>
      <c r="K1452">
        <v>130</v>
      </c>
      <c r="L1452">
        <v>66</v>
      </c>
      <c r="M1452" t="s">
        <v>82</v>
      </c>
      <c r="P1452" t="s">
        <v>83</v>
      </c>
      <c r="Q1452" t="s">
        <v>82</v>
      </c>
      <c r="R1452">
        <v>78.599999999999994</v>
      </c>
      <c r="S1452">
        <v>142.5</v>
      </c>
      <c r="T1452" s="8">
        <f t="shared" si="45"/>
        <v>38.707294552169891</v>
      </c>
      <c r="U1452" s="13" t="str" cm="1">
        <f t="array" ref="U1452">IF(T1452="","",_xlfn.IFS(T1452&lt;18.5,"Bajo peso",T1452&lt;25,"Peso normal",T1452&lt;30,"Sobrepeso",T1452&lt;35,"Obesidad clase I",T1452&lt;40,"Obesidad clase II",T1452&gt;=40,"Obesidad clase III"))</f>
        <v>Obesidad clase II</v>
      </c>
      <c r="V1452">
        <v>109</v>
      </c>
      <c r="X1452" t="s">
        <v>3463</v>
      </c>
      <c r="Y1452">
        <v>1.05</v>
      </c>
      <c r="AA1452">
        <v>56</v>
      </c>
      <c r="AB1452" s="9">
        <f t="shared" si="46"/>
        <v>56.102962146539596</v>
      </c>
      <c r="AD1452" t="s">
        <v>158</v>
      </c>
      <c r="AF1452" t="s">
        <v>158</v>
      </c>
      <c r="AG1452" t="s">
        <v>3465</v>
      </c>
      <c r="AH1452" t="s">
        <v>3465</v>
      </c>
      <c r="AI1452" t="s">
        <v>3465</v>
      </c>
      <c r="AJ1452" t="s">
        <v>3463</v>
      </c>
      <c r="AK1452" t="s">
        <v>3463</v>
      </c>
      <c r="AL1452" t="s">
        <v>3465</v>
      </c>
      <c r="AM1452" t="s">
        <v>3134</v>
      </c>
      <c r="AN1452" t="s">
        <v>3887</v>
      </c>
      <c r="AP1452" t="s">
        <v>3463</v>
      </c>
      <c r="AQ1452" t="s">
        <v>3028</v>
      </c>
      <c r="AR1452" t="s">
        <v>3508</v>
      </c>
      <c r="AS1452" t="s">
        <v>3465</v>
      </c>
      <c r="AT1452" t="s">
        <v>3465</v>
      </c>
      <c r="AV1452" t="s">
        <v>74</v>
      </c>
      <c r="AW1452" t="s">
        <v>3915</v>
      </c>
      <c r="AX1452" t="s">
        <v>3463</v>
      </c>
      <c r="AY1452" t="s">
        <v>3463</v>
      </c>
      <c r="BA1452" t="s">
        <v>3920</v>
      </c>
      <c r="BB1452" t="s">
        <v>3485</v>
      </c>
      <c r="BF1452" t="s">
        <v>3921</v>
      </c>
      <c r="BG1452" t="s">
        <v>3135</v>
      </c>
      <c r="BH1452" t="s">
        <v>4053</v>
      </c>
      <c r="BI1452" t="s">
        <v>411</v>
      </c>
      <c r="BK1452" t="s">
        <v>1437</v>
      </c>
      <c r="BL1452" t="s">
        <v>3136</v>
      </c>
      <c r="BP1452" t="s">
        <v>4383</v>
      </c>
      <c r="BQ1452" t="s">
        <v>3463</v>
      </c>
      <c r="BR1452" t="s">
        <v>3463</v>
      </c>
      <c r="BS1452" t="s">
        <v>3463</v>
      </c>
      <c r="BT1452" t="s">
        <v>3465</v>
      </c>
      <c r="BU1452" t="s">
        <v>3463</v>
      </c>
      <c r="BV1452" t="s">
        <v>3463</v>
      </c>
      <c r="BW1452" t="s">
        <v>3463</v>
      </c>
      <c r="BX1452" t="s">
        <v>79</v>
      </c>
      <c r="BY1452" t="s">
        <v>79</v>
      </c>
      <c r="BZ1452" t="s">
        <v>79</v>
      </c>
      <c r="CA1452" s="10">
        <v>45913</v>
      </c>
    </row>
    <row r="1453" spans="1:79">
      <c r="A1453">
        <v>1466</v>
      </c>
      <c r="B1453">
        <v>94</v>
      </c>
      <c r="C1453">
        <v>58</v>
      </c>
      <c r="D1453" t="s">
        <v>3466</v>
      </c>
      <c r="E1453" t="s">
        <v>3137</v>
      </c>
      <c r="F1453" t="s">
        <v>1804</v>
      </c>
      <c r="G1453" s="12" t="s">
        <v>3463</v>
      </c>
      <c r="I1453">
        <v>66</v>
      </c>
      <c r="J1453">
        <v>64</v>
      </c>
      <c r="K1453">
        <v>140</v>
      </c>
      <c r="L1453">
        <v>80</v>
      </c>
      <c r="M1453" t="s">
        <v>72</v>
      </c>
      <c r="N1453">
        <v>147</v>
      </c>
      <c r="O1453">
        <v>77</v>
      </c>
      <c r="P1453" t="s">
        <v>72</v>
      </c>
      <c r="Q1453" t="s">
        <v>72</v>
      </c>
      <c r="R1453">
        <v>81.400000000000006</v>
      </c>
      <c r="S1453">
        <v>164</v>
      </c>
      <c r="T1453" s="8">
        <f t="shared" si="45"/>
        <v>30.26472337894111</v>
      </c>
      <c r="U1453" s="13" t="str" cm="1">
        <f t="array" ref="U1453">IF(T1453="","",_xlfn.IFS(T1453&lt;18.5,"Bajo peso",T1453&lt;25,"Peso normal",T1453&lt;30,"Sobrepeso",T1453&lt;35,"Obesidad clase I",T1453&lt;40,"Obesidad clase II",T1453&gt;=40,"Obesidad clase III"))</f>
        <v>Obesidad clase I</v>
      </c>
      <c r="V1453">
        <v>125</v>
      </c>
      <c r="X1453" t="s">
        <v>3463</v>
      </c>
      <c r="Y1453">
        <v>1.19</v>
      </c>
      <c r="AA1453">
        <v>53</v>
      </c>
      <c r="AB1453" s="9">
        <f t="shared" si="46"/>
        <v>52.999492497359228</v>
      </c>
      <c r="AD1453" t="s">
        <v>158</v>
      </c>
      <c r="AF1453" t="s">
        <v>158</v>
      </c>
      <c r="AH1453" t="s">
        <v>3463</v>
      </c>
      <c r="AI1453" t="s">
        <v>3463</v>
      </c>
      <c r="AJ1453" t="s">
        <v>3465</v>
      </c>
      <c r="AK1453" t="s">
        <v>3463</v>
      </c>
      <c r="AL1453" t="s">
        <v>3465</v>
      </c>
      <c r="AM1453" t="s">
        <v>3138</v>
      </c>
      <c r="AN1453" t="s">
        <v>334</v>
      </c>
      <c r="AO1453" t="s">
        <v>3464</v>
      </c>
      <c r="AP1453" t="s">
        <v>3465</v>
      </c>
      <c r="AQ1453" t="s">
        <v>473</v>
      </c>
      <c r="AR1453" t="s">
        <v>3512</v>
      </c>
      <c r="AT1453" t="s">
        <v>3465</v>
      </c>
      <c r="AU1453" t="s">
        <v>80</v>
      </c>
      <c r="AV1453" t="s">
        <v>112</v>
      </c>
      <c r="AW1453" t="s">
        <v>3917</v>
      </c>
      <c r="AX1453" t="s">
        <v>3463</v>
      </c>
      <c r="AZ1453" t="s">
        <v>104</v>
      </c>
      <c r="BE1453" t="s">
        <v>3139</v>
      </c>
      <c r="BF1453" t="s">
        <v>4000</v>
      </c>
      <c r="BG1453" t="s">
        <v>3140</v>
      </c>
      <c r="BH1453" t="s">
        <v>4021</v>
      </c>
      <c r="BI1453" t="s">
        <v>734</v>
      </c>
      <c r="BK1453" t="s">
        <v>3141</v>
      </c>
      <c r="BL1453" t="s">
        <v>3142</v>
      </c>
      <c r="BP1453" t="s">
        <v>4556</v>
      </c>
      <c r="BQ1453" t="s">
        <v>3463</v>
      </c>
      <c r="BR1453" t="s">
        <v>3463</v>
      </c>
      <c r="BS1453" t="s">
        <v>3463</v>
      </c>
      <c r="BT1453" t="s">
        <v>3463</v>
      </c>
      <c r="BU1453" t="s">
        <v>3463</v>
      </c>
      <c r="BV1453" t="s">
        <v>3463</v>
      </c>
      <c r="BW1453" t="s">
        <v>3463</v>
      </c>
      <c r="BX1453" t="s">
        <v>79</v>
      </c>
      <c r="BY1453" t="s">
        <v>79</v>
      </c>
      <c r="BZ1453" t="s">
        <v>79</v>
      </c>
      <c r="CA1453" s="10">
        <v>45913</v>
      </c>
    </row>
    <row r="1454" spans="1:79">
      <c r="A1454">
        <v>1467</v>
      </c>
      <c r="B1454">
        <v>95</v>
      </c>
      <c r="C1454">
        <v>64</v>
      </c>
      <c r="D1454" t="s">
        <v>3462</v>
      </c>
      <c r="E1454" t="s">
        <v>3143</v>
      </c>
      <c r="F1454" t="s">
        <v>1804</v>
      </c>
      <c r="G1454" s="12" t="s">
        <v>3463</v>
      </c>
      <c r="H1454" s="12"/>
      <c r="I1454">
        <v>54</v>
      </c>
      <c r="J1454">
        <v>55</v>
      </c>
      <c r="K1454">
        <v>187</v>
      </c>
      <c r="L1454">
        <v>105</v>
      </c>
      <c r="M1454" t="s">
        <v>96</v>
      </c>
      <c r="N1454">
        <v>175</v>
      </c>
      <c r="O1454">
        <v>95</v>
      </c>
      <c r="P1454" t="s">
        <v>72</v>
      </c>
      <c r="Q1454" t="s">
        <v>72</v>
      </c>
      <c r="R1454">
        <v>83.8</v>
      </c>
      <c r="S1454">
        <v>165</v>
      </c>
      <c r="T1454" s="8">
        <f t="shared" si="45"/>
        <v>30.780532598714416</v>
      </c>
      <c r="U1454" s="13" t="str" cm="1">
        <f t="array" ref="U1454">IF(T1454="","",_xlfn.IFS(T1454&lt;18.5,"Bajo peso",T1454&lt;25,"Peso normal",T1454&lt;30,"Sobrepeso",T1454&lt;35,"Obesidad clase I",T1454&lt;40,"Obesidad clase II",T1454&gt;=40,"Obesidad clase III"))</f>
        <v>Obesidad clase I</v>
      </c>
      <c r="V1454">
        <v>98</v>
      </c>
      <c r="X1454" t="s">
        <v>3463</v>
      </c>
      <c r="Y1454">
        <v>0.69</v>
      </c>
      <c r="AA1454">
        <v>90</v>
      </c>
      <c r="AB1454" s="9">
        <f t="shared" si="46"/>
        <v>103.34100268218316</v>
      </c>
      <c r="AD1454" t="s">
        <v>73</v>
      </c>
      <c r="AF1454" t="s">
        <v>73</v>
      </c>
      <c r="AH1454" t="s">
        <v>3463</v>
      </c>
      <c r="AI1454" t="s">
        <v>3465</v>
      </c>
      <c r="AJ1454" t="s">
        <v>3465</v>
      </c>
      <c r="AK1454" t="s">
        <v>3463</v>
      </c>
      <c r="AL1454" t="s">
        <v>3463</v>
      </c>
      <c r="AP1454" t="s">
        <v>3463</v>
      </c>
      <c r="AS1454" t="s">
        <v>3465</v>
      </c>
      <c r="AV1454" t="s">
        <v>74</v>
      </c>
      <c r="AW1454" t="s">
        <v>3915</v>
      </c>
      <c r="BF1454" t="s">
        <v>3921</v>
      </c>
      <c r="BH1454" t="s">
        <v>4020</v>
      </c>
      <c r="BP1454" t="s">
        <v>4260</v>
      </c>
      <c r="BQ1454" t="s">
        <v>3463</v>
      </c>
      <c r="BR1454" t="s">
        <v>3465</v>
      </c>
      <c r="BS1454" t="s">
        <v>3463</v>
      </c>
      <c r="BT1454" t="s">
        <v>3463</v>
      </c>
      <c r="BU1454" t="s">
        <v>3463</v>
      </c>
      <c r="BX1454" t="s">
        <v>79</v>
      </c>
      <c r="BY1454" t="s">
        <v>79</v>
      </c>
      <c r="BZ1454" t="s">
        <v>79</v>
      </c>
      <c r="CA1454" s="10">
        <v>45913</v>
      </c>
    </row>
    <row r="1455" spans="1:79">
      <c r="A1455">
        <v>1468</v>
      </c>
      <c r="B1455">
        <v>96</v>
      </c>
      <c r="C1455">
        <v>73</v>
      </c>
      <c r="D1455" t="s">
        <v>3462</v>
      </c>
      <c r="E1455" t="s">
        <v>3144</v>
      </c>
      <c r="F1455" t="s">
        <v>1804</v>
      </c>
      <c r="G1455" s="12" t="s">
        <v>3463</v>
      </c>
      <c r="I1455">
        <v>72</v>
      </c>
      <c r="J1455">
        <v>72</v>
      </c>
      <c r="K1455">
        <v>150</v>
      </c>
      <c r="L1455">
        <v>81</v>
      </c>
      <c r="M1455" t="s">
        <v>72</v>
      </c>
      <c r="N1455">
        <v>144</v>
      </c>
      <c r="O1455">
        <v>80</v>
      </c>
      <c r="P1455" t="s">
        <v>72</v>
      </c>
      <c r="Q1455" t="s">
        <v>72</v>
      </c>
      <c r="R1455">
        <v>87.3</v>
      </c>
      <c r="S1455">
        <v>168</v>
      </c>
      <c r="T1455" s="8">
        <f t="shared" si="45"/>
        <v>30.93112244897959</v>
      </c>
      <c r="U1455" s="13" t="str" cm="1">
        <f t="array" ref="U1455">IF(T1455="","",_xlfn.IFS(T1455&lt;18.5,"Bajo peso",T1455&lt;25,"Peso normal",T1455&lt;30,"Sobrepeso",T1455&lt;35,"Obesidad clase I",T1455&lt;40,"Obesidad clase II",T1455&gt;=40,"Obesidad clase III"))</f>
        <v>Obesidad clase I</v>
      </c>
      <c r="V1455">
        <v>106</v>
      </c>
      <c r="X1455" t="s">
        <v>3463</v>
      </c>
      <c r="Y1455">
        <v>0.93</v>
      </c>
      <c r="AA1455">
        <v>87</v>
      </c>
      <c r="AB1455" s="9">
        <f t="shared" si="46"/>
        <v>86.701430562777006</v>
      </c>
      <c r="AD1455" t="s">
        <v>73</v>
      </c>
      <c r="AF1455" t="s">
        <v>73</v>
      </c>
      <c r="AG1455" t="s">
        <v>3465</v>
      </c>
      <c r="AH1455" t="s">
        <v>3465</v>
      </c>
      <c r="AI1455" t="s">
        <v>3465</v>
      </c>
      <c r="AJ1455" t="s">
        <v>3465</v>
      </c>
      <c r="AK1455" t="s">
        <v>3463</v>
      </c>
      <c r="AL1455" t="s">
        <v>3463</v>
      </c>
      <c r="AO1455" t="s">
        <v>3463</v>
      </c>
      <c r="AP1455" t="s">
        <v>3465</v>
      </c>
      <c r="AQ1455" t="s">
        <v>3145</v>
      </c>
      <c r="AR1455" t="s">
        <v>3508</v>
      </c>
      <c r="AS1455" t="s">
        <v>3465</v>
      </c>
      <c r="AV1455" t="s">
        <v>112</v>
      </c>
      <c r="AW1455" t="s">
        <v>3917</v>
      </c>
      <c r="BF1455" t="s">
        <v>3921</v>
      </c>
      <c r="BH1455" t="s">
        <v>4020</v>
      </c>
      <c r="BP1455" t="s">
        <v>4260</v>
      </c>
      <c r="BQ1455" t="s">
        <v>3463</v>
      </c>
      <c r="BR1455" t="s">
        <v>3463</v>
      </c>
      <c r="BS1455" t="s">
        <v>3463</v>
      </c>
      <c r="BT1455" t="s">
        <v>3463</v>
      </c>
      <c r="BU1455" t="s">
        <v>3465</v>
      </c>
      <c r="BV1455" t="s">
        <v>3465</v>
      </c>
      <c r="BW1455" t="s">
        <v>3465</v>
      </c>
      <c r="BX1455" t="s">
        <v>79</v>
      </c>
      <c r="BY1455" t="s">
        <v>79</v>
      </c>
      <c r="BZ1455" t="s">
        <v>79</v>
      </c>
      <c r="CA1455" s="10">
        <v>45913</v>
      </c>
    </row>
    <row r="1456" spans="1:79">
      <c r="A1456">
        <v>1469</v>
      </c>
      <c r="B1456">
        <v>97</v>
      </c>
      <c r="C1456">
        <v>55</v>
      </c>
      <c r="D1456" t="s">
        <v>3466</v>
      </c>
      <c r="E1456" t="s">
        <v>2955</v>
      </c>
      <c r="F1456" t="s">
        <v>1804</v>
      </c>
      <c r="G1456" s="12" t="s">
        <v>3465</v>
      </c>
      <c r="H1456" s="12" t="s">
        <v>88</v>
      </c>
      <c r="I1456">
        <v>80</v>
      </c>
      <c r="J1456">
        <v>78</v>
      </c>
      <c r="K1456">
        <v>168</v>
      </c>
      <c r="L1456">
        <v>88</v>
      </c>
      <c r="M1456" t="s">
        <v>72</v>
      </c>
      <c r="N1456">
        <v>169</v>
      </c>
      <c r="O1456">
        <v>95</v>
      </c>
      <c r="P1456" t="s">
        <v>72</v>
      </c>
      <c r="Q1456" t="s">
        <v>72</v>
      </c>
      <c r="R1456">
        <v>94.8</v>
      </c>
      <c r="S1456">
        <v>159</v>
      </c>
      <c r="T1456" s="8">
        <f t="shared" si="45"/>
        <v>37.498516672599976</v>
      </c>
      <c r="U1456" s="13" t="str" cm="1">
        <f t="array" ref="U1456">IF(T1456="","",_xlfn.IFS(T1456&lt;18.5,"Bajo peso",T1456&lt;25,"Peso normal",T1456&lt;30,"Sobrepeso",T1456&lt;35,"Obesidad clase I",T1456&lt;40,"Obesidad clase II",T1456&gt;=40,"Obesidad clase III"))</f>
        <v>Obesidad clase II</v>
      </c>
      <c r="V1456">
        <v>96</v>
      </c>
      <c r="X1456" t="s">
        <v>3463</v>
      </c>
      <c r="Y1456">
        <v>0.99</v>
      </c>
      <c r="AA1456">
        <v>67</v>
      </c>
      <c r="AB1456" s="9">
        <f t="shared" si="46"/>
        <v>67.339339752442598</v>
      </c>
      <c r="AD1456" t="s">
        <v>73</v>
      </c>
      <c r="AF1456" t="s">
        <v>73</v>
      </c>
      <c r="AH1456" t="s">
        <v>3463</v>
      </c>
      <c r="AI1456" t="s">
        <v>3465</v>
      </c>
      <c r="AJ1456" t="s">
        <v>3463</v>
      </c>
      <c r="AK1456" t="s">
        <v>3463</v>
      </c>
      <c r="AL1456" t="s">
        <v>3463</v>
      </c>
      <c r="AP1456" t="s">
        <v>3463</v>
      </c>
      <c r="AQ1456" t="s">
        <v>120</v>
      </c>
      <c r="AR1456" t="s">
        <v>3491</v>
      </c>
      <c r="AS1456" t="s">
        <v>3465</v>
      </c>
      <c r="AT1456" t="s">
        <v>3465</v>
      </c>
      <c r="AU1456" t="s">
        <v>80</v>
      </c>
      <c r="AV1456" t="s">
        <v>74</v>
      </c>
      <c r="AW1456" t="s">
        <v>3915</v>
      </c>
      <c r="AX1456" t="s">
        <v>3463</v>
      </c>
      <c r="AY1456" t="s">
        <v>3465</v>
      </c>
      <c r="AZ1456" t="s">
        <v>90</v>
      </c>
      <c r="BF1456" t="s">
        <v>3921</v>
      </c>
      <c r="BH1456" t="s">
        <v>4020</v>
      </c>
      <c r="BP1456" t="s">
        <v>4260</v>
      </c>
      <c r="BQ1456" t="s">
        <v>3463</v>
      </c>
      <c r="BR1456" t="s">
        <v>3463</v>
      </c>
      <c r="BS1456" t="s">
        <v>3463</v>
      </c>
      <c r="BT1456" t="s">
        <v>3465</v>
      </c>
      <c r="BU1456" t="s">
        <v>3463</v>
      </c>
      <c r="BX1456" t="s">
        <v>79</v>
      </c>
      <c r="BY1456" t="s">
        <v>79</v>
      </c>
      <c r="BZ1456" t="s">
        <v>79</v>
      </c>
      <c r="CA1456" s="10">
        <v>45913</v>
      </c>
    </row>
    <row r="1457" spans="1:79">
      <c r="A1457">
        <v>1470</v>
      </c>
      <c r="B1457">
        <v>98</v>
      </c>
      <c r="C1457">
        <v>74</v>
      </c>
      <c r="D1457" t="s">
        <v>3466</v>
      </c>
      <c r="E1457" t="s">
        <v>3072</v>
      </c>
      <c r="F1457" t="s">
        <v>1804</v>
      </c>
      <c r="G1457" s="12" t="s">
        <v>3465</v>
      </c>
      <c r="H1457" s="12" t="s">
        <v>88</v>
      </c>
      <c r="I1457">
        <v>66</v>
      </c>
      <c r="J1457">
        <v>67</v>
      </c>
      <c r="K1457">
        <v>145</v>
      </c>
      <c r="L1457">
        <v>73</v>
      </c>
      <c r="M1457" t="s">
        <v>72</v>
      </c>
      <c r="N1457">
        <v>151</v>
      </c>
      <c r="O1457">
        <v>73</v>
      </c>
      <c r="P1457" t="s">
        <v>72</v>
      </c>
      <c r="Q1457" t="s">
        <v>72</v>
      </c>
      <c r="R1457">
        <v>65.599999999999994</v>
      </c>
      <c r="S1457">
        <v>151</v>
      </c>
      <c r="T1457" s="8">
        <f t="shared" si="45"/>
        <v>28.770667953159947</v>
      </c>
      <c r="U1457" s="13" t="str" cm="1">
        <f t="array" ref="U1457">IF(T1457="","",_xlfn.IFS(T1457&lt;18.5,"Bajo peso",T1457&lt;25,"Peso normal",T1457&lt;30,"Sobrepeso",T1457&lt;35,"Obesidad clase I",T1457&lt;40,"Obesidad clase II",T1457&gt;=40,"Obesidad clase III"))</f>
        <v>Sobrepeso</v>
      </c>
      <c r="V1457">
        <v>95</v>
      </c>
      <c r="X1457" t="s">
        <v>3463</v>
      </c>
      <c r="Y1457">
        <v>1.02</v>
      </c>
      <c r="AA1457">
        <v>58</v>
      </c>
      <c r="AB1457" s="9">
        <f t="shared" si="46"/>
        <v>57.728694605638026</v>
      </c>
      <c r="AD1457" t="s">
        <v>158</v>
      </c>
      <c r="AF1457" t="s">
        <v>158</v>
      </c>
      <c r="AH1457" t="s">
        <v>3463</v>
      </c>
      <c r="AI1457" t="s">
        <v>3465</v>
      </c>
      <c r="AJ1457" t="s">
        <v>3463</v>
      </c>
      <c r="AK1457" t="s">
        <v>3463</v>
      </c>
      <c r="AL1457" t="s">
        <v>3465</v>
      </c>
      <c r="AM1457" t="s">
        <v>3146</v>
      </c>
      <c r="AN1457" t="s">
        <v>3888</v>
      </c>
      <c r="AO1457" t="s">
        <v>3465</v>
      </c>
      <c r="AP1457" t="s">
        <v>3465</v>
      </c>
      <c r="AQ1457" t="s">
        <v>3147</v>
      </c>
      <c r="AR1457" t="s">
        <v>3528</v>
      </c>
      <c r="AS1457" t="s">
        <v>3463</v>
      </c>
      <c r="AT1457" t="s">
        <v>3465</v>
      </c>
      <c r="AU1457" t="s">
        <v>80</v>
      </c>
      <c r="AV1457" t="s">
        <v>74</v>
      </c>
      <c r="AW1457" t="s">
        <v>3915</v>
      </c>
      <c r="AX1457" t="s">
        <v>3463</v>
      </c>
      <c r="AY1457" t="s">
        <v>3463</v>
      </c>
      <c r="AZ1457" t="s">
        <v>490</v>
      </c>
      <c r="BE1457" t="s">
        <v>472</v>
      </c>
      <c r="BF1457" t="s">
        <v>457</v>
      </c>
      <c r="BH1457" t="s">
        <v>4021</v>
      </c>
      <c r="BI1457" t="s">
        <v>76</v>
      </c>
      <c r="BP1457" t="s">
        <v>4261</v>
      </c>
      <c r="BQ1457" t="s">
        <v>3463</v>
      </c>
      <c r="BR1457" t="s">
        <v>3463</v>
      </c>
      <c r="BS1457" t="s">
        <v>3463</v>
      </c>
      <c r="BT1457" t="s">
        <v>3463</v>
      </c>
      <c r="BU1457" t="s">
        <v>3463</v>
      </c>
      <c r="BV1457" t="s">
        <v>3463</v>
      </c>
      <c r="BW1457" t="s">
        <v>3463</v>
      </c>
      <c r="BX1457" t="s">
        <v>518</v>
      </c>
      <c r="BY1457" t="s">
        <v>79</v>
      </c>
      <c r="BZ1457" t="s">
        <v>79</v>
      </c>
      <c r="CA1457" s="10">
        <v>45913</v>
      </c>
    </row>
    <row r="1458" spans="1:79">
      <c r="A1458">
        <v>1471</v>
      </c>
      <c r="B1458">
        <v>99</v>
      </c>
      <c r="C1458">
        <v>33</v>
      </c>
      <c r="D1458" t="s">
        <v>3466</v>
      </c>
      <c r="E1458" t="s">
        <v>2955</v>
      </c>
      <c r="F1458" t="s">
        <v>1804</v>
      </c>
      <c r="G1458" s="12" t="s">
        <v>3465</v>
      </c>
      <c r="H1458" t="s">
        <v>88</v>
      </c>
      <c r="I1458">
        <v>72</v>
      </c>
      <c r="K1458">
        <v>119</v>
      </c>
      <c r="L1458">
        <v>65</v>
      </c>
      <c r="M1458" t="s">
        <v>80</v>
      </c>
      <c r="P1458" t="s">
        <v>83</v>
      </c>
      <c r="Q1458" t="s">
        <v>80</v>
      </c>
      <c r="R1458">
        <v>58.4</v>
      </c>
      <c r="S1458">
        <v>157</v>
      </c>
      <c r="T1458" s="8">
        <f t="shared" si="45"/>
        <v>23.69264473203781</v>
      </c>
      <c r="U1458" s="13" t="str" cm="1">
        <f t="array" ref="U1458">IF(T1458="","",_xlfn.IFS(T1458&lt;18.5,"Bajo peso",T1458&lt;25,"Peso normal",T1458&lt;30,"Sobrepeso",T1458&lt;35,"Obesidad clase I",T1458&lt;40,"Obesidad clase II",T1458&gt;=40,"Obesidad clase III"))</f>
        <v>Peso normal</v>
      </c>
      <c r="V1458">
        <v>99</v>
      </c>
      <c r="X1458" t="s">
        <v>3463</v>
      </c>
      <c r="Y1458">
        <v>0.71</v>
      </c>
      <c r="AA1458">
        <v>90</v>
      </c>
      <c r="AB1458" s="9">
        <f t="shared" si="46"/>
        <v>115.06499845094447</v>
      </c>
      <c r="AD1458" t="s">
        <v>73</v>
      </c>
      <c r="AF1458" t="s">
        <v>73</v>
      </c>
      <c r="AH1458" t="s">
        <v>3463</v>
      </c>
      <c r="AI1458" t="s">
        <v>3463</v>
      </c>
      <c r="AJ1458" t="s">
        <v>3463</v>
      </c>
      <c r="AK1458" t="s">
        <v>3463</v>
      </c>
      <c r="AL1458" t="s">
        <v>3465</v>
      </c>
      <c r="AM1458" t="s">
        <v>2725</v>
      </c>
      <c r="AN1458" t="s">
        <v>3791</v>
      </c>
      <c r="AP1458" t="s">
        <v>3463</v>
      </c>
      <c r="AV1458" t="s">
        <v>126</v>
      </c>
      <c r="AW1458" t="s">
        <v>126</v>
      </c>
      <c r="BF1458" t="s">
        <v>3921</v>
      </c>
      <c r="BH1458" t="s">
        <v>4020</v>
      </c>
      <c r="BP1458" t="s">
        <v>4260</v>
      </c>
      <c r="BQ1458" t="s">
        <v>3463</v>
      </c>
      <c r="BR1458" t="s">
        <v>3465</v>
      </c>
      <c r="BS1458" t="s">
        <v>3465</v>
      </c>
      <c r="BT1458" t="s">
        <v>3465</v>
      </c>
      <c r="BU1458" t="s">
        <v>3463</v>
      </c>
      <c r="BX1458" t="s">
        <v>79</v>
      </c>
      <c r="BY1458" t="s">
        <v>79</v>
      </c>
      <c r="BZ1458" t="s">
        <v>79</v>
      </c>
      <c r="CA1458" s="10">
        <v>45913</v>
      </c>
    </row>
    <row r="1459" spans="1:79">
      <c r="A1459">
        <v>1472</v>
      </c>
      <c r="B1459">
        <v>100</v>
      </c>
      <c r="C1459">
        <v>64</v>
      </c>
      <c r="D1459" t="s">
        <v>3466</v>
      </c>
      <c r="E1459" t="s">
        <v>3013</v>
      </c>
      <c r="F1459" t="s">
        <v>1804</v>
      </c>
      <c r="G1459" s="12" t="s">
        <v>3463</v>
      </c>
      <c r="I1459">
        <v>85</v>
      </c>
      <c r="K1459">
        <v>138</v>
      </c>
      <c r="L1459">
        <v>80</v>
      </c>
      <c r="M1459" t="s">
        <v>82</v>
      </c>
      <c r="P1459" t="s">
        <v>83</v>
      </c>
      <c r="Q1459" t="s">
        <v>82</v>
      </c>
      <c r="R1459">
        <v>93.7</v>
      </c>
      <c r="S1459">
        <v>159</v>
      </c>
      <c r="T1459" s="8">
        <f t="shared" si="45"/>
        <v>37.063407301926347</v>
      </c>
      <c r="U1459" s="13" t="str" cm="1">
        <f t="array" ref="U1459">IF(T1459="","",_xlfn.IFS(T1459&lt;18.5,"Bajo peso",T1459&lt;25,"Peso normal",T1459&lt;30,"Sobrepeso",T1459&lt;35,"Obesidad clase I",T1459&lt;40,"Obesidad clase II",T1459&gt;=40,"Obesidad clase III"))</f>
        <v>Obesidad clase II</v>
      </c>
      <c r="V1459">
        <v>102</v>
      </c>
      <c r="X1459" t="s">
        <v>3463</v>
      </c>
      <c r="Y1459">
        <v>1.1200000000000001</v>
      </c>
      <c r="AA1459">
        <v>55</v>
      </c>
      <c r="AB1459" s="9">
        <f t="shared" si="46"/>
        <v>54.911131376756799</v>
      </c>
      <c r="AD1459" t="s">
        <v>158</v>
      </c>
      <c r="AF1459" t="s">
        <v>158</v>
      </c>
      <c r="AH1459" t="s">
        <v>3463</v>
      </c>
      <c r="AI1459" t="s">
        <v>3465</v>
      </c>
      <c r="AJ1459" t="s">
        <v>3463</v>
      </c>
      <c r="AK1459" t="s">
        <v>3463</v>
      </c>
      <c r="AL1459" t="s">
        <v>3465</v>
      </c>
      <c r="AM1459" t="s">
        <v>3148</v>
      </c>
      <c r="AN1459" t="s">
        <v>3672</v>
      </c>
      <c r="AO1459" t="s">
        <v>3463</v>
      </c>
      <c r="AP1459" t="s">
        <v>3465</v>
      </c>
      <c r="AQ1459" t="s">
        <v>3028</v>
      </c>
      <c r="AR1459" t="s">
        <v>3508</v>
      </c>
      <c r="AS1459" t="s">
        <v>3465</v>
      </c>
      <c r="AT1459" t="s">
        <v>3465</v>
      </c>
      <c r="AU1459" t="s">
        <v>125</v>
      </c>
      <c r="AV1459" t="s">
        <v>74</v>
      </c>
      <c r="AW1459" t="s">
        <v>3915</v>
      </c>
      <c r="AX1459" t="s">
        <v>3463</v>
      </c>
      <c r="AY1459" t="s">
        <v>3465</v>
      </c>
      <c r="AZ1459" t="s">
        <v>247</v>
      </c>
      <c r="BA1459" t="s">
        <v>3920</v>
      </c>
      <c r="BE1459" t="s">
        <v>3149</v>
      </c>
      <c r="BF1459" t="s">
        <v>4001</v>
      </c>
      <c r="BH1459" t="s">
        <v>4029</v>
      </c>
      <c r="BL1459" t="s">
        <v>2328</v>
      </c>
      <c r="BP1459" t="s">
        <v>4260</v>
      </c>
      <c r="BQ1459" t="s">
        <v>3463</v>
      </c>
      <c r="BR1459" t="s">
        <v>3463</v>
      </c>
      <c r="BS1459" t="s">
        <v>3465</v>
      </c>
      <c r="BT1459" t="s">
        <v>3463</v>
      </c>
      <c r="BU1459" t="s">
        <v>3463</v>
      </c>
      <c r="BV1459" t="s">
        <v>3463</v>
      </c>
      <c r="BW1459" t="s">
        <v>3463</v>
      </c>
      <c r="BX1459" t="s">
        <v>79</v>
      </c>
      <c r="BY1459" t="s">
        <v>79</v>
      </c>
      <c r="BZ1459" t="s">
        <v>79</v>
      </c>
      <c r="CA1459" s="10">
        <v>45913</v>
      </c>
    </row>
    <row r="1460" spans="1:79">
      <c r="A1460">
        <v>1473</v>
      </c>
      <c r="B1460">
        <v>101</v>
      </c>
      <c r="C1460">
        <v>72</v>
      </c>
      <c r="D1460" t="s">
        <v>3462</v>
      </c>
      <c r="E1460" t="s">
        <v>3150</v>
      </c>
      <c r="F1460" t="s">
        <v>1804</v>
      </c>
      <c r="G1460" s="12" t="s">
        <v>3463</v>
      </c>
      <c r="I1460">
        <v>69</v>
      </c>
      <c r="J1460">
        <v>70</v>
      </c>
      <c r="K1460">
        <v>161</v>
      </c>
      <c r="L1460">
        <v>89</v>
      </c>
      <c r="M1460" t="s">
        <v>72</v>
      </c>
      <c r="N1460">
        <v>140</v>
      </c>
      <c r="O1460">
        <v>85</v>
      </c>
      <c r="P1460" t="s">
        <v>72</v>
      </c>
      <c r="Q1460" t="s">
        <v>72</v>
      </c>
      <c r="R1460">
        <v>96.8</v>
      </c>
      <c r="S1460">
        <v>179</v>
      </c>
      <c r="T1460" s="8">
        <f t="shared" ref="T1460:T1523" si="47">IFERROR(R1460/(S1460^2)*10000,"")</f>
        <v>30.211291782403794</v>
      </c>
      <c r="U1460" s="13" t="str" cm="1">
        <f t="array" ref="U1460">IF(T1460="","",_xlfn.IFS(T1460&lt;18.5,"Bajo peso",T1460&lt;25,"Peso normal",T1460&lt;30,"Sobrepeso",T1460&lt;35,"Obesidad clase I",T1460&lt;40,"Obesidad clase II",T1460&gt;=40,"Obesidad clase III"))</f>
        <v>Obesidad clase I</v>
      </c>
      <c r="V1460">
        <v>165</v>
      </c>
      <c r="X1460" t="s">
        <v>3463</v>
      </c>
      <c r="Y1460">
        <v>1.28</v>
      </c>
      <c r="AA1460">
        <v>59</v>
      </c>
      <c r="AB1460" s="9">
        <f t="shared" si="46"/>
        <v>59.464099380424763</v>
      </c>
      <c r="AD1460" t="s">
        <v>158</v>
      </c>
      <c r="AF1460" t="s">
        <v>158</v>
      </c>
      <c r="AH1460" t="s">
        <v>3463</v>
      </c>
      <c r="AI1460" t="s">
        <v>3465</v>
      </c>
      <c r="AJ1460" t="s">
        <v>3464</v>
      </c>
      <c r="AK1460" t="s">
        <v>3463</v>
      </c>
      <c r="AL1460" t="s">
        <v>3464</v>
      </c>
      <c r="AP1460" t="s">
        <v>3463</v>
      </c>
      <c r="AS1460" t="s">
        <v>3465</v>
      </c>
      <c r="AV1460" t="s">
        <v>74</v>
      </c>
      <c r="AW1460" t="s">
        <v>3915</v>
      </c>
      <c r="BA1460" t="s">
        <v>3920</v>
      </c>
      <c r="BF1460" t="s">
        <v>3921</v>
      </c>
      <c r="BH1460" t="s">
        <v>4029</v>
      </c>
      <c r="BI1460" t="s">
        <v>1257</v>
      </c>
      <c r="BP1460" t="s">
        <v>4260</v>
      </c>
      <c r="BQ1460" t="s">
        <v>3463</v>
      </c>
      <c r="BR1460" t="s">
        <v>3463</v>
      </c>
      <c r="BS1460" t="s">
        <v>3463</v>
      </c>
      <c r="BT1460" t="s">
        <v>3463</v>
      </c>
      <c r="BU1460" t="s">
        <v>3463</v>
      </c>
      <c r="BV1460" t="s">
        <v>3463</v>
      </c>
      <c r="BW1460" t="s">
        <v>3463</v>
      </c>
      <c r="BX1460" t="s">
        <v>79</v>
      </c>
      <c r="BY1460" t="s">
        <v>79</v>
      </c>
      <c r="BZ1460" t="s">
        <v>79</v>
      </c>
      <c r="CA1460" s="10">
        <v>45913</v>
      </c>
    </row>
    <row r="1461" spans="1:79">
      <c r="A1461">
        <v>1474</v>
      </c>
      <c r="B1461">
        <v>102</v>
      </c>
      <c r="C1461">
        <v>47</v>
      </c>
      <c r="D1461" t="s">
        <v>3462</v>
      </c>
      <c r="F1461" t="s">
        <v>1804</v>
      </c>
      <c r="G1461" s="12" t="s">
        <v>3463</v>
      </c>
      <c r="I1461">
        <v>73</v>
      </c>
      <c r="J1461">
        <v>75</v>
      </c>
      <c r="K1461">
        <v>151</v>
      </c>
      <c r="L1461">
        <v>102</v>
      </c>
      <c r="M1461" t="s">
        <v>72</v>
      </c>
      <c r="N1461">
        <v>158</v>
      </c>
      <c r="O1461">
        <v>107</v>
      </c>
      <c r="P1461" t="s">
        <v>72</v>
      </c>
      <c r="Q1461" t="s">
        <v>72</v>
      </c>
      <c r="R1461">
        <v>101.4</v>
      </c>
      <c r="S1461">
        <v>170</v>
      </c>
      <c r="T1461" s="8">
        <f t="shared" si="47"/>
        <v>35.086505190311421</v>
      </c>
      <c r="U1461" s="13" t="str" cm="1">
        <f t="array" ref="U1461">IF(T1461="","",_xlfn.IFS(T1461&lt;18.5,"Bajo peso",T1461&lt;25,"Peso normal",T1461&lt;30,"Sobrepeso",T1461&lt;35,"Obesidad clase I",T1461&lt;40,"Obesidad clase II",T1461&gt;=40,"Obesidad clase III"))</f>
        <v>Obesidad clase II</v>
      </c>
      <c r="V1461">
        <v>99</v>
      </c>
      <c r="X1461" t="s">
        <v>3463</v>
      </c>
      <c r="Y1461">
        <v>1.44</v>
      </c>
      <c r="AA1461">
        <v>60</v>
      </c>
      <c r="AB1461" s="9">
        <f t="shared" si="46"/>
        <v>60.311066518768158</v>
      </c>
      <c r="AD1461" t="s">
        <v>73</v>
      </c>
      <c r="AF1461" t="s">
        <v>73</v>
      </c>
      <c r="AH1461" t="s">
        <v>3464</v>
      </c>
      <c r="AI1461" t="s">
        <v>3464</v>
      </c>
      <c r="AJ1461" t="s">
        <v>3463</v>
      </c>
      <c r="AK1461" t="s">
        <v>3463</v>
      </c>
      <c r="AL1461" t="s">
        <v>3463</v>
      </c>
      <c r="AP1461" t="s">
        <v>3464</v>
      </c>
      <c r="AV1461" t="s">
        <v>74</v>
      </c>
      <c r="AW1461" t="s">
        <v>3915</v>
      </c>
      <c r="BA1461" t="s">
        <v>3920</v>
      </c>
      <c r="BC1461" t="s">
        <v>128</v>
      </c>
      <c r="BF1461" t="s">
        <v>3921</v>
      </c>
      <c r="BG1461" t="s">
        <v>3151</v>
      </c>
      <c r="BH1461" t="s">
        <v>4246</v>
      </c>
      <c r="BI1461" t="s">
        <v>76</v>
      </c>
      <c r="BL1461" t="s">
        <v>3152</v>
      </c>
      <c r="BP1461" t="s">
        <v>4450</v>
      </c>
      <c r="BQ1461" t="s">
        <v>3465</v>
      </c>
      <c r="BR1461" t="s">
        <v>3465</v>
      </c>
      <c r="BS1461" t="s">
        <v>3465</v>
      </c>
      <c r="BT1461" t="s">
        <v>3465</v>
      </c>
      <c r="BU1461" t="s">
        <v>3463</v>
      </c>
      <c r="BX1461" t="s">
        <v>79</v>
      </c>
      <c r="BY1461" t="s">
        <v>79</v>
      </c>
      <c r="BZ1461" t="s">
        <v>79</v>
      </c>
      <c r="CA1461" s="10">
        <v>45913</v>
      </c>
    </row>
    <row r="1462" spans="1:79">
      <c r="A1462">
        <v>1475</v>
      </c>
      <c r="B1462">
        <v>103</v>
      </c>
      <c r="C1462">
        <v>68</v>
      </c>
      <c r="D1462" t="s">
        <v>3466</v>
      </c>
      <c r="E1462" t="s">
        <v>3153</v>
      </c>
      <c r="F1462" t="s">
        <v>1804</v>
      </c>
      <c r="G1462" s="12" t="s">
        <v>3463</v>
      </c>
      <c r="H1462" s="12"/>
      <c r="I1462">
        <v>72</v>
      </c>
      <c r="J1462">
        <v>77</v>
      </c>
      <c r="K1462">
        <v>177</v>
      </c>
      <c r="L1462">
        <v>103</v>
      </c>
      <c r="M1462" t="s">
        <v>72</v>
      </c>
      <c r="N1462">
        <v>172</v>
      </c>
      <c r="O1462">
        <v>96</v>
      </c>
      <c r="P1462" t="s">
        <v>72</v>
      </c>
      <c r="Q1462" t="s">
        <v>72</v>
      </c>
      <c r="R1462">
        <v>77.5</v>
      </c>
      <c r="S1462">
        <v>158</v>
      </c>
      <c r="T1462" s="8">
        <f t="shared" si="47"/>
        <v>31.044704374298991</v>
      </c>
      <c r="U1462" s="13" t="str" cm="1">
        <f t="array" ref="U1462">IF(T1462="","",_xlfn.IFS(T1462&lt;18.5,"Bajo peso",T1462&lt;25,"Peso normal",T1462&lt;30,"Sobrepeso",T1462&lt;35,"Obesidad clase I",T1462&lt;40,"Obesidad clase II",T1462&gt;=40,"Obesidad clase III"))</f>
        <v>Obesidad clase I</v>
      </c>
      <c r="V1462">
        <v>135</v>
      </c>
      <c r="X1462" t="s">
        <v>3463</v>
      </c>
      <c r="Y1462">
        <v>0.61</v>
      </c>
      <c r="AA1462">
        <v>97</v>
      </c>
      <c r="AB1462" s="9">
        <f t="shared" si="46"/>
        <v>97.320532855026485</v>
      </c>
      <c r="AD1462" t="s">
        <v>73</v>
      </c>
      <c r="AF1462" t="s">
        <v>73</v>
      </c>
      <c r="AG1462" t="s">
        <v>3465</v>
      </c>
      <c r="AH1462" t="s">
        <v>3465</v>
      </c>
      <c r="AI1462" t="s">
        <v>3463</v>
      </c>
      <c r="AJ1462" t="s">
        <v>3463</v>
      </c>
      <c r="AK1462" t="s">
        <v>3463</v>
      </c>
      <c r="AL1462" t="s">
        <v>3463</v>
      </c>
      <c r="AP1462" t="s">
        <v>3463</v>
      </c>
      <c r="AT1462" t="s">
        <v>3465</v>
      </c>
      <c r="AV1462" t="s">
        <v>126</v>
      </c>
      <c r="AW1462" t="s">
        <v>126</v>
      </c>
      <c r="AX1462" t="s">
        <v>3463</v>
      </c>
      <c r="AY1462" t="s">
        <v>3465</v>
      </c>
      <c r="AZ1462" t="s">
        <v>90</v>
      </c>
      <c r="BB1462" t="s">
        <v>3485</v>
      </c>
      <c r="BF1462" t="s">
        <v>3921</v>
      </c>
      <c r="BG1462" t="s">
        <v>3154</v>
      </c>
      <c r="BH1462" t="s">
        <v>4021</v>
      </c>
      <c r="BL1462" t="s">
        <v>3155</v>
      </c>
      <c r="BP1462" t="s">
        <v>4557</v>
      </c>
      <c r="BQ1462" t="s">
        <v>3463</v>
      </c>
      <c r="BR1462" t="s">
        <v>3465</v>
      </c>
      <c r="BS1462" t="s">
        <v>3463</v>
      </c>
      <c r="BT1462" t="s">
        <v>3463</v>
      </c>
      <c r="BU1462" t="s">
        <v>3463</v>
      </c>
      <c r="BV1462" t="s">
        <v>3463</v>
      </c>
      <c r="BW1462" t="s">
        <v>3463</v>
      </c>
      <c r="BX1462" t="s">
        <v>79</v>
      </c>
      <c r="BY1462" t="s">
        <v>79</v>
      </c>
      <c r="BZ1462" t="s">
        <v>79</v>
      </c>
      <c r="CA1462" s="10">
        <v>45913</v>
      </c>
    </row>
    <row r="1463" spans="1:79">
      <c r="A1463">
        <v>1476</v>
      </c>
      <c r="B1463">
        <v>104</v>
      </c>
      <c r="C1463">
        <v>31</v>
      </c>
      <c r="D1463" t="s">
        <v>3466</v>
      </c>
      <c r="E1463" t="s">
        <v>3013</v>
      </c>
      <c r="F1463" t="s">
        <v>1804</v>
      </c>
      <c r="G1463" s="12" t="s">
        <v>3463</v>
      </c>
      <c r="I1463">
        <v>76</v>
      </c>
      <c r="J1463">
        <v>76</v>
      </c>
      <c r="K1463">
        <v>140</v>
      </c>
      <c r="L1463">
        <v>74</v>
      </c>
      <c r="M1463" t="s">
        <v>72</v>
      </c>
      <c r="N1463">
        <v>137</v>
      </c>
      <c r="O1463">
        <v>75</v>
      </c>
      <c r="P1463" t="s">
        <v>82</v>
      </c>
      <c r="Q1463" t="s">
        <v>82</v>
      </c>
      <c r="R1463">
        <v>84.8</v>
      </c>
      <c r="S1463">
        <v>165.5</v>
      </c>
      <c r="T1463" s="8">
        <f t="shared" si="47"/>
        <v>30.95992187000849</v>
      </c>
      <c r="U1463" s="13" t="str" cm="1">
        <f t="array" ref="U1463">IF(T1463="","",_xlfn.IFS(T1463&lt;18.5,"Bajo peso",T1463&lt;25,"Peso normal",T1463&lt;30,"Sobrepeso",T1463&lt;35,"Obesidad clase I",T1463&lt;40,"Obesidad clase II",T1463&gt;=40,"Obesidad clase III"))</f>
        <v>Obesidad clase I</v>
      </c>
      <c r="V1463">
        <v>72</v>
      </c>
      <c r="X1463" t="s">
        <v>3463</v>
      </c>
      <c r="Y1463">
        <v>0.85</v>
      </c>
      <c r="AA1463">
        <v>90</v>
      </c>
      <c r="AB1463" s="9">
        <f t="shared" si="46"/>
        <v>93.875563892077309</v>
      </c>
      <c r="AD1463" t="s">
        <v>73</v>
      </c>
      <c r="AF1463" t="s">
        <v>73</v>
      </c>
      <c r="AH1463" t="s">
        <v>3463</v>
      </c>
      <c r="AI1463" t="s">
        <v>3465</v>
      </c>
      <c r="AJ1463" t="s">
        <v>3463</v>
      </c>
      <c r="AK1463" t="s">
        <v>3463</v>
      </c>
      <c r="AL1463" t="s">
        <v>3463</v>
      </c>
      <c r="AP1463" t="s">
        <v>3463</v>
      </c>
      <c r="AQ1463" t="s">
        <v>3104</v>
      </c>
      <c r="AR1463" t="s">
        <v>3508</v>
      </c>
      <c r="AS1463" t="s">
        <v>3465</v>
      </c>
      <c r="AT1463" t="s">
        <v>3463</v>
      </c>
      <c r="AV1463" t="s">
        <v>74</v>
      </c>
      <c r="AW1463" t="s">
        <v>3915</v>
      </c>
      <c r="AX1463" t="s">
        <v>3463</v>
      </c>
      <c r="AY1463" t="s">
        <v>3465</v>
      </c>
      <c r="AZ1463" t="s">
        <v>104</v>
      </c>
      <c r="BF1463" t="s">
        <v>3921</v>
      </c>
      <c r="BH1463" t="s">
        <v>4020</v>
      </c>
      <c r="BP1463" t="s">
        <v>4260</v>
      </c>
      <c r="BQ1463" t="s">
        <v>3465</v>
      </c>
      <c r="BR1463" t="s">
        <v>3463</v>
      </c>
      <c r="BS1463" t="s">
        <v>3465</v>
      </c>
      <c r="BT1463" t="s">
        <v>3465</v>
      </c>
      <c r="BU1463" t="s">
        <v>3463</v>
      </c>
      <c r="BV1463" t="s">
        <v>3463</v>
      </c>
      <c r="BW1463" t="s">
        <v>3463</v>
      </c>
      <c r="BX1463" t="s">
        <v>79</v>
      </c>
      <c r="BY1463" t="s">
        <v>79</v>
      </c>
      <c r="BZ1463" t="s">
        <v>79</v>
      </c>
      <c r="CA1463" s="10">
        <v>45913</v>
      </c>
    </row>
    <row r="1464" spans="1:79">
      <c r="A1464">
        <v>1477</v>
      </c>
      <c r="B1464">
        <v>105</v>
      </c>
      <c r="C1464">
        <v>70</v>
      </c>
      <c r="D1464" t="s">
        <v>3466</v>
      </c>
      <c r="E1464" t="s">
        <v>1804</v>
      </c>
      <c r="F1464" t="s">
        <v>1804</v>
      </c>
      <c r="G1464" s="12" t="s">
        <v>3463</v>
      </c>
      <c r="H1464" s="12"/>
      <c r="I1464">
        <v>75</v>
      </c>
      <c r="J1464">
        <v>72</v>
      </c>
      <c r="K1464">
        <v>166</v>
      </c>
      <c r="L1464">
        <v>84</v>
      </c>
      <c r="M1464" t="s">
        <v>72</v>
      </c>
      <c r="N1464">
        <v>151</v>
      </c>
      <c r="O1464">
        <v>89</v>
      </c>
      <c r="P1464" t="s">
        <v>72</v>
      </c>
      <c r="Q1464" t="s">
        <v>72</v>
      </c>
      <c r="R1464">
        <v>81.3</v>
      </c>
      <c r="S1464">
        <v>141</v>
      </c>
      <c r="T1464" s="8">
        <f t="shared" si="47"/>
        <v>40.893315225592275</v>
      </c>
      <c r="U1464" s="13" t="str" cm="1">
        <f t="array" ref="U1464">IF(T1464="","",_xlfn.IFS(T1464&lt;18.5,"Bajo peso",T1464&lt;25,"Peso normal",T1464&lt;30,"Sobrepeso",T1464&lt;35,"Obesidad clase I",T1464&lt;40,"Obesidad clase II",T1464&gt;=40,"Obesidad clase III"))</f>
        <v>Obesidad clase III</v>
      </c>
      <c r="V1464">
        <v>101</v>
      </c>
      <c r="X1464" t="s">
        <v>3463</v>
      </c>
      <c r="Y1464">
        <v>0.98</v>
      </c>
      <c r="AA1464">
        <v>62</v>
      </c>
      <c r="AB1464" s="9">
        <f t="shared" si="46"/>
        <v>62.093291612888329</v>
      </c>
      <c r="AD1464" t="s">
        <v>73</v>
      </c>
      <c r="AF1464" t="s">
        <v>73</v>
      </c>
      <c r="AH1464" t="s">
        <v>3463</v>
      </c>
      <c r="AI1464" t="s">
        <v>3465</v>
      </c>
      <c r="AJ1464" t="s">
        <v>3463</v>
      </c>
      <c r="AK1464" t="s">
        <v>3463</v>
      </c>
      <c r="AL1464" t="s">
        <v>3465</v>
      </c>
      <c r="AM1464" t="s">
        <v>116</v>
      </c>
      <c r="AN1464" t="s">
        <v>116</v>
      </c>
      <c r="AP1464" t="s">
        <v>3463</v>
      </c>
      <c r="AQ1464" t="s">
        <v>3096</v>
      </c>
      <c r="AR1464" t="s">
        <v>3488</v>
      </c>
      <c r="AS1464" t="s">
        <v>3465</v>
      </c>
      <c r="AT1464" t="s">
        <v>3465</v>
      </c>
      <c r="AU1464" t="s">
        <v>80</v>
      </c>
      <c r="AV1464" t="s">
        <v>112</v>
      </c>
      <c r="AW1464" t="s">
        <v>3917</v>
      </c>
      <c r="AX1464" t="s">
        <v>3463</v>
      </c>
      <c r="AY1464" t="s">
        <v>3465</v>
      </c>
      <c r="AZ1464" t="s">
        <v>247</v>
      </c>
      <c r="BA1464" t="s">
        <v>3920</v>
      </c>
      <c r="BE1464" t="s">
        <v>3156</v>
      </c>
      <c r="BF1464" t="s">
        <v>3664</v>
      </c>
      <c r="BH1464" t="s">
        <v>4021</v>
      </c>
      <c r="BI1464" t="s">
        <v>734</v>
      </c>
      <c r="BK1464" t="s">
        <v>2791</v>
      </c>
      <c r="BL1464" t="s">
        <v>3157</v>
      </c>
      <c r="BP1464" t="s">
        <v>4394</v>
      </c>
      <c r="BQ1464" t="s">
        <v>3463</v>
      </c>
      <c r="BR1464" t="s">
        <v>3463</v>
      </c>
      <c r="BS1464" t="s">
        <v>3463</v>
      </c>
      <c r="BT1464" t="s">
        <v>3465</v>
      </c>
      <c r="BU1464" t="s">
        <v>3463</v>
      </c>
      <c r="BX1464" t="s">
        <v>79</v>
      </c>
      <c r="BY1464" t="s">
        <v>79</v>
      </c>
      <c r="BZ1464" t="s">
        <v>79</v>
      </c>
      <c r="CA1464" s="10">
        <v>45913</v>
      </c>
    </row>
    <row r="1465" spans="1:79">
      <c r="A1465">
        <v>1478</v>
      </c>
      <c r="B1465">
        <v>106</v>
      </c>
      <c r="C1465">
        <v>32</v>
      </c>
      <c r="D1465" t="s">
        <v>3462</v>
      </c>
      <c r="E1465" t="s">
        <v>3158</v>
      </c>
      <c r="F1465" t="s">
        <v>4571</v>
      </c>
      <c r="G1465" s="12" t="s">
        <v>3463</v>
      </c>
      <c r="H1465" s="12"/>
      <c r="I1465">
        <v>58</v>
      </c>
      <c r="K1465">
        <v>133</v>
      </c>
      <c r="L1465">
        <v>67</v>
      </c>
      <c r="M1465" t="s">
        <v>82</v>
      </c>
      <c r="P1465" t="s">
        <v>83</v>
      </c>
      <c r="Q1465" t="s">
        <v>82</v>
      </c>
      <c r="R1465">
        <v>84.5</v>
      </c>
      <c r="S1465">
        <v>175</v>
      </c>
      <c r="T1465" s="8">
        <f t="shared" si="47"/>
        <v>27.591836734693874</v>
      </c>
      <c r="U1465" s="13" t="str" cm="1">
        <f t="array" ref="U1465">IF(T1465="","",_xlfn.IFS(T1465&lt;18.5,"Bajo peso",T1465&lt;25,"Peso normal",T1465&lt;30,"Sobrepeso",T1465&lt;35,"Obesidad clase I",T1465&lt;40,"Obesidad clase II",T1465&gt;=40,"Obesidad clase III"))</f>
        <v>Sobrepeso</v>
      </c>
      <c r="V1465">
        <v>109</v>
      </c>
      <c r="X1465" t="s">
        <v>3463</v>
      </c>
      <c r="Y1465">
        <v>1.0900000000000001</v>
      </c>
      <c r="AA1465">
        <v>92</v>
      </c>
      <c r="AB1465" s="9">
        <f t="shared" si="46"/>
        <v>92.477337016925205</v>
      </c>
      <c r="AD1465" t="s">
        <v>73</v>
      </c>
      <c r="AF1465" t="s">
        <v>73</v>
      </c>
      <c r="AH1465" t="s">
        <v>3463</v>
      </c>
      <c r="AI1465" t="s">
        <v>3463</v>
      </c>
      <c r="AJ1465" t="s">
        <v>3463</v>
      </c>
      <c r="AK1465" t="s">
        <v>3463</v>
      </c>
      <c r="AP1465" t="s">
        <v>3463</v>
      </c>
      <c r="AQ1465" t="s">
        <v>3159</v>
      </c>
      <c r="AR1465" t="s">
        <v>3580</v>
      </c>
      <c r="AV1465" t="s">
        <v>126</v>
      </c>
      <c r="AW1465" t="s">
        <v>126</v>
      </c>
      <c r="BF1465" t="s">
        <v>3921</v>
      </c>
      <c r="BH1465" t="s">
        <v>4020</v>
      </c>
      <c r="BP1465" t="s">
        <v>4260</v>
      </c>
      <c r="BQ1465" t="s">
        <v>3465</v>
      </c>
      <c r="BR1465" t="s">
        <v>3465</v>
      </c>
      <c r="BS1465" t="s">
        <v>3465</v>
      </c>
      <c r="BT1465" t="s">
        <v>3465</v>
      </c>
      <c r="BU1465" t="s">
        <v>3463</v>
      </c>
      <c r="BV1465" t="s">
        <v>3463</v>
      </c>
      <c r="BW1465" t="s">
        <v>3463</v>
      </c>
      <c r="BX1465" t="s">
        <v>79</v>
      </c>
      <c r="BY1465" t="s">
        <v>79</v>
      </c>
      <c r="BZ1465" t="s">
        <v>79</v>
      </c>
      <c r="CA1465" s="10">
        <v>45913</v>
      </c>
    </row>
    <row r="1466" spans="1:79">
      <c r="A1466">
        <v>1479</v>
      </c>
      <c r="B1466">
        <v>107</v>
      </c>
      <c r="C1466">
        <v>59</v>
      </c>
      <c r="D1466" t="s">
        <v>3466</v>
      </c>
      <c r="E1466" t="s">
        <v>3160</v>
      </c>
      <c r="F1466" t="s">
        <v>1804</v>
      </c>
      <c r="G1466" s="12" t="s">
        <v>3463</v>
      </c>
      <c r="I1466">
        <v>66</v>
      </c>
      <c r="J1466">
        <v>66</v>
      </c>
      <c r="K1466">
        <v>154</v>
      </c>
      <c r="L1466">
        <v>76</v>
      </c>
      <c r="M1466" t="s">
        <v>72</v>
      </c>
      <c r="N1466">
        <v>134</v>
      </c>
      <c r="O1466">
        <v>76</v>
      </c>
      <c r="P1466" t="s">
        <v>82</v>
      </c>
      <c r="Q1466" t="s">
        <v>82</v>
      </c>
      <c r="R1466">
        <v>63.4</v>
      </c>
      <c r="S1466">
        <v>149.5</v>
      </c>
      <c r="T1466" s="8">
        <f t="shared" si="47"/>
        <v>28.366573080838023</v>
      </c>
      <c r="U1466" s="13" t="str" cm="1">
        <f t="array" ref="U1466">IF(T1466="","",_xlfn.IFS(T1466&lt;18.5,"Bajo peso",T1466&lt;25,"Peso normal",T1466&lt;30,"Sobrepeso",T1466&lt;35,"Obesidad clase I",T1466&lt;40,"Obesidad clase II",T1466&gt;=40,"Obesidad clase III"))</f>
        <v>Sobrepeso</v>
      </c>
      <c r="V1466">
        <v>122</v>
      </c>
      <c r="X1466" t="s">
        <v>3463</v>
      </c>
      <c r="Y1466">
        <v>1.1100000000000001</v>
      </c>
      <c r="AA1466">
        <v>57</v>
      </c>
      <c r="AB1466" s="9">
        <f t="shared" si="46"/>
        <v>57.258436174021092</v>
      </c>
      <c r="AD1466" t="s">
        <v>158</v>
      </c>
      <c r="AF1466" t="s">
        <v>158</v>
      </c>
      <c r="AG1466" t="s">
        <v>3465</v>
      </c>
      <c r="AH1466" t="s">
        <v>3465</v>
      </c>
      <c r="AI1466" t="s">
        <v>3465</v>
      </c>
      <c r="AJ1466" t="s">
        <v>3463</v>
      </c>
      <c r="AK1466" t="s">
        <v>3463</v>
      </c>
      <c r="AL1466" t="s">
        <v>3463</v>
      </c>
      <c r="AO1466" t="s">
        <v>3465</v>
      </c>
      <c r="AP1466" t="s">
        <v>3465</v>
      </c>
      <c r="AQ1466" t="s">
        <v>3047</v>
      </c>
      <c r="AR1466" t="s">
        <v>3508</v>
      </c>
      <c r="AS1466" t="s">
        <v>3465</v>
      </c>
      <c r="AT1466" t="s">
        <v>3465</v>
      </c>
      <c r="AU1466" t="s">
        <v>80</v>
      </c>
      <c r="AV1466" t="s">
        <v>112</v>
      </c>
      <c r="AW1466" t="s">
        <v>3917</v>
      </c>
      <c r="AX1466" t="s">
        <v>3465</v>
      </c>
      <c r="AY1466" t="s">
        <v>3465</v>
      </c>
      <c r="AZ1466" t="s">
        <v>247</v>
      </c>
      <c r="BA1466" t="s">
        <v>3920</v>
      </c>
      <c r="BB1466" t="s">
        <v>3485</v>
      </c>
      <c r="BE1466" t="s">
        <v>3161</v>
      </c>
      <c r="BF1466" t="s">
        <v>4002</v>
      </c>
      <c r="BH1466" t="s">
        <v>4020</v>
      </c>
      <c r="BP1466" t="s">
        <v>4260</v>
      </c>
      <c r="BQ1466" t="s">
        <v>3463</v>
      </c>
      <c r="BR1466" t="s">
        <v>3463</v>
      </c>
      <c r="BS1466" t="s">
        <v>3465</v>
      </c>
      <c r="BT1466" t="s">
        <v>3463</v>
      </c>
      <c r="BU1466" t="s">
        <v>3463</v>
      </c>
      <c r="BV1466" t="s">
        <v>3463</v>
      </c>
      <c r="BW1466" t="s">
        <v>3463</v>
      </c>
      <c r="BX1466" t="s">
        <v>79</v>
      </c>
      <c r="BY1466" t="s">
        <v>79</v>
      </c>
      <c r="BZ1466" t="s">
        <v>79</v>
      </c>
      <c r="CA1466" s="10">
        <v>45913</v>
      </c>
    </row>
    <row r="1467" spans="1:79">
      <c r="A1467">
        <v>1480</v>
      </c>
      <c r="B1467">
        <v>108</v>
      </c>
      <c r="C1467">
        <v>59</v>
      </c>
      <c r="D1467" t="s">
        <v>3466</v>
      </c>
      <c r="E1467" t="s">
        <v>3162</v>
      </c>
      <c r="F1467" t="s">
        <v>1804</v>
      </c>
      <c r="G1467" s="12" t="s">
        <v>3463</v>
      </c>
      <c r="I1467">
        <v>77</v>
      </c>
      <c r="J1467">
        <v>76</v>
      </c>
      <c r="K1467">
        <v>146</v>
      </c>
      <c r="L1467">
        <v>89</v>
      </c>
      <c r="M1467" t="s">
        <v>72</v>
      </c>
      <c r="N1467">
        <v>137</v>
      </c>
      <c r="O1467">
        <v>87</v>
      </c>
      <c r="P1467" t="s">
        <v>82</v>
      </c>
      <c r="Q1467" t="s">
        <v>82</v>
      </c>
      <c r="R1467">
        <v>78.8</v>
      </c>
      <c r="S1467">
        <v>149</v>
      </c>
      <c r="T1467" s="8">
        <f t="shared" si="47"/>
        <v>35.49389667132111</v>
      </c>
      <c r="U1467" s="13" t="str" cm="1">
        <f t="array" ref="U1467">IF(T1467="","",_xlfn.IFS(T1467&lt;18.5,"Bajo peso",T1467&lt;25,"Peso normal",T1467&lt;30,"Sobrepeso",T1467&lt;35,"Obesidad clase I",T1467&lt;40,"Obesidad clase II",T1467&gt;=40,"Obesidad clase III"))</f>
        <v>Obesidad clase II</v>
      </c>
      <c r="V1467">
        <v>92</v>
      </c>
      <c r="X1467" t="s">
        <v>3463</v>
      </c>
      <c r="Y1467">
        <v>1.01</v>
      </c>
      <c r="AA1467">
        <v>64</v>
      </c>
      <c r="AB1467" s="9">
        <f t="shared" si="46"/>
        <v>64.127071668809663</v>
      </c>
      <c r="AD1467" t="s">
        <v>73</v>
      </c>
      <c r="AF1467" t="s">
        <v>73</v>
      </c>
      <c r="AG1467" t="s">
        <v>3465</v>
      </c>
      <c r="AH1467" t="s">
        <v>3465</v>
      </c>
      <c r="AI1467" t="s">
        <v>3465</v>
      </c>
      <c r="AJ1467" t="s">
        <v>3465</v>
      </c>
      <c r="AK1467" t="s">
        <v>3463</v>
      </c>
      <c r="AL1467" t="s">
        <v>3465</v>
      </c>
      <c r="AM1467" t="s">
        <v>372</v>
      </c>
      <c r="AN1467" t="s">
        <v>372</v>
      </c>
      <c r="AP1467" t="s">
        <v>3463</v>
      </c>
      <c r="AQ1467" t="s">
        <v>3163</v>
      </c>
      <c r="AR1467" t="s">
        <v>3488</v>
      </c>
      <c r="AS1467" t="s">
        <v>3465</v>
      </c>
      <c r="AT1467" t="s">
        <v>3465</v>
      </c>
      <c r="AU1467" t="s">
        <v>80</v>
      </c>
      <c r="AV1467" t="s">
        <v>74</v>
      </c>
      <c r="AW1467" t="s">
        <v>3915</v>
      </c>
      <c r="AX1467" t="s">
        <v>3463</v>
      </c>
      <c r="AY1467" t="s">
        <v>3465</v>
      </c>
      <c r="AZ1467" t="s">
        <v>247</v>
      </c>
      <c r="BF1467" t="s">
        <v>3921</v>
      </c>
      <c r="BH1467" t="s">
        <v>4020</v>
      </c>
      <c r="BP1467" t="s">
        <v>4260</v>
      </c>
      <c r="BQ1467" t="s">
        <v>3463</v>
      </c>
      <c r="BR1467" t="s">
        <v>3465</v>
      </c>
      <c r="BS1467" t="s">
        <v>3463</v>
      </c>
      <c r="BT1467" t="s">
        <v>3463</v>
      </c>
      <c r="BU1467" t="s">
        <v>3463</v>
      </c>
      <c r="BX1467" t="s">
        <v>79</v>
      </c>
      <c r="BY1467" t="s">
        <v>79</v>
      </c>
      <c r="BZ1467" t="s">
        <v>79</v>
      </c>
      <c r="CA1467" s="10">
        <v>45913</v>
      </c>
    </row>
    <row r="1468" spans="1:79">
      <c r="A1468">
        <v>1481</v>
      </c>
      <c r="B1468">
        <v>109</v>
      </c>
      <c r="C1468">
        <v>66</v>
      </c>
      <c r="D1468" t="s">
        <v>3462</v>
      </c>
      <c r="E1468" t="s">
        <v>3164</v>
      </c>
      <c r="F1468" t="s">
        <v>1804</v>
      </c>
      <c r="G1468" s="12" t="s">
        <v>3463</v>
      </c>
      <c r="I1468">
        <v>57</v>
      </c>
      <c r="K1468">
        <v>119</v>
      </c>
      <c r="L1468">
        <v>58</v>
      </c>
      <c r="M1468" t="s">
        <v>80</v>
      </c>
      <c r="P1468" t="s">
        <v>83</v>
      </c>
      <c r="Q1468" t="s">
        <v>80</v>
      </c>
      <c r="R1468">
        <v>57.5</v>
      </c>
      <c r="S1468">
        <v>163</v>
      </c>
      <c r="T1468" s="8">
        <f t="shared" si="47"/>
        <v>21.641762956829389</v>
      </c>
      <c r="U1468" s="13" t="str" cm="1">
        <f t="array" ref="U1468">IF(T1468="","",_xlfn.IFS(T1468&lt;18.5,"Bajo peso",T1468&lt;25,"Peso normal",T1468&lt;30,"Sobrepeso",T1468&lt;35,"Obesidad clase I",T1468&lt;40,"Obesidad clase II",T1468&gt;=40,"Obesidad clase III"))</f>
        <v>Peso normal</v>
      </c>
      <c r="V1468">
        <v>124</v>
      </c>
      <c r="X1468" t="s">
        <v>3463</v>
      </c>
      <c r="Y1468">
        <v>1.36</v>
      </c>
      <c r="AA1468">
        <v>48</v>
      </c>
      <c r="AB1468" s="9">
        <f t="shared" si="46"/>
        <v>57.393956561402483</v>
      </c>
      <c r="AD1468" t="s">
        <v>158</v>
      </c>
      <c r="AF1468" t="s">
        <v>158</v>
      </c>
      <c r="AG1468" t="s">
        <v>3465</v>
      </c>
      <c r="AH1468" t="s">
        <v>3465</v>
      </c>
      <c r="AI1468" t="s">
        <v>3465</v>
      </c>
      <c r="AJ1468" t="s">
        <v>3464</v>
      </c>
      <c r="AK1468" t="s">
        <v>3464</v>
      </c>
      <c r="AL1468" t="s">
        <v>3464</v>
      </c>
      <c r="AP1468" t="s">
        <v>3463</v>
      </c>
      <c r="AQ1468" t="s">
        <v>3165</v>
      </c>
      <c r="AR1468" t="s">
        <v>3488</v>
      </c>
      <c r="AS1468" t="s">
        <v>3465</v>
      </c>
      <c r="AV1468" t="s">
        <v>74</v>
      </c>
      <c r="AW1468" t="s">
        <v>3915</v>
      </c>
      <c r="BA1468" t="s">
        <v>3920</v>
      </c>
      <c r="BB1468" t="s">
        <v>3485</v>
      </c>
      <c r="BF1468" t="s">
        <v>3921</v>
      </c>
      <c r="BG1468" t="s">
        <v>3166</v>
      </c>
      <c r="BH1468" t="s">
        <v>4247</v>
      </c>
      <c r="BI1468" t="s">
        <v>3167</v>
      </c>
      <c r="BP1468" t="s">
        <v>4558</v>
      </c>
      <c r="BQ1468" t="s">
        <v>3463</v>
      </c>
      <c r="BR1468" t="s">
        <v>3463</v>
      </c>
      <c r="BS1468" t="s">
        <v>3463</v>
      </c>
      <c r="BT1468" t="s">
        <v>3463</v>
      </c>
      <c r="BU1468" t="s">
        <v>3463</v>
      </c>
      <c r="BX1468" t="s">
        <v>79</v>
      </c>
      <c r="BY1468" t="s">
        <v>79</v>
      </c>
      <c r="BZ1468" t="s">
        <v>79</v>
      </c>
      <c r="CA1468" s="10">
        <v>45913</v>
      </c>
    </row>
    <row r="1469" spans="1:79">
      <c r="A1469">
        <v>1482</v>
      </c>
      <c r="B1469">
        <v>110</v>
      </c>
      <c r="C1469">
        <v>54</v>
      </c>
      <c r="D1469" t="s">
        <v>3466</v>
      </c>
      <c r="E1469" t="s">
        <v>3168</v>
      </c>
      <c r="F1469" t="s">
        <v>1804</v>
      </c>
      <c r="G1469" s="12" t="s">
        <v>3465</v>
      </c>
      <c r="H1469" t="s">
        <v>88</v>
      </c>
      <c r="I1469">
        <v>58</v>
      </c>
      <c r="K1469">
        <v>112</v>
      </c>
      <c r="L1469">
        <v>70</v>
      </c>
      <c r="M1469" t="s">
        <v>80</v>
      </c>
      <c r="P1469" t="s">
        <v>83</v>
      </c>
      <c r="Q1469" t="s">
        <v>80</v>
      </c>
      <c r="R1469">
        <v>64.7</v>
      </c>
      <c r="S1469">
        <v>153</v>
      </c>
      <c r="T1469" s="8">
        <f t="shared" si="47"/>
        <v>27.638942287154514</v>
      </c>
      <c r="U1469" s="13" t="str" cm="1">
        <f t="array" ref="U1469">IF(T1469="","",_xlfn.IFS(T1469&lt;18.5,"Bajo peso",T1469&lt;25,"Peso normal",T1469&lt;30,"Sobrepeso",T1469&lt;35,"Obesidad clase I",T1469&lt;40,"Obesidad clase II",T1469&gt;=40,"Obesidad clase III"))</f>
        <v>Sobrepeso</v>
      </c>
      <c r="V1469">
        <v>108</v>
      </c>
      <c r="X1469" t="s">
        <v>3463</v>
      </c>
      <c r="Y1469">
        <v>0.67</v>
      </c>
      <c r="AA1469">
        <v>90</v>
      </c>
      <c r="AB1469" s="9">
        <f t="shared" si="46"/>
        <v>103.80040480458703</v>
      </c>
      <c r="AD1469" t="s">
        <v>73</v>
      </c>
      <c r="AF1469" t="s">
        <v>73</v>
      </c>
      <c r="AH1469" t="s">
        <v>3463</v>
      </c>
      <c r="AI1469" t="s">
        <v>3463</v>
      </c>
      <c r="AJ1469" t="s">
        <v>3463</v>
      </c>
      <c r="AK1469" t="s">
        <v>3463</v>
      </c>
      <c r="AL1469" t="s">
        <v>3463</v>
      </c>
      <c r="AP1469" t="s">
        <v>3463</v>
      </c>
      <c r="AQ1469" t="s">
        <v>3028</v>
      </c>
      <c r="AR1469" t="s">
        <v>3508</v>
      </c>
      <c r="AT1469" t="s">
        <v>3465</v>
      </c>
      <c r="AU1469" t="s">
        <v>80</v>
      </c>
      <c r="AV1469" t="s">
        <v>74</v>
      </c>
      <c r="AW1469" t="s">
        <v>3915</v>
      </c>
      <c r="AX1469" t="s">
        <v>3465</v>
      </c>
      <c r="AY1469" t="s">
        <v>3465</v>
      </c>
      <c r="AZ1469" t="s">
        <v>247</v>
      </c>
      <c r="BF1469" t="s">
        <v>3921</v>
      </c>
      <c r="BH1469" t="s">
        <v>4020</v>
      </c>
      <c r="BP1469" t="s">
        <v>4260</v>
      </c>
      <c r="BQ1469" t="s">
        <v>3463</v>
      </c>
      <c r="BR1469" t="s">
        <v>3463</v>
      </c>
      <c r="BS1469" t="s">
        <v>3465</v>
      </c>
      <c r="BT1469" t="s">
        <v>3465</v>
      </c>
      <c r="BU1469" t="s">
        <v>3463</v>
      </c>
      <c r="BV1469" t="s">
        <v>3463</v>
      </c>
      <c r="BW1469" t="s">
        <v>3463</v>
      </c>
      <c r="BX1469" t="s">
        <v>79</v>
      </c>
      <c r="BY1469" t="s">
        <v>79</v>
      </c>
      <c r="BZ1469" t="s">
        <v>79</v>
      </c>
      <c r="CA1469" s="10">
        <v>45913</v>
      </c>
    </row>
    <row r="1470" spans="1:79">
      <c r="A1470">
        <v>1483</v>
      </c>
      <c r="B1470">
        <v>110</v>
      </c>
      <c r="C1470">
        <v>49</v>
      </c>
      <c r="D1470" t="s">
        <v>3462</v>
      </c>
      <c r="E1470" t="s">
        <v>3169</v>
      </c>
      <c r="F1470" t="s">
        <v>1804</v>
      </c>
      <c r="G1470" s="12" t="s">
        <v>3465</v>
      </c>
      <c r="H1470" s="12" t="s">
        <v>88</v>
      </c>
      <c r="I1470">
        <v>74</v>
      </c>
      <c r="J1470">
        <v>71</v>
      </c>
      <c r="K1470">
        <v>154</v>
      </c>
      <c r="L1470">
        <v>101</v>
      </c>
      <c r="M1470" t="s">
        <v>72</v>
      </c>
      <c r="N1470">
        <v>142</v>
      </c>
      <c r="O1470">
        <v>107</v>
      </c>
      <c r="P1470" t="s">
        <v>72</v>
      </c>
      <c r="Q1470" t="s">
        <v>72</v>
      </c>
      <c r="R1470">
        <v>63.6</v>
      </c>
      <c r="S1470">
        <v>159</v>
      </c>
      <c r="T1470" s="8">
        <f t="shared" si="47"/>
        <v>25.157232704402514</v>
      </c>
      <c r="U1470" s="13" t="str" cm="1">
        <f t="array" ref="U1470">IF(T1470="","",_xlfn.IFS(T1470&lt;18.5,"Bajo peso",T1470&lt;25,"Peso normal",T1470&lt;30,"Sobrepeso",T1470&lt;35,"Obesidad clase I",T1470&lt;40,"Obesidad clase II",T1470&gt;=40,"Obesidad clase III"))</f>
        <v>Sobrepeso</v>
      </c>
      <c r="V1470">
        <v>104</v>
      </c>
      <c r="X1470" t="s">
        <v>3463</v>
      </c>
      <c r="Y1470">
        <v>0.85</v>
      </c>
      <c r="AA1470">
        <v>90</v>
      </c>
      <c r="AB1470" s="9">
        <f t="shared" si="46"/>
        <v>106.52111279397057</v>
      </c>
      <c r="AD1470" t="s">
        <v>73</v>
      </c>
      <c r="AF1470" t="s">
        <v>73</v>
      </c>
      <c r="AH1470" t="s">
        <v>3463</v>
      </c>
      <c r="AI1470" t="s">
        <v>3463</v>
      </c>
      <c r="AJ1470" t="s">
        <v>3463</v>
      </c>
      <c r="AK1470" t="s">
        <v>3463</v>
      </c>
      <c r="AL1470" t="s">
        <v>3463</v>
      </c>
      <c r="AP1470" t="s">
        <v>3463</v>
      </c>
      <c r="AV1470" t="s">
        <v>74</v>
      </c>
      <c r="AW1470" t="s">
        <v>3915</v>
      </c>
      <c r="BA1470" t="s">
        <v>3920</v>
      </c>
      <c r="BF1470" t="s">
        <v>3921</v>
      </c>
      <c r="BG1470" t="s">
        <v>3170</v>
      </c>
      <c r="BH1470" t="s">
        <v>4045</v>
      </c>
      <c r="BI1470" t="s">
        <v>1502</v>
      </c>
      <c r="BK1470" t="s">
        <v>911</v>
      </c>
      <c r="BL1470" t="s">
        <v>3171</v>
      </c>
      <c r="BP1470" t="s">
        <v>4270</v>
      </c>
      <c r="BQ1470" t="s">
        <v>3463</v>
      </c>
      <c r="BR1470" t="s">
        <v>3465</v>
      </c>
      <c r="BS1470" t="s">
        <v>3465</v>
      </c>
      <c r="BT1470" t="s">
        <v>3465</v>
      </c>
      <c r="BU1470" t="s">
        <v>3463</v>
      </c>
      <c r="BX1470" t="s">
        <v>79</v>
      </c>
      <c r="BY1470" t="s">
        <v>79</v>
      </c>
      <c r="BZ1470" t="s">
        <v>79</v>
      </c>
      <c r="CA1470" s="10">
        <v>45913</v>
      </c>
    </row>
    <row r="1471" spans="1:79">
      <c r="A1471">
        <v>1484</v>
      </c>
      <c r="B1471">
        <v>112</v>
      </c>
      <c r="C1471">
        <v>62</v>
      </c>
      <c r="D1471" t="s">
        <v>3466</v>
      </c>
      <c r="E1471" t="s">
        <v>3172</v>
      </c>
      <c r="F1471" t="s">
        <v>1804</v>
      </c>
      <c r="G1471" s="12" t="s">
        <v>3463</v>
      </c>
      <c r="H1471" s="12"/>
      <c r="I1471">
        <v>69</v>
      </c>
      <c r="J1471">
        <v>69</v>
      </c>
      <c r="K1471">
        <v>180</v>
      </c>
      <c r="L1471">
        <v>80</v>
      </c>
      <c r="M1471" t="s">
        <v>96</v>
      </c>
      <c r="N1471">
        <v>156</v>
      </c>
      <c r="O1471">
        <v>76</v>
      </c>
      <c r="P1471" t="s">
        <v>72</v>
      </c>
      <c r="Q1471" t="s">
        <v>72</v>
      </c>
      <c r="R1471">
        <v>75.400000000000006</v>
      </c>
      <c r="S1471">
        <v>154</v>
      </c>
      <c r="T1471" s="8">
        <f t="shared" si="47"/>
        <v>31.792882442233093</v>
      </c>
      <c r="U1471" s="13" t="str" cm="1">
        <f t="array" ref="U1471">IF(T1471="","",_xlfn.IFS(T1471&lt;18.5,"Bajo peso",T1471&lt;25,"Peso normal",T1471&lt;30,"Sobrepeso",T1471&lt;35,"Obesidad clase I",T1471&lt;40,"Obesidad clase II",T1471&gt;=40,"Obesidad clase III"))</f>
        <v>Obesidad clase I</v>
      </c>
      <c r="V1471">
        <v>69</v>
      </c>
      <c r="X1471" t="s">
        <v>3463</v>
      </c>
      <c r="Y1471">
        <v>0.85</v>
      </c>
      <c r="AA1471">
        <v>77</v>
      </c>
      <c r="AB1471" s="9">
        <f t="shared" si="46"/>
        <v>77.414323582095491</v>
      </c>
      <c r="AD1471" t="s">
        <v>73</v>
      </c>
      <c r="AF1471" t="s">
        <v>73</v>
      </c>
      <c r="AH1471" t="s">
        <v>3463</v>
      </c>
      <c r="AJ1471" t="s">
        <v>3463</v>
      </c>
      <c r="AK1471" t="s">
        <v>3463</v>
      </c>
      <c r="AL1471" t="s">
        <v>3465</v>
      </c>
      <c r="AM1471" t="s">
        <v>257</v>
      </c>
      <c r="AN1471" t="s">
        <v>116</v>
      </c>
      <c r="AP1471" t="s">
        <v>3463</v>
      </c>
      <c r="AQ1471" t="s">
        <v>3173</v>
      </c>
      <c r="AR1471" t="s">
        <v>3504</v>
      </c>
      <c r="AT1471" t="s">
        <v>3465</v>
      </c>
      <c r="AU1471" t="s">
        <v>125</v>
      </c>
      <c r="AV1471" t="s">
        <v>112</v>
      </c>
      <c r="AW1471" t="s">
        <v>3917</v>
      </c>
      <c r="AX1471" t="s">
        <v>3465</v>
      </c>
      <c r="AY1471" t="s">
        <v>3465</v>
      </c>
      <c r="AZ1471" t="s">
        <v>247</v>
      </c>
      <c r="BF1471" t="s">
        <v>3921</v>
      </c>
      <c r="BH1471" t="s">
        <v>4020</v>
      </c>
      <c r="BP1471" t="s">
        <v>4260</v>
      </c>
      <c r="BQ1471" t="s">
        <v>3463</v>
      </c>
      <c r="BR1471" t="s">
        <v>3463</v>
      </c>
      <c r="BS1471" t="s">
        <v>3465</v>
      </c>
      <c r="BT1471" t="s">
        <v>3465</v>
      </c>
      <c r="BU1471" t="s">
        <v>3463</v>
      </c>
      <c r="BV1471" t="s">
        <v>3463</v>
      </c>
      <c r="BW1471" t="s">
        <v>3463</v>
      </c>
      <c r="BX1471" t="s">
        <v>518</v>
      </c>
      <c r="BY1471" t="s">
        <v>79</v>
      </c>
      <c r="BZ1471" t="s">
        <v>79</v>
      </c>
      <c r="CA1471" s="10">
        <v>45913</v>
      </c>
    </row>
    <row r="1472" spans="1:79">
      <c r="A1472">
        <v>1485</v>
      </c>
      <c r="B1472">
        <v>113</v>
      </c>
      <c r="C1472">
        <v>27</v>
      </c>
      <c r="D1472" t="s">
        <v>3462</v>
      </c>
      <c r="E1472" t="s">
        <v>3013</v>
      </c>
      <c r="F1472" t="s">
        <v>1804</v>
      </c>
      <c r="G1472" s="12" t="s">
        <v>3463</v>
      </c>
      <c r="H1472" s="12"/>
      <c r="I1472">
        <v>73</v>
      </c>
      <c r="J1472">
        <v>67</v>
      </c>
      <c r="K1472">
        <v>153</v>
      </c>
      <c r="L1472">
        <v>83</v>
      </c>
      <c r="M1472" t="s">
        <v>72</v>
      </c>
      <c r="N1472">
        <v>140</v>
      </c>
      <c r="O1472">
        <v>80</v>
      </c>
      <c r="P1472" t="s">
        <v>72</v>
      </c>
      <c r="Q1472" t="s">
        <v>72</v>
      </c>
      <c r="R1472">
        <v>100.2</v>
      </c>
      <c r="S1472">
        <v>178</v>
      </c>
      <c r="T1472" s="8">
        <f t="shared" si="47"/>
        <v>31.62479484913521</v>
      </c>
      <c r="U1472" s="13" t="str" cm="1">
        <f t="array" ref="U1472">IF(T1472="","",_xlfn.IFS(T1472&lt;18.5,"Bajo peso",T1472&lt;25,"Peso normal",T1472&lt;30,"Sobrepeso",T1472&lt;35,"Obesidad clase I",T1472&lt;40,"Obesidad clase II",T1472&gt;=40,"Obesidad clase III"))</f>
        <v>Obesidad clase I</v>
      </c>
      <c r="V1472">
        <v>86</v>
      </c>
      <c r="X1472" t="s">
        <v>3463</v>
      </c>
      <c r="Y1472">
        <v>0.85</v>
      </c>
      <c r="AA1472">
        <v>90</v>
      </c>
      <c r="AB1472" s="9">
        <f t="shared" si="46"/>
        <v>122.1399848314565</v>
      </c>
      <c r="AD1472" t="s">
        <v>73</v>
      </c>
      <c r="AF1472" t="s">
        <v>73</v>
      </c>
      <c r="AH1472" t="s">
        <v>3463</v>
      </c>
      <c r="AI1472" t="s">
        <v>3465</v>
      </c>
      <c r="AJ1472" t="s">
        <v>3463</v>
      </c>
      <c r="AK1472" t="s">
        <v>3463</v>
      </c>
      <c r="AL1472" t="s">
        <v>3463</v>
      </c>
      <c r="AP1472" t="s">
        <v>3463</v>
      </c>
      <c r="AQ1472" t="s">
        <v>3047</v>
      </c>
      <c r="AR1472" t="s">
        <v>3508</v>
      </c>
      <c r="AS1472" t="s">
        <v>3463</v>
      </c>
      <c r="AV1472" t="s">
        <v>74</v>
      </c>
      <c r="AW1472" t="s">
        <v>3915</v>
      </c>
      <c r="BF1472" t="s">
        <v>3921</v>
      </c>
      <c r="BG1472" t="s">
        <v>3174</v>
      </c>
      <c r="BH1472" t="s">
        <v>4021</v>
      </c>
      <c r="BL1472" t="s">
        <v>3175</v>
      </c>
      <c r="BP1472" t="s">
        <v>4260</v>
      </c>
      <c r="BQ1472" t="s">
        <v>3463</v>
      </c>
      <c r="BR1472" t="s">
        <v>3463</v>
      </c>
      <c r="BS1472" t="s">
        <v>3463</v>
      </c>
      <c r="BT1472" t="s">
        <v>3463</v>
      </c>
      <c r="BU1472" t="s">
        <v>3463</v>
      </c>
      <c r="BV1472" t="s">
        <v>3463</v>
      </c>
      <c r="BW1472" t="s">
        <v>3463</v>
      </c>
      <c r="BX1472" t="s">
        <v>79</v>
      </c>
      <c r="BY1472" t="s">
        <v>79</v>
      </c>
      <c r="BZ1472" t="s">
        <v>79</v>
      </c>
      <c r="CA1472" s="10">
        <v>45913</v>
      </c>
    </row>
    <row r="1473" spans="1:79">
      <c r="A1473">
        <v>1486</v>
      </c>
      <c r="B1473">
        <v>114</v>
      </c>
      <c r="C1473">
        <v>71</v>
      </c>
      <c r="D1473" t="s">
        <v>3466</v>
      </c>
      <c r="E1473" t="s">
        <v>3176</v>
      </c>
      <c r="F1473" t="s">
        <v>1804</v>
      </c>
      <c r="G1473" s="12" t="s">
        <v>3463</v>
      </c>
      <c r="I1473">
        <v>72</v>
      </c>
      <c r="J1473">
        <v>68</v>
      </c>
      <c r="K1473">
        <v>171</v>
      </c>
      <c r="L1473">
        <v>95</v>
      </c>
      <c r="M1473" t="s">
        <v>72</v>
      </c>
      <c r="N1473">
        <v>162</v>
      </c>
      <c r="O1473">
        <v>90</v>
      </c>
      <c r="P1473" t="s">
        <v>72</v>
      </c>
      <c r="Q1473" t="s">
        <v>72</v>
      </c>
      <c r="R1473">
        <v>57.1</v>
      </c>
      <c r="S1473">
        <v>148</v>
      </c>
      <c r="T1473" s="8">
        <f t="shared" si="47"/>
        <v>26.068298027757489</v>
      </c>
      <c r="U1473" s="13" t="str" cm="1">
        <f t="array" ref="U1473">IF(T1473="","",_xlfn.IFS(T1473&lt;18.5,"Bajo peso",T1473&lt;25,"Peso normal",T1473&lt;30,"Sobrepeso",T1473&lt;35,"Obesidad clase I",T1473&lt;40,"Obesidad clase II",T1473&gt;=40,"Obesidad clase III"))</f>
        <v>Sobrepeso</v>
      </c>
      <c r="V1473">
        <v>85</v>
      </c>
      <c r="X1473" t="s">
        <v>3463</v>
      </c>
      <c r="Y1473">
        <v>0.76</v>
      </c>
      <c r="AA1473">
        <v>84</v>
      </c>
      <c r="AB1473" s="9">
        <f t="shared" si="46"/>
        <v>83.721818938585528</v>
      </c>
      <c r="AD1473" t="s">
        <v>73</v>
      </c>
      <c r="AF1473" t="s">
        <v>73</v>
      </c>
      <c r="AH1473" t="s">
        <v>3463</v>
      </c>
      <c r="AI1473" t="s">
        <v>3465</v>
      </c>
      <c r="AJ1473" t="s">
        <v>3463</v>
      </c>
      <c r="AK1473" t="s">
        <v>3463</v>
      </c>
      <c r="AL1473" t="s">
        <v>3465</v>
      </c>
      <c r="AM1473" t="s">
        <v>110</v>
      </c>
      <c r="AN1473" t="s">
        <v>110</v>
      </c>
      <c r="AP1473" t="s">
        <v>3463</v>
      </c>
      <c r="AQ1473" t="s">
        <v>120</v>
      </c>
      <c r="AR1473" t="s">
        <v>3491</v>
      </c>
      <c r="AS1473" t="s">
        <v>3465</v>
      </c>
      <c r="AT1473" t="s">
        <v>3465</v>
      </c>
      <c r="AU1473" t="s">
        <v>80</v>
      </c>
      <c r="AV1473" t="s">
        <v>74</v>
      </c>
      <c r="AW1473" t="s">
        <v>3915</v>
      </c>
      <c r="AX1473" t="s">
        <v>3463</v>
      </c>
      <c r="AY1473" t="s">
        <v>3465</v>
      </c>
      <c r="AZ1473" t="s">
        <v>247</v>
      </c>
      <c r="BF1473" t="s">
        <v>3921</v>
      </c>
      <c r="BH1473" t="s">
        <v>4020</v>
      </c>
      <c r="BP1473" t="s">
        <v>4260</v>
      </c>
      <c r="BQ1473" t="s">
        <v>3465</v>
      </c>
      <c r="BR1473" t="s">
        <v>3463</v>
      </c>
      <c r="BS1473" t="s">
        <v>3463</v>
      </c>
      <c r="BT1473" t="s">
        <v>3465</v>
      </c>
      <c r="BU1473" t="s">
        <v>3463</v>
      </c>
      <c r="BX1473" t="s">
        <v>79</v>
      </c>
      <c r="BY1473" t="s">
        <v>79</v>
      </c>
      <c r="BZ1473" t="s">
        <v>79</v>
      </c>
      <c r="CA1473" s="10">
        <v>45913</v>
      </c>
    </row>
    <row r="1474" spans="1:79">
      <c r="A1474">
        <v>1487</v>
      </c>
      <c r="B1474">
        <v>115</v>
      </c>
      <c r="C1474">
        <v>71</v>
      </c>
      <c r="D1474" t="s">
        <v>3462</v>
      </c>
      <c r="E1474" t="s">
        <v>3177</v>
      </c>
      <c r="F1474" t="s">
        <v>1804</v>
      </c>
      <c r="G1474" s="12" t="s">
        <v>3463</v>
      </c>
      <c r="I1474">
        <v>56</v>
      </c>
      <c r="J1474">
        <v>54</v>
      </c>
      <c r="K1474">
        <v>157</v>
      </c>
      <c r="L1474">
        <v>85</v>
      </c>
      <c r="M1474" t="s">
        <v>72</v>
      </c>
      <c r="N1474">
        <v>146</v>
      </c>
      <c r="O1474">
        <v>80</v>
      </c>
      <c r="P1474" t="s">
        <v>72</v>
      </c>
      <c r="Q1474" t="s">
        <v>72</v>
      </c>
      <c r="R1474">
        <v>94.1</v>
      </c>
      <c r="S1474">
        <v>164</v>
      </c>
      <c r="T1474" s="8">
        <f t="shared" si="47"/>
        <v>34.986615110053535</v>
      </c>
      <c r="U1474" s="13" t="str" cm="1">
        <f t="array" ref="U1474">IF(T1474="","",_xlfn.IFS(T1474&lt;18.5,"Bajo peso",T1474&lt;25,"Peso normal",T1474&lt;30,"Sobrepeso",T1474&lt;35,"Obesidad clase I",T1474&lt;40,"Obesidad clase II",T1474&gt;=40,"Obesidad clase III"))</f>
        <v>Obesidad clase I</v>
      </c>
      <c r="V1474">
        <v>152</v>
      </c>
      <c r="X1474" t="s">
        <v>3463</v>
      </c>
      <c r="Y1474">
        <v>1.04</v>
      </c>
      <c r="AA1474">
        <v>77</v>
      </c>
      <c r="AB1474" s="9">
        <f t="shared" si="46"/>
        <v>76.765805202208469</v>
      </c>
      <c r="AD1474" t="s">
        <v>73</v>
      </c>
      <c r="AF1474" t="s">
        <v>73</v>
      </c>
      <c r="AG1474" t="s">
        <v>3465</v>
      </c>
      <c r="AH1474" t="s">
        <v>3465</v>
      </c>
      <c r="AI1474" t="s">
        <v>3465</v>
      </c>
      <c r="AJ1474" t="s">
        <v>3463</v>
      </c>
      <c r="AK1474" t="s">
        <v>3463</v>
      </c>
      <c r="AL1474" t="s">
        <v>3465</v>
      </c>
      <c r="AM1474" t="s">
        <v>3178</v>
      </c>
      <c r="AN1474" t="s">
        <v>3788</v>
      </c>
      <c r="AP1474" t="s">
        <v>3464</v>
      </c>
      <c r="AQ1474" t="s">
        <v>3028</v>
      </c>
      <c r="AR1474" t="s">
        <v>3508</v>
      </c>
      <c r="AS1474" t="s">
        <v>3465</v>
      </c>
      <c r="AV1474" t="s">
        <v>112</v>
      </c>
      <c r="AW1474" t="s">
        <v>3917</v>
      </c>
      <c r="BF1474" t="s">
        <v>3921</v>
      </c>
      <c r="BH1474" t="s">
        <v>4020</v>
      </c>
      <c r="BP1474" t="s">
        <v>4260</v>
      </c>
      <c r="BQ1474" t="s">
        <v>3463</v>
      </c>
      <c r="BR1474" t="s">
        <v>3463</v>
      </c>
      <c r="BS1474" t="s">
        <v>3463</v>
      </c>
      <c r="BT1474" t="s">
        <v>3463</v>
      </c>
      <c r="BU1474" t="s">
        <v>3463</v>
      </c>
      <c r="BV1474" t="s">
        <v>3463</v>
      </c>
      <c r="BW1474" t="s">
        <v>3463</v>
      </c>
      <c r="BX1474" t="s">
        <v>79</v>
      </c>
      <c r="BY1474" t="s">
        <v>487</v>
      </c>
      <c r="BZ1474" t="s">
        <v>79</v>
      </c>
      <c r="CA1474" s="10">
        <v>45913</v>
      </c>
    </row>
    <row r="1475" spans="1:79">
      <c r="A1475">
        <v>1488</v>
      </c>
      <c r="B1475">
        <v>116</v>
      </c>
      <c r="C1475">
        <v>53</v>
      </c>
      <c r="D1475" t="s">
        <v>3466</v>
      </c>
      <c r="E1475" t="s">
        <v>2981</v>
      </c>
      <c r="F1475" t="s">
        <v>1804</v>
      </c>
      <c r="G1475" s="12" t="s">
        <v>3463</v>
      </c>
      <c r="I1475">
        <v>88</v>
      </c>
      <c r="K1475">
        <v>102</v>
      </c>
      <c r="L1475">
        <v>83</v>
      </c>
      <c r="M1475" t="s">
        <v>82</v>
      </c>
      <c r="P1475" t="s">
        <v>83</v>
      </c>
      <c r="Q1475" t="s">
        <v>82</v>
      </c>
      <c r="R1475">
        <v>55.8</v>
      </c>
      <c r="S1475">
        <v>155</v>
      </c>
      <c r="T1475" s="8">
        <f t="shared" si="47"/>
        <v>23.2258064516129</v>
      </c>
      <c r="U1475" s="13" t="str" cm="1">
        <f t="array" ref="U1475">IF(T1475="","",_xlfn.IFS(T1475&lt;18.5,"Bajo peso",T1475&lt;25,"Peso normal",T1475&lt;30,"Sobrepeso",T1475&lt;35,"Obesidad clase I",T1475&lt;40,"Obesidad clase II",T1475&gt;=40,"Obesidad clase III"))</f>
        <v>Peso normal</v>
      </c>
      <c r="V1475">
        <v>117</v>
      </c>
      <c r="X1475" t="s">
        <v>3463</v>
      </c>
      <c r="Y1475">
        <v>1.1399999999999999</v>
      </c>
      <c r="AA1475">
        <v>58</v>
      </c>
      <c r="AB1475" s="9">
        <f t="shared" si="46"/>
        <v>57.56351176764241</v>
      </c>
      <c r="AD1475" t="s">
        <v>158</v>
      </c>
      <c r="AF1475" t="s">
        <v>158</v>
      </c>
      <c r="AH1475" t="s">
        <v>3463</v>
      </c>
      <c r="AI1475" t="s">
        <v>3465</v>
      </c>
      <c r="AJ1475" t="s">
        <v>3463</v>
      </c>
      <c r="AK1475" t="s">
        <v>3463</v>
      </c>
      <c r="AL1475" t="s">
        <v>3463</v>
      </c>
      <c r="AO1475" t="s">
        <v>3463</v>
      </c>
      <c r="AP1475" t="s">
        <v>3465</v>
      </c>
      <c r="AQ1475" t="s">
        <v>3163</v>
      </c>
      <c r="AR1475" t="s">
        <v>3488</v>
      </c>
      <c r="AS1475" t="s">
        <v>3465</v>
      </c>
      <c r="AT1475" t="s">
        <v>3465</v>
      </c>
      <c r="AU1475" t="s">
        <v>80</v>
      </c>
      <c r="AV1475" t="s">
        <v>126</v>
      </c>
      <c r="AW1475" t="s">
        <v>126</v>
      </c>
      <c r="AX1475" t="s">
        <v>3463</v>
      </c>
      <c r="AY1475" t="s">
        <v>3463</v>
      </c>
      <c r="BA1475" t="s">
        <v>3920</v>
      </c>
      <c r="BF1475" t="s">
        <v>3921</v>
      </c>
      <c r="BH1475" t="s">
        <v>4085</v>
      </c>
      <c r="BK1475" t="s">
        <v>2391</v>
      </c>
      <c r="BL1475" t="s">
        <v>2328</v>
      </c>
      <c r="BP1475" t="s">
        <v>4260</v>
      </c>
      <c r="BQ1475" t="s">
        <v>3463</v>
      </c>
      <c r="BR1475" t="s">
        <v>3463</v>
      </c>
      <c r="BS1475" t="s">
        <v>3463</v>
      </c>
      <c r="BT1475" t="s">
        <v>3463</v>
      </c>
      <c r="BU1475" t="s">
        <v>3463</v>
      </c>
      <c r="BX1475" t="s">
        <v>79</v>
      </c>
      <c r="BY1475" t="s">
        <v>79</v>
      </c>
      <c r="BZ1475" t="s">
        <v>79</v>
      </c>
      <c r="CA1475" s="10">
        <v>45913</v>
      </c>
    </row>
    <row r="1476" spans="1:79">
      <c r="A1476">
        <v>1489</v>
      </c>
      <c r="B1476">
        <v>117</v>
      </c>
      <c r="C1476">
        <v>60</v>
      </c>
      <c r="D1476" t="s">
        <v>3466</v>
      </c>
      <c r="E1476" t="s">
        <v>3114</v>
      </c>
      <c r="F1476" t="s">
        <v>1804</v>
      </c>
      <c r="G1476" s="12" t="s">
        <v>3463</v>
      </c>
      <c r="I1476">
        <v>93</v>
      </c>
      <c r="K1476">
        <v>127</v>
      </c>
      <c r="L1476">
        <v>76</v>
      </c>
      <c r="M1476" t="s">
        <v>118</v>
      </c>
      <c r="P1476" t="s">
        <v>83</v>
      </c>
      <c r="Q1476" t="s">
        <v>118</v>
      </c>
      <c r="R1476">
        <v>50.2</v>
      </c>
      <c r="S1476">
        <v>151</v>
      </c>
      <c r="T1476" s="8">
        <f t="shared" si="47"/>
        <v>22.016578220253496</v>
      </c>
      <c r="U1476" s="13" t="str" cm="1">
        <f t="array" ref="U1476">IF(T1476="","",_xlfn.IFS(T1476&lt;18.5,"Bajo peso",T1476&lt;25,"Peso normal",T1476&lt;30,"Sobrepeso",T1476&lt;35,"Obesidad clase I",T1476&lt;40,"Obesidad clase II",T1476&gt;=40,"Obesidad clase III"))</f>
        <v>Peso normal</v>
      </c>
      <c r="V1476">
        <v>88</v>
      </c>
      <c r="X1476" t="s">
        <v>3463</v>
      </c>
      <c r="Y1476">
        <v>0.86</v>
      </c>
      <c r="AA1476">
        <v>76</v>
      </c>
      <c r="AB1476" s="9">
        <f t="shared" si="46"/>
        <v>77.290818773460344</v>
      </c>
      <c r="AD1476" t="s">
        <v>73</v>
      </c>
      <c r="AF1476" t="s">
        <v>73</v>
      </c>
      <c r="AH1476" t="s">
        <v>3463</v>
      </c>
      <c r="AI1476" t="s">
        <v>3463</v>
      </c>
      <c r="AJ1476" t="s">
        <v>3463</v>
      </c>
      <c r="AK1476" t="s">
        <v>3463</v>
      </c>
      <c r="AL1476" t="s">
        <v>3465</v>
      </c>
      <c r="AM1476" t="s">
        <v>3179</v>
      </c>
      <c r="AN1476" t="s">
        <v>3889</v>
      </c>
      <c r="AP1476" t="s">
        <v>3463</v>
      </c>
      <c r="AT1476" t="s">
        <v>3465</v>
      </c>
      <c r="AU1476" t="s">
        <v>80</v>
      </c>
      <c r="AV1476" t="s">
        <v>112</v>
      </c>
      <c r="AW1476" t="s">
        <v>3917</v>
      </c>
      <c r="AX1476" t="s">
        <v>3463</v>
      </c>
      <c r="AY1476" t="s">
        <v>3465</v>
      </c>
      <c r="AZ1476" t="s">
        <v>90</v>
      </c>
      <c r="BF1476" t="s">
        <v>3921</v>
      </c>
      <c r="BH1476" t="s">
        <v>4020</v>
      </c>
      <c r="BP1476" t="s">
        <v>4260</v>
      </c>
      <c r="BQ1476" t="s">
        <v>3465</v>
      </c>
      <c r="BR1476" t="s">
        <v>3463</v>
      </c>
      <c r="BS1476" t="s">
        <v>3465</v>
      </c>
      <c r="BT1476" t="s">
        <v>3465</v>
      </c>
      <c r="BU1476" t="s">
        <v>3463</v>
      </c>
      <c r="BV1476" t="s">
        <v>3463</v>
      </c>
      <c r="BW1476" t="s">
        <v>3463</v>
      </c>
      <c r="BX1476" t="s">
        <v>79</v>
      </c>
      <c r="BY1476" t="s">
        <v>79</v>
      </c>
      <c r="BZ1476" t="s">
        <v>79</v>
      </c>
      <c r="CA1476" s="10">
        <v>45913</v>
      </c>
    </row>
    <row r="1477" spans="1:79">
      <c r="A1477">
        <v>1490</v>
      </c>
      <c r="B1477">
        <v>118</v>
      </c>
      <c r="C1477">
        <v>28</v>
      </c>
      <c r="D1477" t="s">
        <v>3466</v>
      </c>
      <c r="E1477" t="s">
        <v>3180</v>
      </c>
      <c r="F1477" t="s">
        <v>1804</v>
      </c>
      <c r="G1477" s="12" t="s">
        <v>3463</v>
      </c>
      <c r="I1477">
        <v>91</v>
      </c>
      <c r="K1477">
        <v>104</v>
      </c>
      <c r="L1477">
        <v>67</v>
      </c>
      <c r="M1477" t="s">
        <v>80</v>
      </c>
      <c r="P1477" t="s">
        <v>83</v>
      </c>
      <c r="Q1477" t="s">
        <v>80</v>
      </c>
      <c r="R1477">
        <v>1119</v>
      </c>
      <c r="S1477">
        <v>153</v>
      </c>
      <c r="T1477" s="8">
        <f t="shared" si="47"/>
        <v>478.02127386902475</v>
      </c>
      <c r="U1477" s="13" t="str" cm="1">
        <f t="array" ref="U1477">IF(T1477="","",_xlfn.IFS(T1477&lt;18.5,"Bajo peso",T1477&lt;25,"Peso normal",T1477&lt;30,"Sobrepeso",T1477&lt;35,"Obesidad clase I",T1477&lt;40,"Obesidad clase II",T1477&gt;=40,"Obesidad clase III"))</f>
        <v>Obesidad clase III</v>
      </c>
      <c r="V1477">
        <v>77</v>
      </c>
      <c r="X1477" t="s">
        <v>3463</v>
      </c>
      <c r="Y1477">
        <v>1.24</v>
      </c>
      <c r="AA1477">
        <v>61</v>
      </c>
      <c r="AB1477" s="9">
        <f t="shared" si="46"/>
        <v>60.792817295729499</v>
      </c>
      <c r="AD1477" t="s">
        <v>73</v>
      </c>
      <c r="AF1477" t="s">
        <v>73</v>
      </c>
      <c r="AH1477" t="s">
        <v>3463</v>
      </c>
      <c r="AI1477" t="s">
        <v>3463</v>
      </c>
      <c r="AJ1477" t="s">
        <v>3463</v>
      </c>
      <c r="AK1477" t="s">
        <v>3463</v>
      </c>
      <c r="AL1477" t="s">
        <v>3463</v>
      </c>
      <c r="AO1477" t="s">
        <v>3465</v>
      </c>
      <c r="AP1477" t="s">
        <v>3465</v>
      </c>
      <c r="AQ1477" t="s">
        <v>3145</v>
      </c>
      <c r="AR1477" t="s">
        <v>3508</v>
      </c>
      <c r="AT1477" t="s">
        <v>3463</v>
      </c>
      <c r="AV1477" t="s">
        <v>74</v>
      </c>
      <c r="AW1477" t="s">
        <v>3915</v>
      </c>
      <c r="AX1477" t="s">
        <v>3463</v>
      </c>
      <c r="AY1477" t="s">
        <v>3465</v>
      </c>
      <c r="AZ1477" t="s">
        <v>247</v>
      </c>
      <c r="BC1477" t="s">
        <v>128</v>
      </c>
      <c r="BD1477" t="s">
        <v>105</v>
      </c>
      <c r="BE1477" t="s">
        <v>3181</v>
      </c>
      <c r="BF1477" t="s">
        <v>4003</v>
      </c>
      <c r="BG1477" t="s">
        <v>3182</v>
      </c>
      <c r="BH1477" t="s">
        <v>4248</v>
      </c>
      <c r="BI1477" t="s">
        <v>3183</v>
      </c>
      <c r="BK1477" t="s">
        <v>3184</v>
      </c>
      <c r="BL1477" t="s">
        <v>3185</v>
      </c>
      <c r="BP1477" t="s">
        <v>4559</v>
      </c>
      <c r="BQ1477" t="s">
        <v>3463</v>
      </c>
      <c r="BR1477" t="s">
        <v>3463</v>
      </c>
      <c r="BS1477" t="s">
        <v>3465</v>
      </c>
      <c r="BT1477" t="s">
        <v>3465</v>
      </c>
      <c r="BU1477" t="s">
        <v>3463</v>
      </c>
      <c r="BV1477" t="s">
        <v>3463</v>
      </c>
      <c r="BW1477" t="s">
        <v>3463</v>
      </c>
      <c r="BX1477" t="s">
        <v>79</v>
      </c>
      <c r="BY1477" t="s">
        <v>79</v>
      </c>
      <c r="BZ1477" t="s">
        <v>95</v>
      </c>
      <c r="CA1477" s="10">
        <v>45913</v>
      </c>
    </row>
    <row r="1478" spans="1:79">
      <c r="A1478">
        <v>1491</v>
      </c>
      <c r="B1478">
        <v>119</v>
      </c>
      <c r="C1478">
        <v>72</v>
      </c>
      <c r="D1478" t="s">
        <v>3466</v>
      </c>
      <c r="E1478" t="s">
        <v>2955</v>
      </c>
      <c r="F1478" t="s">
        <v>1804</v>
      </c>
      <c r="G1478" s="12" t="s">
        <v>3463</v>
      </c>
      <c r="I1478">
        <v>60</v>
      </c>
      <c r="J1478">
        <v>56</v>
      </c>
      <c r="K1478">
        <v>177</v>
      </c>
      <c r="L1478">
        <v>83</v>
      </c>
      <c r="M1478" t="s">
        <v>72</v>
      </c>
      <c r="N1478">
        <v>159</v>
      </c>
      <c r="O1478">
        <v>80</v>
      </c>
      <c r="P1478" t="s">
        <v>72</v>
      </c>
      <c r="Q1478" t="s">
        <v>72</v>
      </c>
      <c r="R1478">
        <v>64.5</v>
      </c>
      <c r="S1478">
        <v>154</v>
      </c>
      <c r="T1478" s="8">
        <f t="shared" si="47"/>
        <v>27.196829144881089</v>
      </c>
      <c r="U1478" s="13" t="str" cm="1">
        <f t="array" ref="U1478">IF(T1478="","",_xlfn.IFS(T1478&lt;18.5,"Bajo peso",T1478&lt;25,"Peso normal",T1478&lt;30,"Sobrepeso",T1478&lt;35,"Obesidad clase I",T1478&lt;40,"Obesidad clase II",T1478&gt;=40,"Obesidad clase III"))</f>
        <v>Sobrepeso</v>
      </c>
      <c r="V1478">
        <v>100</v>
      </c>
      <c r="X1478" t="s">
        <v>3463</v>
      </c>
      <c r="Y1478">
        <v>0.81</v>
      </c>
      <c r="AA1478">
        <v>77</v>
      </c>
      <c r="AB1478" s="9">
        <f t="shared" si="46"/>
        <v>77.078265963899625</v>
      </c>
      <c r="AD1478" t="s">
        <v>73</v>
      </c>
      <c r="AF1478" t="s">
        <v>73</v>
      </c>
      <c r="AH1478" t="s">
        <v>3463</v>
      </c>
      <c r="AI1478" t="s">
        <v>3465</v>
      </c>
      <c r="AJ1478" t="s">
        <v>3463</v>
      </c>
      <c r="AK1478" t="s">
        <v>3463</v>
      </c>
      <c r="AL1478" t="s">
        <v>3463</v>
      </c>
      <c r="AP1478" t="s">
        <v>3463</v>
      </c>
      <c r="AS1478" t="s">
        <v>3465</v>
      </c>
      <c r="AT1478" t="s">
        <v>3465</v>
      </c>
      <c r="AU1478" t="s">
        <v>125</v>
      </c>
      <c r="AV1478" t="s">
        <v>112</v>
      </c>
      <c r="AW1478" t="s">
        <v>3917</v>
      </c>
      <c r="AX1478" t="s">
        <v>3463</v>
      </c>
      <c r="AY1478" t="s">
        <v>3463</v>
      </c>
      <c r="BF1478" t="s">
        <v>3921</v>
      </c>
      <c r="BH1478" t="s">
        <v>4020</v>
      </c>
      <c r="BP1478" t="s">
        <v>4260</v>
      </c>
      <c r="BQ1478" t="s">
        <v>3463</v>
      </c>
      <c r="BR1478" t="s">
        <v>3463</v>
      </c>
      <c r="BS1478" t="s">
        <v>3465</v>
      </c>
      <c r="BT1478" t="s">
        <v>3465</v>
      </c>
      <c r="BU1478" t="s">
        <v>3463</v>
      </c>
      <c r="BX1478" t="s">
        <v>79</v>
      </c>
      <c r="BY1478" t="s">
        <v>79</v>
      </c>
      <c r="BZ1478" t="s">
        <v>79</v>
      </c>
      <c r="CA1478" s="10">
        <v>45913</v>
      </c>
    </row>
    <row r="1479" spans="1:79">
      <c r="A1479">
        <v>1492</v>
      </c>
      <c r="B1479">
        <v>120</v>
      </c>
      <c r="C1479">
        <v>83</v>
      </c>
      <c r="D1479" t="s">
        <v>3466</v>
      </c>
      <c r="E1479" t="s">
        <v>3168</v>
      </c>
      <c r="F1479" t="s">
        <v>1804</v>
      </c>
      <c r="G1479" s="12" t="s">
        <v>3465</v>
      </c>
      <c r="H1479" t="s">
        <v>88</v>
      </c>
      <c r="I1479">
        <v>62</v>
      </c>
      <c r="J1479">
        <v>59</v>
      </c>
      <c r="K1479">
        <v>142</v>
      </c>
      <c r="L1479">
        <v>69</v>
      </c>
      <c r="M1479" t="s">
        <v>72</v>
      </c>
      <c r="N1479">
        <v>132</v>
      </c>
      <c r="O1479">
        <v>59</v>
      </c>
      <c r="P1479" t="s">
        <v>82</v>
      </c>
      <c r="Q1479" t="s">
        <v>82</v>
      </c>
      <c r="R1479">
        <v>61</v>
      </c>
      <c r="S1479">
        <v>153</v>
      </c>
      <c r="T1479" s="8">
        <f t="shared" si="47"/>
        <v>26.058353624674272</v>
      </c>
      <c r="U1479" s="13" t="str" cm="1">
        <f t="array" ref="U1479">IF(T1479="","",_xlfn.IFS(T1479&lt;18.5,"Bajo peso",T1479&lt;25,"Peso normal",T1479&lt;30,"Sobrepeso",T1479&lt;35,"Obesidad clase I",T1479&lt;40,"Obesidad clase II",T1479&gt;=40,"Obesidad clase III"))</f>
        <v>Sobrepeso</v>
      </c>
      <c r="V1479">
        <v>155</v>
      </c>
      <c r="X1479" t="s">
        <v>3463</v>
      </c>
      <c r="Y1479">
        <v>0.73</v>
      </c>
      <c r="AA1479">
        <v>82</v>
      </c>
      <c r="AB1479" s="9">
        <f t="shared" si="46"/>
        <v>81.548399672433064</v>
      </c>
      <c r="AD1479" t="s">
        <v>73</v>
      </c>
      <c r="AF1479" t="s">
        <v>73</v>
      </c>
      <c r="AG1479" t="s">
        <v>3465</v>
      </c>
      <c r="AH1479" t="s">
        <v>3465</v>
      </c>
      <c r="AI1479" t="s">
        <v>3463</v>
      </c>
      <c r="AJ1479" t="s">
        <v>3463</v>
      </c>
      <c r="AK1479" t="s">
        <v>3463</v>
      </c>
      <c r="AL1479" t="s">
        <v>3465</v>
      </c>
      <c r="AM1479" t="s">
        <v>2762</v>
      </c>
      <c r="AN1479" t="s">
        <v>1815</v>
      </c>
      <c r="AP1479" t="s">
        <v>3463</v>
      </c>
      <c r="AQ1479" t="s">
        <v>3047</v>
      </c>
      <c r="AR1479" t="s">
        <v>3508</v>
      </c>
      <c r="AT1479" t="s">
        <v>3463</v>
      </c>
      <c r="AV1479" t="s">
        <v>112</v>
      </c>
      <c r="AW1479" t="s">
        <v>3917</v>
      </c>
      <c r="AX1479" t="s">
        <v>3463</v>
      </c>
      <c r="AY1479" t="s">
        <v>3463</v>
      </c>
      <c r="BF1479" t="s">
        <v>3921</v>
      </c>
      <c r="BH1479" t="s">
        <v>4020</v>
      </c>
      <c r="BP1479" t="s">
        <v>4260</v>
      </c>
      <c r="BQ1479" t="s">
        <v>3463</v>
      </c>
      <c r="BR1479" t="s">
        <v>3463</v>
      </c>
      <c r="BS1479" t="s">
        <v>3463</v>
      </c>
      <c r="BT1479" t="s">
        <v>3463</v>
      </c>
      <c r="BU1479" t="s">
        <v>3463</v>
      </c>
      <c r="BV1479" t="s">
        <v>3463</v>
      </c>
      <c r="BW1479" t="s">
        <v>3463</v>
      </c>
      <c r="BX1479" t="s">
        <v>79</v>
      </c>
      <c r="BY1479" t="s">
        <v>87</v>
      </c>
      <c r="BZ1479" t="s">
        <v>79</v>
      </c>
      <c r="CA1479" s="10">
        <v>45913</v>
      </c>
    </row>
    <row r="1480" spans="1:79">
      <c r="A1480">
        <v>1493</v>
      </c>
      <c r="B1480">
        <v>121</v>
      </c>
      <c r="C1480">
        <v>74</v>
      </c>
      <c r="D1480" t="s">
        <v>3462</v>
      </c>
      <c r="E1480" t="s">
        <v>3072</v>
      </c>
      <c r="F1480" t="s">
        <v>1804</v>
      </c>
      <c r="G1480" s="12" t="s">
        <v>3463</v>
      </c>
      <c r="I1480">
        <v>85</v>
      </c>
      <c r="J1480">
        <v>79</v>
      </c>
      <c r="K1480">
        <v>177</v>
      </c>
      <c r="L1480">
        <v>126</v>
      </c>
      <c r="M1480" t="s">
        <v>96</v>
      </c>
      <c r="N1480">
        <v>173</v>
      </c>
      <c r="O1480">
        <v>120</v>
      </c>
      <c r="P1480" t="s">
        <v>96</v>
      </c>
      <c r="Q1480" t="s">
        <v>96</v>
      </c>
      <c r="R1480">
        <v>72.5</v>
      </c>
      <c r="S1480">
        <v>170</v>
      </c>
      <c r="T1480" s="8">
        <f t="shared" si="47"/>
        <v>25.086505190311417</v>
      </c>
      <c r="U1480" s="13" t="str" cm="1">
        <f t="array" ref="U1480">IF(T1480="","",_xlfn.IFS(T1480&lt;18.5,"Bajo peso",T1480&lt;25,"Peso normal",T1480&lt;30,"Sobrepeso",T1480&lt;35,"Obesidad clase I",T1480&lt;40,"Obesidad clase II",T1480&gt;=40,"Obesidad clase III"))</f>
        <v>Sobrepeso</v>
      </c>
      <c r="V1480">
        <v>106</v>
      </c>
      <c r="X1480" t="s">
        <v>3463</v>
      </c>
      <c r="Y1480">
        <v>1.02</v>
      </c>
      <c r="AA1480">
        <v>77</v>
      </c>
      <c r="AB1480" s="9">
        <f t="shared" si="46"/>
        <v>77.123119530406555</v>
      </c>
      <c r="AD1480" t="s">
        <v>73</v>
      </c>
      <c r="AF1480" t="s">
        <v>73</v>
      </c>
      <c r="AH1480" t="s">
        <v>3463</v>
      </c>
      <c r="AI1480" t="s">
        <v>3465</v>
      </c>
      <c r="AJ1480" t="s">
        <v>3463</v>
      </c>
      <c r="AK1480" t="s">
        <v>3463</v>
      </c>
      <c r="AL1480" t="s">
        <v>3465</v>
      </c>
      <c r="AM1480" t="s">
        <v>3186</v>
      </c>
      <c r="AN1480" t="s">
        <v>3623</v>
      </c>
      <c r="AP1480" t="s">
        <v>3463</v>
      </c>
      <c r="AS1480" t="s">
        <v>3465</v>
      </c>
      <c r="AV1480" t="s">
        <v>126</v>
      </c>
      <c r="AW1480" t="s">
        <v>126</v>
      </c>
      <c r="BF1480" t="s">
        <v>3921</v>
      </c>
      <c r="BH1480" t="s">
        <v>4020</v>
      </c>
      <c r="BP1480" t="s">
        <v>4260</v>
      </c>
      <c r="BQ1480" t="s">
        <v>3463</v>
      </c>
      <c r="BR1480" t="s">
        <v>3463</v>
      </c>
      <c r="BS1480" t="s">
        <v>3465</v>
      </c>
      <c r="BT1480" t="s">
        <v>3465</v>
      </c>
      <c r="BU1480" t="s">
        <v>3463</v>
      </c>
      <c r="BV1480" t="s">
        <v>3463</v>
      </c>
      <c r="BW1480" t="s">
        <v>3463</v>
      </c>
      <c r="BX1480" t="s">
        <v>79</v>
      </c>
      <c r="BY1480" t="s">
        <v>487</v>
      </c>
      <c r="BZ1480" t="s">
        <v>79</v>
      </c>
      <c r="CA1480" s="10">
        <v>45913</v>
      </c>
    </row>
    <row r="1481" spans="1:79">
      <c r="A1481">
        <v>1494</v>
      </c>
      <c r="B1481">
        <v>122</v>
      </c>
      <c r="C1481">
        <v>38</v>
      </c>
      <c r="D1481" t="s">
        <v>3466</v>
      </c>
      <c r="E1481" t="s">
        <v>3187</v>
      </c>
      <c r="F1481" t="s">
        <v>1804</v>
      </c>
      <c r="G1481" s="12" t="s">
        <v>3463</v>
      </c>
      <c r="I1481">
        <v>63</v>
      </c>
      <c r="J1481">
        <v>61</v>
      </c>
      <c r="K1481">
        <v>145</v>
      </c>
      <c r="L1481">
        <v>90</v>
      </c>
      <c r="M1481" t="s">
        <v>72</v>
      </c>
      <c r="N1481">
        <v>148</v>
      </c>
      <c r="O1481">
        <v>86</v>
      </c>
      <c r="P1481" t="s">
        <v>72</v>
      </c>
      <c r="Q1481" t="s">
        <v>72</v>
      </c>
      <c r="R1481">
        <v>79.599999999999994</v>
      </c>
      <c r="S1481">
        <v>149</v>
      </c>
      <c r="T1481" s="8">
        <f t="shared" si="47"/>
        <v>35.854240799963968</v>
      </c>
      <c r="U1481" s="13" t="str" cm="1">
        <f t="array" ref="U1481">IF(T1481="","",_xlfn.IFS(T1481&lt;18.5,"Bajo peso",T1481&lt;25,"Peso normal",T1481&lt;30,"Sobrepeso",T1481&lt;35,"Obesidad clase I",T1481&lt;40,"Obesidad clase II",T1481&gt;=40,"Obesidad clase III"))</f>
        <v>Obesidad clase II</v>
      </c>
      <c r="V1481">
        <v>78</v>
      </c>
      <c r="X1481" t="s">
        <v>3463</v>
      </c>
      <c r="Y1481">
        <v>0.93</v>
      </c>
      <c r="AA1481">
        <v>82</v>
      </c>
      <c r="AB1481" s="9">
        <f t="shared" si="46"/>
        <v>80.680518058190117</v>
      </c>
      <c r="AD1481" t="s">
        <v>73</v>
      </c>
      <c r="AF1481" t="s">
        <v>73</v>
      </c>
      <c r="AH1481" t="s">
        <v>3463</v>
      </c>
      <c r="AI1481" t="s">
        <v>3463</v>
      </c>
      <c r="AJ1481" t="s">
        <v>3463</v>
      </c>
      <c r="AK1481" t="s">
        <v>3463</v>
      </c>
      <c r="AL1481" t="s">
        <v>3463</v>
      </c>
      <c r="AP1481" t="s">
        <v>3463</v>
      </c>
      <c r="AQ1481" t="s">
        <v>120</v>
      </c>
      <c r="AR1481" t="s">
        <v>3491</v>
      </c>
      <c r="AT1481" t="s">
        <v>3465</v>
      </c>
      <c r="AU1481" t="s">
        <v>80</v>
      </c>
      <c r="AV1481" t="s">
        <v>126</v>
      </c>
      <c r="AW1481" t="s">
        <v>126</v>
      </c>
      <c r="AX1481" t="s">
        <v>3463</v>
      </c>
      <c r="AY1481" t="s">
        <v>3465</v>
      </c>
      <c r="AZ1481" t="s">
        <v>90</v>
      </c>
      <c r="BF1481" t="s">
        <v>3921</v>
      </c>
      <c r="BG1481" t="s">
        <v>3188</v>
      </c>
      <c r="BH1481" t="s">
        <v>4021</v>
      </c>
      <c r="BL1481" t="s">
        <v>3189</v>
      </c>
      <c r="BP1481" t="s">
        <v>4260</v>
      </c>
      <c r="BQ1481" t="s">
        <v>3463</v>
      </c>
      <c r="BR1481" t="s">
        <v>3465</v>
      </c>
      <c r="BS1481" t="s">
        <v>3465</v>
      </c>
      <c r="BT1481" t="s">
        <v>3465</v>
      </c>
      <c r="BU1481" t="s">
        <v>3463</v>
      </c>
      <c r="BX1481" t="s">
        <v>79</v>
      </c>
      <c r="BY1481" t="s">
        <v>79</v>
      </c>
      <c r="BZ1481" t="s">
        <v>79</v>
      </c>
      <c r="CA1481" s="10">
        <v>45913</v>
      </c>
    </row>
    <row r="1482" spans="1:79">
      <c r="A1482">
        <v>1495</v>
      </c>
      <c r="B1482">
        <v>123</v>
      </c>
      <c r="C1482">
        <v>31</v>
      </c>
      <c r="D1482" t="s">
        <v>3466</v>
      </c>
      <c r="E1482" t="s">
        <v>3013</v>
      </c>
      <c r="F1482" t="s">
        <v>1804</v>
      </c>
      <c r="G1482" s="12" t="s">
        <v>3465</v>
      </c>
      <c r="H1482" t="s">
        <v>88</v>
      </c>
      <c r="I1482">
        <v>86</v>
      </c>
      <c r="K1482">
        <v>106</v>
      </c>
      <c r="L1482">
        <v>77</v>
      </c>
      <c r="M1482" t="s">
        <v>80</v>
      </c>
      <c r="P1482" t="s">
        <v>83</v>
      </c>
      <c r="Q1482" t="s">
        <v>80</v>
      </c>
      <c r="R1482">
        <v>62.3</v>
      </c>
      <c r="S1482">
        <v>160</v>
      </c>
      <c r="T1482" s="8">
        <f t="shared" si="47"/>
        <v>24.3359375</v>
      </c>
      <c r="U1482" s="13" t="str" cm="1">
        <f t="array" ref="U1482">IF(T1482="","",_xlfn.IFS(T1482&lt;18.5,"Bajo peso",T1482&lt;25,"Peso normal",T1482&lt;30,"Sobrepeso",T1482&lt;35,"Obesidad clase I",T1482&lt;40,"Obesidad clase II",T1482&gt;=40,"Obesidad clase III"))</f>
        <v>Peso normal</v>
      </c>
      <c r="V1482">
        <v>72</v>
      </c>
      <c r="X1482" t="s">
        <v>3463</v>
      </c>
      <c r="Y1482">
        <v>0.86</v>
      </c>
      <c r="AA1482">
        <v>90</v>
      </c>
      <c r="AB1482" s="9">
        <f t="shared" si="46"/>
        <v>92.56720018039826</v>
      </c>
      <c r="AD1482" t="s">
        <v>73</v>
      </c>
      <c r="AF1482" t="s">
        <v>73</v>
      </c>
      <c r="AH1482" t="s">
        <v>3463</v>
      </c>
      <c r="AI1482" t="s">
        <v>3463</v>
      </c>
      <c r="AJ1482" t="s">
        <v>3463</v>
      </c>
      <c r="AK1482" t="s">
        <v>3463</v>
      </c>
      <c r="AL1482" t="s">
        <v>3463</v>
      </c>
      <c r="AP1482" t="s">
        <v>3463</v>
      </c>
      <c r="AQ1482" t="s">
        <v>3190</v>
      </c>
      <c r="AR1482" t="s">
        <v>3508</v>
      </c>
      <c r="AT1482" t="s">
        <v>3463</v>
      </c>
      <c r="AV1482" t="s">
        <v>74</v>
      </c>
      <c r="AW1482" t="s">
        <v>3915</v>
      </c>
      <c r="AX1482" t="s">
        <v>3463</v>
      </c>
      <c r="AY1482" t="s">
        <v>3465</v>
      </c>
      <c r="AZ1482" t="s">
        <v>90</v>
      </c>
      <c r="BF1482" t="s">
        <v>3921</v>
      </c>
      <c r="BH1482" t="s">
        <v>4020</v>
      </c>
      <c r="BP1482" t="s">
        <v>4260</v>
      </c>
      <c r="BQ1482" t="s">
        <v>3463</v>
      </c>
      <c r="BR1482" t="s">
        <v>3463</v>
      </c>
      <c r="BS1482" t="s">
        <v>3463</v>
      </c>
      <c r="BT1482" t="s">
        <v>3463</v>
      </c>
      <c r="BU1482" t="s">
        <v>3463</v>
      </c>
      <c r="BV1482" t="s">
        <v>3463</v>
      </c>
      <c r="BW1482" t="s">
        <v>3463</v>
      </c>
      <c r="BX1482" t="s">
        <v>79</v>
      </c>
      <c r="BY1482" t="s">
        <v>79</v>
      </c>
      <c r="BZ1482" t="s">
        <v>79</v>
      </c>
      <c r="CA1482" s="10">
        <v>45913</v>
      </c>
    </row>
    <row r="1483" spans="1:79">
      <c r="A1483">
        <v>1496</v>
      </c>
      <c r="B1483">
        <v>124</v>
      </c>
      <c r="C1483">
        <v>48</v>
      </c>
      <c r="D1483" t="s">
        <v>3466</v>
      </c>
      <c r="E1483" t="s">
        <v>3081</v>
      </c>
      <c r="F1483" t="s">
        <v>1804</v>
      </c>
      <c r="G1483" s="12" t="s">
        <v>3463</v>
      </c>
      <c r="H1483" s="12"/>
      <c r="I1483">
        <v>81</v>
      </c>
      <c r="K1483">
        <v>134</v>
      </c>
      <c r="L1483">
        <v>69</v>
      </c>
      <c r="M1483" t="s">
        <v>82</v>
      </c>
      <c r="P1483" t="s">
        <v>83</v>
      </c>
      <c r="Q1483" t="s">
        <v>82</v>
      </c>
      <c r="R1483">
        <v>63.3</v>
      </c>
      <c r="S1483">
        <v>164</v>
      </c>
      <c r="T1483" s="8">
        <f t="shared" si="47"/>
        <v>23.535098155859604</v>
      </c>
      <c r="U1483" s="13" t="str" cm="1">
        <f t="array" ref="U1483">IF(T1483="","",_xlfn.IFS(T1483&lt;18.5,"Bajo peso",T1483&lt;25,"Peso normal",T1483&lt;30,"Sobrepeso",T1483&lt;35,"Obesidad clase I",T1483&lt;40,"Obesidad clase II",T1483&gt;=40,"Obesidad clase III"))</f>
        <v>Peso normal</v>
      </c>
      <c r="V1483">
        <v>100</v>
      </c>
      <c r="X1483" t="s">
        <v>3463</v>
      </c>
      <c r="Y1483">
        <v>0.84</v>
      </c>
      <c r="AA1483">
        <v>86</v>
      </c>
      <c r="AB1483" s="9">
        <f t="shared" si="46"/>
        <v>85.6649167731386</v>
      </c>
      <c r="AD1483" t="s">
        <v>73</v>
      </c>
      <c r="AF1483" t="s">
        <v>73</v>
      </c>
      <c r="AH1483" t="s">
        <v>3463</v>
      </c>
      <c r="AI1483" t="s">
        <v>3463</v>
      </c>
      <c r="AJ1483" t="s">
        <v>3463</v>
      </c>
      <c r="AK1483" t="s">
        <v>3463</v>
      </c>
      <c r="AL1483" t="s">
        <v>3463</v>
      </c>
      <c r="AP1483" t="s">
        <v>3463</v>
      </c>
      <c r="AQ1483" t="s">
        <v>148</v>
      </c>
      <c r="AR1483" t="s">
        <v>3491</v>
      </c>
      <c r="AT1483" t="s">
        <v>3465</v>
      </c>
      <c r="AU1483" t="s">
        <v>80</v>
      </c>
      <c r="AV1483" t="s">
        <v>126</v>
      </c>
      <c r="AW1483" t="s">
        <v>126</v>
      </c>
      <c r="AX1483" t="s">
        <v>3463</v>
      </c>
      <c r="AY1483" t="s">
        <v>3465</v>
      </c>
      <c r="AZ1483" t="s">
        <v>90</v>
      </c>
      <c r="BF1483" t="s">
        <v>3921</v>
      </c>
      <c r="BH1483" t="s">
        <v>4020</v>
      </c>
      <c r="BP1483" t="s">
        <v>4260</v>
      </c>
      <c r="BQ1483" t="s">
        <v>3463</v>
      </c>
      <c r="BR1483" t="s">
        <v>3463</v>
      </c>
      <c r="BS1483" t="s">
        <v>3465</v>
      </c>
      <c r="BT1483" t="s">
        <v>3465</v>
      </c>
      <c r="BU1483" t="s">
        <v>3463</v>
      </c>
      <c r="BV1483" t="s">
        <v>3463</v>
      </c>
      <c r="BW1483" t="s">
        <v>3463</v>
      </c>
      <c r="BX1483" t="s">
        <v>79</v>
      </c>
      <c r="BY1483" t="s">
        <v>79</v>
      </c>
      <c r="BZ1483" t="s">
        <v>79</v>
      </c>
      <c r="CA1483" s="10">
        <v>45913</v>
      </c>
    </row>
    <row r="1484" spans="1:79">
      <c r="A1484">
        <v>1497</v>
      </c>
      <c r="B1484">
        <v>125</v>
      </c>
      <c r="C1484">
        <v>38</v>
      </c>
      <c r="D1484" t="s">
        <v>3466</v>
      </c>
      <c r="E1484" t="s">
        <v>3191</v>
      </c>
      <c r="F1484" t="s">
        <v>1804</v>
      </c>
      <c r="G1484" s="12" t="s">
        <v>3465</v>
      </c>
      <c r="H1484" s="12" t="s">
        <v>88</v>
      </c>
      <c r="I1484">
        <v>87</v>
      </c>
      <c r="K1484">
        <v>134</v>
      </c>
      <c r="L1484">
        <v>87</v>
      </c>
      <c r="M1484" t="s">
        <v>82</v>
      </c>
      <c r="P1484" t="s">
        <v>83</v>
      </c>
      <c r="Q1484" t="s">
        <v>82</v>
      </c>
      <c r="R1484">
        <v>95.7</v>
      </c>
      <c r="S1484">
        <v>160</v>
      </c>
      <c r="T1484" s="8">
        <f t="shared" si="47"/>
        <v>37.3828125</v>
      </c>
      <c r="U1484" s="13" t="str" cm="1">
        <f t="array" ref="U1484">IF(T1484="","",_xlfn.IFS(T1484&lt;18.5,"Bajo peso",T1484&lt;25,"Peso normal",T1484&lt;30,"Sobrepeso",T1484&lt;35,"Obesidad clase I",T1484&lt;40,"Obesidad clase II",T1484&gt;=40,"Obesidad clase III"))</f>
        <v>Obesidad clase II</v>
      </c>
      <c r="V1484">
        <v>109</v>
      </c>
      <c r="X1484" t="s">
        <v>3463</v>
      </c>
      <c r="Y1484">
        <v>0.88</v>
      </c>
      <c r="AA1484">
        <v>86</v>
      </c>
      <c r="AB1484" s="9">
        <f t="shared" si="46"/>
        <v>86.212256007389058</v>
      </c>
      <c r="AD1484" t="s">
        <v>73</v>
      </c>
      <c r="AF1484" t="s">
        <v>73</v>
      </c>
      <c r="AH1484" t="s">
        <v>3463</v>
      </c>
      <c r="AI1484" t="s">
        <v>3463</v>
      </c>
      <c r="AJ1484" t="s">
        <v>3464</v>
      </c>
      <c r="AK1484" t="s">
        <v>3463</v>
      </c>
      <c r="AL1484" t="s">
        <v>3463</v>
      </c>
      <c r="AP1484" t="s">
        <v>3463</v>
      </c>
      <c r="AQ1484" t="s">
        <v>143</v>
      </c>
      <c r="AR1484" t="s">
        <v>3493</v>
      </c>
      <c r="AT1484" t="s">
        <v>3463</v>
      </c>
      <c r="AV1484" t="s">
        <v>74</v>
      </c>
      <c r="AW1484" t="s">
        <v>3915</v>
      </c>
      <c r="AX1484" t="s">
        <v>3465</v>
      </c>
      <c r="AY1484" t="s">
        <v>3465</v>
      </c>
      <c r="AZ1484" t="s">
        <v>104</v>
      </c>
      <c r="BF1484" t="s">
        <v>3921</v>
      </c>
      <c r="BH1484" t="s">
        <v>4020</v>
      </c>
      <c r="BP1484" t="s">
        <v>4260</v>
      </c>
      <c r="BQ1484" t="s">
        <v>3463</v>
      </c>
      <c r="BR1484" t="s">
        <v>3465</v>
      </c>
      <c r="BS1484" t="s">
        <v>3465</v>
      </c>
      <c r="BT1484" t="s">
        <v>3465</v>
      </c>
      <c r="BU1484" t="s">
        <v>3463</v>
      </c>
      <c r="BX1484" t="s">
        <v>79</v>
      </c>
      <c r="BY1484" t="s">
        <v>79</v>
      </c>
      <c r="BZ1484" t="s">
        <v>79</v>
      </c>
      <c r="CA1484" s="10">
        <v>45913</v>
      </c>
    </row>
    <row r="1485" spans="1:79">
      <c r="A1485">
        <v>1498</v>
      </c>
      <c r="B1485">
        <v>126</v>
      </c>
      <c r="C1485">
        <v>30</v>
      </c>
      <c r="D1485" t="s">
        <v>3466</v>
      </c>
      <c r="E1485" t="s">
        <v>2986</v>
      </c>
      <c r="F1485" t="s">
        <v>1804</v>
      </c>
      <c r="G1485" s="12" t="s">
        <v>3465</v>
      </c>
      <c r="H1485" t="s">
        <v>88</v>
      </c>
      <c r="I1485">
        <v>91</v>
      </c>
      <c r="J1485">
        <v>89</v>
      </c>
      <c r="K1485">
        <v>159</v>
      </c>
      <c r="L1485">
        <v>80</v>
      </c>
      <c r="M1485" t="s">
        <v>72</v>
      </c>
      <c r="N1485">
        <v>140</v>
      </c>
      <c r="O1485">
        <v>76</v>
      </c>
      <c r="P1485" t="s">
        <v>72</v>
      </c>
      <c r="Q1485" t="s">
        <v>72</v>
      </c>
      <c r="R1485">
        <v>118.6</v>
      </c>
      <c r="S1485">
        <v>158</v>
      </c>
      <c r="T1485" s="8">
        <f t="shared" si="47"/>
        <v>47.508412113443356</v>
      </c>
      <c r="U1485" s="13" t="str" cm="1">
        <f t="array" ref="U1485">IF(T1485="","",_xlfn.IFS(T1485&lt;18.5,"Bajo peso",T1485&lt;25,"Peso normal",T1485&lt;30,"Sobrepeso",T1485&lt;35,"Obesidad clase I",T1485&lt;40,"Obesidad clase II",T1485&gt;=40,"Obesidad clase III"))</f>
        <v>Obesidad clase III</v>
      </c>
      <c r="V1485">
        <v>109</v>
      </c>
      <c r="X1485" t="s">
        <v>3463</v>
      </c>
      <c r="Y1485">
        <v>1.03</v>
      </c>
      <c r="AA1485">
        <v>75</v>
      </c>
      <c r="AB1485" s="9">
        <f t="shared" si="46"/>
        <v>75.015603505133029</v>
      </c>
      <c r="AD1485" t="s">
        <v>73</v>
      </c>
      <c r="AF1485" t="s">
        <v>73</v>
      </c>
      <c r="AG1485" t="s">
        <v>3463</v>
      </c>
      <c r="AH1485" t="s">
        <v>3465</v>
      </c>
      <c r="AI1485" t="s">
        <v>3465</v>
      </c>
      <c r="AJ1485" t="s">
        <v>3463</v>
      </c>
      <c r="AK1485" t="s">
        <v>3465</v>
      </c>
      <c r="AL1485" t="s">
        <v>3463</v>
      </c>
      <c r="AO1485" t="s">
        <v>3465</v>
      </c>
      <c r="AP1485" t="s">
        <v>3465</v>
      </c>
      <c r="AQ1485" t="s">
        <v>3047</v>
      </c>
      <c r="AR1485" t="s">
        <v>3508</v>
      </c>
      <c r="AS1485" t="s">
        <v>3463</v>
      </c>
      <c r="AT1485" t="s">
        <v>3463</v>
      </c>
      <c r="AV1485" t="s">
        <v>74</v>
      </c>
      <c r="AW1485" t="s">
        <v>3915</v>
      </c>
      <c r="AX1485" t="s">
        <v>3465</v>
      </c>
      <c r="AY1485" t="s">
        <v>3465</v>
      </c>
      <c r="AZ1485" t="s">
        <v>253</v>
      </c>
      <c r="BF1485" t="s">
        <v>3921</v>
      </c>
      <c r="BH1485" t="s">
        <v>4021</v>
      </c>
      <c r="BI1485" t="s">
        <v>76</v>
      </c>
      <c r="BP1485" t="s">
        <v>4261</v>
      </c>
      <c r="BQ1485" t="s">
        <v>3463</v>
      </c>
      <c r="BR1485" t="s">
        <v>3463</v>
      </c>
      <c r="BS1485" t="s">
        <v>3465</v>
      </c>
      <c r="BT1485" t="s">
        <v>3465</v>
      </c>
      <c r="BU1485" t="s">
        <v>3465</v>
      </c>
      <c r="BV1485" t="s">
        <v>3465</v>
      </c>
      <c r="BW1485" t="s">
        <v>3465</v>
      </c>
      <c r="BX1485" t="s">
        <v>79</v>
      </c>
      <c r="BY1485" t="s">
        <v>79</v>
      </c>
      <c r="BZ1485" t="s">
        <v>79</v>
      </c>
      <c r="CA1485" s="10">
        <v>45913</v>
      </c>
    </row>
    <row r="1486" spans="1:79">
      <c r="A1486">
        <v>1499</v>
      </c>
      <c r="B1486">
        <v>127</v>
      </c>
      <c r="C1486">
        <v>41</v>
      </c>
      <c r="D1486" t="s">
        <v>3462</v>
      </c>
      <c r="F1486" t="s">
        <v>1804</v>
      </c>
      <c r="G1486" s="12" t="s">
        <v>3463</v>
      </c>
      <c r="I1486">
        <v>76</v>
      </c>
      <c r="J1486">
        <v>76</v>
      </c>
      <c r="K1486">
        <v>146</v>
      </c>
      <c r="L1486">
        <v>95</v>
      </c>
      <c r="M1486" t="s">
        <v>72</v>
      </c>
      <c r="N1486">
        <v>150</v>
      </c>
      <c r="O1486">
        <v>98</v>
      </c>
      <c r="P1486" t="s">
        <v>72</v>
      </c>
      <c r="Q1486" t="s">
        <v>72</v>
      </c>
      <c r="R1486">
        <v>72.5</v>
      </c>
      <c r="S1486">
        <v>162</v>
      </c>
      <c r="T1486" s="8">
        <f t="shared" si="47"/>
        <v>27.625361987501908</v>
      </c>
      <c r="U1486" s="13" t="str" cm="1">
        <f t="array" ref="U1486">IF(T1486="","",_xlfn.IFS(T1486&lt;18.5,"Bajo peso",T1486&lt;25,"Peso normal",T1486&lt;30,"Sobrepeso",T1486&lt;35,"Obesidad clase I",T1486&lt;40,"Obesidad clase II",T1486&gt;=40,"Obesidad clase III"))</f>
        <v>Sobrepeso</v>
      </c>
      <c r="V1486">
        <v>144</v>
      </c>
      <c r="X1486" t="s">
        <v>3463</v>
      </c>
      <c r="Y1486">
        <v>1.0900000000000001</v>
      </c>
      <c r="AA1486">
        <v>87</v>
      </c>
      <c r="AB1486" s="9">
        <f t="shared" si="46"/>
        <v>87.443241205872155</v>
      </c>
      <c r="AD1486" t="s">
        <v>73</v>
      </c>
      <c r="AF1486" t="s">
        <v>73</v>
      </c>
      <c r="AH1486" t="s">
        <v>3463</v>
      </c>
      <c r="AI1486" t="s">
        <v>3463</v>
      </c>
      <c r="AJ1486" t="s">
        <v>3465</v>
      </c>
      <c r="AK1486" t="s">
        <v>3463</v>
      </c>
      <c r="AL1486" t="s">
        <v>3463</v>
      </c>
      <c r="AP1486" t="s">
        <v>3463</v>
      </c>
      <c r="AV1486" t="s">
        <v>126</v>
      </c>
      <c r="AW1486" t="s">
        <v>126</v>
      </c>
      <c r="BF1486" t="s">
        <v>3921</v>
      </c>
      <c r="BH1486" t="s">
        <v>4021</v>
      </c>
      <c r="BI1486" t="s">
        <v>76</v>
      </c>
      <c r="BP1486" t="s">
        <v>4261</v>
      </c>
      <c r="BQ1486" t="s">
        <v>3463</v>
      </c>
      <c r="BR1486" t="s">
        <v>3463</v>
      </c>
      <c r="BS1486" t="s">
        <v>3465</v>
      </c>
      <c r="BT1486" t="s">
        <v>3465</v>
      </c>
      <c r="BU1486" t="s">
        <v>3463</v>
      </c>
      <c r="BV1486" t="s">
        <v>3463</v>
      </c>
      <c r="BW1486" t="s">
        <v>3463</v>
      </c>
      <c r="BX1486" t="s">
        <v>79</v>
      </c>
      <c r="BY1486" t="s">
        <v>79</v>
      </c>
      <c r="BZ1486" t="s">
        <v>79</v>
      </c>
      <c r="CA1486" s="10">
        <v>45913</v>
      </c>
    </row>
    <row r="1487" spans="1:79">
      <c r="A1487">
        <v>1500</v>
      </c>
      <c r="B1487">
        <v>128</v>
      </c>
      <c r="C1487">
        <v>63</v>
      </c>
      <c r="D1487" t="s">
        <v>3462</v>
      </c>
      <c r="E1487" t="s">
        <v>1804</v>
      </c>
      <c r="F1487" t="s">
        <v>1804</v>
      </c>
      <c r="G1487" s="12" t="s">
        <v>3463</v>
      </c>
      <c r="I1487">
        <v>90</v>
      </c>
      <c r="J1487">
        <v>91</v>
      </c>
      <c r="K1487">
        <v>195</v>
      </c>
      <c r="L1487">
        <v>126</v>
      </c>
      <c r="M1487" t="s">
        <v>96</v>
      </c>
      <c r="N1487">
        <v>177</v>
      </c>
      <c r="O1487">
        <v>110</v>
      </c>
      <c r="P1487" t="s">
        <v>72</v>
      </c>
      <c r="Q1487" t="s">
        <v>72</v>
      </c>
      <c r="R1487">
        <v>108.2</v>
      </c>
      <c r="S1487">
        <v>160</v>
      </c>
      <c r="T1487" s="8">
        <f t="shared" si="47"/>
        <v>42.265625</v>
      </c>
      <c r="U1487" s="13" t="str" cm="1">
        <f t="array" ref="U1487">IF(T1487="","",_xlfn.IFS(T1487&lt;18.5,"Bajo peso",T1487&lt;25,"Peso normal",T1487&lt;30,"Sobrepeso",T1487&lt;35,"Obesidad clase I",T1487&lt;40,"Obesidad clase II",T1487&gt;=40,"Obesidad clase III"))</f>
        <v>Obesidad clase III</v>
      </c>
      <c r="V1487">
        <v>84</v>
      </c>
      <c r="X1487" t="s">
        <v>3463</v>
      </c>
      <c r="Y1487">
        <v>1.0900000000000001</v>
      </c>
      <c r="AA1487">
        <v>76</v>
      </c>
      <c r="AB1487" s="9">
        <f t="shared" si="46"/>
        <v>76.261278175320129</v>
      </c>
      <c r="AD1487" t="s">
        <v>73</v>
      </c>
      <c r="AF1487" t="s">
        <v>73</v>
      </c>
      <c r="AH1487" t="s">
        <v>3463</v>
      </c>
      <c r="AI1487" t="s">
        <v>3465</v>
      </c>
      <c r="AJ1487" t="s">
        <v>3463</v>
      </c>
      <c r="AK1487" t="s">
        <v>3463</v>
      </c>
      <c r="AL1487" t="s">
        <v>3465</v>
      </c>
      <c r="AM1487" t="s">
        <v>3192</v>
      </c>
      <c r="AN1487" t="s">
        <v>3731</v>
      </c>
      <c r="AO1487" t="s">
        <v>3465</v>
      </c>
      <c r="AP1487" t="s">
        <v>3465</v>
      </c>
      <c r="AQ1487" t="s">
        <v>120</v>
      </c>
      <c r="AR1487" t="s">
        <v>3491</v>
      </c>
      <c r="AS1487" t="s">
        <v>3465</v>
      </c>
      <c r="AV1487" t="s">
        <v>112</v>
      </c>
      <c r="AW1487" t="s">
        <v>3917</v>
      </c>
      <c r="BA1487" t="s">
        <v>3920</v>
      </c>
      <c r="BC1487" t="s">
        <v>128</v>
      </c>
      <c r="BE1487" t="s">
        <v>1415</v>
      </c>
      <c r="BF1487" t="s">
        <v>68</v>
      </c>
      <c r="BG1487" t="s">
        <v>3193</v>
      </c>
      <c r="BH1487" t="s">
        <v>4091</v>
      </c>
      <c r="BK1487" t="s">
        <v>755</v>
      </c>
      <c r="BL1487" t="s">
        <v>3194</v>
      </c>
      <c r="BP1487" t="s">
        <v>4560</v>
      </c>
      <c r="BQ1487" t="s">
        <v>3463</v>
      </c>
      <c r="BR1487" t="s">
        <v>3463</v>
      </c>
      <c r="BS1487" t="s">
        <v>3465</v>
      </c>
      <c r="BT1487" t="s">
        <v>3465</v>
      </c>
      <c r="BU1487" t="s">
        <v>3463</v>
      </c>
      <c r="BX1487" t="s">
        <v>79</v>
      </c>
      <c r="BY1487" t="s">
        <v>87</v>
      </c>
      <c r="BZ1487" t="s">
        <v>95</v>
      </c>
      <c r="CA1487" s="10">
        <v>45913</v>
      </c>
    </row>
    <row r="1488" spans="1:79">
      <c r="A1488">
        <v>1501</v>
      </c>
      <c r="B1488">
        <v>129</v>
      </c>
      <c r="C1488">
        <v>76</v>
      </c>
      <c r="D1488" t="s">
        <v>3466</v>
      </c>
      <c r="E1488" t="s">
        <v>3114</v>
      </c>
      <c r="F1488" t="s">
        <v>1804</v>
      </c>
      <c r="G1488" s="12" t="s">
        <v>3463</v>
      </c>
      <c r="I1488">
        <v>64</v>
      </c>
      <c r="J1488">
        <v>61</v>
      </c>
      <c r="K1488">
        <v>169</v>
      </c>
      <c r="L1488">
        <v>90</v>
      </c>
      <c r="M1488" t="s">
        <v>72</v>
      </c>
      <c r="N1488">
        <v>125</v>
      </c>
      <c r="O1488">
        <v>85</v>
      </c>
      <c r="P1488" t="s">
        <v>82</v>
      </c>
      <c r="Q1488" t="s">
        <v>82</v>
      </c>
      <c r="R1488">
        <v>99.3</v>
      </c>
      <c r="S1488">
        <v>147</v>
      </c>
      <c r="T1488" s="8">
        <f t="shared" si="47"/>
        <v>45.95307510759406</v>
      </c>
      <c r="U1488" s="13" t="str" cm="1">
        <f t="array" ref="U1488">IF(T1488="","",_xlfn.IFS(T1488&lt;18.5,"Bajo peso",T1488&lt;25,"Peso normal",T1488&lt;30,"Sobrepeso",T1488&lt;35,"Obesidad clase I",T1488&lt;40,"Obesidad clase II",T1488&gt;=40,"Obesidad clase III"))</f>
        <v>Obesidad clase III</v>
      </c>
      <c r="V1488">
        <v>86</v>
      </c>
      <c r="X1488" t="s">
        <v>3463</v>
      </c>
      <c r="Y1488">
        <v>0.7</v>
      </c>
      <c r="AA1488">
        <v>90</v>
      </c>
      <c r="AB1488" s="9">
        <f t="shared" si="46"/>
        <v>89.576126808439909</v>
      </c>
      <c r="AD1488" t="s">
        <v>73</v>
      </c>
      <c r="AF1488" t="s">
        <v>73</v>
      </c>
      <c r="AH1488" t="s">
        <v>3463</v>
      </c>
      <c r="AI1488" t="s">
        <v>3465</v>
      </c>
      <c r="AJ1488" t="s">
        <v>3463</v>
      </c>
      <c r="AK1488" t="s">
        <v>3463</v>
      </c>
      <c r="AL1488" t="s">
        <v>3465</v>
      </c>
      <c r="AM1488" t="s">
        <v>3195</v>
      </c>
      <c r="AN1488" t="s">
        <v>3745</v>
      </c>
      <c r="AP1488" t="s">
        <v>3463</v>
      </c>
      <c r="AQ1488" t="s">
        <v>2321</v>
      </c>
      <c r="AR1488" t="s">
        <v>3490</v>
      </c>
      <c r="AS1488" t="s">
        <v>3465</v>
      </c>
      <c r="AT1488" t="s">
        <v>3465</v>
      </c>
      <c r="AU1488" t="s">
        <v>80</v>
      </c>
      <c r="AV1488" t="s">
        <v>74</v>
      </c>
      <c r="AW1488" t="s">
        <v>3915</v>
      </c>
      <c r="AX1488" t="s">
        <v>3465</v>
      </c>
      <c r="AY1488" t="s">
        <v>3465</v>
      </c>
      <c r="AZ1488" t="s">
        <v>247</v>
      </c>
      <c r="BF1488" t="s">
        <v>3921</v>
      </c>
      <c r="BH1488" t="s">
        <v>4020</v>
      </c>
      <c r="BP1488" t="s">
        <v>4260</v>
      </c>
      <c r="BQ1488" t="s">
        <v>3463</v>
      </c>
      <c r="BR1488" t="s">
        <v>3463</v>
      </c>
      <c r="BS1488" t="s">
        <v>3465</v>
      </c>
      <c r="BT1488" t="s">
        <v>3465</v>
      </c>
      <c r="BU1488" t="s">
        <v>3463</v>
      </c>
      <c r="BV1488" t="s">
        <v>3463</v>
      </c>
      <c r="BW1488" t="s">
        <v>3463</v>
      </c>
      <c r="BX1488" t="s">
        <v>79</v>
      </c>
      <c r="BY1488" t="s">
        <v>79</v>
      </c>
      <c r="BZ1488" t="s">
        <v>79</v>
      </c>
      <c r="CA1488" s="10">
        <v>45913</v>
      </c>
    </row>
    <row r="1489" spans="1:79">
      <c r="A1489">
        <v>1502</v>
      </c>
      <c r="B1489">
        <v>131</v>
      </c>
      <c r="C1489">
        <v>80</v>
      </c>
      <c r="D1489" t="s">
        <v>3462</v>
      </c>
      <c r="E1489" t="s">
        <v>3180</v>
      </c>
      <c r="F1489" t="s">
        <v>1804</v>
      </c>
      <c r="G1489" s="12" t="s">
        <v>3463</v>
      </c>
      <c r="I1489">
        <v>69</v>
      </c>
      <c r="J1489">
        <v>68</v>
      </c>
      <c r="K1489">
        <v>170</v>
      </c>
      <c r="L1489">
        <v>91</v>
      </c>
      <c r="M1489" t="s">
        <v>72</v>
      </c>
      <c r="N1489">
        <v>165</v>
      </c>
      <c r="O1489">
        <v>87</v>
      </c>
      <c r="P1489" t="s">
        <v>72</v>
      </c>
      <c r="Q1489" t="s">
        <v>72</v>
      </c>
      <c r="R1489">
        <v>87.5</v>
      </c>
      <c r="S1489">
        <v>169</v>
      </c>
      <c r="T1489" s="8">
        <f t="shared" si="47"/>
        <v>30.636182206505374</v>
      </c>
      <c r="U1489" s="13" t="str" cm="1">
        <f t="array" ref="U1489">IF(T1489="","",_xlfn.IFS(T1489&lt;18.5,"Bajo peso",T1489&lt;25,"Peso normal",T1489&lt;30,"Sobrepeso",T1489&lt;35,"Obesidad clase I",T1489&lt;40,"Obesidad clase II",T1489&gt;=40,"Obesidad clase III"))</f>
        <v>Obesidad clase I</v>
      </c>
      <c r="V1489">
        <v>104</v>
      </c>
      <c r="X1489" t="s">
        <v>3463</v>
      </c>
      <c r="Y1489">
        <v>1.39</v>
      </c>
      <c r="AA1489">
        <v>51</v>
      </c>
      <c r="AB1489" s="9">
        <f t="shared" si="46"/>
        <v>51.248479901874063</v>
      </c>
      <c r="AD1489" t="s">
        <v>158</v>
      </c>
      <c r="AF1489" t="s">
        <v>158</v>
      </c>
      <c r="AH1489" t="s">
        <v>3463</v>
      </c>
      <c r="AI1489" t="s">
        <v>3465</v>
      </c>
      <c r="AJ1489" t="s">
        <v>3463</v>
      </c>
      <c r="AK1489" t="s">
        <v>3465</v>
      </c>
      <c r="AL1489" t="s">
        <v>3465</v>
      </c>
      <c r="AM1489" t="s">
        <v>3196</v>
      </c>
      <c r="AN1489" t="s">
        <v>3890</v>
      </c>
      <c r="AP1489" t="s">
        <v>3463</v>
      </c>
      <c r="AQ1489" t="s">
        <v>3145</v>
      </c>
      <c r="AR1489" t="s">
        <v>3508</v>
      </c>
      <c r="AS1489" t="s">
        <v>3465</v>
      </c>
      <c r="AV1489" t="s">
        <v>112</v>
      </c>
      <c r="AW1489" t="s">
        <v>3917</v>
      </c>
      <c r="BE1489" t="s">
        <v>3197</v>
      </c>
      <c r="BF1489" t="s">
        <v>4004</v>
      </c>
      <c r="BG1489" t="s">
        <v>3198</v>
      </c>
      <c r="BH1489" t="s">
        <v>4029</v>
      </c>
      <c r="BP1489" t="s">
        <v>4260</v>
      </c>
      <c r="BQ1489" t="s">
        <v>3463</v>
      </c>
      <c r="BR1489" t="s">
        <v>3463</v>
      </c>
      <c r="BS1489" t="s">
        <v>3465</v>
      </c>
      <c r="BT1489" t="s">
        <v>3465</v>
      </c>
      <c r="BU1489" t="s">
        <v>3463</v>
      </c>
      <c r="BV1489" t="s">
        <v>3463</v>
      </c>
      <c r="BW1489" t="s">
        <v>3463</v>
      </c>
      <c r="BX1489" t="s">
        <v>79</v>
      </c>
      <c r="BY1489" t="s">
        <v>79</v>
      </c>
      <c r="BZ1489" t="s">
        <v>79</v>
      </c>
      <c r="CA1489" s="10">
        <v>45913</v>
      </c>
    </row>
    <row r="1490" spans="1:79">
      <c r="A1490">
        <v>1503</v>
      </c>
      <c r="B1490">
        <v>132</v>
      </c>
      <c r="C1490">
        <v>64</v>
      </c>
      <c r="D1490" t="s">
        <v>3462</v>
      </c>
      <c r="F1490" t="s">
        <v>1804</v>
      </c>
      <c r="G1490" s="12" t="s">
        <v>3463</v>
      </c>
      <c r="I1490">
        <v>77</v>
      </c>
      <c r="K1490">
        <v>132</v>
      </c>
      <c r="L1490">
        <v>79</v>
      </c>
      <c r="M1490" t="s">
        <v>82</v>
      </c>
      <c r="P1490" t="s">
        <v>83</v>
      </c>
      <c r="Q1490" t="s">
        <v>82</v>
      </c>
      <c r="R1490">
        <v>75.400000000000006</v>
      </c>
      <c r="S1490">
        <v>155</v>
      </c>
      <c r="T1490" s="8">
        <f t="shared" si="47"/>
        <v>31.383975026014571</v>
      </c>
      <c r="U1490" s="13" t="str" cm="1">
        <f t="array" ref="U1490">IF(T1490="","",_xlfn.IFS(T1490&lt;18.5,"Bajo peso",T1490&lt;25,"Peso normal",T1490&lt;30,"Sobrepeso",T1490&lt;35,"Obesidad clase I",T1490&lt;40,"Obesidad clase II",T1490&gt;=40,"Obesidad clase III"))</f>
        <v>Obesidad clase I</v>
      </c>
      <c r="V1490">
        <v>122</v>
      </c>
      <c r="W1490">
        <v>1.07</v>
      </c>
      <c r="X1490" t="s">
        <v>3463</v>
      </c>
      <c r="Y1490">
        <v>1.08</v>
      </c>
      <c r="AA1490">
        <v>77</v>
      </c>
      <c r="AB1490" s="9">
        <f t="shared" si="46"/>
        <v>76.631330030598562</v>
      </c>
      <c r="AD1490" t="s">
        <v>73</v>
      </c>
      <c r="AF1490" t="s">
        <v>73</v>
      </c>
      <c r="AH1490" t="s">
        <v>3463</v>
      </c>
      <c r="AI1490" t="s">
        <v>3463</v>
      </c>
      <c r="AJ1490" t="s">
        <v>3463</v>
      </c>
      <c r="AK1490" t="s">
        <v>3463</v>
      </c>
      <c r="AL1490" t="s">
        <v>3465</v>
      </c>
      <c r="AM1490" t="s">
        <v>697</v>
      </c>
      <c r="AN1490" t="s">
        <v>697</v>
      </c>
      <c r="AP1490" t="s">
        <v>3463</v>
      </c>
      <c r="AV1490" t="s">
        <v>74</v>
      </c>
      <c r="AW1490" t="s">
        <v>3915</v>
      </c>
      <c r="BF1490" t="s">
        <v>3921</v>
      </c>
      <c r="BH1490" t="s">
        <v>4020</v>
      </c>
      <c r="BP1490" t="s">
        <v>4260</v>
      </c>
      <c r="BQ1490" t="s">
        <v>3463</v>
      </c>
      <c r="BR1490" t="s">
        <v>3463</v>
      </c>
      <c r="BS1490" t="s">
        <v>3463</v>
      </c>
      <c r="BT1490" t="s">
        <v>3463</v>
      </c>
      <c r="BU1490" t="s">
        <v>3463</v>
      </c>
      <c r="BX1490" t="s">
        <v>79</v>
      </c>
      <c r="BY1490" t="s">
        <v>79</v>
      </c>
      <c r="BZ1490" t="s">
        <v>79</v>
      </c>
      <c r="CA1490" s="10">
        <v>45913</v>
      </c>
    </row>
    <row r="1491" spans="1:79">
      <c r="A1491">
        <v>1504</v>
      </c>
      <c r="B1491">
        <v>133</v>
      </c>
      <c r="C1491">
        <v>63</v>
      </c>
      <c r="D1491" t="s">
        <v>3462</v>
      </c>
      <c r="E1491" t="s">
        <v>3114</v>
      </c>
      <c r="F1491" t="s">
        <v>1804</v>
      </c>
      <c r="G1491" s="12" t="s">
        <v>3465</v>
      </c>
      <c r="H1491" t="s">
        <v>88</v>
      </c>
      <c r="I1491">
        <v>51</v>
      </c>
      <c r="J1491">
        <v>50</v>
      </c>
      <c r="K1491">
        <v>156</v>
      </c>
      <c r="L1491">
        <v>83</v>
      </c>
      <c r="M1491" t="s">
        <v>72</v>
      </c>
      <c r="N1491">
        <v>156</v>
      </c>
      <c r="O1491">
        <v>85</v>
      </c>
      <c r="P1491" t="s">
        <v>72</v>
      </c>
      <c r="Q1491" t="s">
        <v>72</v>
      </c>
      <c r="R1491">
        <v>96.7</v>
      </c>
      <c r="S1491">
        <v>168</v>
      </c>
      <c r="T1491" s="8">
        <f t="shared" si="47"/>
        <v>34.261621315192748</v>
      </c>
      <c r="U1491" s="13" t="str" cm="1">
        <f t="array" ref="U1491">IF(T1491="","",_xlfn.IFS(T1491&lt;18.5,"Bajo peso",T1491&lt;25,"Peso normal",T1491&lt;30,"Sobrepeso",T1491&lt;35,"Obesidad clase I",T1491&lt;40,"Obesidad clase II",T1491&gt;=40,"Obesidad clase III"))</f>
        <v>Obesidad clase I</v>
      </c>
      <c r="V1491">
        <v>81</v>
      </c>
      <c r="X1491" t="s">
        <v>3463</v>
      </c>
      <c r="Y1491">
        <v>1.17</v>
      </c>
      <c r="AA1491">
        <v>70</v>
      </c>
      <c r="AB1491" s="9">
        <f t="shared" si="46"/>
        <v>70.04753282504177</v>
      </c>
      <c r="AD1491" t="s">
        <v>73</v>
      </c>
      <c r="AF1491" t="s">
        <v>73</v>
      </c>
      <c r="AH1491" t="s">
        <v>3463</v>
      </c>
      <c r="AI1491" t="s">
        <v>3463</v>
      </c>
      <c r="AJ1491" t="s">
        <v>3463</v>
      </c>
      <c r="AK1491" t="s">
        <v>3463</v>
      </c>
      <c r="AL1491" t="s">
        <v>3465</v>
      </c>
      <c r="AM1491" t="s">
        <v>3199</v>
      </c>
      <c r="AN1491" t="s">
        <v>3739</v>
      </c>
      <c r="AP1491" t="s">
        <v>3463</v>
      </c>
      <c r="AQ1491" t="s">
        <v>169</v>
      </c>
      <c r="AR1491" t="s">
        <v>3493</v>
      </c>
      <c r="AV1491" t="s">
        <v>112</v>
      </c>
      <c r="AW1491" t="s">
        <v>3917</v>
      </c>
      <c r="BA1491" t="s">
        <v>3920</v>
      </c>
      <c r="BF1491" t="s">
        <v>3921</v>
      </c>
      <c r="BH1491" t="s">
        <v>4021</v>
      </c>
      <c r="BI1491" t="s">
        <v>734</v>
      </c>
      <c r="BP1491" t="s">
        <v>4270</v>
      </c>
      <c r="BQ1491" t="s">
        <v>3465</v>
      </c>
      <c r="BR1491" t="s">
        <v>3465</v>
      </c>
      <c r="BS1491" t="s">
        <v>3463</v>
      </c>
      <c r="BT1491" t="s">
        <v>3465</v>
      </c>
      <c r="BU1491" t="s">
        <v>3463</v>
      </c>
      <c r="BV1491" t="s">
        <v>3463</v>
      </c>
      <c r="BW1491" t="s">
        <v>3463</v>
      </c>
      <c r="BX1491" t="s">
        <v>79</v>
      </c>
      <c r="BY1491" t="s">
        <v>79</v>
      </c>
      <c r="BZ1491" t="s">
        <v>79</v>
      </c>
      <c r="CA1491" s="10">
        <v>45913</v>
      </c>
    </row>
    <row r="1492" spans="1:79">
      <c r="A1492">
        <v>1505</v>
      </c>
      <c r="B1492">
        <v>134</v>
      </c>
      <c r="C1492">
        <v>70</v>
      </c>
      <c r="D1492" t="s">
        <v>3466</v>
      </c>
      <c r="E1492" t="s">
        <v>2981</v>
      </c>
      <c r="F1492" t="s">
        <v>1804</v>
      </c>
      <c r="G1492" s="12" t="s">
        <v>3465</v>
      </c>
      <c r="H1492" t="s">
        <v>88</v>
      </c>
      <c r="I1492">
        <v>75</v>
      </c>
      <c r="J1492">
        <v>74</v>
      </c>
      <c r="K1492">
        <v>142</v>
      </c>
      <c r="L1492">
        <v>89</v>
      </c>
      <c r="M1492" t="s">
        <v>72</v>
      </c>
      <c r="N1492">
        <v>148</v>
      </c>
      <c r="O1492">
        <v>86</v>
      </c>
      <c r="P1492" t="s">
        <v>72</v>
      </c>
      <c r="Q1492" t="s">
        <v>72</v>
      </c>
      <c r="R1492">
        <v>62</v>
      </c>
      <c r="S1492">
        <v>147</v>
      </c>
      <c r="T1492" s="8">
        <f t="shared" si="47"/>
        <v>28.691748808366881</v>
      </c>
      <c r="U1492" s="13" t="str" cm="1">
        <f t="array" ref="U1492">IF(T1492="","",_xlfn.IFS(T1492&lt;18.5,"Bajo peso",T1492&lt;25,"Peso normal",T1492&lt;30,"Sobrepeso",T1492&lt;35,"Obesidad clase I",T1492&lt;40,"Obesidad clase II",T1492&gt;=40,"Obesidad clase III"))</f>
        <v>Sobrepeso</v>
      </c>
      <c r="V1492">
        <v>82</v>
      </c>
      <c r="X1492" t="s">
        <v>3463</v>
      </c>
      <c r="Y1492">
        <v>1.34</v>
      </c>
      <c r="Z1492">
        <v>1.31</v>
      </c>
      <c r="AA1492">
        <v>43</v>
      </c>
      <c r="AB1492" s="9">
        <f t="shared" si="46"/>
        <v>42.656990825680829</v>
      </c>
      <c r="AC1492">
        <v>44</v>
      </c>
      <c r="AD1492" t="s">
        <v>218</v>
      </c>
      <c r="AE1492" t="s">
        <v>218</v>
      </c>
      <c r="AF1492" t="s">
        <v>218</v>
      </c>
      <c r="AH1492" t="s">
        <v>3463</v>
      </c>
      <c r="AI1492" t="s">
        <v>3465</v>
      </c>
      <c r="AJ1492" t="s">
        <v>3464</v>
      </c>
      <c r="AK1492" t="s">
        <v>3463</v>
      </c>
      <c r="AL1492" t="s">
        <v>3465</v>
      </c>
      <c r="AM1492" t="s">
        <v>941</v>
      </c>
      <c r="AN1492" t="s">
        <v>3617</v>
      </c>
      <c r="AP1492" t="s">
        <v>3463</v>
      </c>
      <c r="AS1492" t="s">
        <v>3463</v>
      </c>
      <c r="AT1492" t="s">
        <v>3465</v>
      </c>
      <c r="AU1492" t="s">
        <v>80</v>
      </c>
      <c r="AV1492" t="s">
        <v>74</v>
      </c>
      <c r="AW1492" t="s">
        <v>3915</v>
      </c>
      <c r="AX1492" t="s">
        <v>3463</v>
      </c>
      <c r="AY1492" t="s">
        <v>3465</v>
      </c>
      <c r="AZ1492" t="s">
        <v>104</v>
      </c>
      <c r="BD1492" t="s">
        <v>105</v>
      </c>
      <c r="BF1492" t="s">
        <v>3921</v>
      </c>
      <c r="BG1492" t="s">
        <v>3200</v>
      </c>
      <c r="BH1492" t="s">
        <v>4143</v>
      </c>
      <c r="BL1492" t="s">
        <v>3201</v>
      </c>
      <c r="BP1492" t="s">
        <v>4535</v>
      </c>
      <c r="BQ1492" t="s">
        <v>3463</v>
      </c>
      <c r="BR1492" t="s">
        <v>3463</v>
      </c>
      <c r="BS1492" t="s">
        <v>3463</v>
      </c>
      <c r="BT1492" t="s">
        <v>3463</v>
      </c>
      <c r="BU1492" t="s">
        <v>3463</v>
      </c>
      <c r="BX1492" t="s">
        <v>121</v>
      </c>
      <c r="BY1492" t="s">
        <v>79</v>
      </c>
      <c r="BZ1492" t="s">
        <v>79</v>
      </c>
      <c r="CA1492" s="10">
        <v>45913</v>
      </c>
    </row>
    <row r="1493" spans="1:79">
      <c r="A1493">
        <v>1506</v>
      </c>
      <c r="B1493">
        <v>135</v>
      </c>
      <c r="C1493">
        <v>76</v>
      </c>
      <c r="D1493" t="s">
        <v>3466</v>
      </c>
      <c r="E1493" t="s">
        <v>2986</v>
      </c>
      <c r="F1493" t="s">
        <v>1804</v>
      </c>
      <c r="G1493" s="12" t="s">
        <v>3463</v>
      </c>
      <c r="H1493" s="12"/>
      <c r="I1493">
        <v>77</v>
      </c>
      <c r="J1493">
        <v>78</v>
      </c>
      <c r="K1493">
        <v>153</v>
      </c>
      <c r="L1493">
        <v>74</v>
      </c>
      <c r="M1493" t="s">
        <v>72</v>
      </c>
      <c r="N1493">
        <v>154</v>
      </c>
      <c r="O1493">
        <v>76</v>
      </c>
      <c r="P1493" t="s">
        <v>72</v>
      </c>
      <c r="Q1493" t="s">
        <v>72</v>
      </c>
      <c r="R1493">
        <v>67.7</v>
      </c>
      <c r="S1493">
        <v>154</v>
      </c>
      <c r="T1493" s="8">
        <f t="shared" si="47"/>
        <v>28.546129195479846</v>
      </c>
      <c r="U1493" s="13" t="str" cm="1">
        <f t="array" ref="U1493">IF(T1493="","",_xlfn.IFS(T1493&lt;18.5,"Bajo peso",T1493&lt;25,"Peso normal",T1493&lt;30,"Sobrepeso",T1493&lt;35,"Obesidad clase I",T1493&lt;40,"Obesidad clase II",T1493&gt;=40,"Obesidad clase III"))</f>
        <v>Sobrepeso</v>
      </c>
      <c r="V1493">
        <v>102</v>
      </c>
      <c r="X1493" t="s">
        <v>3463</v>
      </c>
      <c r="Y1493">
        <v>0.91</v>
      </c>
      <c r="AA1493">
        <v>65</v>
      </c>
      <c r="AB1493" s="9">
        <f t="shared" si="46"/>
        <v>65.382309520759094</v>
      </c>
      <c r="AD1493" t="s">
        <v>73</v>
      </c>
      <c r="AF1493" t="s">
        <v>73</v>
      </c>
      <c r="AH1493" t="s">
        <v>3463</v>
      </c>
      <c r="AI1493" t="s">
        <v>3465</v>
      </c>
      <c r="AJ1493" t="s">
        <v>3463</v>
      </c>
      <c r="AK1493" t="s">
        <v>3463</v>
      </c>
      <c r="AL1493" t="s">
        <v>3463</v>
      </c>
      <c r="AP1493" t="s">
        <v>3463</v>
      </c>
      <c r="AS1493" t="s">
        <v>3465</v>
      </c>
      <c r="AT1493" t="s">
        <v>3463</v>
      </c>
      <c r="AV1493" t="s">
        <v>74</v>
      </c>
      <c r="AW1493" t="s">
        <v>3915</v>
      </c>
      <c r="AX1493" t="s">
        <v>3463</v>
      </c>
      <c r="AY1493" t="s">
        <v>3463</v>
      </c>
      <c r="BF1493" t="s">
        <v>3921</v>
      </c>
      <c r="BH1493" t="s">
        <v>4020</v>
      </c>
      <c r="BP1493" t="s">
        <v>4260</v>
      </c>
      <c r="BQ1493" t="s">
        <v>3463</v>
      </c>
      <c r="BR1493" t="s">
        <v>3463</v>
      </c>
      <c r="BS1493" t="s">
        <v>3465</v>
      </c>
      <c r="BT1493" t="s">
        <v>3465</v>
      </c>
      <c r="BU1493" t="s">
        <v>3463</v>
      </c>
      <c r="BV1493" t="s">
        <v>3463</v>
      </c>
      <c r="BW1493" t="s">
        <v>3463</v>
      </c>
      <c r="BX1493" t="s">
        <v>79</v>
      </c>
      <c r="BY1493" t="s">
        <v>79</v>
      </c>
      <c r="BZ1493" t="s">
        <v>79</v>
      </c>
      <c r="CA1493" s="10">
        <v>45913</v>
      </c>
    </row>
    <row r="1494" spans="1:79">
      <c r="A1494">
        <v>1507</v>
      </c>
      <c r="B1494">
        <v>136</v>
      </c>
      <c r="C1494">
        <v>47</v>
      </c>
      <c r="D1494" t="s">
        <v>3466</v>
      </c>
      <c r="E1494" t="s">
        <v>2981</v>
      </c>
      <c r="F1494" t="s">
        <v>1804</v>
      </c>
      <c r="G1494" s="12" t="s">
        <v>3463</v>
      </c>
      <c r="I1494">
        <v>90</v>
      </c>
      <c r="K1494">
        <v>135</v>
      </c>
      <c r="L1494">
        <v>73</v>
      </c>
      <c r="M1494" t="s">
        <v>82</v>
      </c>
      <c r="P1494" t="s">
        <v>83</v>
      </c>
      <c r="Q1494" t="s">
        <v>82</v>
      </c>
      <c r="R1494">
        <v>61.2</v>
      </c>
      <c r="S1494">
        <v>160.5</v>
      </c>
      <c r="T1494" s="8">
        <f t="shared" si="47"/>
        <v>23.757533409031357</v>
      </c>
      <c r="U1494" s="13" t="str" cm="1">
        <f t="array" ref="U1494">IF(T1494="","",_xlfn.IFS(T1494&lt;18.5,"Bajo peso",T1494&lt;25,"Peso normal",T1494&lt;30,"Sobrepeso",T1494&lt;35,"Obesidad clase I",T1494&lt;40,"Obesidad clase II",T1494&gt;=40,"Obesidad clase III"))</f>
        <v>Peso normal</v>
      </c>
      <c r="V1494">
        <v>75</v>
      </c>
      <c r="X1494" t="s">
        <v>3463</v>
      </c>
      <c r="Y1494">
        <v>0.82</v>
      </c>
      <c r="AA1494">
        <v>89</v>
      </c>
      <c r="AB1494" s="9">
        <f t="shared" si="46"/>
        <v>88.728374490812371</v>
      </c>
      <c r="AD1494" t="s">
        <v>73</v>
      </c>
      <c r="AF1494" t="s">
        <v>73</v>
      </c>
      <c r="AH1494" t="s">
        <v>3463</v>
      </c>
      <c r="AI1494" t="s">
        <v>3463</v>
      </c>
      <c r="AJ1494" t="s">
        <v>3465</v>
      </c>
      <c r="AK1494" t="s">
        <v>3463</v>
      </c>
      <c r="AL1494" t="s">
        <v>3463</v>
      </c>
      <c r="AO1494" t="s">
        <v>3463</v>
      </c>
      <c r="AP1494" t="s">
        <v>3465</v>
      </c>
      <c r="AQ1494" t="s">
        <v>3202</v>
      </c>
      <c r="AR1494" t="s">
        <v>3509</v>
      </c>
      <c r="AT1494" t="s">
        <v>3465</v>
      </c>
      <c r="AU1494" t="s">
        <v>125</v>
      </c>
      <c r="AV1494" t="s">
        <v>126</v>
      </c>
      <c r="AW1494" t="s">
        <v>126</v>
      </c>
      <c r="AX1494" t="s">
        <v>3463</v>
      </c>
      <c r="AY1494" t="s">
        <v>3465</v>
      </c>
      <c r="AZ1494" t="s">
        <v>247</v>
      </c>
      <c r="BF1494" t="s">
        <v>3921</v>
      </c>
      <c r="BH1494" t="s">
        <v>4020</v>
      </c>
      <c r="BP1494" t="s">
        <v>4260</v>
      </c>
      <c r="BQ1494" t="s">
        <v>3465</v>
      </c>
      <c r="BR1494" t="s">
        <v>3463</v>
      </c>
      <c r="BS1494" t="s">
        <v>3465</v>
      </c>
      <c r="BT1494" t="s">
        <v>3465</v>
      </c>
      <c r="BU1494" t="s">
        <v>3463</v>
      </c>
      <c r="BX1494" t="s">
        <v>79</v>
      </c>
      <c r="BY1494" t="s">
        <v>79</v>
      </c>
      <c r="BZ1494" t="s">
        <v>79</v>
      </c>
      <c r="CA1494" s="10">
        <v>45913</v>
      </c>
    </row>
    <row r="1495" spans="1:79">
      <c r="A1495">
        <v>1508</v>
      </c>
      <c r="B1495">
        <v>137</v>
      </c>
      <c r="C1495">
        <v>56</v>
      </c>
      <c r="D1495" t="s">
        <v>3466</v>
      </c>
      <c r="E1495" t="s">
        <v>3203</v>
      </c>
      <c r="F1495" t="s">
        <v>1804</v>
      </c>
      <c r="G1495" s="12" t="s">
        <v>3463</v>
      </c>
      <c r="I1495">
        <v>85</v>
      </c>
      <c r="K1495">
        <v>104</v>
      </c>
      <c r="L1495">
        <v>65</v>
      </c>
      <c r="M1495" t="s">
        <v>80</v>
      </c>
      <c r="P1495" t="s">
        <v>83</v>
      </c>
      <c r="Q1495" t="s">
        <v>80</v>
      </c>
      <c r="R1495">
        <v>56.5</v>
      </c>
      <c r="S1495">
        <v>152</v>
      </c>
      <c r="T1495" s="8">
        <f t="shared" si="47"/>
        <v>24.454639889196677</v>
      </c>
      <c r="U1495" s="13" t="str" cm="1">
        <f t="array" ref="U1495">IF(T1495="","",_xlfn.IFS(T1495&lt;18.5,"Bajo peso",T1495&lt;25,"Peso normal",T1495&lt;30,"Sobrepeso",T1495&lt;35,"Obesidad clase I",T1495&lt;40,"Obesidad clase II",T1495&gt;=40,"Obesidad clase III"))</f>
        <v>Peso normal</v>
      </c>
      <c r="V1495">
        <v>91</v>
      </c>
      <c r="X1495" t="s">
        <v>3463</v>
      </c>
      <c r="Y1495">
        <v>1.07</v>
      </c>
      <c r="AA1495">
        <v>61</v>
      </c>
      <c r="AB1495" s="9">
        <f t="shared" si="46"/>
        <v>60.963451446477436</v>
      </c>
      <c r="AD1495" t="s">
        <v>73</v>
      </c>
      <c r="AF1495" t="s">
        <v>73</v>
      </c>
      <c r="AH1495" t="s">
        <v>3463</v>
      </c>
      <c r="AI1495" t="s">
        <v>3463</v>
      </c>
      <c r="AJ1495" t="s">
        <v>3463</v>
      </c>
      <c r="AK1495" t="s">
        <v>3463</v>
      </c>
      <c r="AL1495" t="s">
        <v>3463</v>
      </c>
      <c r="AP1495" t="s">
        <v>3463</v>
      </c>
      <c r="AT1495" t="s">
        <v>3465</v>
      </c>
      <c r="AU1495" t="s">
        <v>80</v>
      </c>
      <c r="AV1495" t="s">
        <v>74</v>
      </c>
      <c r="AW1495" t="s">
        <v>3915</v>
      </c>
      <c r="AX1495" t="s">
        <v>3463</v>
      </c>
      <c r="AY1495" t="s">
        <v>3465</v>
      </c>
      <c r="BF1495" t="s">
        <v>3921</v>
      </c>
      <c r="BH1495" t="s">
        <v>4020</v>
      </c>
      <c r="BP1495" t="s">
        <v>4260</v>
      </c>
      <c r="BQ1495" t="s">
        <v>3463</v>
      </c>
      <c r="BR1495" t="s">
        <v>3463</v>
      </c>
      <c r="BS1495" t="s">
        <v>3463</v>
      </c>
      <c r="BT1495" t="s">
        <v>3463</v>
      </c>
      <c r="BU1495" t="s">
        <v>3463</v>
      </c>
      <c r="BV1495" t="s">
        <v>3463</v>
      </c>
      <c r="BW1495" t="s">
        <v>3463</v>
      </c>
      <c r="BX1495" t="s">
        <v>79</v>
      </c>
      <c r="BY1495" t="s">
        <v>79</v>
      </c>
      <c r="BZ1495" t="s">
        <v>79</v>
      </c>
      <c r="CA1495" s="10">
        <v>45913</v>
      </c>
    </row>
    <row r="1496" spans="1:79" ht="32">
      <c r="A1496">
        <v>1509</v>
      </c>
      <c r="B1496">
        <v>138</v>
      </c>
      <c r="C1496">
        <v>61</v>
      </c>
      <c r="D1496" t="s">
        <v>3466</v>
      </c>
      <c r="E1496" t="s">
        <v>450</v>
      </c>
      <c r="F1496" t="s">
        <v>1804</v>
      </c>
      <c r="G1496" s="12" t="s">
        <v>3463</v>
      </c>
      <c r="H1496" s="12"/>
      <c r="I1496">
        <v>86</v>
      </c>
      <c r="J1496">
        <v>87</v>
      </c>
      <c r="K1496">
        <v>145</v>
      </c>
      <c r="L1496">
        <v>85</v>
      </c>
      <c r="M1496" t="s">
        <v>72</v>
      </c>
      <c r="N1496">
        <v>143</v>
      </c>
      <c r="O1496">
        <v>76</v>
      </c>
      <c r="P1496" t="s">
        <v>72</v>
      </c>
      <c r="Q1496" t="s">
        <v>72</v>
      </c>
      <c r="R1496">
        <v>85.6</v>
      </c>
      <c r="S1496">
        <v>152</v>
      </c>
      <c r="T1496" s="8">
        <f t="shared" si="47"/>
        <v>37.049861495844873</v>
      </c>
      <c r="U1496" s="13" t="str" cm="1">
        <f t="array" ref="U1496">IF(T1496="","",_xlfn.IFS(T1496&lt;18.5,"Bajo peso",T1496&lt;25,"Peso normal",T1496&lt;30,"Sobrepeso",T1496&lt;35,"Obesidad clase I",T1496&lt;40,"Obesidad clase II",T1496&gt;=40,"Obesidad clase III"))</f>
        <v>Obesidad clase II</v>
      </c>
      <c r="V1496">
        <v>108</v>
      </c>
      <c r="X1496" t="s">
        <v>3463</v>
      </c>
      <c r="Y1496">
        <v>1.06</v>
      </c>
      <c r="AA1496">
        <v>60</v>
      </c>
      <c r="AB1496" s="9">
        <f t="shared" si="46"/>
        <v>59.766524744871361</v>
      </c>
      <c r="AD1496" t="s">
        <v>73</v>
      </c>
      <c r="AF1496" t="s">
        <v>73</v>
      </c>
      <c r="AH1496" t="s">
        <v>3463</v>
      </c>
      <c r="AI1496" t="s">
        <v>3465</v>
      </c>
      <c r="AJ1496" t="s">
        <v>3465</v>
      </c>
      <c r="AK1496" t="s">
        <v>3465</v>
      </c>
      <c r="AL1496" t="s">
        <v>3463</v>
      </c>
      <c r="AP1496" t="s">
        <v>3463</v>
      </c>
      <c r="AQ1496" t="s">
        <v>468</v>
      </c>
      <c r="AR1496" t="s">
        <v>3488</v>
      </c>
      <c r="AS1496" t="s">
        <v>3465</v>
      </c>
      <c r="AT1496" t="s">
        <v>3465</v>
      </c>
      <c r="AU1496" t="s">
        <v>80</v>
      </c>
      <c r="AV1496" t="s">
        <v>178</v>
      </c>
      <c r="AW1496" t="s">
        <v>3918</v>
      </c>
      <c r="AX1496" t="s">
        <v>3463</v>
      </c>
      <c r="AY1496" t="s">
        <v>3465</v>
      </c>
      <c r="AZ1496" t="s">
        <v>90</v>
      </c>
      <c r="BA1496" s="2" t="s">
        <v>3920</v>
      </c>
      <c r="BB1496" t="s">
        <v>3485</v>
      </c>
      <c r="BE1496" t="s">
        <v>3204</v>
      </c>
      <c r="BF1496" t="s">
        <v>4005</v>
      </c>
      <c r="BG1496" t="s">
        <v>3205</v>
      </c>
      <c r="BH1496" t="s">
        <v>4249</v>
      </c>
      <c r="BI1496" t="s">
        <v>3206</v>
      </c>
      <c r="BP1496" t="s">
        <v>4561</v>
      </c>
      <c r="BQ1496" t="s">
        <v>3465</v>
      </c>
      <c r="BR1496" t="s">
        <v>3463</v>
      </c>
      <c r="BS1496" t="s">
        <v>3463</v>
      </c>
      <c r="BT1496" t="s">
        <v>3465</v>
      </c>
      <c r="BU1496" t="s">
        <v>3463</v>
      </c>
      <c r="BV1496" t="s">
        <v>3463</v>
      </c>
      <c r="BW1496" t="s">
        <v>3463</v>
      </c>
      <c r="BX1496" t="s">
        <v>654</v>
      </c>
      <c r="BY1496" t="s">
        <v>87</v>
      </c>
      <c r="BZ1496" t="s">
        <v>563</v>
      </c>
      <c r="CA1496" s="10">
        <v>45913</v>
      </c>
    </row>
    <row r="1497" spans="1:79">
      <c r="A1497">
        <v>1510</v>
      </c>
      <c r="B1497">
        <v>139</v>
      </c>
      <c r="C1497">
        <v>53</v>
      </c>
      <c r="D1497" t="s">
        <v>3466</v>
      </c>
      <c r="E1497" t="s">
        <v>3114</v>
      </c>
      <c r="F1497" t="s">
        <v>1804</v>
      </c>
      <c r="G1497" s="12" t="s">
        <v>3463</v>
      </c>
      <c r="I1497">
        <v>76</v>
      </c>
      <c r="K1497">
        <v>137</v>
      </c>
      <c r="L1497">
        <v>82</v>
      </c>
      <c r="M1497" t="s">
        <v>82</v>
      </c>
      <c r="P1497" t="s">
        <v>83</v>
      </c>
      <c r="Q1497" t="s">
        <v>82</v>
      </c>
      <c r="R1497">
        <v>64.400000000000006</v>
      </c>
      <c r="S1497">
        <v>153</v>
      </c>
      <c r="T1497" s="8">
        <f t="shared" si="47"/>
        <v>27.51078644965612</v>
      </c>
      <c r="U1497" s="13" t="str" cm="1">
        <f t="array" ref="U1497">IF(T1497="","",_xlfn.IFS(T1497&lt;18.5,"Bajo peso",T1497&lt;25,"Peso normal",T1497&lt;30,"Sobrepeso",T1497&lt;35,"Obesidad clase I",T1497&lt;40,"Obesidad clase II",T1497&gt;=40,"Obesidad clase III"))</f>
        <v>Sobrepeso</v>
      </c>
      <c r="V1497">
        <v>97</v>
      </c>
      <c r="X1497" t="s">
        <v>3463</v>
      </c>
      <c r="Y1497">
        <v>0.89</v>
      </c>
      <c r="AA1497">
        <v>77</v>
      </c>
      <c r="AB1497" s="9">
        <f t="shared" si="46"/>
        <v>77.475626111767895</v>
      </c>
      <c r="AD1497" t="s">
        <v>73</v>
      </c>
      <c r="AF1497" t="s">
        <v>73</v>
      </c>
      <c r="AH1497" t="s">
        <v>3463</v>
      </c>
      <c r="AI1497" t="s">
        <v>3465</v>
      </c>
      <c r="AJ1497" t="s">
        <v>3463</v>
      </c>
      <c r="AK1497" t="s">
        <v>3465</v>
      </c>
      <c r="AL1497" t="s">
        <v>3465</v>
      </c>
      <c r="AM1497" t="s">
        <v>697</v>
      </c>
      <c r="AN1497" t="s">
        <v>697</v>
      </c>
      <c r="AP1497" t="s">
        <v>3463</v>
      </c>
      <c r="AQ1497" t="s">
        <v>3207</v>
      </c>
      <c r="AR1497" t="s">
        <v>3570</v>
      </c>
      <c r="AS1497" t="s">
        <v>3463</v>
      </c>
      <c r="AT1497" t="s">
        <v>3463</v>
      </c>
      <c r="AV1497" t="s">
        <v>126</v>
      </c>
      <c r="AW1497" t="s">
        <v>126</v>
      </c>
      <c r="AX1497" t="s">
        <v>3463</v>
      </c>
      <c r="AY1497" t="s">
        <v>3463</v>
      </c>
      <c r="AZ1497" t="s">
        <v>490</v>
      </c>
      <c r="BF1497" t="s">
        <v>3921</v>
      </c>
      <c r="BH1497" t="s">
        <v>4020</v>
      </c>
      <c r="BP1497" t="s">
        <v>4260</v>
      </c>
      <c r="BQ1497" t="s">
        <v>3465</v>
      </c>
      <c r="BR1497" t="s">
        <v>3463</v>
      </c>
      <c r="BS1497" t="s">
        <v>3465</v>
      </c>
      <c r="BT1497" t="s">
        <v>3465</v>
      </c>
      <c r="BU1497" t="s">
        <v>3465</v>
      </c>
      <c r="BV1497" t="s">
        <v>3463</v>
      </c>
      <c r="BW1497" t="s">
        <v>3463</v>
      </c>
      <c r="BX1497" t="s">
        <v>79</v>
      </c>
      <c r="BY1497" t="s">
        <v>79</v>
      </c>
      <c r="BZ1497" t="s">
        <v>79</v>
      </c>
      <c r="CA1497" s="10">
        <v>45913</v>
      </c>
    </row>
    <row r="1498" spans="1:79">
      <c r="A1498">
        <v>1511</v>
      </c>
      <c r="B1498">
        <v>140</v>
      </c>
      <c r="C1498">
        <v>22</v>
      </c>
      <c r="D1498" t="s">
        <v>3466</v>
      </c>
      <c r="E1498" t="s">
        <v>3013</v>
      </c>
      <c r="F1498" t="s">
        <v>1804</v>
      </c>
      <c r="G1498" s="12" t="s">
        <v>3463</v>
      </c>
      <c r="H1498" s="12"/>
      <c r="I1498">
        <v>77</v>
      </c>
      <c r="J1498">
        <v>86</v>
      </c>
      <c r="K1498">
        <v>145</v>
      </c>
      <c r="L1498">
        <v>81</v>
      </c>
      <c r="M1498" t="s">
        <v>72</v>
      </c>
      <c r="N1498">
        <v>166</v>
      </c>
      <c r="O1498">
        <v>84</v>
      </c>
      <c r="P1498" t="s">
        <v>72</v>
      </c>
      <c r="Q1498" t="s">
        <v>72</v>
      </c>
      <c r="R1498">
        <v>71.5</v>
      </c>
      <c r="S1498">
        <v>158.5</v>
      </c>
      <c r="T1498" s="8">
        <f t="shared" si="47"/>
        <v>28.460826558130741</v>
      </c>
      <c r="U1498" s="13" t="str" cm="1">
        <f t="array" ref="U1498">IF(T1498="","",_xlfn.IFS(T1498&lt;18.5,"Bajo peso",T1498&lt;25,"Peso normal",T1498&lt;30,"Sobrepeso",T1498&lt;35,"Obesidad clase I",T1498&lt;40,"Obesidad clase II",T1498&gt;=40,"Obesidad clase III"))</f>
        <v>Sobrepeso</v>
      </c>
      <c r="V1498">
        <v>79</v>
      </c>
      <c r="X1498" t="s">
        <v>3463</v>
      </c>
      <c r="Y1498">
        <v>0.91</v>
      </c>
      <c r="AA1498">
        <v>90</v>
      </c>
      <c r="AB1498" s="9">
        <f t="shared" si="46"/>
        <v>91.477580024186864</v>
      </c>
      <c r="AD1498" t="s">
        <v>73</v>
      </c>
      <c r="AF1498" t="s">
        <v>73</v>
      </c>
      <c r="AH1498" t="s">
        <v>3463</v>
      </c>
      <c r="AI1498" t="s">
        <v>3463</v>
      </c>
      <c r="AJ1498" t="s">
        <v>3465</v>
      </c>
      <c r="AK1498" t="s">
        <v>3463</v>
      </c>
      <c r="AL1498" t="s">
        <v>3465</v>
      </c>
      <c r="AM1498" t="s">
        <v>3208</v>
      </c>
      <c r="AN1498" t="s">
        <v>3891</v>
      </c>
      <c r="AP1498" t="s">
        <v>3463</v>
      </c>
      <c r="AQ1498" t="s">
        <v>3209</v>
      </c>
      <c r="AR1498" t="s">
        <v>3508</v>
      </c>
      <c r="AT1498" t="s">
        <v>3463</v>
      </c>
      <c r="AV1498" t="s">
        <v>74</v>
      </c>
      <c r="AW1498" t="s">
        <v>3915</v>
      </c>
      <c r="AX1498" t="s">
        <v>3463</v>
      </c>
      <c r="AY1498" t="s">
        <v>3463</v>
      </c>
      <c r="BF1498" t="s">
        <v>3921</v>
      </c>
      <c r="BH1498" t="s">
        <v>4020</v>
      </c>
      <c r="BP1498" t="s">
        <v>4260</v>
      </c>
      <c r="BQ1498" t="s">
        <v>3463</v>
      </c>
      <c r="BR1498" t="s">
        <v>3463</v>
      </c>
      <c r="BS1498" t="s">
        <v>3465</v>
      </c>
      <c r="BT1498" t="s">
        <v>3465</v>
      </c>
      <c r="BU1498" t="s">
        <v>3463</v>
      </c>
      <c r="BV1498" t="s">
        <v>3463</v>
      </c>
      <c r="BW1498" t="s">
        <v>3463</v>
      </c>
      <c r="BX1498" t="s">
        <v>79</v>
      </c>
      <c r="BY1498" t="s">
        <v>79</v>
      </c>
      <c r="BZ1498" t="s">
        <v>79</v>
      </c>
      <c r="CA1498" s="10">
        <v>45913</v>
      </c>
    </row>
    <row r="1499" spans="1:79">
      <c r="A1499">
        <v>1512</v>
      </c>
      <c r="B1499">
        <v>141</v>
      </c>
      <c r="C1499">
        <v>57</v>
      </c>
      <c r="D1499" t="s">
        <v>3466</v>
      </c>
      <c r="E1499" t="s">
        <v>2981</v>
      </c>
      <c r="F1499" t="s">
        <v>1804</v>
      </c>
      <c r="G1499" s="12" t="s">
        <v>3463</v>
      </c>
      <c r="H1499" s="12"/>
      <c r="I1499">
        <v>80</v>
      </c>
      <c r="K1499">
        <v>149</v>
      </c>
      <c r="L1499">
        <v>86</v>
      </c>
      <c r="M1499" t="s">
        <v>72</v>
      </c>
      <c r="N1499">
        <v>136</v>
      </c>
      <c r="O1499">
        <v>90</v>
      </c>
      <c r="P1499" t="s">
        <v>72</v>
      </c>
      <c r="Q1499" t="s">
        <v>72</v>
      </c>
      <c r="R1499">
        <v>78.599999999999994</v>
      </c>
      <c r="S1499">
        <v>158</v>
      </c>
      <c r="T1499" s="8">
        <f t="shared" si="47"/>
        <v>31.485338887998715</v>
      </c>
      <c r="U1499" s="13" t="str" cm="1">
        <f t="array" ref="U1499">IF(T1499="","",_xlfn.IFS(T1499&lt;18.5,"Bajo peso",T1499&lt;25,"Peso normal",T1499&lt;30,"Sobrepeso",T1499&lt;35,"Obesidad clase I",T1499&lt;40,"Obesidad clase II",T1499&gt;=40,"Obesidad clase III"))</f>
        <v>Obesidad clase I</v>
      </c>
      <c r="V1499">
        <v>99</v>
      </c>
      <c r="X1499" t="s">
        <v>3463</v>
      </c>
      <c r="Y1499">
        <v>1</v>
      </c>
      <c r="AA1499">
        <v>66</v>
      </c>
      <c r="AB1499" s="9">
        <f t="shared" si="46"/>
        <v>65.709637639065591</v>
      </c>
      <c r="AD1499" t="s">
        <v>73</v>
      </c>
      <c r="AF1499" t="s">
        <v>73</v>
      </c>
      <c r="AH1499" t="s">
        <v>3463</v>
      </c>
      <c r="AI1499" t="s">
        <v>3463</v>
      </c>
      <c r="AJ1499" t="s">
        <v>3463</v>
      </c>
      <c r="AK1499" t="s">
        <v>3463</v>
      </c>
      <c r="AL1499" t="s">
        <v>3465</v>
      </c>
      <c r="AM1499" t="s">
        <v>3210</v>
      </c>
      <c r="AN1499" t="s">
        <v>3892</v>
      </c>
      <c r="AP1499" t="s">
        <v>3463</v>
      </c>
      <c r="AT1499" t="s">
        <v>3463</v>
      </c>
      <c r="AU1499" t="s">
        <v>125</v>
      </c>
      <c r="AV1499" t="s">
        <v>74</v>
      </c>
      <c r="AW1499" t="s">
        <v>3915</v>
      </c>
      <c r="AX1499" t="s">
        <v>3463</v>
      </c>
      <c r="AY1499" t="s">
        <v>3465</v>
      </c>
      <c r="AZ1499" t="s">
        <v>90</v>
      </c>
      <c r="BF1499" t="s">
        <v>3921</v>
      </c>
      <c r="BH1499" t="s">
        <v>4020</v>
      </c>
      <c r="BP1499" t="s">
        <v>4260</v>
      </c>
      <c r="BQ1499" t="s">
        <v>3463</v>
      </c>
      <c r="BR1499" t="s">
        <v>3465</v>
      </c>
      <c r="BS1499" t="s">
        <v>3465</v>
      </c>
      <c r="BT1499" t="s">
        <v>3465</v>
      </c>
      <c r="BU1499" t="s">
        <v>3463</v>
      </c>
      <c r="BX1499" t="s">
        <v>518</v>
      </c>
      <c r="BY1499" t="s">
        <v>79</v>
      </c>
      <c r="BZ1499" t="s">
        <v>79</v>
      </c>
      <c r="CA1499" s="10">
        <v>45913</v>
      </c>
    </row>
    <row r="1500" spans="1:79">
      <c r="A1500">
        <v>1513</v>
      </c>
      <c r="B1500">
        <v>142</v>
      </c>
      <c r="C1500">
        <v>60</v>
      </c>
      <c r="D1500" t="s">
        <v>3466</v>
      </c>
      <c r="E1500" t="s">
        <v>2565</v>
      </c>
      <c r="F1500" t="s">
        <v>1804</v>
      </c>
      <c r="G1500" s="12" t="s">
        <v>3463</v>
      </c>
      <c r="I1500">
        <v>73</v>
      </c>
      <c r="J1500">
        <v>66</v>
      </c>
      <c r="K1500">
        <v>150</v>
      </c>
      <c r="L1500">
        <v>84</v>
      </c>
      <c r="M1500" t="s">
        <v>72</v>
      </c>
      <c r="N1500">
        <v>151</v>
      </c>
      <c r="O1500">
        <v>81</v>
      </c>
      <c r="P1500" t="s">
        <v>72</v>
      </c>
      <c r="Q1500" t="s">
        <v>72</v>
      </c>
      <c r="R1500">
        <v>75.8</v>
      </c>
      <c r="S1500">
        <v>154</v>
      </c>
      <c r="T1500" s="8">
        <f t="shared" si="47"/>
        <v>31.961544948557936</v>
      </c>
      <c r="U1500" s="13" t="str" cm="1">
        <f t="array" ref="U1500">IF(T1500="","",_xlfn.IFS(T1500&lt;18.5,"Bajo peso",T1500&lt;25,"Peso normal",T1500&lt;30,"Sobrepeso",T1500&lt;35,"Obesidad clase I",T1500&lt;40,"Obesidad clase II",T1500&gt;=40,"Obesidad clase III"))</f>
        <v>Obesidad clase I</v>
      </c>
      <c r="V1500">
        <v>69</v>
      </c>
      <c r="X1500" t="s">
        <v>3463</v>
      </c>
      <c r="Y1500">
        <v>0.69</v>
      </c>
      <c r="AA1500">
        <v>90</v>
      </c>
      <c r="AB1500" s="9">
        <f t="shared" si="46"/>
        <v>99.292031922326984</v>
      </c>
      <c r="AD1500" t="s">
        <v>73</v>
      </c>
      <c r="AF1500" t="s">
        <v>73</v>
      </c>
      <c r="AG1500" t="s">
        <v>3465</v>
      </c>
      <c r="AH1500" t="s">
        <v>3465</v>
      </c>
      <c r="AI1500" t="s">
        <v>3465</v>
      </c>
      <c r="AJ1500" t="s">
        <v>3463</v>
      </c>
      <c r="AK1500" t="s">
        <v>3463</v>
      </c>
      <c r="AL1500" t="s">
        <v>3463</v>
      </c>
      <c r="AP1500" t="s">
        <v>3463</v>
      </c>
      <c r="AQ1500" t="s">
        <v>3211</v>
      </c>
      <c r="AR1500" t="s">
        <v>3536</v>
      </c>
      <c r="AS1500" t="s">
        <v>3465</v>
      </c>
      <c r="AT1500" t="s">
        <v>3465</v>
      </c>
      <c r="AU1500" t="s">
        <v>80</v>
      </c>
      <c r="AV1500" t="s">
        <v>74</v>
      </c>
      <c r="AW1500" t="s">
        <v>3915</v>
      </c>
      <c r="AX1500" t="s">
        <v>3463</v>
      </c>
      <c r="AY1500" t="s">
        <v>3465</v>
      </c>
      <c r="AZ1500" t="s">
        <v>152</v>
      </c>
      <c r="BF1500" t="s">
        <v>3921</v>
      </c>
      <c r="BH1500" t="s">
        <v>4020</v>
      </c>
      <c r="BP1500" t="s">
        <v>4260</v>
      </c>
      <c r="BQ1500" t="s">
        <v>3463</v>
      </c>
      <c r="BR1500" t="s">
        <v>3465</v>
      </c>
      <c r="BS1500" t="s">
        <v>3463</v>
      </c>
      <c r="BT1500" t="s">
        <v>3463</v>
      </c>
      <c r="BU1500" t="s">
        <v>3463</v>
      </c>
      <c r="BV1500" t="s">
        <v>3463</v>
      </c>
      <c r="BW1500" t="s">
        <v>3463</v>
      </c>
      <c r="BX1500" t="s">
        <v>79</v>
      </c>
      <c r="BY1500" t="s">
        <v>79</v>
      </c>
      <c r="BZ1500" t="s">
        <v>79</v>
      </c>
      <c r="CA1500" s="10">
        <v>45913</v>
      </c>
    </row>
    <row r="1501" spans="1:79">
      <c r="A1501">
        <v>1514</v>
      </c>
      <c r="B1501">
        <v>143</v>
      </c>
      <c r="C1501">
        <v>72</v>
      </c>
      <c r="D1501" t="s">
        <v>3462</v>
      </c>
      <c r="E1501" t="s">
        <v>3114</v>
      </c>
      <c r="F1501" t="s">
        <v>1804</v>
      </c>
      <c r="G1501" s="12" t="s">
        <v>3463</v>
      </c>
      <c r="I1501">
        <v>70</v>
      </c>
      <c r="J1501">
        <v>73</v>
      </c>
      <c r="K1501">
        <v>155</v>
      </c>
      <c r="L1501">
        <v>62</v>
      </c>
      <c r="M1501" t="s">
        <v>72</v>
      </c>
      <c r="N1501">
        <v>156</v>
      </c>
      <c r="O1501">
        <v>80</v>
      </c>
      <c r="P1501" t="s">
        <v>72</v>
      </c>
      <c r="Q1501" t="s">
        <v>72</v>
      </c>
      <c r="R1501">
        <v>76.3</v>
      </c>
      <c r="S1501">
        <v>174</v>
      </c>
      <c r="T1501" s="8">
        <f t="shared" si="47"/>
        <v>25.201479719910157</v>
      </c>
      <c r="U1501" s="13" t="str" cm="1">
        <f t="array" ref="U1501">IF(T1501="","",_xlfn.IFS(T1501&lt;18.5,"Bajo peso",T1501&lt;25,"Peso normal",T1501&lt;30,"Sobrepeso",T1501&lt;35,"Obesidad clase I",T1501&lt;40,"Obesidad clase II",T1501&gt;=40,"Obesidad clase III"))</f>
        <v>Sobrepeso</v>
      </c>
      <c r="V1501">
        <v>285</v>
      </c>
      <c r="X1501" t="s">
        <v>3465</v>
      </c>
      <c r="Y1501">
        <v>1.44</v>
      </c>
      <c r="AA1501">
        <v>52</v>
      </c>
      <c r="AB1501" s="9">
        <f t="shared" si="46"/>
        <v>51.62639723007868</v>
      </c>
      <c r="AD1501" t="s">
        <v>158</v>
      </c>
      <c r="AF1501" t="s">
        <v>158</v>
      </c>
      <c r="AG1501" t="s">
        <v>3465</v>
      </c>
      <c r="AH1501" t="s">
        <v>3465</v>
      </c>
      <c r="AI1501" t="s">
        <v>3463</v>
      </c>
      <c r="AJ1501" t="s">
        <v>3463</v>
      </c>
      <c r="AK1501" t="s">
        <v>3463</v>
      </c>
      <c r="AL1501" t="s">
        <v>3465</v>
      </c>
      <c r="AM1501" t="s">
        <v>3212</v>
      </c>
      <c r="AN1501" t="s">
        <v>3818</v>
      </c>
      <c r="AP1501" t="s">
        <v>3463</v>
      </c>
      <c r="AQ1501" t="s">
        <v>169</v>
      </c>
      <c r="AR1501" t="s">
        <v>3493</v>
      </c>
      <c r="AV1501" t="s">
        <v>74</v>
      </c>
      <c r="AW1501" t="s">
        <v>3915</v>
      </c>
      <c r="BB1501" t="s">
        <v>3485</v>
      </c>
      <c r="BE1501" t="s">
        <v>3213</v>
      </c>
      <c r="BF1501" t="s">
        <v>4006</v>
      </c>
      <c r="BG1501" t="s">
        <v>3214</v>
      </c>
      <c r="BH1501" t="s">
        <v>4250</v>
      </c>
      <c r="BI1501" t="s">
        <v>76</v>
      </c>
      <c r="BL1501" t="s">
        <v>3215</v>
      </c>
      <c r="BP1501" t="s">
        <v>4506</v>
      </c>
      <c r="BQ1501" t="s">
        <v>3463</v>
      </c>
      <c r="BR1501" t="s">
        <v>3465</v>
      </c>
      <c r="BS1501" t="s">
        <v>3463</v>
      </c>
      <c r="BT1501" t="s">
        <v>3463</v>
      </c>
      <c r="BU1501" t="s">
        <v>3463</v>
      </c>
      <c r="BV1501" t="s">
        <v>3463</v>
      </c>
      <c r="BW1501" t="s">
        <v>3463</v>
      </c>
      <c r="BX1501" t="s">
        <v>79</v>
      </c>
      <c r="BY1501" t="s">
        <v>121</v>
      </c>
      <c r="BZ1501" t="s">
        <v>79</v>
      </c>
      <c r="CA1501" s="10">
        <v>45913</v>
      </c>
    </row>
    <row r="1502" spans="1:79">
      <c r="A1502">
        <v>1515</v>
      </c>
      <c r="B1502">
        <v>144</v>
      </c>
      <c r="C1502">
        <v>67</v>
      </c>
      <c r="D1502" t="s">
        <v>3466</v>
      </c>
      <c r="E1502" t="s">
        <v>3114</v>
      </c>
      <c r="F1502" t="s">
        <v>1804</v>
      </c>
      <c r="G1502" s="12" t="s">
        <v>3463</v>
      </c>
      <c r="I1502">
        <v>79</v>
      </c>
      <c r="K1502">
        <v>132</v>
      </c>
      <c r="L1502">
        <v>70</v>
      </c>
      <c r="M1502" t="s">
        <v>82</v>
      </c>
      <c r="P1502" t="s">
        <v>83</v>
      </c>
      <c r="Q1502" t="s">
        <v>82</v>
      </c>
      <c r="R1502">
        <v>78.2</v>
      </c>
      <c r="S1502">
        <v>156</v>
      </c>
      <c r="T1502" s="8">
        <f t="shared" si="47"/>
        <v>32.133464825772521</v>
      </c>
      <c r="U1502" s="13" t="str" cm="1">
        <f t="array" ref="U1502">IF(T1502="","",_xlfn.IFS(T1502&lt;18.5,"Bajo peso",T1502&lt;25,"Peso normal",T1502&lt;30,"Sobrepeso",T1502&lt;35,"Obesidad clase I",T1502&lt;40,"Obesidad clase II",T1502&gt;=40,"Obesidad clase III"))</f>
        <v>Obesidad clase I</v>
      </c>
      <c r="V1502">
        <v>107</v>
      </c>
      <c r="X1502" t="s">
        <v>3463</v>
      </c>
      <c r="Y1502">
        <v>1.24</v>
      </c>
      <c r="AA1502">
        <v>48</v>
      </c>
      <c r="AB1502" s="9">
        <f t="shared" si="46"/>
        <v>47.699406366365871</v>
      </c>
      <c r="AD1502" t="s">
        <v>158</v>
      </c>
      <c r="AF1502" t="s">
        <v>158</v>
      </c>
      <c r="AH1502" t="s">
        <v>3463</v>
      </c>
      <c r="AI1502" t="s">
        <v>3463</v>
      </c>
      <c r="AJ1502" t="s">
        <v>3463</v>
      </c>
      <c r="AK1502" t="s">
        <v>3463</v>
      </c>
      <c r="AL1502" t="s">
        <v>3465</v>
      </c>
      <c r="AM1502" t="s">
        <v>110</v>
      </c>
      <c r="AN1502" t="s">
        <v>110</v>
      </c>
      <c r="AP1502" t="s">
        <v>3463</v>
      </c>
      <c r="AT1502" t="s">
        <v>3465</v>
      </c>
      <c r="AU1502" t="s">
        <v>80</v>
      </c>
      <c r="AV1502" t="s">
        <v>112</v>
      </c>
      <c r="AW1502" t="s">
        <v>3917</v>
      </c>
      <c r="AX1502" t="s">
        <v>3463</v>
      </c>
      <c r="AY1502" t="s">
        <v>3465</v>
      </c>
      <c r="AZ1502" t="s">
        <v>90</v>
      </c>
      <c r="BF1502" t="s">
        <v>3921</v>
      </c>
      <c r="BG1502" t="s">
        <v>3216</v>
      </c>
      <c r="BH1502" t="s">
        <v>4251</v>
      </c>
      <c r="BI1502" t="s">
        <v>2747</v>
      </c>
      <c r="BL1502" t="s">
        <v>3217</v>
      </c>
      <c r="BP1502" t="s">
        <v>4562</v>
      </c>
      <c r="BQ1502" t="s">
        <v>3463</v>
      </c>
      <c r="BR1502" t="s">
        <v>3465</v>
      </c>
      <c r="BS1502" t="s">
        <v>3463</v>
      </c>
      <c r="BT1502" t="s">
        <v>3463</v>
      </c>
      <c r="BU1502" t="s">
        <v>3463</v>
      </c>
      <c r="BV1502" t="s">
        <v>3463</v>
      </c>
      <c r="BW1502" t="s">
        <v>3463</v>
      </c>
      <c r="BX1502" t="s">
        <v>79</v>
      </c>
      <c r="BY1502" t="s">
        <v>79</v>
      </c>
      <c r="BZ1502" t="s">
        <v>79</v>
      </c>
      <c r="CA1502" s="10">
        <v>45913</v>
      </c>
    </row>
    <row r="1503" spans="1:79">
      <c r="A1503">
        <v>1516</v>
      </c>
      <c r="B1503">
        <v>145</v>
      </c>
      <c r="C1503">
        <v>31</v>
      </c>
      <c r="D1503" t="s">
        <v>3466</v>
      </c>
      <c r="E1503" t="s">
        <v>3180</v>
      </c>
      <c r="F1503" t="s">
        <v>1804</v>
      </c>
      <c r="G1503" s="12" t="s">
        <v>3463</v>
      </c>
      <c r="I1503">
        <v>112</v>
      </c>
      <c r="J1503">
        <v>113</v>
      </c>
      <c r="K1503">
        <v>156</v>
      </c>
      <c r="L1503">
        <v>102</v>
      </c>
      <c r="M1503" t="s">
        <v>72</v>
      </c>
      <c r="N1503">
        <v>149</v>
      </c>
      <c r="O1503">
        <v>105</v>
      </c>
      <c r="P1503" t="s">
        <v>72</v>
      </c>
      <c r="Q1503" t="s">
        <v>72</v>
      </c>
      <c r="R1503">
        <v>174.1</v>
      </c>
      <c r="S1503">
        <v>158.5</v>
      </c>
      <c r="T1503" s="8">
        <f t="shared" si="47"/>
        <v>69.301117535252615</v>
      </c>
      <c r="U1503" s="13" t="str" cm="1">
        <f t="array" ref="U1503">IF(T1503="","",_xlfn.IFS(T1503&lt;18.5,"Bajo peso",T1503&lt;25,"Peso normal",T1503&lt;30,"Sobrepeso",T1503&lt;35,"Obesidad clase I",T1503&lt;40,"Obesidad clase II",T1503&gt;=40,"Obesidad clase III"))</f>
        <v>Obesidad clase III</v>
      </c>
      <c r="V1503">
        <v>105</v>
      </c>
      <c r="X1503" t="s">
        <v>3463</v>
      </c>
      <c r="Y1503">
        <v>0.78</v>
      </c>
      <c r="AA1503">
        <v>90</v>
      </c>
      <c r="AB1503" s="9">
        <f t="shared" si="46"/>
        <v>104.07388011591667</v>
      </c>
      <c r="AD1503" t="s">
        <v>73</v>
      </c>
      <c r="AF1503" t="s">
        <v>73</v>
      </c>
      <c r="AH1503" t="s">
        <v>3463</v>
      </c>
      <c r="AI1503" t="s">
        <v>3463</v>
      </c>
      <c r="AJ1503" t="s">
        <v>3463</v>
      </c>
      <c r="AK1503" t="s">
        <v>3463</v>
      </c>
      <c r="AL1503" t="s">
        <v>3463</v>
      </c>
      <c r="AO1503" t="s">
        <v>3465</v>
      </c>
      <c r="AP1503" t="s">
        <v>3465</v>
      </c>
      <c r="AQ1503" t="s">
        <v>3218</v>
      </c>
      <c r="AR1503" t="s">
        <v>3508</v>
      </c>
      <c r="AT1503" t="s">
        <v>3463</v>
      </c>
      <c r="AV1503" t="s">
        <v>74</v>
      </c>
      <c r="AW1503" t="s">
        <v>3915</v>
      </c>
      <c r="AX1503" t="s">
        <v>3465</v>
      </c>
      <c r="AY1503" t="s">
        <v>3465</v>
      </c>
      <c r="AZ1503" t="s">
        <v>247</v>
      </c>
      <c r="BB1503" t="s">
        <v>3485</v>
      </c>
      <c r="BF1503" t="s">
        <v>3921</v>
      </c>
      <c r="BH1503" t="s">
        <v>4021</v>
      </c>
      <c r="BI1503" t="s">
        <v>76</v>
      </c>
      <c r="BL1503" t="s">
        <v>3219</v>
      </c>
      <c r="BP1503" t="s">
        <v>4563</v>
      </c>
      <c r="BQ1503" t="s">
        <v>3465</v>
      </c>
      <c r="BR1503" t="s">
        <v>3463</v>
      </c>
      <c r="BS1503" t="s">
        <v>3463</v>
      </c>
      <c r="BT1503" t="s">
        <v>3463</v>
      </c>
      <c r="BU1503" t="s">
        <v>3463</v>
      </c>
      <c r="BV1503" t="s">
        <v>3463</v>
      </c>
      <c r="BW1503" t="s">
        <v>3463</v>
      </c>
      <c r="BX1503" t="s">
        <v>79</v>
      </c>
      <c r="BY1503" t="s">
        <v>79</v>
      </c>
      <c r="BZ1503" t="s">
        <v>79</v>
      </c>
      <c r="CA1503" s="10">
        <v>45913</v>
      </c>
    </row>
    <row r="1504" spans="1:79">
      <c r="A1504">
        <v>1517</v>
      </c>
      <c r="B1504">
        <v>146</v>
      </c>
      <c r="C1504">
        <v>56</v>
      </c>
      <c r="D1504" t="s">
        <v>3462</v>
      </c>
      <c r="E1504" t="s">
        <v>3114</v>
      </c>
      <c r="F1504" t="s">
        <v>1804</v>
      </c>
      <c r="G1504" s="12" t="s">
        <v>3463</v>
      </c>
      <c r="I1504">
        <v>101</v>
      </c>
      <c r="J1504">
        <v>87</v>
      </c>
      <c r="K1504">
        <v>146</v>
      </c>
      <c r="L1504">
        <v>97</v>
      </c>
      <c r="M1504" t="s">
        <v>72</v>
      </c>
      <c r="N1504">
        <v>155</v>
      </c>
      <c r="O1504">
        <v>109</v>
      </c>
      <c r="P1504" t="s">
        <v>72</v>
      </c>
      <c r="Q1504" t="s">
        <v>72</v>
      </c>
      <c r="R1504">
        <v>74.5</v>
      </c>
      <c r="S1504">
        <v>162.5</v>
      </c>
      <c r="T1504" s="8">
        <f t="shared" si="47"/>
        <v>28.213017751479288</v>
      </c>
      <c r="U1504" s="13" t="str" cm="1">
        <f t="array" ref="U1504">IF(T1504="","",_xlfn.IFS(T1504&lt;18.5,"Bajo peso",T1504&lt;25,"Peso normal",T1504&lt;30,"Sobrepeso",T1504&lt;35,"Obesidad clase I",T1504&lt;40,"Obesidad clase II",T1504&gt;=40,"Obesidad clase III"))</f>
        <v>Sobrepeso</v>
      </c>
      <c r="V1504">
        <v>103</v>
      </c>
      <c r="X1504" t="s">
        <v>3463</v>
      </c>
      <c r="Y1504">
        <v>1.89</v>
      </c>
      <c r="Z1504">
        <v>1.04</v>
      </c>
      <c r="AA1504">
        <v>41</v>
      </c>
      <c r="AB1504" s="9">
        <f t="shared" si="46"/>
        <v>41.149898245376335</v>
      </c>
      <c r="AC1504">
        <v>84</v>
      </c>
      <c r="AD1504" t="s">
        <v>218</v>
      </c>
      <c r="AE1504" t="s">
        <v>73</v>
      </c>
      <c r="AF1504" t="s">
        <v>73</v>
      </c>
      <c r="AH1504" t="s">
        <v>3463</v>
      </c>
      <c r="AI1504" t="s">
        <v>3465</v>
      </c>
      <c r="AJ1504" t="s">
        <v>3465</v>
      </c>
      <c r="AK1504" t="s">
        <v>3463</v>
      </c>
      <c r="AL1504" t="s">
        <v>3463</v>
      </c>
      <c r="AP1504" t="s">
        <v>3463</v>
      </c>
      <c r="AS1504" t="s">
        <v>3465</v>
      </c>
      <c r="AV1504" t="s">
        <v>74</v>
      </c>
      <c r="AW1504" t="s">
        <v>3915</v>
      </c>
      <c r="BA1504" t="s">
        <v>3920</v>
      </c>
      <c r="BF1504" t="s">
        <v>3921</v>
      </c>
      <c r="BH1504" t="s">
        <v>4029</v>
      </c>
      <c r="BL1504" t="s">
        <v>2328</v>
      </c>
      <c r="BP1504" t="s">
        <v>4260</v>
      </c>
      <c r="BQ1504" t="s">
        <v>3465</v>
      </c>
      <c r="BR1504" t="s">
        <v>3465</v>
      </c>
      <c r="BS1504" t="s">
        <v>3465</v>
      </c>
      <c r="BT1504" t="s">
        <v>3465</v>
      </c>
      <c r="BU1504" t="s">
        <v>3463</v>
      </c>
      <c r="BX1504" t="s">
        <v>79</v>
      </c>
      <c r="BY1504" t="s">
        <v>79</v>
      </c>
      <c r="BZ1504" t="s">
        <v>95</v>
      </c>
      <c r="CA1504" s="10">
        <v>45913</v>
      </c>
    </row>
    <row r="1505" spans="1:79">
      <c r="A1505">
        <v>1518</v>
      </c>
      <c r="B1505">
        <v>147</v>
      </c>
      <c r="C1505">
        <v>62</v>
      </c>
      <c r="D1505" t="s">
        <v>3466</v>
      </c>
      <c r="E1505" t="s">
        <v>2565</v>
      </c>
      <c r="F1505" t="s">
        <v>1804</v>
      </c>
      <c r="G1505" s="12" t="s">
        <v>3463</v>
      </c>
      <c r="H1505" s="12"/>
      <c r="I1505">
        <v>89</v>
      </c>
      <c r="J1505">
        <v>87</v>
      </c>
      <c r="K1505">
        <v>148</v>
      </c>
      <c r="L1505">
        <v>92</v>
      </c>
      <c r="M1505" t="s">
        <v>72</v>
      </c>
      <c r="N1505">
        <v>151</v>
      </c>
      <c r="O1505">
        <v>92</v>
      </c>
      <c r="P1505" t="s">
        <v>72</v>
      </c>
      <c r="Q1505" t="s">
        <v>72</v>
      </c>
      <c r="R1505">
        <v>91.3</v>
      </c>
      <c r="S1505">
        <v>161</v>
      </c>
      <c r="T1505" s="8">
        <f t="shared" si="47"/>
        <v>35.222406542957444</v>
      </c>
      <c r="U1505" s="13" t="str" cm="1">
        <f t="array" ref="U1505">IF(T1505="","",_xlfn.IFS(T1505&lt;18.5,"Bajo peso",T1505&lt;25,"Peso normal",T1505&lt;30,"Sobrepeso",T1505&lt;35,"Obesidad clase I",T1505&lt;40,"Obesidad clase II",T1505&gt;=40,"Obesidad clase III"))</f>
        <v>Obesidad clase II</v>
      </c>
      <c r="V1505">
        <v>120</v>
      </c>
      <c r="X1505" t="s">
        <v>3463</v>
      </c>
      <c r="Y1505">
        <v>0.75</v>
      </c>
      <c r="AA1505">
        <v>90</v>
      </c>
      <c r="AB1505" s="9">
        <f t="shared" si="46"/>
        <v>89.960221943129582</v>
      </c>
      <c r="AD1505" t="s">
        <v>73</v>
      </c>
      <c r="AF1505" t="s">
        <v>73</v>
      </c>
      <c r="AG1505" t="s">
        <v>3465</v>
      </c>
      <c r="AH1505" t="s">
        <v>3465</v>
      </c>
      <c r="AI1505" t="s">
        <v>3465</v>
      </c>
      <c r="AJ1505" t="s">
        <v>3463</v>
      </c>
      <c r="AK1505" t="s">
        <v>3463</v>
      </c>
      <c r="AL1505" t="s">
        <v>3465</v>
      </c>
      <c r="AM1505" t="s">
        <v>3220</v>
      </c>
      <c r="AN1505" t="s">
        <v>3893</v>
      </c>
      <c r="AP1505" t="s">
        <v>3463</v>
      </c>
      <c r="AQ1505" t="s">
        <v>2954</v>
      </c>
      <c r="AR1505" t="s">
        <v>3488</v>
      </c>
      <c r="AS1505" t="s">
        <v>3465</v>
      </c>
      <c r="AT1505" t="s">
        <v>3465</v>
      </c>
      <c r="AU1505" t="s">
        <v>80</v>
      </c>
      <c r="AV1505" t="s">
        <v>74</v>
      </c>
      <c r="AW1505" t="s">
        <v>3915</v>
      </c>
      <c r="AX1505" t="s">
        <v>3463</v>
      </c>
      <c r="AY1505" t="s">
        <v>3463</v>
      </c>
      <c r="BF1505" t="s">
        <v>3921</v>
      </c>
      <c r="BH1505" t="s">
        <v>4020</v>
      </c>
      <c r="BP1505" t="s">
        <v>4260</v>
      </c>
      <c r="BQ1505" t="s">
        <v>3463</v>
      </c>
      <c r="BR1505" t="s">
        <v>3463</v>
      </c>
      <c r="BS1505" t="s">
        <v>3463</v>
      </c>
      <c r="BT1505" t="s">
        <v>3463</v>
      </c>
      <c r="BU1505" t="s">
        <v>3463</v>
      </c>
      <c r="BV1505" t="s">
        <v>3463</v>
      </c>
      <c r="BW1505" t="s">
        <v>3463</v>
      </c>
      <c r="BX1505" t="s">
        <v>79</v>
      </c>
      <c r="BY1505" t="s">
        <v>87</v>
      </c>
      <c r="BZ1505" t="s">
        <v>79</v>
      </c>
      <c r="CA1505" s="10">
        <v>45913</v>
      </c>
    </row>
    <row r="1506" spans="1:79" ht="32">
      <c r="A1506">
        <v>1519</v>
      </c>
      <c r="B1506">
        <v>148</v>
      </c>
      <c r="C1506">
        <v>77</v>
      </c>
      <c r="D1506" t="s">
        <v>3462</v>
      </c>
      <c r="E1506" t="s">
        <v>3095</v>
      </c>
      <c r="F1506" t="s">
        <v>1804</v>
      </c>
      <c r="G1506" s="12" t="s">
        <v>3463</v>
      </c>
      <c r="H1506" s="12"/>
      <c r="I1506">
        <v>64</v>
      </c>
      <c r="K1506">
        <v>138</v>
      </c>
      <c r="L1506">
        <v>70</v>
      </c>
      <c r="M1506" t="s">
        <v>82</v>
      </c>
      <c r="P1506" t="s">
        <v>83</v>
      </c>
      <c r="Q1506" t="s">
        <v>82</v>
      </c>
      <c r="R1506">
        <v>59.3</v>
      </c>
      <c r="S1506">
        <v>163</v>
      </c>
      <c r="T1506" s="8">
        <f t="shared" si="47"/>
        <v>22.319244231999697</v>
      </c>
      <c r="U1506" s="13" t="str" cm="1">
        <f t="array" ref="U1506">IF(T1506="","",_xlfn.IFS(T1506&lt;18.5,"Bajo peso",T1506&lt;25,"Peso normal",T1506&lt;30,"Sobrepeso",T1506&lt;35,"Obesidad clase I",T1506&lt;40,"Obesidad clase II",T1506&gt;=40,"Obesidad clase III"))</f>
        <v>Peso normal</v>
      </c>
      <c r="V1506">
        <v>112</v>
      </c>
      <c r="X1506" t="s">
        <v>3463</v>
      </c>
      <c r="Y1506">
        <v>1.71</v>
      </c>
      <c r="Z1506">
        <v>1.33</v>
      </c>
      <c r="AA1506">
        <v>41</v>
      </c>
      <c r="AB1506" s="9">
        <f t="shared" si="46"/>
        <v>40.719875245533949</v>
      </c>
      <c r="AC1506">
        <v>55</v>
      </c>
      <c r="AD1506" t="s">
        <v>218</v>
      </c>
      <c r="AE1506" t="s">
        <v>158</v>
      </c>
      <c r="AF1506" t="s">
        <v>158</v>
      </c>
      <c r="AH1506" t="s">
        <v>3463</v>
      </c>
      <c r="AI1506" t="s">
        <v>3465</v>
      </c>
      <c r="AJ1506" t="s">
        <v>3463</v>
      </c>
      <c r="AK1506" t="s">
        <v>3463</v>
      </c>
      <c r="AL1506" t="s">
        <v>3465</v>
      </c>
      <c r="AM1506" t="s">
        <v>697</v>
      </c>
      <c r="AN1506" t="s">
        <v>697</v>
      </c>
      <c r="AO1506" t="s">
        <v>3463</v>
      </c>
      <c r="AP1506" t="s">
        <v>3465</v>
      </c>
      <c r="AS1506" t="s">
        <v>3465</v>
      </c>
      <c r="AV1506" t="s">
        <v>74</v>
      </c>
      <c r="AW1506" t="s">
        <v>3915</v>
      </c>
      <c r="BA1506" s="2" t="s">
        <v>3920</v>
      </c>
      <c r="BE1506" t="s">
        <v>3221</v>
      </c>
      <c r="BF1506" t="s">
        <v>4007</v>
      </c>
      <c r="BH1506" t="s">
        <v>4020</v>
      </c>
      <c r="BP1506" t="s">
        <v>4260</v>
      </c>
      <c r="BQ1506" t="s">
        <v>3463</v>
      </c>
      <c r="BR1506" t="s">
        <v>3465</v>
      </c>
      <c r="BS1506" t="s">
        <v>3463</v>
      </c>
      <c r="BT1506" t="s">
        <v>3463</v>
      </c>
      <c r="BU1506" t="s">
        <v>3463</v>
      </c>
      <c r="BV1506" t="s">
        <v>3463</v>
      </c>
      <c r="BW1506" t="s">
        <v>3463</v>
      </c>
      <c r="BX1506" t="s">
        <v>79</v>
      </c>
      <c r="BY1506" t="s">
        <v>79</v>
      </c>
      <c r="BZ1506" t="s">
        <v>79</v>
      </c>
      <c r="CA1506" s="10">
        <v>45913</v>
      </c>
    </row>
    <row r="1507" spans="1:79">
      <c r="A1507">
        <v>1520</v>
      </c>
      <c r="B1507">
        <v>149</v>
      </c>
      <c r="C1507">
        <v>55</v>
      </c>
      <c r="D1507" t="s">
        <v>3462</v>
      </c>
      <c r="E1507" t="s">
        <v>1804</v>
      </c>
      <c r="F1507" t="s">
        <v>1804</v>
      </c>
      <c r="G1507" s="12" t="s">
        <v>3463</v>
      </c>
      <c r="I1507">
        <v>85</v>
      </c>
      <c r="J1507">
        <v>71</v>
      </c>
      <c r="K1507">
        <v>170</v>
      </c>
      <c r="L1507">
        <v>85</v>
      </c>
      <c r="M1507" t="s">
        <v>72</v>
      </c>
      <c r="N1507">
        <v>167</v>
      </c>
      <c r="O1507">
        <v>92</v>
      </c>
      <c r="P1507" t="s">
        <v>72</v>
      </c>
      <c r="Q1507" t="s">
        <v>72</v>
      </c>
      <c r="R1507">
        <v>79.3</v>
      </c>
      <c r="S1507">
        <v>164.5</v>
      </c>
      <c r="T1507" s="8">
        <f t="shared" si="47"/>
        <v>29.304976857198287</v>
      </c>
      <c r="U1507" s="13" t="str" cm="1">
        <f t="array" ref="U1507">IF(T1507="","",_xlfn.IFS(T1507&lt;18.5,"Bajo peso",T1507&lt;25,"Peso normal",T1507&lt;30,"Sobrepeso",T1507&lt;35,"Obesidad clase I",T1507&lt;40,"Obesidad clase II",T1507&gt;=40,"Obesidad clase III"))</f>
        <v>Sobrepeso</v>
      </c>
      <c r="V1507">
        <v>108</v>
      </c>
      <c r="X1507" t="s">
        <v>3463</v>
      </c>
      <c r="Y1507">
        <v>1.08</v>
      </c>
      <c r="AA1507">
        <v>81</v>
      </c>
      <c r="AB1507" s="9">
        <f t="shared" si="46"/>
        <v>81.042985547738226</v>
      </c>
      <c r="AD1507" t="s">
        <v>73</v>
      </c>
      <c r="AF1507" t="s">
        <v>73</v>
      </c>
      <c r="AH1507" t="s">
        <v>3463</v>
      </c>
      <c r="AI1507" t="s">
        <v>3465</v>
      </c>
      <c r="AJ1507" t="s">
        <v>3465</v>
      </c>
      <c r="AK1507" t="s">
        <v>3463</v>
      </c>
      <c r="AL1507" t="s">
        <v>3463</v>
      </c>
      <c r="AP1507" t="s">
        <v>3463</v>
      </c>
      <c r="AQ1507" t="s">
        <v>143</v>
      </c>
      <c r="AR1507" t="s">
        <v>3493</v>
      </c>
      <c r="AS1507" t="s">
        <v>3465</v>
      </c>
      <c r="AV1507" t="s">
        <v>74</v>
      </c>
      <c r="AW1507" t="s">
        <v>3915</v>
      </c>
      <c r="BF1507" t="s">
        <v>3921</v>
      </c>
      <c r="BH1507" t="s">
        <v>4020</v>
      </c>
      <c r="BP1507" t="s">
        <v>4260</v>
      </c>
      <c r="BQ1507" t="s">
        <v>3463</v>
      </c>
      <c r="BR1507" t="s">
        <v>3463</v>
      </c>
      <c r="BS1507" t="s">
        <v>3465</v>
      </c>
      <c r="BT1507" t="s">
        <v>3465</v>
      </c>
      <c r="BU1507" t="s">
        <v>3463</v>
      </c>
      <c r="BX1507" t="s">
        <v>79</v>
      </c>
      <c r="BY1507" t="s">
        <v>79</v>
      </c>
      <c r="BZ1507" t="s">
        <v>79</v>
      </c>
      <c r="CA1507" s="10">
        <v>45913</v>
      </c>
    </row>
    <row r="1508" spans="1:79">
      <c r="A1508">
        <v>1521</v>
      </c>
      <c r="B1508">
        <v>150</v>
      </c>
      <c r="C1508">
        <v>56</v>
      </c>
      <c r="D1508" t="s">
        <v>3462</v>
      </c>
      <c r="E1508" t="s">
        <v>3000</v>
      </c>
      <c r="F1508" t="s">
        <v>1804</v>
      </c>
      <c r="G1508" s="12" t="s">
        <v>3463</v>
      </c>
      <c r="I1508">
        <v>62</v>
      </c>
      <c r="J1508">
        <v>60</v>
      </c>
      <c r="K1508">
        <v>225</v>
      </c>
      <c r="L1508">
        <v>129</v>
      </c>
      <c r="M1508" t="s">
        <v>96</v>
      </c>
      <c r="N1508">
        <v>217</v>
      </c>
      <c r="O1508">
        <v>127</v>
      </c>
      <c r="P1508" t="s">
        <v>96</v>
      </c>
      <c r="Q1508" t="s">
        <v>96</v>
      </c>
      <c r="R1508">
        <v>86.75</v>
      </c>
      <c r="S1508">
        <v>171</v>
      </c>
      <c r="T1508" s="8">
        <f t="shared" si="47"/>
        <v>29.667248042132623</v>
      </c>
      <c r="U1508" s="13" t="str" cm="1">
        <f t="array" ref="U1508">IF(T1508="","",_xlfn.IFS(T1508&lt;18.5,"Bajo peso",T1508&lt;25,"Peso normal",T1508&lt;30,"Sobrepeso",T1508&lt;35,"Obesidad clase I",T1508&lt;40,"Obesidad clase II",T1508&gt;=40,"Obesidad clase III"))</f>
        <v>Sobrepeso</v>
      </c>
      <c r="V1508">
        <v>186</v>
      </c>
      <c r="X1508" t="s">
        <v>3463</v>
      </c>
      <c r="Y1508">
        <v>0.76</v>
      </c>
      <c r="AA1508">
        <v>90</v>
      </c>
      <c r="AB1508" s="9">
        <f t="shared" si="46"/>
        <v>105.48906726169841</v>
      </c>
      <c r="AD1508" t="s">
        <v>73</v>
      </c>
      <c r="AF1508" t="s">
        <v>73</v>
      </c>
      <c r="AH1508" t="s">
        <v>3463</v>
      </c>
      <c r="AI1508" t="s">
        <v>3465</v>
      </c>
      <c r="AJ1508" t="s">
        <v>3465</v>
      </c>
      <c r="AK1508" t="s">
        <v>3463</v>
      </c>
      <c r="AL1508" t="s">
        <v>3463</v>
      </c>
      <c r="AP1508" t="s">
        <v>3463</v>
      </c>
      <c r="AQ1508" t="s">
        <v>3001</v>
      </c>
      <c r="AR1508" t="s">
        <v>3508</v>
      </c>
      <c r="AS1508" t="s">
        <v>3463</v>
      </c>
      <c r="AV1508" t="s">
        <v>126</v>
      </c>
      <c r="AW1508" t="s">
        <v>126</v>
      </c>
      <c r="BA1508" t="s">
        <v>3920</v>
      </c>
      <c r="BF1508" t="s">
        <v>3921</v>
      </c>
      <c r="BG1508" t="s">
        <v>3222</v>
      </c>
      <c r="BH1508" t="s">
        <v>4057</v>
      </c>
      <c r="BI1508" t="s">
        <v>2961</v>
      </c>
      <c r="BP1508" t="s">
        <v>4466</v>
      </c>
      <c r="BQ1508" t="s">
        <v>3465</v>
      </c>
      <c r="BR1508" t="s">
        <v>3463</v>
      </c>
      <c r="BS1508" t="s">
        <v>3463</v>
      </c>
      <c r="BT1508" t="s">
        <v>3465</v>
      </c>
      <c r="BU1508" t="s">
        <v>3463</v>
      </c>
      <c r="BV1508" t="s">
        <v>3463</v>
      </c>
      <c r="BW1508" t="s">
        <v>3463</v>
      </c>
      <c r="BX1508" t="s">
        <v>79</v>
      </c>
      <c r="BY1508" t="s">
        <v>121</v>
      </c>
      <c r="BZ1508" t="s">
        <v>79</v>
      </c>
      <c r="CA1508" s="10">
        <v>45913</v>
      </c>
    </row>
    <row r="1509" spans="1:79">
      <c r="A1509">
        <v>1522</v>
      </c>
      <c r="B1509">
        <v>151</v>
      </c>
      <c r="C1509">
        <v>65</v>
      </c>
      <c r="D1509" t="s">
        <v>3462</v>
      </c>
      <c r="E1509" t="s">
        <v>3187</v>
      </c>
      <c r="F1509" t="s">
        <v>1804</v>
      </c>
      <c r="G1509" s="12" t="s">
        <v>3463</v>
      </c>
      <c r="I1509">
        <v>83</v>
      </c>
      <c r="J1509">
        <v>79</v>
      </c>
      <c r="K1509">
        <v>144</v>
      </c>
      <c r="L1509">
        <v>93</v>
      </c>
      <c r="M1509" t="s">
        <v>72</v>
      </c>
      <c r="N1509">
        <v>136</v>
      </c>
      <c r="O1509">
        <v>89</v>
      </c>
      <c r="P1509" t="s">
        <v>82</v>
      </c>
      <c r="Q1509" t="s">
        <v>82</v>
      </c>
      <c r="R1509">
        <v>89.1</v>
      </c>
      <c r="S1509">
        <v>167</v>
      </c>
      <c r="T1509" s="8">
        <f t="shared" si="47"/>
        <v>31.948079888127936</v>
      </c>
      <c r="U1509" s="13" t="str" cm="1">
        <f t="array" ref="U1509">IF(T1509="","",_xlfn.IFS(T1509&lt;18.5,"Bajo peso",T1509&lt;25,"Peso normal",T1509&lt;30,"Sobrepeso",T1509&lt;35,"Obesidad clase I",T1509&lt;40,"Obesidad clase II",T1509&gt;=40,"Obesidad clase III"))</f>
        <v>Obesidad clase I</v>
      </c>
      <c r="V1509">
        <v>106</v>
      </c>
      <c r="X1509" t="s">
        <v>3463</v>
      </c>
      <c r="Y1509">
        <v>1.44</v>
      </c>
      <c r="AA1509">
        <v>54</v>
      </c>
      <c r="AB1509" s="9">
        <f t="shared" si="46"/>
        <v>53.923599172155058</v>
      </c>
      <c r="AD1509" t="s">
        <v>158</v>
      </c>
      <c r="AF1509" t="s">
        <v>158</v>
      </c>
      <c r="AH1509" t="s">
        <v>3463</v>
      </c>
      <c r="AI1509" t="s">
        <v>3465</v>
      </c>
      <c r="AJ1509" t="s">
        <v>3463</v>
      </c>
      <c r="AK1509" t="s">
        <v>3463</v>
      </c>
      <c r="AL1509" t="s">
        <v>3465</v>
      </c>
      <c r="AM1509" t="s">
        <v>3223</v>
      </c>
      <c r="AN1509" t="s">
        <v>3894</v>
      </c>
      <c r="AP1509" t="s">
        <v>3463</v>
      </c>
      <c r="AQ1509" t="s">
        <v>159</v>
      </c>
      <c r="AR1509" t="s">
        <v>3491</v>
      </c>
      <c r="AS1509" t="s">
        <v>3465</v>
      </c>
      <c r="AV1509" t="s">
        <v>112</v>
      </c>
      <c r="AW1509" t="s">
        <v>3917</v>
      </c>
      <c r="BA1509" t="s">
        <v>3920</v>
      </c>
      <c r="BF1509" t="s">
        <v>3921</v>
      </c>
      <c r="BG1509" t="s">
        <v>3224</v>
      </c>
      <c r="BH1509" t="s">
        <v>4022</v>
      </c>
      <c r="BP1509" t="s">
        <v>4564</v>
      </c>
      <c r="BQ1509" t="s">
        <v>3463</v>
      </c>
      <c r="BR1509" t="s">
        <v>3463</v>
      </c>
      <c r="BS1509" t="s">
        <v>3463</v>
      </c>
      <c r="BT1509" t="s">
        <v>3465</v>
      </c>
      <c r="BU1509" t="s">
        <v>3463</v>
      </c>
      <c r="BV1509" t="s">
        <v>3463</v>
      </c>
      <c r="BW1509" t="s">
        <v>3463</v>
      </c>
      <c r="BX1509" t="s">
        <v>79</v>
      </c>
      <c r="BY1509" t="s">
        <v>79</v>
      </c>
      <c r="BZ1509" t="s">
        <v>79</v>
      </c>
      <c r="CA1509" s="10">
        <v>45913</v>
      </c>
    </row>
    <row r="1510" spans="1:79">
      <c r="A1510">
        <v>1523</v>
      </c>
      <c r="B1510">
        <v>152</v>
      </c>
      <c r="C1510">
        <v>54</v>
      </c>
      <c r="D1510" t="s">
        <v>3466</v>
      </c>
      <c r="E1510" t="s">
        <v>1804</v>
      </c>
      <c r="F1510" t="s">
        <v>1804</v>
      </c>
      <c r="G1510" s="12" t="s">
        <v>3463</v>
      </c>
      <c r="I1510">
        <v>70</v>
      </c>
      <c r="J1510">
        <v>71</v>
      </c>
      <c r="K1510">
        <v>159</v>
      </c>
      <c r="L1510">
        <v>95</v>
      </c>
      <c r="M1510" t="s">
        <v>72</v>
      </c>
      <c r="N1510">
        <v>143</v>
      </c>
      <c r="O1510">
        <v>93</v>
      </c>
      <c r="P1510" t="s">
        <v>72</v>
      </c>
      <c r="Q1510" t="s">
        <v>72</v>
      </c>
      <c r="R1510">
        <v>69.900000000000006</v>
      </c>
      <c r="S1510">
        <v>156</v>
      </c>
      <c r="T1510" s="8">
        <f t="shared" si="47"/>
        <v>28.72287968441815</v>
      </c>
      <c r="U1510" s="13" t="str" cm="1">
        <f t="array" ref="U1510">IF(T1510="","",_xlfn.IFS(T1510&lt;18.5,"Bajo peso",T1510&lt;25,"Peso normal",T1510&lt;30,"Sobrepeso",T1510&lt;35,"Obesidad clase I",T1510&lt;40,"Obesidad clase II",T1510&gt;=40,"Obesidad clase III"))</f>
        <v>Sobrepeso</v>
      </c>
      <c r="V1510">
        <v>93</v>
      </c>
      <c r="X1510" t="s">
        <v>3463</v>
      </c>
      <c r="Y1510">
        <v>0.67</v>
      </c>
      <c r="AA1510">
        <v>90</v>
      </c>
      <c r="AB1510" s="9">
        <f t="shared" si="46"/>
        <v>103.80040480458703</v>
      </c>
      <c r="AD1510" t="s">
        <v>73</v>
      </c>
      <c r="AF1510" t="s">
        <v>73</v>
      </c>
      <c r="AH1510" t="s">
        <v>3463</v>
      </c>
      <c r="AI1510" t="s">
        <v>3465</v>
      </c>
      <c r="AJ1510" t="s">
        <v>3463</v>
      </c>
      <c r="AK1510" t="s">
        <v>3463</v>
      </c>
      <c r="AL1510" t="s">
        <v>3465</v>
      </c>
      <c r="AM1510" t="s">
        <v>110</v>
      </c>
      <c r="AN1510" t="s">
        <v>110</v>
      </c>
      <c r="AP1510" t="s">
        <v>3463</v>
      </c>
      <c r="AQ1510" t="s">
        <v>120</v>
      </c>
      <c r="AR1510" t="s">
        <v>3491</v>
      </c>
      <c r="AS1510" t="s">
        <v>3465</v>
      </c>
      <c r="AT1510" t="s">
        <v>3465</v>
      </c>
      <c r="AU1510" t="s">
        <v>80</v>
      </c>
      <c r="AV1510" t="s">
        <v>74</v>
      </c>
      <c r="AW1510" t="s">
        <v>3915</v>
      </c>
      <c r="AX1510" t="s">
        <v>3463</v>
      </c>
      <c r="AY1510" t="s">
        <v>3463</v>
      </c>
      <c r="AZ1510" t="s">
        <v>90</v>
      </c>
      <c r="BC1510" t="s">
        <v>128</v>
      </c>
      <c r="BE1510" t="s">
        <v>3225</v>
      </c>
      <c r="BF1510" t="s">
        <v>3225</v>
      </c>
      <c r="BG1510" t="s">
        <v>3226</v>
      </c>
      <c r="BH1510" t="s">
        <v>4144</v>
      </c>
      <c r="BI1510" t="s">
        <v>3227</v>
      </c>
      <c r="BP1510" t="s">
        <v>4526</v>
      </c>
      <c r="BQ1510" t="s">
        <v>3463</v>
      </c>
      <c r="BR1510" t="s">
        <v>3463</v>
      </c>
      <c r="BT1510" t="s">
        <v>3463</v>
      </c>
      <c r="BU1510" t="s">
        <v>3463</v>
      </c>
      <c r="BX1510" t="s">
        <v>79</v>
      </c>
      <c r="BY1510" t="s">
        <v>79</v>
      </c>
      <c r="BZ1510" t="s">
        <v>79</v>
      </c>
      <c r="CA1510" s="10">
        <v>45913</v>
      </c>
    </row>
    <row r="1511" spans="1:79">
      <c r="A1511">
        <v>1524</v>
      </c>
      <c r="B1511">
        <v>153</v>
      </c>
      <c r="C1511">
        <v>65</v>
      </c>
      <c r="D1511" t="s">
        <v>3466</v>
      </c>
      <c r="E1511" t="s">
        <v>3048</v>
      </c>
      <c r="F1511" t="s">
        <v>1804</v>
      </c>
      <c r="G1511" s="12" t="s">
        <v>3463</v>
      </c>
      <c r="I1511">
        <v>59</v>
      </c>
      <c r="J1511">
        <v>57</v>
      </c>
      <c r="K1511">
        <v>143</v>
      </c>
      <c r="L1511">
        <v>64</v>
      </c>
      <c r="M1511" t="s">
        <v>72</v>
      </c>
      <c r="N1511">
        <v>144</v>
      </c>
      <c r="O1511">
        <v>60</v>
      </c>
      <c r="P1511" t="s">
        <v>72</v>
      </c>
      <c r="Q1511" t="s">
        <v>72</v>
      </c>
      <c r="R1511">
        <v>60.4</v>
      </c>
      <c r="S1511">
        <v>157</v>
      </c>
      <c r="T1511" s="8">
        <f t="shared" si="47"/>
        <v>24.504036674915817</v>
      </c>
      <c r="U1511" s="13" t="str" cm="1">
        <f t="array" ref="U1511">IF(T1511="","",_xlfn.IFS(T1511&lt;18.5,"Bajo peso",T1511&lt;25,"Peso normal",T1511&lt;30,"Sobrepeso",T1511&lt;35,"Obesidad clase I",T1511&lt;40,"Obesidad clase II",T1511&gt;=40,"Obesidad clase III"))</f>
        <v>Peso normal</v>
      </c>
      <c r="V1511">
        <v>137</v>
      </c>
      <c r="X1511" t="s">
        <v>3463</v>
      </c>
      <c r="Y1511">
        <v>1.1200000000000001</v>
      </c>
      <c r="AA1511">
        <v>55</v>
      </c>
      <c r="AB1511" s="9">
        <f t="shared" si="46"/>
        <v>54.570682362220907</v>
      </c>
      <c r="AD1511" t="s">
        <v>158</v>
      </c>
      <c r="AF1511" t="s">
        <v>158</v>
      </c>
      <c r="AG1511" t="s">
        <v>3465</v>
      </c>
      <c r="AH1511" t="s">
        <v>3465</v>
      </c>
      <c r="AI1511" t="s">
        <v>3465</v>
      </c>
      <c r="AJ1511" t="s">
        <v>3463</v>
      </c>
      <c r="AK1511" t="s">
        <v>3463</v>
      </c>
      <c r="AL1511" t="s">
        <v>3465</v>
      </c>
      <c r="AM1511" t="s">
        <v>3228</v>
      </c>
      <c r="AN1511" t="s">
        <v>3895</v>
      </c>
      <c r="AP1511" t="s">
        <v>3463</v>
      </c>
      <c r="AQ1511" t="s">
        <v>3229</v>
      </c>
      <c r="AR1511" t="s">
        <v>3504</v>
      </c>
      <c r="AS1511" t="s">
        <v>3465</v>
      </c>
      <c r="AT1511" t="s">
        <v>3465</v>
      </c>
      <c r="AU1511" t="s">
        <v>80</v>
      </c>
      <c r="AV1511" t="s">
        <v>74</v>
      </c>
      <c r="AW1511" t="s">
        <v>3915</v>
      </c>
      <c r="AX1511" t="s">
        <v>3465</v>
      </c>
      <c r="AY1511" t="s">
        <v>3465</v>
      </c>
      <c r="AZ1511" t="s">
        <v>1526</v>
      </c>
      <c r="BA1511" t="s">
        <v>3920</v>
      </c>
      <c r="BF1511" t="s">
        <v>3921</v>
      </c>
      <c r="BH1511" t="s">
        <v>4029</v>
      </c>
      <c r="BL1511" t="s">
        <v>3230</v>
      </c>
      <c r="BP1511" t="s">
        <v>4260</v>
      </c>
      <c r="BQ1511" t="s">
        <v>3463</v>
      </c>
      <c r="BR1511" t="s">
        <v>3465</v>
      </c>
      <c r="BS1511" t="s">
        <v>3463</v>
      </c>
      <c r="BT1511" t="s">
        <v>3463</v>
      </c>
      <c r="BU1511" t="s">
        <v>3463</v>
      </c>
      <c r="BV1511" t="s">
        <v>3463</v>
      </c>
      <c r="BW1511" t="s">
        <v>3463</v>
      </c>
      <c r="BX1511" t="s">
        <v>79</v>
      </c>
      <c r="BY1511" t="s">
        <v>79</v>
      </c>
      <c r="BZ1511" t="s">
        <v>95</v>
      </c>
      <c r="CA1511" s="10">
        <v>45913</v>
      </c>
    </row>
    <row r="1512" spans="1:79">
      <c r="A1512">
        <v>1525</v>
      </c>
      <c r="B1512">
        <v>154</v>
      </c>
      <c r="C1512">
        <v>23</v>
      </c>
      <c r="D1512" t="s">
        <v>3462</v>
      </c>
      <c r="E1512" t="s">
        <v>3231</v>
      </c>
      <c r="F1512" t="s">
        <v>1804</v>
      </c>
      <c r="G1512" s="12" t="s">
        <v>3463</v>
      </c>
      <c r="I1512">
        <v>72</v>
      </c>
      <c r="K1512">
        <v>138</v>
      </c>
      <c r="L1512">
        <v>74</v>
      </c>
      <c r="M1512" t="s">
        <v>82</v>
      </c>
      <c r="P1512" t="s">
        <v>83</v>
      </c>
      <c r="Q1512" t="s">
        <v>82</v>
      </c>
      <c r="R1512">
        <v>80.400000000000006</v>
      </c>
      <c r="S1512">
        <v>174</v>
      </c>
      <c r="T1512" s="8">
        <f t="shared" si="47"/>
        <v>26.555687673404677</v>
      </c>
      <c r="U1512" s="13" t="str" cm="1">
        <f t="array" ref="U1512">IF(T1512="","",_xlfn.IFS(T1512&lt;18.5,"Bajo peso",T1512&lt;25,"Peso normal",T1512&lt;30,"Sobrepeso",T1512&lt;35,"Obesidad clase I",T1512&lt;40,"Obesidad clase II",T1512&gt;=40,"Obesidad clase III"))</f>
        <v>Sobrepeso</v>
      </c>
      <c r="V1512">
        <v>101</v>
      </c>
      <c r="X1512" t="s">
        <v>3463</v>
      </c>
      <c r="Y1512">
        <v>0.79</v>
      </c>
      <c r="AA1512">
        <v>90</v>
      </c>
      <c r="AB1512" s="9">
        <f t="shared" si="46"/>
        <v>128.01563832562456</v>
      </c>
      <c r="AD1512" t="s">
        <v>73</v>
      </c>
      <c r="AF1512" t="s">
        <v>73</v>
      </c>
      <c r="AH1512" t="s">
        <v>3463</v>
      </c>
      <c r="AI1512" t="s">
        <v>3463</v>
      </c>
      <c r="AJ1512" t="s">
        <v>3463</v>
      </c>
      <c r="AK1512" t="s">
        <v>3463</v>
      </c>
      <c r="AL1512" t="s">
        <v>3463</v>
      </c>
      <c r="AP1512" t="s">
        <v>3463</v>
      </c>
      <c r="AV1512" t="s">
        <v>126</v>
      </c>
      <c r="AW1512" t="s">
        <v>126</v>
      </c>
      <c r="BF1512" t="s">
        <v>3921</v>
      </c>
      <c r="BH1512" t="s">
        <v>4020</v>
      </c>
      <c r="BP1512" t="s">
        <v>4260</v>
      </c>
      <c r="BQ1512" t="s">
        <v>3465</v>
      </c>
      <c r="BR1512" t="s">
        <v>3465</v>
      </c>
      <c r="BS1512" t="s">
        <v>3463</v>
      </c>
      <c r="BT1512" t="s">
        <v>3463</v>
      </c>
      <c r="BU1512" t="s">
        <v>3463</v>
      </c>
      <c r="BV1512" t="s">
        <v>3463</v>
      </c>
      <c r="BW1512" t="s">
        <v>3463</v>
      </c>
      <c r="BX1512" t="s">
        <v>79</v>
      </c>
      <c r="BY1512" t="s">
        <v>79</v>
      </c>
      <c r="BZ1512" t="s">
        <v>79</v>
      </c>
      <c r="CA1512" s="10">
        <v>45913</v>
      </c>
    </row>
    <row r="1513" spans="1:79" ht="32">
      <c r="A1513">
        <v>1526</v>
      </c>
      <c r="B1513">
        <v>155</v>
      </c>
      <c r="C1513">
        <v>57</v>
      </c>
      <c r="D1513" t="s">
        <v>3466</v>
      </c>
      <c r="E1513" t="s">
        <v>1804</v>
      </c>
      <c r="F1513" t="s">
        <v>1804</v>
      </c>
      <c r="G1513" s="12" t="s">
        <v>3463</v>
      </c>
      <c r="I1513">
        <v>86</v>
      </c>
      <c r="J1513">
        <v>75</v>
      </c>
      <c r="K1513">
        <v>153</v>
      </c>
      <c r="L1513">
        <v>99</v>
      </c>
      <c r="M1513" t="s">
        <v>72</v>
      </c>
      <c r="N1513">
        <v>150</v>
      </c>
      <c r="O1513">
        <v>97</v>
      </c>
      <c r="P1513" t="s">
        <v>72</v>
      </c>
      <c r="Q1513" t="s">
        <v>72</v>
      </c>
      <c r="R1513">
        <v>85.6</v>
      </c>
      <c r="S1513">
        <v>155</v>
      </c>
      <c r="T1513" s="8">
        <f t="shared" si="47"/>
        <v>35.629552549427679</v>
      </c>
      <c r="U1513" s="13" t="str" cm="1">
        <f t="array" ref="U1513">IF(T1513="","",_xlfn.IFS(T1513&lt;18.5,"Bajo peso",T1513&lt;25,"Peso normal",T1513&lt;30,"Sobrepeso",T1513&lt;35,"Obesidad clase I",T1513&lt;40,"Obesidad clase II",T1513&gt;=40,"Obesidad clase III"))</f>
        <v>Obesidad clase II</v>
      </c>
      <c r="V1513">
        <v>83</v>
      </c>
      <c r="X1513" t="s">
        <v>3463</v>
      </c>
      <c r="Y1513">
        <v>0.85</v>
      </c>
      <c r="AA1513">
        <v>80</v>
      </c>
      <c r="AB1513" s="9">
        <f t="shared" si="46"/>
        <v>79.859458559744112</v>
      </c>
      <c r="AD1513" t="s">
        <v>73</v>
      </c>
      <c r="AF1513" t="s">
        <v>73</v>
      </c>
      <c r="AH1513" t="s">
        <v>3463</v>
      </c>
      <c r="AI1513" t="s">
        <v>3465</v>
      </c>
      <c r="AJ1513" t="s">
        <v>3463</v>
      </c>
      <c r="AK1513" t="s">
        <v>3463</v>
      </c>
      <c r="AL1513" t="s">
        <v>3465</v>
      </c>
      <c r="AM1513" t="s">
        <v>3232</v>
      </c>
      <c r="AN1513" t="s">
        <v>1938</v>
      </c>
      <c r="AP1513" t="s">
        <v>3463</v>
      </c>
      <c r="AQ1513" t="s">
        <v>3233</v>
      </c>
      <c r="AR1513" t="s">
        <v>3488</v>
      </c>
      <c r="AS1513" t="s">
        <v>3465</v>
      </c>
      <c r="AT1513" t="s">
        <v>3463</v>
      </c>
      <c r="AV1513" t="s">
        <v>74</v>
      </c>
      <c r="AW1513" t="s">
        <v>3915</v>
      </c>
      <c r="AX1513" t="s">
        <v>3463</v>
      </c>
      <c r="AY1513" t="s">
        <v>3463</v>
      </c>
      <c r="BA1513" s="2" t="s">
        <v>3920</v>
      </c>
      <c r="BC1513" t="s">
        <v>128</v>
      </c>
      <c r="BE1513" t="s">
        <v>3234</v>
      </c>
      <c r="BF1513" t="s">
        <v>4008</v>
      </c>
      <c r="BH1513" t="s">
        <v>4021</v>
      </c>
      <c r="BI1513" t="s">
        <v>3235</v>
      </c>
      <c r="BP1513" t="s">
        <v>4312</v>
      </c>
      <c r="BQ1513" t="s">
        <v>3463</v>
      </c>
      <c r="BR1513" t="s">
        <v>3463</v>
      </c>
      <c r="BS1513" t="s">
        <v>3465</v>
      </c>
      <c r="BT1513" t="s">
        <v>3465</v>
      </c>
      <c r="BU1513" t="s">
        <v>3463</v>
      </c>
      <c r="BX1513" t="s">
        <v>79</v>
      </c>
      <c r="BY1513" t="s">
        <v>79</v>
      </c>
      <c r="BZ1513" t="s">
        <v>79</v>
      </c>
      <c r="CA1513" s="10">
        <v>45913</v>
      </c>
    </row>
    <row r="1514" spans="1:79">
      <c r="A1514">
        <v>1527</v>
      </c>
      <c r="B1514">
        <v>156</v>
      </c>
      <c r="C1514">
        <v>56</v>
      </c>
      <c r="D1514" t="s">
        <v>3466</v>
      </c>
      <c r="E1514" t="s">
        <v>2376</v>
      </c>
      <c r="F1514" t="s">
        <v>1804</v>
      </c>
      <c r="G1514" s="12" t="s">
        <v>3465</v>
      </c>
      <c r="H1514" t="s">
        <v>88</v>
      </c>
      <c r="I1514">
        <v>77</v>
      </c>
      <c r="K1514">
        <v>135</v>
      </c>
      <c r="L1514">
        <v>83</v>
      </c>
      <c r="M1514" t="s">
        <v>82</v>
      </c>
      <c r="P1514" t="s">
        <v>83</v>
      </c>
      <c r="Q1514" t="s">
        <v>82</v>
      </c>
      <c r="R1514">
        <v>95.1</v>
      </c>
      <c r="S1514">
        <v>148</v>
      </c>
      <c r="T1514" s="8">
        <f t="shared" si="47"/>
        <v>43.416727538349157</v>
      </c>
      <c r="U1514" s="13" t="str" cm="1">
        <f t="array" ref="U1514">IF(T1514="","",_xlfn.IFS(T1514&lt;18.5,"Bajo peso",T1514&lt;25,"Peso normal",T1514&lt;30,"Sobrepeso",T1514&lt;35,"Obesidad clase I",T1514&lt;40,"Obesidad clase II",T1514&gt;=40,"Obesidad clase III"))</f>
        <v>Obesidad clase III</v>
      </c>
      <c r="V1514">
        <v>116</v>
      </c>
      <c r="X1514" t="s">
        <v>3463</v>
      </c>
      <c r="Y1514">
        <v>0.64</v>
      </c>
      <c r="AA1514">
        <v>90</v>
      </c>
      <c r="AB1514" s="9">
        <f t="shared" si="46"/>
        <v>103.65534124798947</v>
      </c>
      <c r="AD1514" t="s">
        <v>73</v>
      </c>
      <c r="AF1514" t="s">
        <v>73</v>
      </c>
      <c r="AG1514" t="s">
        <v>3465</v>
      </c>
      <c r="AH1514" t="s">
        <v>3465</v>
      </c>
      <c r="AI1514" t="s">
        <v>3463</v>
      </c>
      <c r="AJ1514" t="s">
        <v>3463</v>
      </c>
      <c r="AK1514" t="s">
        <v>3465</v>
      </c>
      <c r="AL1514" t="s">
        <v>3463</v>
      </c>
      <c r="AO1514" t="s">
        <v>3465</v>
      </c>
      <c r="AP1514" t="s">
        <v>3465</v>
      </c>
      <c r="AQ1514" t="s">
        <v>3236</v>
      </c>
      <c r="AR1514" t="s">
        <v>3508</v>
      </c>
      <c r="AT1514" t="s">
        <v>3465</v>
      </c>
      <c r="AU1514" t="s">
        <v>125</v>
      </c>
      <c r="AV1514" t="s">
        <v>126</v>
      </c>
      <c r="AW1514" t="s">
        <v>126</v>
      </c>
      <c r="AX1514" t="s">
        <v>3463</v>
      </c>
      <c r="AY1514" t="s">
        <v>3465</v>
      </c>
      <c r="AZ1514" t="s">
        <v>90</v>
      </c>
      <c r="BF1514" t="s">
        <v>3921</v>
      </c>
      <c r="BH1514" t="s">
        <v>4020</v>
      </c>
      <c r="BP1514" t="s">
        <v>4260</v>
      </c>
      <c r="BQ1514" t="s">
        <v>3463</v>
      </c>
      <c r="BR1514" t="s">
        <v>3463</v>
      </c>
      <c r="BS1514" t="s">
        <v>3465</v>
      </c>
      <c r="BT1514" t="s">
        <v>3465</v>
      </c>
      <c r="BU1514" t="s">
        <v>3463</v>
      </c>
      <c r="BV1514" t="s">
        <v>3463</v>
      </c>
      <c r="BW1514" t="s">
        <v>3463</v>
      </c>
      <c r="BX1514" t="s">
        <v>79</v>
      </c>
      <c r="BY1514" t="s">
        <v>87</v>
      </c>
      <c r="BZ1514" t="s">
        <v>79</v>
      </c>
      <c r="CA1514" s="10">
        <v>45913</v>
      </c>
    </row>
    <row r="1515" spans="1:79">
      <c r="A1515">
        <v>1528</v>
      </c>
      <c r="B1515">
        <v>157</v>
      </c>
      <c r="C1515">
        <v>35</v>
      </c>
      <c r="D1515" t="s">
        <v>3466</v>
      </c>
      <c r="E1515" t="s">
        <v>2565</v>
      </c>
      <c r="F1515" t="s">
        <v>1804</v>
      </c>
      <c r="G1515" s="12" t="s">
        <v>3465</v>
      </c>
      <c r="H1515" t="s">
        <v>88</v>
      </c>
      <c r="I1515">
        <v>80</v>
      </c>
      <c r="J1515">
        <v>78</v>
      </c>
      <c r="K1515">
        <v>159</v>
      </c>
      <c r="L1515">
        <v>85</v>
      </c>
      <c r="M1515" t="s">
        <v>72</v>
      </c>
      <c r="N1515">
        <v>132</v>
      </c>
      <c r="O1515">
        <v>82</v>
      </c>
      <c r="P1515" t="s">
        <v>82</v>
      </c>
      <c r="Q1515" t="s">
        <v>82</v>
      </c>
      <c r="R1515">
        <v>164.5</v>
      </c>
      <c r="S1515">
        <v>166</v>
      </c>
      <c r="T1515" s="8">
        <f t="shared" si="47"/>
        <v>59.696617796487153</v>
      </c>
      <c r="U1515" s="13" t="str" cm="1">
        <f t="array" ref="U1515">IF(T1515="","",_xlfn.IFS(T1515&lt;18.5,"Bajo peso",T1515&lt;25,"Peso normal",T1515&lt;30,"Sobrepeso",T1515&lt;35,"Obesidad clase I",T1515&lt;40,"Obesidad clase II",T1515&gt;=40,"Obesidad clase III"))</f>
        <v>Obesidad clase III</v>
      </c>
      <c r="V1515">
        <v>112</v>
      </c>
      <c r="X1515" t="s">
        <v>3463</v>
      </c>
      <c r="Y1515">
        <v>0.69</v>
      </c>
      <c r="AA1515">
        <v>90</v>
      </c>
      <c r="AB1515" s="9">
        <f t="shared" ref="AB1515:AB1578" si="48">IF(OR(C1515="",D1515="",Y1515=""),"",142*POWER(MIN(Y1515/IF(D1515="Mujer",0.7,0.9),1),IF(D1515="Mujer",-0.241,-0.302))*POWER(MAX(Y1515/IF(D1515="Mujer",0.7,0.9),1),-1.2)*POWER(0.9938,C1515)*IF(D1515="Mujer",1.012,1))</f>
        <v>115.99508513761123</v>
      </c>
      <c r="AD1515" t="s">
        <v>73</v>
      </c>
      <c r="AF1515" t="s">
        <v>73</v>
      </c>
      <c r="AH1515" t="s">
        <v>3463</v>
      </c>
      <c r="AI1515" t="s">
        <v>3465</v>
      </c>
      <c r="AJ1515" t="s">
        <v>3465</v>
      </c>
      <c r="AK1515" t="s">
        <v>3463</v>
      </c>
      <c r="AL1515" t="s">
        <v>3465</v>
      </c>
      <c r="AM1515" t="s">
        <v>3237</v>
      </c>
      <c r="AN1515" t="s">
        <v>3896</v>
      </c>
      <c r="AO1515" t="s">
        <v>3463</v>
      </c>
      <c r="AP1515" t="s">
        <v>3465</v>
      </c>
      <c r="AQ1515" t="s">
        <v>3238</v>
      </c>
      <c r="AR1515" t="s">
        <v>3516</v>
      </c>
      <c r="AS1515" t="s">
        <v>3465</v>
      </c>
      <c r="AT1515" t="s">
        <v>3465</v>
      </c>
      <c r="AU1515" t="s">
        <v>80</v>
      </c>
      <c r="AV1515" t="s">
        <v>74</v>
      </c>
      <c r="AW1515" t="s">
        <v>3915</v>
      </c>
      <c r="AX1515" t="s">
        <v>3463</v>
      </c>
      <c r="AY1515" t="s">
        <v>3465</v>
      </c>
      <c r="AZ1515" t="s">
        <v>90</v>
      </c>
      <c r="BF1515" t="s">
        <v>3921</v>
      </c>
      <c r="BH1515" t="s">
        <v>4020</v>
      </c>
      <c r="BP1515" t="s">
        <v>4260</v>
      </c>
      <c r="BQ1515" t="s">
        <v>3463</v>
      </c>
      <c r="BR1515" t="s">
        <v>3463</v>
      </c>
      <c r="BS1515" t="s">
        <v>3465</v>
      </c>
      <c r="BT1515" t="s">
        <v>3465</v>
      </c>
      <c r="BU1515" t="s">
        <v>3463</v>
      </c>
      <c r="BV1515" t="s">
        <v>3463</v>
      </c>
      <c r="BW1515" t="s">
        <v>3463</v>
      </c>
      <c r="BX1515" t="s">
        <v>79</v>
      </c>
      <c r="BY1515" t="s">
        <v>79</v>
      </c>
      <c r="BZ1515" t="s">
        <v>79</v>
      </c>
      <c r="CA1515" s="10">
        <v>45913</v>
      </c>
    </row>
    <row r="1516" spans="1:79">
      <c r="A1516">
        <v>1529</v>
      </c>
      <c r="B1516">
        <v>158</v>
      </c>
      <c r="C1516">
        <v>49</v>
      </c>
      <c r="D1516" t="s">
        <v>3466</v>
      </c>
      <c r="E1516" t="s">
        <v>3114</v>
      </c>
      <c r="F1516" t="s">
        <v>1804</v>
      </c>
      <c r="G1516" s="12" t="s">
        <v>3463</v>
      </c>
      <c r="I1516">
        <v>81</v>
      </c>
      <c r="K1516">
        <v>127</v>
      </c>
      <c r="L1516">
        <v>83</v>
      </c>
      <c r="M1516" t="s">
        <v>82</v>
      </c>
      <c r="P1516" t="s">
        <v>83</v>
      </c>
      <c r="Q1516" t="s">
        <v>82</v>
      </c>
      <c r="R1516">
        <v>92.4</v>
      </c>
      <c r="S1516">
        <v>157</v>
      </c>
      <c r="T1516" s="8">
        <f t="shared" si="47"/>
        <v>37.486307760963932</v>
      </c>
      <c r="U1516" s="13" t="str" cm="1">
        <f t="array" ref="U1516">IF(T1516="","",_xlfn.IFS(T1516&lt;18.5,"Bajo peso",T1516&lt;25,"Peso normal",T1516&lt;30,"Sobrepeso",T1516&lt;35,"Obesidad clase I",T1516&lt;40,"Obesidad clase II",T1516&gt;=40,"Obesidad clase III"))</f>
        <v>Obesidad clase II</v>
      </c>
      <c r="V1516">
        <v>97</v>
      </c>
      <c r="X1516" t="s">
        <v>3463</v>
      </c>
      <c r="Y1516">
        <v>1.07</v>
      </c>
      <c r="AA1516">
        <v>64</v>
      </c>
      <c r="AB1516" s="9">
        <f t="shared" si="48"/>
        <v>63.676121060713726</v>
      </c>
      <c r="AD1516" t="s">
        <v>73</v>
      </c>
      <c r="AF1516" t="s">
        <v>73</v>
      </c>
      <c r="AH1516" t="s">
        <v>3463</v>
      </c>
      <c r="AI1516" t="s">
        <v>3463</v>
      </c>
      <c r="AJ1516" t="s">
        <v>3465</v>
      </c>
      <c r="AK1516" t="s">
        <v>3463</v>
      </c>
      <c r="AL1516" t="s">
        <v>3463</v>
      </c>
      <c r="AO1516" t="s">
        <v>3463</v>
      </c>
      <c r="AP1516" t="s">
        <v>3465</v>
      </c>
      <c r="AQ1516" t="s">
        <v>89</v>
      </c>
      <c r="AR1516" t="s">
        <v>3488</v>
      </c>
      <c r="AT1516" t="s">
        <v>3465</v>
      </c>
      <c r="AU1516" t="s">
        <v>80</v>
      </c>
      <c r="AV1516" t="s">
        <v>178</v>
      </c>
      <c r="AW1516" t="s">
        <v>3918</v>
      </c>
      <c r="AX1516" t="s">
        <v>3463</v>
      </c>
      <c r="AY1516" t="s">
        <v>3465</v>
      </c>
      <c r="AZ1516" t="s">
        <v>247</v>
      </c>
      <c r="BF1516" t="s">
        <v>3921</v>
      </c>
      <c r="BH1516" t="s">
        <v>4020</v>
      </c>
      <c r="BP1516" t="s">
        <v>4260</v>
      </c>
      <c r="BQ1516" t="s">
        <v>3463</v>
      </c>
      <c r="BR1516" t="s">
        <v>3465</v>
      </c>
      <c r="BS1516" t="s">
        <v>3465</v>
      </c>
      <c r="BT1516" t="s">
        <v>3465</v>
      </c>
      <c r="BU1516" t="s">
        <v>3463</v>
      </c>
      <c r="BV1516" t="s">
        <v>3463</v>
      </c>
      <c r="BW1516" t="s">
        <v>3463</v>
      </c>
      <c r="BX1516" t="s">
        <v>79</v>
      </c>
      <c r="BY1516" t="s">
        <v>79</v>
      </c>
      <c r="BZ1516" t="s">
        <v>79</v>
      </c>
      <c r="CA1516" s="10">
        <v>45913</v>
      </c>
    </row>
    <row r="1517" spans="1:79">
      <c r="A1517">
        <v>1530</v>
      </c>
      <c r="B1517">
        <v>159</v>
      </c>
      <c r="C1517">
        <v>47</v>
      </c>
      <c r="D1517" t="s">
        <v>3462</v>
      </c>
      <c r="E1517" t="s">
        <v>1804</v>
      </c>
      <c r="F1517" t="s">
        <v>1804</v>
      </c>
      <c r="G1517" s="12" t="s">
        <v>3463</v>
      </c>
      <c r="I1517">
        <v>73</v>
      </c>
      <c r="K1517">
        <v>130</v>
      </c>
      <c r="L1517">
        <v>79</v>
      </c>
      <c r="M1517" t="s">
        <v>82</v>
      </c>
      <c r="P1517" t="s">
        <v>83</v>
      </c>
      <c r="Q1517" t="s">
        <v>82</v>
      </c>
      <c r="R1517">
        <v>65.3</v>
      </c>
      <c r="S1517">
        <v>159</v>
      </c>
      <c r="T1517" s="8">
        <f t="shared" si="47"/>
        <v>25.829674459079939</v>
      </c>
      <c r="U1517" s="13" t="str" cm="1">
        <f t="array" ref="U1517">IF(T1517="","",_xlfn.IFS(T1517&lt;18.5,"Bajo peso",T1517&lt;25,"Peso normal",T1517&lt;30,"Sobrepeso",T1517&lt;35,"Obesidad clase I",T1517&lt;40,"Obesidad clase II",T1517&gt;=40,"Obesidad clase III"))</f>
        <v>Sobrepeso</v>
      </c>
      <c r="V1517">
        <v>82</v>
      </c>
      <c r="X1517" t="s">
        <v>3463</v>
      </c>
      <c r="Y1517">
        <v>1.1100000000000001</v>
      </c>
      <c r="AA1517">
        <v>82</v>
      </c>
      <c r="AB1517" s="9">
        <f t="shared" si="48"/>
        <v>82.422242123021917</v>
      </c>
      <c r="AD1517" t="s">
        <v>73</v>
      </c>
      <c r="AF1517" t="s">
        <v>73</v>
      </c>
      <c r="AH1517" t="s">
        <v>3463</v>
      </c>
      <c r="AI1517" t="s">
        <v>3463</v>
      </c>
      <c r="AJ1517" t="s">
        <v>3463</v>
      </c>
      <c r="AK1517" t="s">
        <v>3463</v>
      </c>
      <c r="AL1517" t="s">
        <v>3463</v>
      </c>
      <c r="AP1517" t="s">
        <v>3464</v>
      </c>
      <c r="AV1517" t="s">
        <v>126</v>
      </c>
      <c r="AW1517" t="s">
        <v>126</v>
      </c>
      <c r="BF1517" t="s">
        <v>3921</v>
      </c>
      <c r="BH1517" t="s">
        <v>4020</v>
      </c>
      <c r="BP1517" t="s">
        <v>4260</v>
      </c>
      <c r="BQ1517" t="s">
        <v>3465</v>
      </c>
      <c r="BR1517" t="s">
        <v>3465</v>
      </c>
      <c r="BS1517" t="s">
        <v>3463</v>
      </c>
      <c r="BT1517" t="s">
        <v>3463</v>
      </c>
      <c r="BU1517" t="s">
        <v>3463</v>
      </c>
      <c r="BX1517" t="s">
        <v>79</v>
      </c>
      <c r="BY1517" t="s">
        <v>79</v>
      </c>
      <c r="BZ1517" t="s">
        <v>79</v>
      </c>
      <c r="CA1517" s="10">
        <v>45913</v>
      </c>
    </row>
    <row r="1518" spans="1:79">
      <c r="A1518">
        <v>1531</v>
      </c>
      <c r="B1518">
        <v>160</v>
      </c>
      <c r="C1518">
        <v>22</v>
      </c>
      <c r="D1518" t="s">
        <v>3462</v>
      </c>
      <c r="E1518" t="s">
        <v>3180</v>
      </c>
      <c r="F1518" t="s">
        <v>1804</v>
      </c>
      <c r="G1518" s="12" t="s">
        <v>3465</v>
      </c>
      <c r="H1518" t="s">
        <v>88</v>
      </c>
      <c r="I1518">
        <v>64</v>
      </c>
      <c r="K1518">
        <v>114</v>
      </c>
      <c r="L1518">
        <v>71</v>
      </c>
      <c r="M1518" t="s">
        <v>80</v>
      </c>
      <c r="P1518" t="s">
        <v>83</v>
      </c>
      <c r="Q1518" t="s">
        <v>80</v>
      </c>
      <c r="R1518">
        <v>86.7</v>
      </c>
      <c r="S1518">
        <v>185</v>
      </c>
      <c r="T1518" s="8">
        <f t="shared" si="47"/>
        <v>25.332359386413444</v>
      </c>
      <c r="U1518" s="13" t="str" cm="1">
        <f t="array" ref="U1518">IF(T1518="","",_xlfn.IFS(T1518&lt;18.5,"Bajo peso",T1518&lt;25,"Peso normal",T1518&lt;30,"Sobrepeso",T1518&lt;35,"Obesidad clase I",T1518&lt;40,"Obesidad clase II",T1518&gt;=40,"Obesidad clase III"))</f>
        <v>Sobrepeso</v>
      </c>
      <c r="V1518">
        <v>99</v>
      </c>
      <c r="X1518" t="s">
        <v>3463</v>
      </c>
      <c r="Y1518">
        <v>0.97</v>
      </c>
      <c r="AA1518">
        <v>90</v>
      </c>
      <c r="AB1518" s="9">
        <f t="shared" si="48"/>
        <v>113.19600706701125</v>
      </c>
      <c r="AD1518" t="s">
        <v>73</v>
      </c>
      <c r="AF1518" t="s">
        <v>73</v>
      </c>
      <c r="AH1518" t="s">
        <v>3463</v>
      </c>
      <c r="AI1518" t="s">
        <v>3463</v>
      </c>
      <c r="AJ1518" t="s">
        <v>3463</v>
      </c>
      <c r="AK1518" t="s">
        <v>3463</v>
      </c>
      <c r="AL1518" t="s">
        <v>3463</v>
      </c>
      <c r="AP1518" t="s">
        <v>3463</v>
      </c>
      <c r="AV1518" t="s">
        <v>74</v>
      </c>
      <c r="AW1518" t="s">
        <v>3915</v>
      </c>
      <c r="BF1518" t="s">
        <v>3921</v>
      </c>
      <c r="BH1518" t="s">
        <v>4020</v>
      </c>
      <c r="BP1518" t="s">
        <v>4260</v>
      </c>
      <c r="BQ1518" t="s">
        <v>3463</v>
      </c>
      <c r="BR1518" t="s">
        <v>3463</v>
      </c>
      <c r="BS1518" t="s">
        <v>3463</v>
      </c>
      <c r="BT1518" t="s">
        <v>3463</v>
      </c>
      <c r="BU1518" t="s">
        <v>3463</v>
      </c>
      <c r="BV1518" t="s">
        <v>3463</v>
      </c>
      <c r="BW1518" t="s">
        <v>3463</v>
      </c>
      <c r="BX1518" t="s">
        <v>79</v>
      </c>
      <c r="BY1518" t="s">
        <v>79</v>
      </c>
      <c r="BZ1518" t="s">
        <v>79</v>
      </c>
      <c r="CA1518" s="10">
        <v>45913</v>
      </c>
    </row>
    <row r="1519" spans="1:79">
      <c r="A1519">
        <v>1532</v>
      </c>
      <c r="B1519">
        <v>161</v>
      </c>
      <c r="C1519">
        <v>41</v>
      </c>
      <c r="D1519" t="s">
        <v>3466</v>
      </c>
      <c r="E1519" t="s">
        <v>3114</v>
      </c>
      <c r="F1519" t="s">
        <v>1804</v>
      </c>
      <c r="G1519" s="12" t="s">
        <v>3463</v>
      </c>
      <c r="I1519">
        <v>74</v>
      </c>
      <c r="K1519">
        <v>120</v>
      </c>
      <c r="L1519">
        <v>61</v>
      </c>
      <c r="M1519" t="s">
        <v>118</v>
      </c>
      <c r="P1519" t="s">
        <v>83</v>
      </c>
      <c r="Q1519" t="s">
        <v>118</v>
      </c>
      <c r="R1519">
        <v>69.900000000000006</v>
      </c>
      <c r="S1519">
        <v>165.5</v>
      </c>
      <c r="T1519" s="8">
        <f t="shared" si="47"/>
        <v>25.520029937660301</v>
      </c>
      <c r="U1519" s="13" t="str" cm="1">
        <f t="array" ref="U1519">IF(T1519="","",_xlfn.IFS(T1519&lt;18.5,"Bajo peso",T1519&lt;25,"Peso normal",T1519&lt;30,"Sobrepeso",T1519&lt;35,"Obesidad clase I",T1519&lt;40,"Obesidad clase II",T1519&gt;=40,"Obesidad clase III"))</f>
        <v>Sobrepeso</v>
      </c>
      <c r="V1519">
        <v>89</v>
      </c>
      <c r="X1519" t="s">
        <v>3463</v>
      </c>
      <c r="Y1519">
        <v>0.81</v>
      </c>
      <c r="AA1519">
        <v>90</v>
      </c>
      <c r="AB1519" s="9">
        <f t="shared" si="48"/>
        <v>93.468047596014713</v>
      </c>
      <c r="AD1519" t="s">
        <v>73</v>
      </c>
      <c r="AF1519" t="s">
        <v>73</v>
      </c>
      <c r="AH1519" t="s">
        <v>3463</v>
      </c>
      <c r="AI1519" t="s">
        <v>3463</v>
      </c>
      <c r="AJ1519" t="s">
        <v>3463</v>
      </c>
      <c r="AK1519" t="s">
        <v>3465</v>
      </c>
      <c r="AL1519" t="s">
        <v>3465</v>
      </c>
      <c r="AM1519" t="s">
        <v>3239</v>
      </c>
      <c r="AN1519" t="s">
        <v>3897</v>
      </c>
      <c r="AO1519" t="s">
        <v>3463</v>
      </c>
      <c r="AP1519" t="s">
        <v>3465</v>
      </c>
      <c r="AQ1519" t="s">
        <v>3240</v>
      </c>
      <c r="AR1519" t="s">
        <v>3603</v>
      </c>
      <c r="AT1519" t="s">
        <v>3463</v>
      </c>
      <c r="AV1519" t="s">
        <v>74</v>
      </c>
      <c r="AW1519" t="s">
        <v>3915</v>
      </c>
      <c r="AX1519" t="s">
        <v>3463</v>
      </c>
      <c r="AY1519" t="s">
        <v>3465</v>
      </c>
      <c r="AZ1519" t="s">
        <v>90</v>
      </c>
      <c r="BF1519" t="s">
        <v>3921</v>
      </c>
      <c r="BH1519" t="s">
        <v>4020</v>
      </c>
      <c r="BP1519" t="s">
        <v>4260</v>
      </c>
      <c r="BQ1519" t="s">
        <v>3463</v>
      </c>
      <c r="BR1519" t="s">
        <v>3465</v>
      </c>
      <c r="BS1519" t="s">
        <v>3465</v>
      </c>
      <c r="BT1519" t="s">
        <v>3465</v>
      </c>
      <c r="BU1519" t="s">
        <v>3463</v>
      </c>
      <c r="BV1519" t="s">
        <v>3463</v>
      </c>
      <c r="BW1519" t="s">
        <v>3463</v>
      </c>
      <c r="BX1519" t="s">
        <v>79</v>
      </c>
      <c r="BY1519" t="s">
        <v>79</v>
      </c>
      <c r="BZ1519" t="s">
        <v>79</v>
      </c>
      <c r="CA1519" s="10">
        <v>45913</v>
      </c>
    </row>
    <row r="1520" spans="1:79">
      <c r="A1520">
        <v>1533</v>
      </c>
      <c r="B1520">
        <v>162</v>
      </c>
      <c r="C1520">
        <v>46</v>
      </c>
      <c r="D1520" t="s">
        <v>3466</v>
      </c>
      <c r="E1520" t="s">
        <v>3241</v>
      </c>
      <c r="F1520" t="s">
        <v>1804</v>
      </c>
      <c r="G1520" s="12" t="s">
        <v>3463</v>
      </c>
      <c r="I1520">
        <v>60</v>
      </c>
      <c r="J1520">
        <v>70</v>
      </c>
      <c r="K1520">
        <v>164</v>
      </c>
      <c r="L1520">
        <v>103</v>
      </c>
      <c r="M1520" t="s">
        <v>72</v>
      </c>
      <c r="N1520">
        <v>148</v>
      </c>
      <c r="O1520">
        <v>105</v>
      </c>
      <c r="P1520" t="s">
        <v>72</v>
      </c>
      <c r="Q1520" t="s">
        <v>72</v>
      </c>
      <c r="R1520">
        <v>83.8</v>
      </c>
      <c r="S1520">
        <v>160</v>
      </c>
      <c r="T1520" s="8">
        <f t="shared" si="47"/>
        <v>32.734375</v>
      </c>
      <c r="U1520" s="13" t="str" cm="1">
        <f t="array" ref="U1520">IF(T1520="","",_xlfn.IFS(T1520&lt;18.5,"Bajo peso",T1520&lt;25,"Peso normal",T1520&lt;30,"Sobrepeso",T1520&lt;35,"Obesidad clase I",T1520&lt;40,"Obesidad clase II",T1520&gt;=40,"Obesidad clase III"))</f>
        <v>Obesidad clase I</v>
      </c>
      <c r="V1520">
        <v>88</v>
      </c>
      <c r="X1520" t="s">
        <v>3463</v>
      </c>
      <c r="Y1520">
        <v>1.05</v>
      </c>
      <c r="AA1520">
        <v>66</v>
      </c>
      <c r="AB1520" s="9">
        <f t="shared" si="48"/>
        <v>66.361011465124065</v>
      </c>
      <c r="AD1520" t="s">
        <v>73</v>
      </c>
      <c r="AF1520" t="s">
        <v>73</v>
      </c>
      <c r="AH1520" t="s">
        <v>3463</v>
      </c>
      <c r="AI1520" t="s">
        <v>3465</v>
      </c>
      <c r="AJ1520" t="s">
        <v>3463</v>
      </c>
      <c r="AK1520" t="s">
        <v>3463</v>
      </c>
      <c r="AL1520" t="s">
        <v>3463</v>
      </c>
      <c r="AP1520" t="s">
        <v>3463</v>
      </c>
      <c r="AQ1520" t="s">
        <v>3163</v>
      </c>
      <c r="AR1520" t="s">
        <v>3488</v>
      </c>
      <c r="AS1520" t="s">
        <v>3463</v>
      </c>
      <c r="AT1520" t="s">
        <v>3463</v>
      </c>
      <c r="AV1520" t="s">
        <v>74</v>
      </c>
      <c r="AW1520" t="s">
        <v>3915</v>
      </c>
      <c r="AX1520" t="s">
        <v>3463</v>
      </c>
      <c r="AY1520" t="s">
        <v>3465</v>
      </c>
      <c r="AZ1520" t="s">
        <v>247</v>
      </c>
      <c r="BC1520" t="s">
        <v>128</v>
      </c>
      <c r="BE1520" t="s">
        <v>3242</v>
      </c>
      <c r="BF1520" t="s">
        <v>3614</v>
      </c>
      <c r="BG1520" t="s">
        <v>3243</v>
      </c>
      <c r="BH1520" t="s">
        <v>4252</v>
      </c>
      <c r="BI1520" t="s">
        <v>76</v>
      </c>
      <c r="BL1520" t="s">
        <v>3244</v>
      </c>
      <c r="BP1520" t="s">
        <v>4374</v>
      </c>
      <c r="BQ1520" t="s">
        <v>3463</v>
      </c>
      <c r="BR1520" t="s">
        <v>3463</v>
      </c>
      <c r="BS1520" t="s">
        <v>3465</v>
      </c>
      <c r="BT1520" t="s">
        <v>3465</v>
      </c>
      <c r="BU1520" t="s">
        <v>3463</v>
      </c>
      <c r="BX1520" t="s">
        <v>654</v>
      </c>
      <c r="BY1520" t="s">
        <v>79</v>
      </c>
      <c r="BZ1520" t="s">
        <v>95</v>
      </c>
      <c r="CA1520" s="10">
        <v>45913</v>
      </c>
    </row>
    <row r="1521" spans="1:79">
      <c r="A1521">
        <v>1534</v>
      </c>
      <c r="B1521">
        <v>163</v>
      </c>
      <c r="C1521">
        <v>60</v>
      </c>
      <c r="D1521" t="s">
        <v>3466</v>
      </c>
      <c r="E1521" t="s">
        <v>2565</v>
      </c>
      <c r="F1521" t="s">
        <v>1804</v>
      </c>
      <c r="G1521" s="12" t="s">
        <v>3465</v>
      </c>
      <c r="H1521" t="s">
        <v>88</v>
      </c>
      <c r="I1521">
        <v>58</v>
      </c>
      <c r="J1521">
        <v>56</v>
      </c>
      <c r="K1521">
        <v>168</v>
      </c>
      <c r="L1521">
        <v>90</v>
      </c>
      <c r="M1521" t="s">
        <v>72</v>
      </c>
      <c r="N1521">
        <v>173</v>
      </c>
      <c r="O1521">
        <v>95</v>
      </c>
      <c r="P1521" t="s">
        <v>72</v>
      </c>
      <c r="Q1521" t="s">
        <v>72</v>
      </c>
      <c r="R1521">
        <v>83.8</v>
      </c>
      <c r="S1521">
        <v>153</v>
      </c>
      <c r="T1521" s="8">
        <f t="shared" si="47"/>
        <v>35.798197274552521</v>
      </c>
      <c r="U1521" s="13" t="str" cm="1">
        <f t="array" ref="U1521">IF(T1521="","",_xlfn.IFS(T1521&lt;18.5,"Bajo peso",T1521&lt;25,"Peso normal",T1521&lt;30,"Sobrepeso",T1521&lt;35,"Obesidad clase I",T1521&lt;40,"Obesidad clase II",T1521&gt;=40,"Obesidad clase III"))</f>
        <v>Obesidad clase II</v>
      </c>
      <c r="V1521">
        <v>81</v>
      </c>
      <c r="X1521" t="s">
        <v>3463</v>
      </c>
      <c r="Y1521">
        <v>0.9</v>
      </c>
      <c r="AA1521">
        <v>73</v>
      </c>
      <c r="AB1521" s="9">
        <f t="shared" si="48"/>
        <v>73.187184148059103</v>
      </c>
      <c r="AD1521" t="s">
        <v>73</v>
      </c>
      <c r="AF1521" t="s">
        <v>73</v>
      </c>
      <c r="AH1521" t="s">
        <v>3463</v>
      </c>
      <c r="AI1521" t="s">
        <v>3465</v>
      </c>
      <c r="AJ1521" t="s">
        <v>3463</v>
      </c>
      <c r="AK1521" t="s">
        <v>3465</v>
      </c>
      <c r="AL1521" t="s">
        <v>3465</v>
      </c>
      <c r="AM1521" t="s">
        <v>116</v>
      </c>
      <c r="AN1521" t="s">
        <v>116</v>
      </c>
      <c r="AP1521" t="s">
        <v>3463</v>
      </c>
      <c r="AQ1521" t="s">
        <v>3245</v>
      </c>
      <c r="AR1521" t="s">
        <v>3491</v>
      </c>
      <c r="AS1521" t="s">
        <v>3465</v>
      </c>
      <c r="AT1521" t="s">
        <v>3465</v>
      </c>
      <c r="AU1521" t="s">
        <v>125</v>
      </c>
      <c r="AV1521" t="s">
        <v>74</v>
      </c>
      <c r="AW1521" t="s">
        <v>3915</v>
      </c>
      <c r="AX1521" t="s">
        <v>3463</v>
      </c>
      <c r="AY1521" t="s">
        <v>3465</v>
      </c>
      <c r="AZ1521" t="s">
        <v>247</v>
      </c>
      <c r="BA1521" t="s">
        <v>3920</v>
      </c>
      <c r="BF1521" t="s">
        <v>3921</v>
      </c>
      <c r="BG1521" t="s">
        <v>3246</v>
      </c>
      <c r="BH1521" t="s">
        <v>4144</v>
      </c>
      <c r="BL1521" t="s">
        <v>3247</v>
      </c>
      <c r="BP1521" t="s">
        <v>4260</v>
      </c>
      <c r="BQ1521" t="s">
        <v>3463</v>
      </c>
      <c r="BR1521" t="s">
        <v>3465</v>
      </c>
      <c r="BS1521" t="s">
        <v>3463</v>
      </c>
      <c r="BT1521" t="s">
        <v>3463</v>
      </c>
      <c r="BU1521" t="s">
        <v>3463</v>
      </c>
      <c r="BV1521" t="s">
        <v>3463</v>
      </c>
      <c r="BW1521" t="s">
        <v>3463</v>
      </c>
      <c r="BX1521" t="s">
        <v>518</v>
      </c>
      <c r="BY1521" t="s">
        <v>79</v>
      </c>
      <c r="BZ1521" t="s">
        <v>79</v>
      </c>
      <c r="CA1521" s="10">
        <v>45913</v>
      </c>
    </row>
    <row r="1522" spans="1:79">
      <c r="A1522">
        <v>1535</v>
      </c>
      <c r="B1522">
        <v>164</v>
      </c>
      <c r="C1522">
        <v>52</v>
      </c>
      <c r="D1522" t="s">
        <v>3462</v>
      </c>
      <c r="E1522" t="s">
        <v>2975</v>
      </c>
      <c r="F1522" t="s">
        <v>1804</v>
      </c>
      <c r="G1522" s="12" t="s">
        <v>3463</v>
      </c>
      <c r="I1522">
        <v>65</v>
      </c>
      <c r="K1522">
        <v>115</v>
      </c>
      <c r="L1522">
        <v>74</v>
      </c>
      <c r="M1522" t="s">
        <v>80</v>
      </c>
      <c r="P1522" t="s">
        <v>83</v>
      </c>
      <c r="Q1522" t="s">
        <v>80</v>
      </c>
      <c r="R1522">
        <v>72.5</v>
      </c>
      <c r="S1522">
        <v>164</v>
      </c>
      <c r="T1522" s="8">
        <f t="shared" si="47"/>
        <v>26.955681142177276</v>
      </c>
      <c r="U1522" s="13" t="str" cm="1">
        <f t="array" ref="U1522">IF(T1522="","",_xlfn.IFS(T1522&lt;18.5,"Bajo peso",T1522&lt;25,"Peso normal",T1522&lt;30,"Sobrepeso",T1522&lt;35,"Obesidad clase I",T1522&lt;40,"Obesidad clase II",T1522&gt;=40,"Obesidad clase III"))</f>
        <v>Sobrepeso</v>
      </c>
      <c r="V1522">
        <v>81</v>
      </c>
      <c r="X1522" t="s">
        <v>3463</v>
      </c>
      <c r="Y1522">
        <v>0.9</v>
      </c>
      <c r="AA1522">
        <v>90</v>
      </c>
      <c r="AB1522" s="9">
        <f t="shared" si="48"/>
        <v>102.76280487616863</v>
      </c>
      <c r="AD1522" t="s">
        <v>73</v>
      </c>
      <c r="AF1522" t="s">
        <v>73</v>
      </c>
      <c r="AH1522" t="s">
        <v>3463</v>
      </c>
      <c r="AI1522" t="s">
        <v>3463</v>
      </c>
      <c r="AJ1522" t="s">
        <v>3463</v>
      </c>
      <c r="AK1522" t="s">
        <v>3463</v>
      </c>
      <c r="AL1522" t="s">
        <v>3465</v>
      </c>
      <c r="AM1522" t="s">
        <v>3248</v>
      </c>
      <c r="AN1522" t="s">
        <v>3898</v>
      </c>
      <c r="AP1522" t="s">
        <v>3463</v>
      </c>
      <c r="AQ1522" t="s">
        <v>3249</v>
      </c>
      <c r="AR1522" t="s">
        <v>3488</v>
      </c>
      <c r="AV1522" t="s">
        <v>74</v>
      </c>
      <c r="AW1522" t="s">
        <v>3915</v>
      </c>
      <c r="BF1522" t="s">
        <v>3921</v>
      </c>
      <c r="BH1522" t="s">
        <v>4020</v>
      </c>
      <c r="BP1522" t="s">
        <v>4260</v>
      </c>
      <c r="BQ1522" t="s">
        <v>3463</v>
      </c>
      <c r="BR1522" t="s">
        <v>3463</v>
      </c>
      <c r="BS1522" t="s">
        <v>3463</v>
      </c>
      <c r="BT1522" t="s">
        <v>3463</v>
      </c>
      <c r="BU1522" t="s">
        <v>3463</v>
      </c>
      <c r="BV1522" t="s">
        <v>3463</v>
      </c>
      <c r="BW1522" t="s">
        <v>3463</v>
      </c>
      <c r="BX1522" t="s">
        <v>79</v>
      </c>
      <c r="BY1522" t="s">
        <v>79</v>
      </c>
      <c r="BZ1522" t="s">
        <v>79</v>
      </c>
      <c r="CA1522" s="10">
        <v>45913</v>
      </c>
    </row>
    <row r="1523" spans="1:79">
      <c r="A1523">
        <v>1536</v>
      </c>
      <c r="B1523">
        <v>165</v>
      </c>
      <c r="C1523">
        <v>58</v>
      </c>
      <c r="D1523" t="s">
        <v>3466</v>
      </c>
      <c r="E1523" t="s">
        <v>3114</v>
      </c>
      <c r="F1523" t="s">
        <v>1804</v>
      </c>
      <c r="G1523" s="12" t="s">
        <v>3465</v>
      </c>
      <c r="H1523" t="s">
        <v>88</v>
      </c>
      <c r="I1523">
        <v>65</v>
      </c>
      <c r="K1523">
        <v>111</v>
      </c>
      <c r="L1523">
        <v>70</v>
      </c>
      <c r="M1523" t="s">
        <v>80</v>
      </c>
      <c r="P1523" t="s">
        <v>83</v>
      </c>
      <c r="Q1523" t="s">
        <v>80</v>
      </c>
      <c r="R1523">
        <v>79.5</v>
      </c>
      <c r="S1523">
        <v>161</v>
      </c>
      <c r="T1523" s="8">
        <f t="shared" si="47"/>
        <v>30.670113035762512</v>
      </c>
      <c r="U1523" s="13" t="str" cm="1">
        <f t="array" ref="U1523">IF(T1523="","",_xlfn.IFS(T1523&lt;18.5,"Bajo peso",T1523&lt;25,"Peso normal",T1523&lt;30,"Sobrepeso",T1523&lt;35,"Obesidad clase I",T1523&lt;40,"Obesidad clase II",T1523&gt;=40,"Obesidad clase III"))</f>
        <v>Obesidad clase I</v>
      </c>
      <c r="V1523">
        <v>89</v>
      </c>
      <c r="X1523" t="s">
        <v>3463</v>
      </c>
      <c r="Y1523">
        <v>1.05</v>
      </c>
      <c r="AA1523">
        <v>62</v>
      </c>
      <c r="AB1523" s="9">
        <f t="shared" si="48"/>
        <v>61.58868136178328</v>
      </c>
      <c r="AD1523" t="s">
        <v>73</v>
      </c>
      <c r="AF1523" t="s">
        <v>73</v>
      </c>
      <c r="AH1523" t="s">
        <v>3463</v>
      </c>
      <c r="AI1523" t="s">
        <v>3463</v>
      </c>
      <c r="AJ1523" t="s">
        <v>3463</v>
      </c>
      <c r="AK1523" t="s">
        <v>3465</v>
      </c>
      <c r="AP1523" t="s">
        <v>3463</v>
      </c>
      <c r="AQ1523" t="s">
        <v>159</v>
      </c>
      <c r="AR1523" t="s">
        <v>3491</v>
      </c>
      <c r="AT1523" t="s">
        <v>3465</v>
      </c>
      <c r="AU1523" t="s">
        <v>80</v>
      </c>
      <c r="AV1523" t="s">
        <v>126</v>
      </c>
      <c r="AW1523" t="s">
        <v>126</v>
      </c>
      <c r="AX1523" t="s">
        <v>3463</v>
      </c>
      <c r="AY1523" t="s">
        <v>3465</v>
      </c>
      <c r="AZ1523" t="s">
        <v>90</v>
      </c>
      <c r="BF1523" t="s">
        <v>3921</v>
      </c>
      <c r="BH1523" t="s">
        <v>4020</v>
      </c>
      <c r="BP1523" t="s">
        <v>4260</v>
      </c>
      <c r="BQ1523" t="s">
        <v>3463</v>
      </c>
      <c r="BR1523" t="s">
        <v>3463</v>
      </c>
      <c r="BS1523" t="s">
        <v>3463</v>
      </c>
      <c r="BT1523" t="s">
        <v>3463</v>
      </c>
      <c r="BU1523" t="s">
        <v>3463</v>
      </c>
      <c r="BV1523" t="s">
        <v>3463</v>
      </c>
      <c r="BW1523" t="s">
        <v>3463</v>
      </c>
      <c r="BX1523" t="s">
        <v>518</v>
      </c>
      <c r="BY1523" t="s">
        <v>79</v>
      </c>
      <c r="BZ1523" t="s">
        <v>79</v>
      </c>
      <c r="CA1523" s="10">
        <v>45913</v>
      </c>
    </row>
    <row r="1524" spans="1:79" ht="32">
      <c r="A1524">
        <v>1537</v>
      </c>
      <c r="B1524">
        <v>166</v>
      </c>
      <c r="C1524">
        <v>81</v>
      </c>
      <c r="D1524" t="s">
        <v>3466</v>
      </c>
      <c r="E1524" t="s">
        <v>3114</v>
      </c>
      <c r="F1524" t="s">
        <v>1804</v>
      </c>
      <c r="G1524" s="12" t="s">
        <v>3463</v>
      </c>
      <c r="I1524">
        <v>81</v>
      </c>
      <c r="K1524">
        <v>122</v>
      </c>
      <c r="L1524">
        <v>58</v>
      </c>
      <c r="M1524" t="s">
        <v>118</v>
      </c>
      <c r="P1524" t="s">
        <v>83</v>
      </c>
      <c r="Q1524" t="s">
        <v>118</v>
      </c>
      <c r="R1524">
        <v>58.1</v>
      </c>
      <c r="S1524">
        <v>144</v>
      </c>
      <c r="T1524" s="8">
        <f t="shared" ref="T1524:T1587" si="49">IFERROR(R1524/(S1524^2)*10000,"")</f>
        <v>28.018904320987655</v>
      </c>
      <c r="U1524" s="13" t="str" cm="1">
        <f t="array" ref="U1524">IF(T1524="","",_xlfn.IFS(T1524&lt;18.5,"Bajo peso",T1524&lt;25,"Peso normal",T1524&lt;30,"Sobrepeso",T1524&lt;35,"Obesidad clase I",T1524&lt;40,"Obesidad clase II",T1524&gt;=40,"Obesidad clase III"))</f>
        <v>Sobrepeso</v>
      </c>
      <c r="V1524">
        <v>107</v>
      </c>
      <c r="X1524" t="s">
        <v>3463</v>
      </c>
      <c r="Y1524">
        <v>1.19</v>
      </c>
      <c r="AA1524">
        <v>46</v>
      </c>
      <c r="AB1524" s="9">
        <f t="shared" si="48"/>
        <v>45.935509354965603</v>
      </c>
      <c r="AD1524" t="s">
        <v>158</v>
      </c>
      <c r="AF1524" t="s">
        <v>158</v>
      </c>
      <c r="AG1524" t="s">
        <v>3465</v>
      </c>
      <c r="AH1524" t="s">
        <v>3465</v>
      </c>
      <c r="AI1524" t="s">
        <v>3465</v>
      </c>
      <c r="AJ1524" t="s">
        <v>3463</v>
      </c>
      <c r="AK1524" t="s">
        <v>3463</v>
      </c>
      <c r="AL1524" t="s">
        <v>3465</v>
      </c>
      <c r="AM1524" t="s">
        <v>649</v>
      </c>
      <c r="AN1524" t="s">
        <v>649</v>
      </c>
      <c r="AP1524" t="s">
        <v>3463</v>
      </c>
      <c r="AS1524" t="s">
        <v>3465</v>
      </c>
      <c r="AT1524" t="s">
        <v>3463</v>
      </c>
      <c r="AV1524" t="s">
        <v>74</v>
      </c>
      <c r="AW1524" t="s">
        <v>3915</v>
      </c>
      <c r="AX1524" t="s">
        <v>3463</v>
      </c>
      <c r="AY1524" t="s">
        <v>3463</v>
      </c>
      <c r="AZ1524" t="s">
        <v>490</v>
      </c>
      <c r="BA1524" s="2" t="s">
        <v>3920</v>
      </c>
      <c r="BB1524" t="s">
        <v>3485</v>
      </c>
      <c r="BF1524" t="s">
        <v>3921</v>
      </c>
      <c r="BH1524" t="s">
        <v>4020</v>
      </c>
      <c r="BP1524" t="s">
        <v>4260</v>
      </c>
      <c r="BQ1524" t="s">
        <v>3463</v>
      </c>
      <c r="BR1524" t="s">
        <v>3465</v>
      </c>
      <c r="BS1524" t="s">
        <v>3463</v>
      </c>
      <c r="BT1524" t="s">
        <v>3463</v>
      </c>
      <c r="BU1524" t="s">
        <v>3463</v>
      </c>
      <c r="BV1524" t="s">
        <v>3463</v>
      </c>
      <c r="BW1524" t="s">
        <v>3463</v>
      </c>
      <c r="BX1524" t="s">
        <v>79</v>
      </c>
      <c r="BY1524" t="s">
        <v>79</v>
      </c>
      <c r="BZ1524" t="s">
        <v>95</v>
      </c>
      <c r="CA1524" s="10">
        <v>45913</v>
      </c>
    </row>
    <row r="1525" spans="1:79">
      <c r="A1525">
        <v>1538</v>
      </c>
      <c r="B1525">
        <v>167</v>
      </c>
      <c r="C1525">
        <v>57</v>
      </c>
      <c r="D1525" t="s">
        <v>3462</v>
      </c>
      <c r="E1525" t="s">
        <v>3013</v>
      </c>
      <c r="F1525" t="s">
        <v>1804</v>
      </c>
      <c r="G1525" s="12" t="s">
        <v>3465</v>
      </c>
      <c r="H1525" t="s">
        <v>88</v>
      </c>
      <c r="I1525">
        <v>74</v>
      </c>
      <c r="J1525">
        <v>70</v>
      </c>
      <c r="K1525">
        <v>159</v>
      </c>
      <c r="L1525">
        <v>114</v>
      </c>
      <c r="M1525" t="s">
        <v>72</v>
      </c>
      <c r="N1525">
        <v>162</v>
      </c>
      <c r="O1525">
        <v>112</v>
      </c>
      <c r="P1525" t="s">
        <v>72</v>
      </c>
      <c r="Q1525" t="s">
        <v>72</v>
      </c>
      <c r="R1525">
        <v>89.6</v>
      </c>
      <c r="S1525">
        <v>168</v>
      </c>
      <c r="T1525" s="8">
        <f t="shared" si="49"/>
        <v>31.746031746031747</v>
      </c>
      <c r="U1525" s="13" t="str" cm="1">
        <f t="array" ref="U1525">IF(T1525="","",_xlfn.IFS(T1525&lt;18.5,"Bajo peso",T1525&lt;25,"Peso normal",T1525&lt;30,"Sobrepeso",T1525&lt;35,"Obesidad clase I",T1525&lt;40,"Obesidad clase II",T1525&gt;=40,"Obesidad clase III"))</f>
        <v>Obesidad clase I</v>
      </c>
      <c r="V1525">
        <v>102</v>
      </c>
      <c r="X1525" t="s">
        <v>3463</v>
      </c>
      <c r="Y1525">
        <v>1.27</v>
      </c>
      <c r="AA1525">
        <v>66</v>
      </c>
      <c r="AB1525" s="9">
        <f t="shared" si="48"/>
        <v>65.895757978608074</v>
      </c>
      <c r="AD1525" t="s">
        <v>73</v>
      </c>
      <c r="AF1525" t="s">
        <v>73</v>
      </c>
      <c r="AH1525" t="s">
        <v>3463</v>
      </c>
      <c r="AI1525" t="s">
        <v>3465</v>
      </c>
      <c r="AJ1525" t="s">
        <v>3463</v>
      </c>
      <c r="AK1525" t="s">
        <v>3463</v>
      </c>
      <c r="AL1525" t="s">
        <v>3463</v>
      </c>
      <c r="AP1525" t="s">
        <v>3463</v>
      </c>
      <c r="AQ1525" t="s">
        <v>3047</v>
      </c>
      <c r="AR1525" t="s">
        <v>3508</v>
      </c>
      <c r="AS1525" t="s">
        <v>3465</v>
      </c>
      <c r="AV1525" t="s">
        <v>126</v>
      </c>
      <c r="AW1525" t="s">
        <v>126</v>
      </c>
      <c r="BF1525" t="s">
        <v>3921</v>
      </c>
      <c r="BH1525" t="s">
        <v>4020</v>
      </c>
      <c r="BP1525" t="s">
        <v>4260</v>
      </c>
      <c r="BQ1525" t="s">
        <v>3465</v>
      </c>
      <c r="BR1525" t="s">
        <v>3463</v>
      </c>
      <c r="BS1525" t="s">
        <v>3463</v>
      </c>
      <c r="BT1525" t="s">
        <v>3465</v>
      </c>
      <c r="BU1525" t="s">
        <v>3463</v>
      </c>
      <c r="BV1525" t="s">
        <v>3463</v>
      </c>
      <c r="BW1525" t="s">
        <v>3463</v>
      </c>
      <c r="BX1525" t="s">
        <v>79</v>
      </c>
      <c r="BY1525" t="s">
        <v>79</v>
      </c>
      <c r="BZ1525" t="s">
        <v>79</v>
      </c>
      <c r="CA1525" s="10">
        <v>45913</v>
      </c>
    </row>
    <row r="1526" spans="1:79" ht="32">
      <c r="A1526">
        <v>1539</v>
      </c>
      <c r="B1526">
        <v>169</v>
      </c>
      <c r="C1526">
        <v>62</v>
      </c>
      <c r="D1526" t="s">
        <v>3462</v>
      </c>
      <c r="F1526" t="s">
        <v>1804</v>
      </c>
      <c r="G1526" s="12" t="s">
        <v>3463</v>
      </c>
      <c r="I1526">
        <v>91</v>
      </c>
      <c r="J1526">
        <v>93</v>
      </c>
      <c r="K1526">
        <v>159</v>
      </c>
      <c r="L1526">
        <v>95</v>
      </c>
      <c r="M1526" t="s">
        <v>72</v>
      </c>
      <c r="N1526">
        <v>149</v>
      </c>
      <c r="O1526">
        <v>96</v>
      </c>
      <c r="P1526" t="s">
        <v>72</v>
      </c>
      <c r="Q1526" t="s">
        <v>72</v>
      </c>
      <c r="R1526">
        <v>79</v>
      </c>
      <c r="S1526">
        <v>159</v>
      </c>
      <c r="T1526" s="8">
        <f t="shared" si="49"/>
        <v>31.248763893833317</v>
      </c>
      <c r="U1526" s="13" t="str" cm="1">
        <f t="array" ref="U1526">IF(T1526="","",_xlfn.IFS(T1526&lt;18.5,"Bajo peso",T1526&lt;25,"Peso normal",T1526&lt;30,"Sobrepeso",T1526&lt;35,"Obesidad clase I",T1526&lt;40,"Obesidad clase II",T1526&gt;=40,"Obesidad clase III"))</f>
        <v>Obesidad clase I</v>
      </c>
      <c r="V1526">
        <v>147</v>
      </c>
      <c r="X1526" t="s">
        <v>3463</v>
      </c>
      <c r="Y1526">
        <v>0.95</v>
      </c>
      <c r="AA1526">
        <v>90</v>
      </c>
      <c r="AB1526" s="9">
        <f t="shared" si="48"/>
        <v>90.499995738192567</v>
      </c>
      <c r="AD1526" t="s">
        <v>73</v>
      </c>
      <c r="AF1526" t="s">
        <v>73</v>
      </c>
      <c r="AG1526" t="s">
        <v>3463</v>
      </c>
      <c r="AH1526" t="s">
        <v>3465</v>
      </c>
      <c r="AI1526" t="s">
        <v>3465</v>
      </c>
      <c r="AJ1526" t="s">
        <v>3463</v>
      </c>
      <c r="AK1526" t="s">
        <v>3463</v>
      </c>
      <c r="AL1526" t="s">
        <v>3463</v>
      </c>
      <c r="AP1526" t="s">
        <v>3463</v>
      </c>
      <c r="AQ1526" t="s">
        <v>143</v>
      </c>
      <c r="AR1526" t="s">
        <v>3493</v>
      </c>
      <c r="AS1526" t="s">
        <v>3463</v>
      </c>
      <c r="AV1526" t="s">
        <v>126</v>
      </c>
      <c r="AW1526" t="s">
        <v>126</v>
      </c>
      <c r="BA1526" s="2" t="s">
        <v>3920</v>
      </c>
      <c r="BB1526" t="s">
        <v>3485</v>
      </c>
      <c r="BC1526" t="s">
        <v>128</v>
      </c>
      <c r="BF1526" t="s">
        <v>3921</v>
      </c>
      <c r="BH1526" t="s">
        <v>4021</v>
      </c>
      <c r="BI1526" t="s">
        <v>3250</v>
      </c>
      <c r="BP1526" t="s">
        <v>4270</v>
      </c>
      <c r="BQ1526" t="s">
        <v>3463</v>
      </c>
      <c r="BR1526" t="s">
        <v>3463</v>
      </c>
      <c r="BS1526" t="s">
        <v>3465</v>
      </c>
      <c r="BT1526" t="s">
        <v>3465</v>
      </c>
      <c r="BU1526" t="s">
        <v>3463</v>
      </c>
      <c r="CA1526" s="10">
        <v>45913</v>
      </c>
    </row>
    <row r="1527" spans="1:79">
      <c r="A1527">
        <v>1540</v>
      </c>
      <c r="B1527">
        <v>170</v>
      </c>
      <c r="C1527">
        <v>54</v>
      </c>
      <c r="D1527" t="s">
        <v>3466</v>
      </c>
      <c r="E1527" t="s">
        <v>2965</v>
      </c>
      <c r="F1527" t="s">
        <v>1804</v>
      </c>
      <c r="G1527" s="12" t="s">
        <v>3463</v>
      </c>
      <c r="I1527">
        <v>62</v>
      </c>
      <c r="J1527">
        <v>62</v>
      </c>
      <c r="K1527">
        <v>157</v>
      </c>
      <c r="L1527">
        <v>94</v>
      </c>
      <c r="M1527" t="s">
        <v>72</v>
      </c>
      <c r="N1527">
        <v>154</v>
      </c>
      <c r="O1527">
        <v>94</v>
      </c>
      <c r="P1527" t="s">
        <v>72</v>
      </c>
      <c r="Q1527" t="s">
        <v>72</v>
      </c>
      <c r="R1527">
        <v>112.9</v>
      </c>
      <c r="S1527">
        <v>159</v>
      </c>
      <c r="T1527" s="8">
        <f t="shared" si="49"/>
        <v>44.658043590047861</v>
      </c>
      <c r="U1527" s="13" t="str" cm="1">
        <f t="array" ref="U1527">IF(T1527="","",_xlfn.IFS(T1527&lt;18.5,"Bajo peso",T1527&lt;25,"Peso normal",T1527&lt;30,"Sobrepeso",T1527&lt;35,"Obesidad clase I",T1527&lt;40,"Obesidad clase II",T1527&gt;=40,"Obesidad clase III"))</f>
        <v>Obesidad clase III</v>
      </c>
      <c r="V1527">
        <v>79</v>
      </c>
      <c r="X1527" t="s">
        <v>3463</v>
      </c>
      <c r="Y1527">
        <v>0.9</v>
      </c>
      <c r="AA1527">
        <v>76</v>
      </c>
      <c r="AB1527" s="9">
        <f t="shared" si="48"/>
        <v>75.969817601020381</v>
      </c>
      <c r="AD1527" t="s">
        <v>73</v>
      </c>
      <c r="AF1527" t="s">
        <v>73</v>
      </c>
      <c r="AH1527" t="s">
        <v>3463</v>
      </c>
      <c r="AI1527" t="s">
        <v>3465</v>
      </c>
      <c r="AJ1527" t="s">
        <v>3465</v>
      </c>
      <c r="AK1527" t="s">
        <v>3463</v>
      </c>
      <c r="AL1527" t="s">
        <v>3463</v>
      </c>
      <c r="AO1527" t="s">
        <v>3463</v>
      </c>
      <c r="AP1527" t="s">
        <v>3465</v>
      </c>
      <c r="AQ1527" t="s">
        <v>3251</v>
      </c>
      <c r="AR1527" t="s">
        <v>3504</v>
      </c>
      <c r="AS1527" t="s">
        <v>3465</v>
      </c>
      <c r="AU1527" t="s">
        <v>125</v>
      </c>
      <c r="AV1527" t="s">
        <v>74</v>
      </c>
      <c r="AW1527" t="s">
        <v>3915</v>
      </c>
      <c r="AX1527" t="s">
        <v>3465</v>
      </c>
      <c r="AY1527" t="s">
        <v>3465</v>
      </c>
      <c r="AZ1527" t="s">
        <v>90</v>
      </c>
      <c r="BF1527" t="s">
        <v>3921</v>
      </c>
      <c r="BH1527" t="s">
        <v>4020</v>
      </c>
      <c r="BP1527" t="s">
        <v>4260</v>
      </c>
      <c r="BQ1527" t="s">
        <v>3463</v>
      </c>
      <c r="BR1527" t="s">
        <v>3463</v>
      </c>
      <c r="BS1527" t="s">
        <v>3465</v>
      </c>
      <c r="BT1527" t="s">
        <v>3465</v>
      </c>
      <c r="BU1527" t="s">
        <v>3463</v>
      </c>
      <c r="BV1527" t="s">
        <v>3463</v>
      </c>
      <c r="BW1527" t="s">
        <v>3463</v>
      </c>
      <c r="BX1527" t="s">
        <v>79</v>
      </c>
      <c r="BY1527" t="s">
        <v>79</v>
      </c>
      <c r="BZ1527" t="s">
        <v>79</v>
      </c>
      <c r="CA1527" s="10">
        <v>45913</v>
      </c>
    </row>
    <row r="1528" spans="1:79">
      <c r="A1528">
        <v>1541</v>
      </c>
      <c r="B1528">
        <v>171</v>
      </c>
      <c r="C1528">
        <v>59</v>
      </c>
      <c r="D1528" t="s">
        <v>3462</v>
      </c>
      <c r="E1528" t="s">
        <v>2565</v>
      </c>
      <c r="F1528" t="s">
        <v>1804</v>
      </c>
      <c r="G1528" s="12" t="s">
        <v>3463</v>
      </c>
      <c r="H1528" s="12"/>
      <c r="I1528">
        <v>65</v>
      </c>
      <c r="K1528">
        <v>114</v>
      </c>
      <c r="L1528">
        <v>68</v>
      </c>
      <c r="M1528" t="s">
        <v>80</v>
      </c>
      <c r="P1528" t="s">
        <v>83</v>
      </c>
      <c r="Q1528" t="s">
        <v>80</v>
      </c>
      <c r="R1528">
        <v>73</v>
      </c>
      <c r="S1528">
        <v>151</v>
      </c>
      <c r="T1528" s="8">
        <f t="shared" si="49"/>
        <v>32.016139642998112</v>
      </c>
      <c r="U1528" s="13" t="str" cm="1">
        <f t="array" ref="U1528">IF(T1528="","",_xlfn.IFS(T1528&lt;18.5,"Bajo peso",T1528&lt;25,"Peso normal",T1528&lt;30,"Sobrepeso",T1528&lt;35,"Obesidad clase I",T1528&lt;40,"Obesidad clase II",T1528&gt;=40,"Obesidad clase III"))</f>
        <v>Obesidad clase I</v>
      </c>
      <c r="V1528">
        <v>88</v>
      </c>
      <c r="X1528" t="s">
        <v>3463</v>
      </c>
      <c r="Y1528">
        <v>1.04</v>
      </c>
      <c r="AA1528">
        <v>83</v>
      </c>
      <c r="AB1528" s="9">
        <f t="shared" si="48"/>
        <v>82.714167059830913</v>
      </c>
      <c r="AD1528" t="s">
        <v>73</v>
      </c>
      <c r="AF1528" t="s">
        <v>73</v>
      </c>
      <c r="AH1528" t="s">
        <v>3463</v>
      </c>
      <c r="AI1528" t="s">
        <v>3463</v>
      </c>
      <c r="AJ1528" t="s">
        <v>3463</v>
      </c>
      <c r="AK1528" t="s">
        <v>3463</v>
      </c>
      <c r="AL1528" t="s">
        <v>3463</v>
      </c>
      <c r="AP1528" t="s">
        <v>3463</v>
      </c>
      <c r="AQ1528" t="s">
        <v>1567</v>
      </c>
      <c r="AR1528" t="s">
        <v>3491</v>
      </c>
      <c r="AV1528" t="s">
        <v>74</v>
      </c>
      <c r="AW1528" t="s">
        <v>3915</v>
      </c>
      <c r="BF1528" t="s">
        <v>3921</v>
      </c>
      <c r="BH1528" t="s">
        <v>4020</v>
      </c>
      <c r="BP1528" t="s">
        <v>4260</v>
      </c>
      <c r="BQ1528" t="s">
        <v>3463</v>
      </c>
      <c r="BR1528" t="s">
        <v>3463</v>
      </c>
      <c r="BS1528" t="s">
        <v>3463</v>
      </c>
      <c r="BT1528" t="s">
        <v>3463</v>
      </c>
      <c r="BU1528" t="s">
        <v>3463</v>
      </c>
      <c r="BV1528" t="s">
        <v>3463</v>
      </c>
      <c r="BW1528" t="s">
        <v>3463</v>
      </c>
      <c r="BX1528" t="s">
        <v>79</v>
      </c>
      <c r="BY1528" t="s">
        <v>79</v>
      </c>
      <c r="BZ1528" t="s">
        <v>79</v>
      </c>
      <c r="CA1528" s="10">
        <v>45913</v>
      </c>
    </row>
    <row r="1529" spans="1:79">
      <c r="A1529">
        <v>1542</v>
      </c>
      <c r="B1529">
        <v>172</v>
      </c>
      <c r="C1529">
        <v>57</v>
      </c>
      <c r="D1529" t="s">
        <v>3466</v>
      </c>
      <c r="E1529" t="s">
        <v>3013</v>
      </c>
      <c r="F1529" t="s">
        <v>1804</v>
      </c>
      <c r="G1529" s="12" t="s">
        <v>3465</v>
      </c>
      <c r="H1529" s="12" t="s">
        <v>88</v>
      </c>
      <c r="I1529">
        <v>60</v>
      </c>
      <c r="K1529">
        <v>123</v>
      </c>
      <c r="L1529">
        <v>79</v>
      </c>
      <c r="M1529" t="s">
        <v>118</v>
      </c>
      <c r="P1529" t="s">
        <v>83</v>
      </c>
      <c r="Q1529" t="s">
        <v>118</v>
      </c>
      <c r="R1529">
        <v>59.7</v>
      </c>
      <c r="S1529">
        <v>148</v>
      </c>
      <c r="T1529" s="8">
        <f t="shared" si="49"/>
        <v>27.25529583637692</v>
      </c>
      <c r="U1529" s="13" t="str" cm="1">
        <f t="array" ref="U1529">IF(T1529="","",_xlfn.IFS(T1529&lt;18.5,"Bajo peso",T1529&lt;25,"Peso normal",T1529&lt;30,"Sobrepeso",T1529&lt;35,"Obesidad clase I",T1529&lt;40,"Obesidad clase II",T1529&gt;=40,"Obesidad clase III"))</f>
        <v>Sobrepeso</v>
      </c>
      <c r="V1529">
        <v>85</v>
      </c>
      <c r="X1529" t="s">
        <v>3463</v>
      </c>
      <c r="Y1529">
        <v>0.81</v>
      </c>
      <c r="AA1529">
        <v>85</v>
      </c>
      <c r="AB1529" s="9">
        <f t="shared" si="48"/>
        <v>84.614939759686138</v>
      </c>
      <c r="AD1529" t="s">
        <v>73</v>
      </c>
      <c r="AF1529" t="s">
        <v>73</v>
      </c>
      <c r="AH1529" t="s">
        <v>3463</v>
      </c>
      <c r="AI1529" t="s">
        <v>3463</v>
      </c>
      <c r="AJ1529" t="s">
        <v>3463</v>
      </c>
      <c r="AK1529" t="s">
        <v>3463</v>
      </c>
      <c r="AL1529" t="s">
        <v>3465</v>
      </c>
      <c r="AM1529" t="s">
        <v>3252</v>
      </c>
      <c r="AN1529" t="s">
        <v>1499</v>
      </c>
      <c r="AP1529" t="s">
        <v>3463</v>
      </c>
      <c r="AT1529" t="s">
        <v>3465</v>
      </c>
      <c r="AU1529" t="s">
        <v>80</v>
      </c>
      <c r="AV1529" t="s">
        <v>74</v>
      </c>
      <c r="AW1529" t="s">
        <v>3915</v>
      </c>
      <c r="AX1529" t="s">
        <v>3463</v>
      </c>
      <c r="AY1529" t="s">
        <v>3465</v>
      </c>
      <c r="AZ1529" t="s">
        <v>90</v>
      </c>
      <c r="BF1529" t="s">
        <v>3921</v>
      </c>
      <c r="BH1529" t="s">
        <v>4020</v>
      </c>
      <c r="BP1529" t="s">
        <v>4260</v>
      </c>
      <c r="BQ1529" t="s">
        <v>3463</v>
      </c>
      <c r="BR1529" t="s">
        <v>3463</v>
      </c>
      <c r="BS1529" t="s">
        <v>3465</v>
      </c>
      <c r="BT1529" t="s">
        <v>3465</v>
      </c>
      <c r="BU1529" t="s">
        <v>3463</v>
      </c>
      <c r="BV1529" t="s">
        <v>3463</v>
      </c>
      <c r="BW1529" t="s">
        <v>3463</v>
      </c>
      <c r="BX1529" t="s">
        <v>79</v>
      </c>
      <c r="BY1529" t="s">
        <v>79</v>
      </c>
      <c r="BZ1529" t="s">
        <v>79</v>
      </c>
      <c r="CA1529" s="10">
        <v>45913</v>
      </c>
    </row>
    <row r="1530" spans="1:79">
      <c r="A1530">
        <v>1543</v>
      </c>
      <c r="B1530">
        <v>173</v>
      </c>
      <c r="C1530">
        <v>59</v>
      </c>
      <c r="D1530" t="s">
        <v>3462</v>
      </c>
      <c r="E1530" t="s">
        <v>3253</v>
      </c>
      <c r="F1530" t="s">
        <v>1804</v>
      </c>
      <c r="G1530" s="12" t="s">
        <v>3465</v>
      </c>
      <c r="H1530" t="s">
        <v>88</v>
      </c>
      <c r="I1530">
        <v>68</v>
      </c>
      <c r="K1530">
        <v>116</v>
      </c>
      <c r="L1530">
        <v>67</v>
      </c>
      <c r="M1530" t="s">
        <v>80</v>
      </c>
      <c r="P1530" t="s">
        <v>83</v>
      </c>
      <c r="Q1530" t="s">
        <v>80</v>
      </c>
      <c r="R1530">
        <v>75</v>
      </c>
      <c r="S1530">
        <v>166</v>
      </c>
      <c r="T1530" s="8">
        <f t="shared" si="49"/>
        <v>27.217302946726665</v>
      </c>
      <c r="U1530" s="13" t="str" cm="1">
        <f t="array" ref="U1530">IF(T1530="","",_xlfn.IFS(T1530&lt;18.5,"Bajo peso",T1530&lt;25,"Peso normal",T1530&lt;30,"Sobrepeso",T1530&lt;35,"Obesidad clase I",T1530&lt;40,"Obesidad clase II",T1530&gt;=40,"Obesidad clase III"))</f>
        <v>Sobrepeso</v>
      </c>
      <c r="V1530">
        <v>175</v>
      </c>
      <c r="X1530" t="s">
        <v>3463</v>
      </c>
      <c r="Y1530">
        <v>0.97</v>
      </c>
      <c r="AA1530">
        <v>90</v>
      </c>
      <c r="AB1530" s="9">
        <f t="shared" si="48"/>
        <v>89.927770559156158</v>
      </c>
      <c r="AD1530" t="s">
        <v>73</v>
      </c>
      <c r="AF1530" t="s">
        <v>73</v>
      </c>
      <c r="AG1530" t="s">
        <v>3465</v>
      </c>
      <c r="AH1530" t="s">
        <v>3465</v>
      </c>
      <c r="AI1530" t="s">
        <v>3465</v>
      </c>
      <c r="AJ1530" t="s">
        <v>3463</v>
      </c>
      <c r="AK1530" t="s">
        <v>3463</v>
      </c>
      <c r="AL1530" t="s">
        <v>3463</v>
      </c>
      <c r="AP1530" t="s">
        <v>3463</v>
      </c>
      <c r="AQ1530" t="s">
        <v>169</v>
      </c>
      <c r="AR1530" t="s">
        <v>3493</v>
      </c>
      <c r="AS1530" t="s">
        <v>3465</v>
      </c>
      <c r="AV1530" t="s">
        <v>126</v>
      </c>
      <c r="AW1530" t="s">
        <v>126</v>
      </c>
      <c r="BF1530" t="s">
        <v>3921</v>
      </c>
      <c r="BH1530" t="s">
        <v>4020</v>
      </c>
      <c r="BP1530" t="s">
        <v>4260</v>
      </c>
      <c r="BQ1530" t="s">
        <v>3463</v>
      </c>
      <c r="BR1530" t="s">
        <v>3465</v>
      </c>
      <c r="BS1530" t="s">
        <v>3463</v>
      </c>
      <c r="BT1530" t="s">
        <v>3463</v>
      </c>
      <c r="BU1530" t="s">
        <v>3463</v>
      </c>
      <c r="BV1530" t="s">
        <v>3463</v>
      </c>
      <c r="BW1530" t="s">
        <v>3463</v>
      </c>
      <c r="BX1530" t="s">
        <v>79</v>
      </c>
      <c r="BY1530" t="s">
        <v>121</v>
      </c>
      <c r="BZ1530" t="s">
        <v>79</v>
      </c>
      <c r="CA1530" s="10">
        <v>45913</v>
      </c>
    </row>
    <row r="1531" spans="1:79">
      <c r="A1531">
        <v>1544</v>
      </c>
      <c r="B1531">
        <v>174</v>
      </c>
      <c r="C1531">
        <v>46</v>
      </c>
      <c r="D1531" t="s">
        <v>3466</v>
      </c>
      <c r="E1531" t="s">
        <v>2955</v>
      </c>
      <c r="F1531" t="s">
        <v>1804</v>
      </c>
      <c r="G1531" s="12" t="s">
        <v>3463</v>
      </c>
      <c r="I1531">
        <v>76</v>
      </c>
      <c r="K1531">
        <v>130</v>
      </c>
      <c r="L1531">
        <v>83</v>
      </c>
      <c r="M1531" t="s">
        <v>82</v>
      </c>
      <c r="P1531" t="s">
        <v>83</v>
      </c>
      <c r="Q1531" t="s">
        <v>82</v>
      </c>
      <c r="R1531">
        <v>75.400000000000006</v>
      </c>
      <c r="S1531">
        <v>169</v>
      </c>
      <c r="T1531" s="8">
        <f t="shared" si="49"/>
        <v>26.39963586709149</v>
      </c>
      <c r="U1531" s="13" t="str" cm="1">
        <f t="array" ref="U1531">IF(T1531="","",_xlfn.IFS(T1531&lt;18.5,"Bajo peso",T1531&lt;25,"Peso normal",T1531&lt;30,"Sobrepeso",T1531&lt;35,"Obesidad clase I",T1531&lt;40,"Obesidad clase II",T1531&gt;=40,"Obesidad clase III"))</f>
        <v>Sobrepeso</v>
      </c>
      <c r="V1531">
        <v>61</v>
      </c>
      <c r="X1531" t="s">
        <v>3463</v>
      </c>
      <c r="Y1531">
        <v>0.81</v>
      </c>
      <c r="AA1531">
        <v>90</v>
      </c>
      <c r="AB1531" s="9">
        <f t="shared" si="48"/>
        <v>90.606245167207049</v>
      </c>
      <c r="AD1531" t="s">
        <v>73</v>
      </c>
      <c r="AF1531" t="s">
        <v>73</v>
      </c>
      <c r="AH1531" t="s">
        <v>3463</v>
      </c>
      <c r="AI1531" t="s">
        <v>3463</v>
      </c>
      <c r="AJ1531" t="s">
        <v>3463</v>
      </c>
      <c r="AK1531" t="s">
        <v>3463</v>
      </c>
      <c r="AL1531" t="s">
        <v>3463</v>
      </c>
      <c r="AP1531" t="s">
        <v>3463</v>
      </c>
      <c r="AQ1531" t="s">
        <v>120</v>
      </c>
      <c r="AR1531" t="s">
        <v>3491</v>
      </c>
      <c r="AT1531" t="s">
        <v>3465</v>
      </c>
      <c r="AU1531" t="s">
        <v>125</v>
      </c>
      <c r="AV1531" t="s">
        <v>74</v>
      </c>
      <c r="AW1531" t="s">
        <v>3915</v>
      </c>
      <c r="AX1531" t="s">
        <v>3463</v>
      </c>
      <c r="AY1531" t="s">
        <v>3465</v>
      </c>
      <c r="AZ1531" t="s">
        <v>90</v>
      </c>
      <c r="BF1531" t="s">
        <v>3921</v>
      </c>
      <c r="BH1531" t="s">
        <v>4020</v>
      </c>
      <c r="BP1531" t="s">
        <v>4260</v>
      </c>
      <c r="BQ1531" t="s">
        <v>3465</v>
      </c>
      <c r="BR1531" t="s">
        <v>3465</v>
      </c>
      <c r="BS1531" t="s">
        <v>3463</v>
      </c>
      <c r="BT1531" t="s">
        <v>3463</v>
      </c>
      <c r="BU1531" t="s">
        <v>3463</v>
      </c>
      <c r="BX1531" t="s">
        <v>79</v>
      </c>
      <c r="BY1531" t="s">
        <v>79</v>
      </c>
      <c r="BZ1531" t="s">
        <v>79</v>
      </c>
      <c r="CA1531" s="10">
        <v>45913</v>
      </c>
    </row>
    <row r="1532" spans="1:79">
      <c r="A1532">
        <v>1545</v>
      </c>
      <c r="B1532">
        <v>175</v>
      </c>
      <c r="C1532">
        <v>51</v>
      </c>
      <c r="D1532" t="s">
        <v>3462</v>
      </c>
      <c r="F1532" t="s">
        <v>1804</v>
      </c>
      <c r="G1532" s="12" t="s">
        <v>3463</v>
      </c>
      <c r="H1532" s="12"/>
      <c r="I1532">
        <v>78</v>
      </c>
      <c r="K1532">
        <v>134</v>
      </c>
      <c r="L1532">
        <v>87</v>
      </c>
      <c r="M1532" t="s">
        <v>82</v>
      </c>
      <c r="P1532" t="s">
        <v>83</v>
      </c>
      <c r="Q1532" t="s">
        <v>82</v>
      </c>
      <c r="R1532">
        <v>77.7</v>
      </c>
      <c r="S1532">
        <v>167</v>
      </c>
      <c r="T1532" s="8">
        <f t="shared" si="49"/>
        <v>27.860446771128402</v>
      </c>
      <c r="U1532" s="13" t="str" cm="1">
        <f t="array" ref="U1532">IF(T1532="","",_xlfn.IFS(T1532&lt;18.5,"Bajo peso",T1532&lt;25,"Peso normal",T1532&lt;30,"Sobrepeso",T1532&lt;35,"Obesidad clase I",T1532&lt;40,"Obesidad clase II",T1532&gt;=40,"Obesidad clase III"))</f>
        <v>Sobrepeso</v>
      </c>
      <c r="V1532">
        <v>115</v>
      </c>
      <c r="X1532" t="s">
        <v>3463</v>
      </c>
      <c r="Y1532">
        <v>1.01</v>
      </c>
      <c r="AA1532">
        <v>90</v>
      </c>
      <c r="AB1532" s="9">
        <f t="shared" si="48"/>
        <v>90.041416812136362</v>
      </c>
      <c r="AD1532" t="s">
        <v>73</v>
      </c>
      <c r="AF1532" t="s">
        <v>73</v>
      </c>
      <c r="AG1532" t="s">
        <v>3465</v>
      </c>
      <c r="AH1532" t="s">
        <v>3465</v>
      </c>
      <c r="AI1532" t="s">
        <v>3465</v>
      </c>
      <c r="AJ1532" t="s">
        <v>3465</v>
      </c>
      <c r="AK1532" t="s">
        <v>3463</v>
      </c>
      <c r="AL1532" t="s">
        <v>3463</v>
      </c>
      <c r="AP1532" t="s">
        <v>3463</v>
      </c>
      <c r="AQ1532" t="s">
        <v>3254</v>
      </c>
      <c r="AR1532" t="s">
        <v>3488</v>
      </c>
      <c r="AS1532" t="s">
        <v>3465</v>
      </c>
      <c r="AV1532" t="s">
        <v>74</v>
      </c>
      <c r="AW1532" t="s">
        <v>3915</v>
      </c>
      <c r="BF1532" t="s">
        <v>3921</v>
      </c>
      <c r="BH1532" t="s">
        <v>4020</v>
      </c>
      <c r="BP1532" t="s">
        <v>4260</v>
      </c>
      <c r="BQ1532" t="s">
        <v>3465</v>
      </c>
      <c r="BR1532" t="s">
        <v>3465</v>
      </c>
      <c r="BS1532" t="s">
        <v>3463</v>
      </c>
      <c r="BT1532" t="s">
        <v>3463</v>
      </c>
      <c r="BU1532" t="s">
        <v>3463</v>
      </c>
      <c r="BV1532" t="s">
        <v>3463</v>
      </c>
      <c r="BW1532" t="s">
        <v>3463</v>
      </c>
      <c r="BX1532" t="s">
        <v>79</v>
      </c>
      <c r="BY1532" t="s">
        <v>79</v>
      </c>
      <c r="BZ1532" t="s">
        <v>79</v>
      </c>
      <c r="CA1532" s="10">
        <v>45913</v>
      </c>
    </row>
    <row r="1533" spans="1:79">
      <c r="A1533">
        <v>1546</v>
      </c>
      <c r="B1533">
        <v>176</v>
      </c>
      <c r="C1533">
        <v>20</v>
      </c>
      <c r="D1533" t="s">
        <v>3462</v>
      </c>
      <c r="E1533" t="s">
        <v>3180</v>
      </c>
      <c r="F1533" t="s">
        <v>1804</v>
      </c>
      <c r="G1533" s="12" t="s">
        <v>3463</v>
      </c>
      <c r="I1533">
        <v>73</v>
      </c>
      <c r="K1533">
        <v>135</v>
      </c>
      <c r="L1533">
        <v>78</v>
      </c>
      <c r="M1533" t="s">
        <v>82</v>
      </c>
      <c r="P1533" t="s">
        <v>83</v>
      </c>
      <c r="Q1533" t="s">
        <v>82</v>
      </c>
      <c r="R1533">
        <v>69.599999999999994</v>
      </c>
      <c r="S1533">
        <v>165</v>
      </c>
      <c r="T1533" s="8">
        <f t="shared" si="49"/>
        <v>25.564738292011015</v>
      </c>
      <c r="U1533" s="13" t="str" cm="1">
        <f t="array" ref="U1533">IF(T1533="","",_xlfn.IFS(T1533&lt;18.5,"Bajo peso",T1533&lt;25,"Peso normal",T1533&lt;30,"Sobrepeso",T1533&lt;35,"Obesidad clase I",T1533&lt;40,"Obesidad clase II",T1533&gt;=40,"Obesidad clase III"))</f>
        <v>Sobrepeso</v>
      </c>
      <c r="V1533">
        <v>90</v>
      </c>
      <c r="X1533" t="s">
        <v>3463</v>
      </c>
      <c r="Y1533">
        <v>1.03</v>
      </c>
      <c r="AA1533">
        <v>90</v>
      </c>
      <c r="AB1533" s="9">
        <f t="shared" si="48"/>
        <v>106.64844664620433</v>
      </c>
      <c r="AD1533" t="s">
        <v>73</v>
      </c>
      <c r="AF1533" t="s">
        <v>73</v>
      </c>
      <c r="AH1533" t="s">
        <v>3463</v>
      </c>
      <c r="AI1533" t="s">
        <v>3463</v>
      </c>
      <c r="AJ1533" t="s">
        <v>3463</v>
      </c>
      <c r="AK1533" t="s">
        <v>3463</v>
      </c>
      <c r="AL1533" t="s">
        <v>3463</v>
      </c>
      <c r="AP1533" t="s">
        <v>3463</v>
      </c>
      <c r="AQ1533" t="s">
        <v>3028</v>
      </c>
      <c r="AR1533" t="s">
        <v>3508</v>
      </c>
      <c r="AV1533" t="s">
        <v>74</v>
      </c>
      <c r="AW1533" t="s">
        <v>3915</v>
      </c>
      <c r="BF1533" t="s">
        <v>3921</v>
      </c>
      <c r="BH1533" t="s">
        <v>4020</v>
      </c>
      <c r="BP1533" t="s">
        <v>4260</v>
      </c>
      <c r="BQ1533" t="s">
        <v>3463</v>
      </c>
      <c r="BR1533" t="s">
        <v>3463</v>
      </c>
      <c r="BS1533" t="s">
        <v>3463</v>
      </c>
      <c r="BT1533" t="s">
        <v>3463</v>
      </c>
      <c r="BU1533" t="s">
        <v>3463</v>
      </c>
      <c r="BV1533" t="s">
        <v>3463</v>
      </c>
      <c r="BW1533" t="s">
        <v>3463</v>
      </c>
      <c r="BX1533" t="s">
        <v>79</v>
      </c>
      <c r="BY1533" t="s">
        <v>79</v>
      </c>
      <c r="BZ1533" t="s">
        <v>79</v>
      </c>
      <c r="CA1533" s="10">
        <v>45913</v>
      </c>
    </row>
    <row r="1534" spans="1:79">
      <c r="A1534">
        <v>1547</v>
      </c>
      <c r="B1534">
        <v>177</v>
      </c>
      <c r="C1534">
        <v>51</v>
      </c>
      <c r="D1534" t="s">
        <v>3466</v>
      </c>
      <c r="E1534" t="s">
        <v>2565</v>
      </c>
      <c r="F1534" t="s">
        <v>1804</v>
      </c>
      <c r="G1534" s="12" t="s">
        <v>3463</v>
      </c>
      <c r="I1534">
        <v>70</v>
      </c>
      <c r="K1534">
        <v>133</v>
      </c>
      <c r="L1534">
        <v>78</v>
      </c>
      <c r="M1534" t="s">
        <v>82</v>
      </c>
      <c r="P1534" t="s">
        <v>83</v>
      </c>
      <c r="Q1534" t="s">
        <v>82</v>
      </c>
      <c r="R1534">
        <v>63.7</v>
      </c>
      <c r="S1534">
        <v>149</v>
      </c>
      <c r="T1534" s="8">
        <f t="shared" si="49"/>
        <v>28.692401243187245</v>
      </c>
      <c r="U1534" s="13" t="str" cm="1">
        <f t="array" ref="U1534">IF(T1534="","",_xlfn.IFS(T1534&lt;18.5,"Bajo peso",T1534&lt;25,"Peso normal",T1534&lt;30,"Sobrepeso",T1534&lt;35,"Obesidad clase I",T1534&lt;40,"Obesidad clase II",T1534&gt;=40,"Obesidad clase III"))</f>
        <v>Sobrepeso</v>
      </c>
      <c r="V1534">
        <v>88</v>
      </c>
      <c r="X1534" t="s">
        <v>3463</v>
      </c>
      <c r="Y1534">
        <v>0.73</v>
      </c>
      <c r="AA1534">
        <v>90</v>
      </c>
      <c r="AB1534" s="9">
        <f t="shared" si="48"/>
        <v>99.505637319591514</v>
      </c>
      <c r="AD1534" t="s">
        <v>73</v>
      </c>
      <c r="AF1534" t="s">
        <v>73</v>
      </c>
      <c r="AH1534" t="s">
        <v>3463</v>
      </c>
      <c r="AI1534" t="s">
        <v>3463</v>
      </c>
      <c r="AJ1534" t="s">
        <v>3463</v>
      </c>
      <c r="AK1534" t="s">
        <v>3463</v>
      </c>
      <c r="AL1534" t="s">
        <v>3465</v>
      </c>
      <c r="AM1534" t="s">
        <v>3255</v>
      </c>
      <c r="AN1534" t="s">
        <v>3899</v>
      </c>
      <c r="AO1534" t="s">
        <v>3465</v>
      </c>
      <c r="AP1534" t="s">
        <v>3465</v>
      </c>
      <c r="AQ1534" t="s">
        <v>3256</v>
      </c>
      <c r="AR1534" t="s">
        <v>3490</v>
      </c>
      <c r="AT1534" t="s">
        <v>3465</v>
      </c>
      <c r="AU1534" t="s">
        <v>80</v>
      </c>
      <c r="AV1534" t="s">
        <v>74</v>
      </c>
      <c r="AW1534" t="s">
        <v>3915</v>
      </c>
      <c r="AX1534" t="s">
        <v>3463</v>
      </c>
      <c r="AY1534" t="s">
        <v>3463</v>
      </c>
      <c r="BF1534" t="s">
        <v>3921</v>
      </c>
      <c r="BH1534" t="s">
        <v>4020</v>
      </c>
      <c r="BP1534" t="s">
        <v>4260</v>
      </c>
      <c r="BQ1534" t="s">
        <v>3463</v>
      </c>
      <c r="BR1534" t="s">
        <v>3463</v>
      </c>
      <c r="BS1534" t="s">
        <v>3463</v>
      </c>
      <c r="BT1534" t="s">
        <v>3463</v>
      </c>
      <c r="BU1534" t="s">
        <v>3463</v>
      </c>
      <c r="BV1534" t="s">
        <v>3463</v>
      </c>
      <c r="BW1534" t="s">
        <v>3463</v>
      </c>
      <c r="BX1534" t="s">
        <v>79</v>
      </c>
      <c r="BY1534" t="s">
        <v>79</v>
      </c>
      <c r="BZ1534" t="s">
        <v>79</v>
      </c>
      <c r="CA1534" s="10">
        <v>45913</v>
      </c>
    </row>
    <row r="1535" spans="1:79">
      <c r="A1535">
        <v>1548</v>
      </c>
      <c r="B1535">
        <v>178</v>
      </c>
      <c r="C1535">
        <v>60</v>
      </c>
      <c r="D1535" t="s">
        <v>3462</v>
      </c>
      <c r="F1535" t="s">
        <v>1804</v>
      </c>
      <c r="G1535" s="12" t="s">
        <v>3463</v>
      </c>
      <c r="H1535" s="12"/>
      <c r="I1535">
        <v>68</v>
      </c>
      <c r="J1535">
        <v>64</v>
      </c>
      <c r="K1535">
        <v>190</v>
      </c>
      <c r="L1535">
        <v>109</v>
      </c>
      <c r="M1535" t="s">
        <v>96</v>
      </c>
      <c r="N1535">
        <v>170</v>
      </c>
      <c r="O1535">
        <v>94</v>
      </c>
      <c r="P1535" t="s">
        <v>72</v>
      </c>
      <c r="Q1535" t="s">
        <v>72</v>
      </c>
      <c r="R1535">
        <v>79</v>
      </c>
      <c r="S1535">
        <v>165.5</v>
      </c>
      <c r="T1535" s="8">
        <f t="shared" si="49"/>
        <v>28.842380043993757</v>
      </c>
      <c r="U1535" s="13" t="str" cm="1">
        <f t="array" ref="U1535">IF(T1535="","",_xlfn.IFS(T1535&lt;18.5,"Bajo peso",T1535&lt;25,"Peso normal",T1535&lt;30,"Sobrepeso",T1535&lt;35,"Obesidad clase I",T1535&lt;40,"Obesidad clase II",T1535&gt;=40,"Obesidad clase III"))</f>
        <v>Sobrepeso</v>
      </c>
      <c r="V1535">
        <v>81</v>
      </c>
      <c r="X1535" t="s">
        <v>3463</v>
      </c>
      <c r="Y1535">
        <v>0.74</v>
      </c>
      <c r="AA1535">
        <v>90</v>
      </c>
      <c r="AB1535" s="9">
        <f t="shared" si="48"/>
        <v>103.72922841915143</v>
      </c>
      <c r="AD1535" t="s">
        <v>73</v>
      </c>
      <c r="AF1535" t="s">
        <v>73</v>
      </c>
      <c r="AH1535" t="s">
        <v>3463</v>
      </c>
      <c r="AI1535" t="s">
        <v>3465</v>
      </c>
      <c r="AJ1535" t="s">
        <v>3463</v>
      </c>
      <c r="AK1535" t="s">
        <v>3463</v>
      </c>
      <c r="AL1535" t="s">
        <v>3465</v>
      </c>
      <c r="AM1535" t="s">
        <v>110</v>
      </c>
      <c r="AN1535" t="s">
        <v>110</v>
      </c>
      <c r="AP1535" t="s">
        <v>3463</v>
      </c>
      <c r="AQ1535" t="s">
        <v>143</v>
      </c>
      <c r="AR1535" t="s">
        <v>3493</v>
      </c>
      <c r="AS1535" t="s">
        <v>3465</v>
      </c>
      <c r="AV1535" t="s">
        <v>74</v>
      </c>
      <c r="AW1535" t="s">
        <v>3915</v>
      </c>
      <c r="BF1535" t="s">
        <v>3921</v>
      </c>
      <c r="BH1535" t="s">
        <v>4020</v>
      </c>
      <c r="BP1535" t="s">
        <v>4260</v>
      </c>
      <c r="BQ1535" t="s">
        <v>3463</v>
      </c>
      <c r="BR1535" t="s">
        <v>3465</v>
      </c>
      <c r="BS1535" t="s">
        <v>3463</v>
      </c>
      <c r="BT1535" t="s">
        <v>3465</v>
      </c>
      <c r="BU1535" t="s">
        <v>3463</v>
      </c>
      <c r="BX1535" t="s">
        <v>79</v>
      </c>
      <c r="BY1535" t="s">
        <v>79</v>
      </c>
      <c r="BZ1535" t="s">
        <v>79</v>
      </c>
      <c r="CA1535" s="10">
        <v>45913</v>
      </c>
    </row>
    <row r="1536" spans="1:79">
      <c r="A1536">
        <v>1549</v>
      </c>
      <c r="B1536">
        <v>179</v>
      </c>
      <c r="C1536">
        <v>50</v>
      </c>
      <c r="D1536" t="s">
        <v>3462</v>
      </c>
      <c r="E1536" t="s">
        <v>3180</v>
      </c>
      <c r="F1536" t="s">
        <v>1804</v>
      </c>
      <c r="G1536" s="12" t="s">
        <v>3463</v>
      </c>
      <c r="I1536">
        <v>95</v>
      </c>
      <c r="K1536">
        <v>132</v>
      </c>
      <c r="L1536">
        <v>72</v>
      </c>
      <c r="M1536" t="s">
        <v>82</v>
      </c>
      <c r="P1536" t="s">
        <v>83</v>
      </c>
      <c r="Q1536" t="s">
        <v>82</v>
      </c>
      <c r="R1536">
        <v>63.8</v>
      </c>
      <c r="S1536">
        <v>155</v>
      </c>
      <c r="T1536" s="8">
        <f t="shared" si="49"/>
        <v>26.555671175858478</v>
      </c>
      <c r="U1536" s="13" t="str" cm="1">
        <f t="array" ref="U1536">IF(T1536="","",_xlfn.IFS(T1536&lt;18.5,"Bajo peso",T1536&lt;25,"Peso normal",T1536&lt;30,"Sobrepeso",T1536&lt;35,"Obesidad clase I",T1536&lt;40,"Obesidad clase II",T1536&gt;=40,"Obesidad clase III"))</f>
        <v>Sobrepeso</v>
      </c>
      <c r="V1536">
        <v>157</v>
      </c>
      <c r="X1536" t="s">
        <v>3463</v>
      </c>
      <c r="Y1536">
        <v>0.86</v>
      </c>
      <c r="AA1536">
        <v>90</v>
      </c>
      <c r="AB1536" s="9">
        <f t="shared" si="48"/>
        <v>105.48741997642311</v>
      </c>
      <c r="AD1536" t="s">
        <v>73</v>
      </c>
      <c r="AF1536" t="s">
        <v>73</v>
      </c>
      <c r="AH1536" t="s">
        <v>3463</v>
      </c>
      <c r="AI1536" t="s">
        <v>3463</v>
      </c>
      <c r="AJ1536" t="s">
        <v>3465</v>
      </c>
      <c r="AK1536" t="s">
        <v>3463</v>
      </c>
      <c r="AL1536" t="s">
        <v>3463</v>
      </c>
      <c r="AO1536" t="s">
        <v>3465</v>
      </c>
      <c r="AP1536" t="s">
        <v>3465</v>
      </c>
      <c r="AQ1536" t="s">
        <v>3257</v>
      </c>
      <c r="AR1536" t="s">
        <v>3508</v>
      </c>
      <c r="AV1536" t="s">
        <v>74</v>
      </c>
      <c r="AW1536" t="s">
        <v>3915</v>
      </c>
      <c r="BB1536" t="s">
        <v>84</v>
      </c>
      <c r="BF1536" t="s">
        <v>3921</v>
      </c>
      <c r="BH1536" t="s">
        <v>4029</v>
      </c>
      <c r="BJ1536" t="s">
        <v>3258</v>
      </c>
      <c r="BP1536" t="s">
        <v>4391</v>
      </c>
      <c r="BQ1536" t="s">
        <v>3465</v>
      </c>
      <c r="BR1536" t="s">
        <v>3463</v>
      </c>
      <c r="BS1536" t="s">
        <v>3463</v>
      </c>
      <c r="BT1536" t="s">
        <v>3463</v>
      </c>
      <c r="BU1536" t="s">
        <v>3463</v>
      </c>
      <c r="BV1536" t="s">
        <v>3463</v>
      </c>
      <c r="BW1536" t="s">
        <v>3463</v>
      </c>
      <c r="BX1536" t="s">
        <v>79</v>
      </c>
      <c r="BY1536" t="s">
        <v>121</v>
      </c>
      <c r="BZ1536" t="s">
        <v>79</v>
      </c>
      <c r="CA1536" s="10">
        <v>45913</v>
      </c>
    </row>
    <row r="1537" spans="1:79" ht="32">
      <c r="A1537">
        <v>1550</v>
      </c>
      <c r="B1537">
        <v>180</v>
      </c>
      <c r="C1537">
        <v>55</v>
      </c>
      <c r="D1537" t="s">
        <v>3466</v>
      </c>
      <c r="E1537" t="s">
        <v>3114</v>
      </c>
      <c r="F1537" t="s">
        <v>1804</v>
      </c>
      <c r="G1537" s="12" t="s">
        <v>3463</v>
      </c>
      <c r="H1537" s="12"/>
      <c r="I1537">
        <v>81</v>
      </c>
      <c r="J1537">
        <v>80</v>
      </c>
      <c r="K1537">
        <v>153</v>
      </c>
      <c r="L1537">
        <v>88</v>
      </c>
      <c r="M1537" t="s">
        <v>72</v>
      </c>
      <c r="N1537">
        <v>150</v>
      </c>
      <c r="O1537">
        <v>85</v>
      </c>
      <c r="P1537" t="s">
        <v>72</v>
      </c>
      <c r="Q1537" t="s">
        <v>72</v>
      </c>
      <c r="R1537">
        <v>68.900000000000006</v>
      </c>
      <c r="S1537">
        <v>149</v>
      </c>
      <c r="T1537" s="8">
        <f t="shared" si="49"/>
        <v>31.034638079365795</v>
      </c>
      <c r="U1537" s="13" t="str" cm="1">
        <f t="array" ref="U1537">IF(T1537="","",_xlfn.IFS(T1537&lt;18.5,"Bajo peso",T1537&lt;25,"Peso normal",T1537&lt;30,"Sobrepeso",T1537&lt;35,"Obesidad clase I",T1537&lt;40,"Obesidad clase II",T1537&gt;=40,"Obesidad clase III"))</f>
        <v>Obesidad clase I</v>
      </c>
      <c r="V1537">
        <v>103</v>
      </c>
      <c r="X1537" t="s">
        <v>3463</v>
      </c>
      <c r="Y1537">
        <v>0.99</v>
      </c>
      <c r="AA1537">
        <v>67</v>
      </c>
      <c r="AB1537" s="9">
        <f t="shared" si="48"/>
        <v>67.339339752442598</v>
      </c>
      <c r="AD1537" t="s">
        <v>73</v>
      </c>
      <c r="AF1537" t="s">
        <v>73</v>
      </c>
      <c r="AH1537" t="s">
        <v>3463</v>
      </c>
      <c r="AI1537" t="s">
        <v>3465</v>
      </c>
      <c r="AJ1537" t="s">
        <v>3463</v>
      </c>
      <c r="AK1537" t="s">
        <v>3463</v>
      </c>
      <c r="AP1537" t="s">
        <v>3463</v>
      </c>
      <c r="AQ1537" t="s">
        <v>159</v>
      </c>
      <c r="AR1537" t="s">
        <v>3491</v>
      </c>
      <c r="AS1537" t="s">
        <v>3465</v>
      </c>
      <c r="AT1537" t="s">
        <v>3465</v>
      </c>
      <c r="AV1537" t="s">
        <v>112</v>
      </c>
      <c r="AW1537" t="s">
        <v>3917</v>
      </c>
      <c r="AX1537" t="s">
        <v>3465</v>
      </c>
      <c r="AY1537" t="s">
        <v>3465</v>
      </c>
      <c r="AZ1537" t="s">
        <v>247</v>
      </c>
      <c r="BA1537" s="2" t="s">
        <v>3920</v>
      </c>
      <c r="BB1537" t="s">
        <v>3485</v>
      </c>
      <c r="BC1537" t="s">
        <v>128</v>
      </c>
      <c r="BF1537" t="s">
        <v>3921</v>
      </c>
      <c r="BH1537" t="s">
        <v>4029</v>
      </c>
      <c r="BI1537" t="s">
        <v>3259</v>
      </c>
      <c r="BP1537" t="s">
        <v>4565</v>
      </c>
      <c r="BQ1537" t="s">
        <v>3465</v>
      </c>
      <c r="BR1537" t="s">
        <v>3465</v>
      </c>
      <c r="BS1537" t="s">
        <v>3465</v>
      </c>
      <c r="BT1537" t="s">
        <v>3465</v>
      </c>
      <c r="BU1537" t="s">
        <v>3463</v>
      </c>
      <c r="BV1537" t="s">
        <v>3463</v>
      </c>
      <c r="BW1537" t="s">
        <v>3463</v>
      </c>
      <c r="BX1537" t="s">
        <v>79</v>
      </c>
      <c r="BY1537" t="s">
        <v>79</v>
      </c>
      <c r="BZ1537" t="s">
        <v>79</v>
      </c>
      <c r="CA1537" s="10">
        <v>45913</v>
      </c>
    </row>
    <row r="1538" spans="1:79" ht="32">
      <c r="A1538">
        <v>1551</v>
      </c>
      <c r="B1538">
        <v>181</v>
      </c>
      <c r="C1538">
        <v>61</v>
      </c>
      <c r="D1538" t="s">
        <v>3462</v>
      </c>
      <c r="E1538" t="s">
        <v>1804</v>
      </c>
      <c r="F1538" t="s">
        <v>1804</v>
      </c>
      <c r="G1538" s="12" t="s">
        <v>3463</v>
      </c>
      <c r="I1538">
        <v>81</v>
      </c>
      <c r="K1538">
        <v>126</v>
      </c>
      <c r="L1538">
        <v>78</v>
      </c>
      <c r="M1538" t="s">
        <v>118</v>
      </c>
      <c r="P1538" t="s">
        <v>83</v>
      </c>
      <c r="Q1538" t="s">
        <v>118</v>
      </c>
      <c r="R1538">
        <v>70.849999999999994</v>
      </c>
      <c r="S1538">
        <v>164</v>
      </c>
      <c r="T1538" s="8">
        <f t="shared" si="49"/>
        <v>26.342207019631172</v>
      </c>
      <c r="U1538" s="13" t="str" cm="1">
        <f t="array" ref="U1538">IF(T1538="","",_xlfn.IFS(T1538&lt;18.5,"Bajo peso",T1538&lt;25,"Peso normal",T1538&lt;30,"Sobrepeso",T1538&lt;35,"Obesidad clase I",T1538&lt;40,"Obesidad clase II",T1538&gt;=40,"Obesidad clase III"))</f>
        <v>Sobrepeso</v>
      </c>
      <c r="V1538">
        <v>97</v>
      </c>
      <c r="X1538" t="s">
        <v>3463</v>
      </c>
      <c r="Y1538">
        <v>0.78</v>
      </c>
      <c r="AA1538">
        <v>90</v>
      </c>
      <c r="AB1538" s="9">
        <f t="shared" si="48"/>
        <v>101.46016148318185</v>
      </c>
      <c r="AD1538" t="s">
        <v>73</v>
      </c>
      <c r="AF1538" t="s">
        <v>73</v>
      </c>
      <c r="AG1538" t="s">
        <v>3465</v>
      </c>
      <c r="AH1538" t="s">
        <v>3465</v>
      </c>
      <c r="AI1538" t="s">
        <v>3465</v>
      </c>
      <c r="AJ1538" t="s">
        <v>3465</v>
      </c>
      <c r="AK1538" t="s">
        <v>3463</v>
      </c>
      <c r="AL1538" t="s">
        <v>3465</v>
      </c>
      <c r="AM1538" t="s">
        <v>941</v>
      </c>
      <c r="AN1538" t="s">
        <v>3617</v>
      </c>
      <c r="AP1538" t="s">
        <v>3463</v>
      </c>
      <c r="AQ1538" t="s">
        <v>120</v>
      </c>
      <c r="AR1538" t="s">
        <v>3491</v>
      </c>
      <c r="AS1538" t="s">
        <v>3465</v>
      </c>
      <c r="AV1538" t="s">
        <v>74</v>
      </c>
      <c r="AW1538" t="s">
        <v>3915</v>
      </c>
      <c r="BA1538" s="2" t="s">
        <v>3920</v>
      </c>
      <c r="BB1538" t="s">
        <v>3485</v>
      </c>
      <c r="BE1538" t="s">
        <v>457</v>
      </c>
      <c r="BF1538" t="s">
        <v>457</v>
      </c>
      <c r="BG1538" t="s">
        <v>3260</v>
      </c>
      <c r="BH1538" t="s">
        <v>4245</v>
      </c>
      <c r="BL1538" t="s">
        <v>1125</v>
      </c>
      <c r="BP1538" t="s">
        <v>4566</v>
      </c>
      <c r="BQ1538" t="s">
        <v>3463</v>
      </c>
      <c r="BR1538" t="s">
        <v>3465</v>
      </c>
      <c r="BS1538" t="s">
        <v>3463</v>
      </c>
      <c r="BT1538" t="s">
        <v>3463</v>
      </c>
      <c r="BU1538" t="s">
        <v>3463</v>
      </c>
      <c r="BX1538" t="s">
        <v>79</v>
      </c>
      <c r="BY1538" t="s">
        <v>87</v>
      </c>
      <c r="BZ1538" t="s">
        <v>79</v>
      </c>
      <c r="CA1538" s="10">
        <v>45913</v>
      </c>
    </row>
    <row r="1539" spans="1:79">
      <c r="A1539">
        <v>1552</v>
      </c>
      <c r="B1539">
        <v>182</v>
      </c>
      <c r="C1539">
        <v>43</v>
      </c>
      <c r="D1539" t="s">
        <v>3466</v>
      </c>
      <c r="E1539" t="s">
        <v>2965</v>
      </c>
      <c r="F1539" t="s">
        <v>1804</v>
      </c>
      <c r="G1539" s="12" t="s">
        <v>3463</v>
      </c>
      <c r="H1539" s="12"/>
      <c r="I1539">
        <v>66</v>
      </c>
      <c r="J1539">
        <v>67</v>
      </c>
      <c r="K1539">
        <v>148</v>
      </c>
      <c r="L1539">
        <v>92</v>
      </c>
      <c r="M1539" t="s">
        <v>72</v>
      </c>
      <c r="N1539">
        <v>132</v>
      </c>
      <c r="O1539">
        <v>83</v>
      </c>
      <c r="P1539" t="s">
        <v>82</v>
      </c>
      <c r="Q1539" t="s">
        <v>82</v>
      </c>
      <c r="R1539">
        <v>67.849999999999994</v>
      </c>
      <c r="S1539">
        <v>156</v>
      </c>
      <c r="T1539" s="8">
        <f t="shared" si="49"/>
        <v>27.88050624589086</v>
      </c>
      <c r="U1539" s="13" t="str" cm="1">
        <f t="array" ref="U1539">IF(T1539="","",_xlfn.IFS(T1539&lt;18.5,"Bajo peso",T1539&lt;25,"Peso normal",T1539&lt;30,"Sobrepeso",T1539&lt;35,"Obesidad clase I",T1539&lt;40,"Obesidad clase II",T1539&gt;=40,"Obesidad clase III"))</f>
        <v>Sobrepeso</v>
      </c>
      <c r="V1539">
        <v>93</v>
      </c>
      <c r="X1539" t="s">
        <v>3463</v>
      </c>
      <c r="Y1539">
        <v>0.86</v>
      </c>
      <c r="AA1539">
        <v>86</v>
      </c>
      <c r="AB1539" s="9">
        <f t="shared" si="48"/>
        <v>85.910260717758277</v>
      </c>
      <c r="AD1539" t="s">
        <v>73</v>
      </c>
      <c r="AF1539" t="s">
        <v>73</v>
      </c>
      <c r="AH1539" t="s">
        <v>3463</v>
      </c>
      <c r="AI1539" t="s">
        <v>3463</v>
      </c>
      <c r="AJ1539" t="s">
        <v>3465</v>
      </c>
      <c r="AK1539" t="s">
        <v>3463</v>
      </c>
      <c r="AL1539" t="s">
        <v>3463</v>
      </c>
      <c r="AP1539" t="s">
        <v>3463</v>
      </c>
      <c r="AQ1539" t="s">
        <v>3024</v>
      </c>
      <c r="AR1539" t="s">
        <v>3488</v>
      </c>
      <c r="AT1539" t="s">
        <v>3465</v>
      </c>
      <c r="AU1539" t="s">
        <v>80</v>
      </c>
      <c r="AV1539" t="s">
        <v>74</v>
      </c>
      <c r="AW1539" t="s">
        <v>3915</v>
      </c>
      <c r="AX1539" t="s">
        <v>3463</v>
      </c>
      <c r="AY1539" t="s">
        <v>3463</v>
      </c>
      <c r="BF1539" t="s">
        <v>3921</v>
      </c>
      <c r="BH1539" t="s">
        <v>4020</v>
      </c>
      <c r="BP1539" t="s">
        <v>4260</v>
      </c>
      <c r="BQ1539" t="s">
        <v>3465</v>
      </c>
      <c r="BR1539" t="s">
        <v>3465</v>
      </c>
      <c r="BS1539" t="s">
        <v>3465</v>
      </c>
      <c r="BT1539" t="s">
        <v>3465</v>
      </c>
      <c r="BU1539" t="s">
        <v>3463</v>
      </c>
      <c r="BV1539" t="s">
        <v>3463</v>
      </c>
      <c r="BW1539" t="s">
        <v>3463</v>
      </c>
      <c r="BX1539" t="s">
        <v>518</v>
      </c>
      <c r="BY1539" t="s">
        <v>79</v>
      </c>
      <c r="BZ1539" t="s">
        <v>79</v>
      </c>
      <c r="CA1539" s="10">
        <v>45913</v>
      </c>
    </row>
    <row r="1540" spans="1:79">
      <c r="A1540">
        <v>1553</v>
      </c>
      <c r="B1540">
        <v>183</v>
      </c>
      <c r="C1540">
        <v>55</v>
      </c>
      <c r="D1540" t="s">
        <v>3466</v>
      </c>
      <c r="E1540" t="s">
        <v>2565</v>
      </c>
      <c r="F1540" t="s">
        <v>1804</v>
      </c>
      <c r="G1540" s="12" t="s">
        <v>3463</v>
      </c>
      <c r="I1540">
        <v>66</v>
      </c>
      <c r="K1540">
        <v>135</v>
      </c>
      <c r="L1540">
        <v>73</v>
      </c>
      <c r="M1540" t="s">
        <v>82</v>
      </c>
      <c r="P1540" t="s">
        <v>83</v>
      </c>
      <c r="Q1540" t="s">
        <v>82</v>
      </c>
      <c r="R1540">
        <v>47.5</v>
      </c>
      <c r="S1540">
        <v>150</v>
      </c>
      <c r="T1540" s="8">
        <f t="shared" si="49"/>
        <v>21.111111111111111</v>
      </c>
      <c r="U1540" s="13" t="str" cm="1">
        <f t="array" ref="U1540">IF(T1540="","",_xlfn.IFS(T1540&lt;18.5,"Bajo peso",T1540&lt;25,"Peso normal",T1540&lt;30,"Sobrepeso",T1540&lt;35,"Obesidad clase I",T1540&lt;40,"Obesidad clase II",T1540&gt;=40,"Obesidad clase III"))</f>
        <v>Peso normal</v>
      </c>
      <c r="V1540">
        <v>97</v>
      </c>
      <c r="X1540" t="s">
        <v>3463</v>
      </c>
      <c r="Y1540">
        <v>1.07</v>
      </c>
      <c r="AA1540">
        <v>61</v>
      </c>
      <c r="AB1540" s="9">
        <f t="shared" si="48"/>
        <v>61.34378290046029</v>
      </c>
      <c r="AD1540" t="s">
        <v>73</v>
      </c>
      <c r="AF1540" t="s">
        <v>73</v>
      </c>
      <c r="AH1540" t="s">
        <v>3463</v>
      </c>
      <c r="AI1540" t="s">
        <v>3463</v>
      </c>
      <c r="AJ1540" t="s">
        <v>3463</v>
      </c>
      <c r="AK1540" t="s">
        <v>3463</v>
      </c>
      <c r="AL1540" t="s">
        <v>3463</v>
      </c>
      <c r="AP1540" t="s">
        <v>3463</v>
      </c>
      <c r="AT1540" t="s">
        <v>3465</v>
      </c>
      <c r="AU1540" t="s">
        <v>80</v>
      </c>
      <c r="AV1540" t="s">
        <v>74</v>
      </c>
      <c r="AW1540" t="s">
        <v>3915</v>
      </c>
      <c r="AX1540" t="s">
        <v>3463</v>
      </c>
      <c r="AY1540" t="s">
        <v>3465</v>
      </c>
      <c r="AZ1540" t="s">
        <v>90</v>
      </c>
      <c r="BF1540" t="s">
        <v>3921</v>
      </c>
      <c r="BH1540" t="s">
        <v>4020</v>
      </c>
      <c r="BP1540" t="s">
        <v>4260</v>
      </c>
      <c r="BQ1540" t="s">
        <v>3463</v>
      </c>
      <c r="BR1540" t="s">
        <v>3463</v>
      </c>
      <c r="BS1540" t="s">
        <v>3463</v>
      </c>
      <c r="BT1540" t="s">
        <v>3463</v>
      </c>
      <c r="BU1540" t="s">
        <v>3463</v>
      </c>
      <c r="BV1540" t="s">
        <v>3463</v>
      </c>
      <c r="BW1540" t="s">
        <v>3463</v>
      </c>
      <c r="BX1540" t="s">
        <v>79</v>
      </c>
      <c r="BY1540" t="s">
        <v>79</v>
      </c>
      <c r="BZ1540" t="s">
        <v>79</v>
      </c>
      <c r="CA1540" s="10">
        <v>45913</v>
      </c>
    </row>
    <row r="1541" spans="1:79">
      <c r="A1541">
        <v>1554</v>
      </c>
      <c r="B1541">
        <v>184</v>
      </c>
      <c r="C1541">
        <v>72</v>
      </c>
      <c r="D1541" t="s">
        <v>3462</v>
      </c>
      <c r="E1541" t="s">
        <v>1804</v>
      </c>
      <c r="F1541" t="s">
        <v>1804</v>
      </c>
      <c r="G1541" s="12" t="s">
        <v>3463</v>
      </c>
      <c r="I1541">
        <v>73</v>
      </c>
      <c r="J1541">
        <v>74</v>
      </c>
      <c r="K1541">
        <v>148</v>
      </c>
      <c r="L1541">
        <v>86</v>
      </c>
      <c r="M1541" t="s">
        <v>72</v>
      </c>
      <c r="N1541">
        <v>143</v>
      </c>
      <c r="O1541">
        <v>93</v>
      </c>
      <c r="P1541" t="s">
        <v>72</v>
      </c>
      <c r="Q1541" t="s">
        <v>72</v>
      </c>
      <c r="R1541">
        <v>66.7</v>
      </c>
      <c r="S1541">
        <v>161</v>
      </c>
      <c r="T1541" s="8">
        <f t="shared" si="49"/>
        <v>25.732031943212068</v>
      </c>
      <c r="U1541" s="13" t="str" cm="1">
        <f t="array" ref="U1541">IF(T1541="","",_xlfn.IFS(T1541&lt;18.5,"Bajo peso",T1541&lt;25,"Peso normal",T1541&lt;30,"Sobrepeso",T1541&lt;35,"Obesidad clase I",T1541&lt;40,"Obesidad clase II",T1541&gt;=40,"Obesidad clase III"))</f>
        <v>Sobrepeso</v>
      </c>
      <c r="V1541">
        <v>133</v>
      </c>
      <c r="X1541" t="s">
        <v>3463</v>
      </c>
      <c r="Y1541">
        <v>2.84</v>
      </c>
      <c r="Z1541">
        <v>2.73</v>
      </c>
      <c r="AA1541">
        <v>23</v>
      </c>
      <c r="AB1541" s="9">
        <f t="shared" si="48"/>
        <v>22.852030821425014</v>
      </c>
      <c r="AC1541">
        <v>24</v>
      </c>
      <c r="AD1541" t="s">
        <v>303</v>
      </c>
      <c r="AE1541" t="s">
        <v>303</v>
      </c>
      <c r="AF1541" t="s">
        <v>303</v>
      </c>
      <c r="AH1541" t="s">
        <v>3463</v>
      </c>
      <c r="AI1541" t="s">
        <v>3463</v>
      </c>
      <c r="AJ1541" t="s">
        <v>3463</v>
      </c>
      <c r="AK1541" t="s">
        <v>3463</v>
      </c>
      <c r="AL1541" t="s">
        <v>3465</v>
      </c>
      <c r="AM1541" t="s">
        <v>3261</v>
      </c>
      <c r="AN1541" t="s">
        <v>3900</v>
      </c>
      <c r="AO1541" t="s">
        <v>3463</v>
      </c>
      <c r="AP1541" t="s">
        <v>3465</v>
      </c>
      <c r="AQ1541" t="s">
        <v>3262</v>
      </c>
      <c r="AR1541" t="s">
        <v>3488</v>
      </c>
      <c r="AV1541" t="s">
        <v>74</v>
      </c>
      <c r="AW1541" t="s">
        <v>3915</v>
      </c>
      <c r="BD1541" t="s">
        <v>105</v>
      </c>
      <c r="BE1541" t="s">
        <v>3263</v>
      </c>
      <c r="BF1541" t="s">
        <v>3985</v>
      </c>
      <c r="BH1541" t="s">
        <v>4245</v>
      </c>
      <c r="BI1541" t="s">
        <v>3264</v>
      </c>
      <c r="BL1541" t="s">
        <v>3265</v>
      </c>
      <c r="BP1541" t="s">
        <v>4260</v>
      </c>
      <c r="BQ1541" t="s">
        <v>3463</v>
      </c>
      <c r="BR1541" t="s">
        <v>3463</v>
      </c>
      <c r="BS1541" t="s">
        <v>3463</v>
      </c>
      <c r="BT1541" t="s">
        <v>3463</v>
      </c>
      <c r="BU1541" t="s">
        <v>3463</v>
      </c>
      <c r="BX1541" t="s">
        <v>79</v>
      </c>
      <c r="BY1541" t="s">
        <v>79</v>
      </c>
      <c r="BZ1541" t="s">
        <v>79</v>
      </c>
      <c r="CA1541" s="10">
        <v>45913</v>
      </c>
    </row>
    <row r="1542" spans="1:79">
      <c r="A1542">
        <v>1555</v>
      </c>
      <c r="B1542">
        <v>185</v>
      </c>
      <c r="C1542">
        <v>50</v>
      </c>
      <c r="D1542" t="s">
        <v>3466</v>
      </c>
      <c r="E1542" t="s">
        <v>3013</v>
      </c>
      <c r="F1542" t="s">
        <v>1804</v>
      </c>
      <c r="G1542" s="12" t="s">
        <v>3465</v>
      </c>
      <c r="H1542" t="s">
        <v>88</v>
      </c>
      <c r="I1542">
        <v>77</v>
      </c>
      <c r="J1542">
        <v>75</v>
      </c>
      <c r="K1542">
        <v>164</v>
      </c>
      <c r="L1542">
        <v>99</v>
      </c>
      <c r="M1542" t="s">
        <v>72</v>
      </c>
      <c r="N1542">
        <v>155</v>
      </c>
      <c r="O1542">
        <v>99</v>
      </c>
      <c r="P1542" t="s">
        <v>72</v>
      </c>
      <c r="Q1542" t="s">
        <v>72</v>
      </c>
      <c r="R1542">
        <v>102.7</v>
      </c>
      <c r="S1542">
        <v>163</v>
      </c>
      <c r="T1542" s="8">
        <f t="shared" si="49"/>
        <v>38.654070533328316</v>
      </c>
      <c r="U1542" s="13" t="str" cm="1">
        <f t="array" ref="U1542">IF(T1542="","",_xlfn.IFS(T1542&lt;18.5,"Bajo peso",T1542&lt;25,"Peso normal",T1542&lt;30,"Sobrepeso",T1542&lt;35,"Obesidad clase I",T1542&lt;40,"Obesidad clase II",T1542&gt;=40,"Obesidad clase III"))</f>
        <v>Obesidad clase II</v>
      </c>
      <c r="V1542">
        <v>282</v>
      </c>
      <c r="X1542" t="s">
        <v>3465</v>
      </c>
      <c r="Y1542">
        <v>0.77</v>
      </c>
      <c r="AA1542">
        <v>90</v>
      </c>
      <c r="AB1542" s="9">
        <f t="shared" si="48"/>
        <v>93.91765822093835</v>
      </c>
      <c r="AD1542" t="s">
        <v>73</v>
      </c>
      <c r="AF1542" t="s">
        <v>73</v>
      </c>
      <c r="AH1542" t="s">
        <v>3463</v>
      </c>
      <c r="AI1542" t="s">
        <v>3465</v>
      </c>
      <c r="AJ1542" t="s">
        <v>3463</v>
      </c>
      <c r="AK1542" t="s">
        <v>3463</v>
      </c>
      <c r="AL1542" t="s">
        <v>3463</v>
      </c>
      <c r="AP1542" t="s">
        <v>3463</v>
      </c>
      <c r="AQ1542" t="s">
        <v>3236</v>
      </c>
      <c r="AR1542" t="s">
        <v>3508</v>
      </c>
      <c r="AS1542" t="s">
        <v>3465</v>
      </c>
      <c r="AT1542" t="s">
        <v>3465</v>
      </c>
      <c r="AU1542" t="s">
        <v>80</v>
      </c>
      <c r="AV1542" t="s">
        <v>74</v>
      </c>
      <c r="AW1542" t="s">
        <v>3915</v>
      </c>
      <c r="AX1542" t="s">
        <v>3463</v>
      </c>
      <c r="AY1542" t="s">
        <v>3465</v>
      </c>
      <c r="AZ1542" t="s">
        <v>90</v>
      </c>
      <c r="BA1542" t="s">
        <v>3920</v>
      </c>
      <c r="BB1542" t="s">
        <v>3485</v>
      </c>
      <c r="BC1542" t="s">
        <v>128</v>
      </c>
      <c r="BF1542" t="s">
        <v>3921</v>
      </c>
      <c r="BG1542" t="s">
        <v>3266</v>
      </c>
      <c r="BH1542" t="s">
        <v>4207</v>
      </c>
      <c r="BI1542" t="s">
        <v>162</v>
      </c>
      <c r="BL1542" t="s">
        <v>3267</v>
      </c>
      <c r="BP1542" t="s">
        <v>4567</v>
      </c>
      <c r="BQ1542" t="s">
        <v>3463</v>
      </c>
      <c r="BR1542" t="s">
        <v>3463</v>
      </c>
      <c r="BS1542" t="s">
        <v>3465</v>
      </c>
      <c r="BT1542" t="s">
        <v>3465</v>
      </c>
      <c r="BU1542" t="s">
        <v>3463</v>
      </c>
      <c r="BV1542" t="s">
        <v>3463</v>
      </c>
      <c r="BW1542" t="s">
        <v>3463</v>
      </c>
      <c r="BX1542" t="s">
        <v>79</v>
      </c>
      <c r="BY1542" t="s">
        <v>121</v>
      </c>
      <c r="BZ1542" t="s">
        <v>79</v>
      </c>
      <c r="CA1542" s="10">
        <v>45913</v>
      </c>
    </row>
    <row r="1543" spans="1:79">
      <c r="A1543">
        <v>1556</v>
      </c>
      <c r="B1543">
        <v>186</v>
      </c>
      <c r="C1543">
        <v>65</v>
      </c>
      <c r="D1543" t="s">
        <v>3466</v>
      </c>
      <c r="E1543" t="s">
        <v>3187</v>
      </c>
      <c r="F1543" t="s">
        <v>1804</v>
      </c>
      <c r="G1543" s="12" t="s">
        <v>3463</v>
      </c>
      <c r="H1543" s="12"/>
      <c r="I1543">
        <v>81</v>
      </c>
      <c r="J1543">
        <v>79</v>
      </c>
      <c r="K1543">
        <v>154</v>
      </c>
      <c r="L1543">
        <v>83</v>
      </c>
      <c r="M1543" t="s">
        <v>72</v>
      </c>
      <c r="N1543">
        <v>151</v>
      </c>
      <c r="O1543">
        <v>82</v>
      </c>
      <c r="P1543" t="s">
        <v>72</v>
      </c>
      <c r="Q1543" t="s">
        <v>72</v>
      </c>
      <c r="R1543">
        <v>66</v>
      </c>
      <c r="S1543">
        <v>160</v>
      </c>
      <c r="T1543" s="8">
        <f t="shared" si="49"/>
        <v>25.78125</v>
      </c>
      <c r="U1543" s="13" t="str" cm="1">
        <f t="array" ref="U1543">IF(T1543="","",_xlfn.IFS(T1543&lt;18.5,"Bajo peso",T1543&lt;25,"Peso normal",T1543&lt;30,"Sobrepeso",T1543&lt;35,"Obesidad clase I",T1543&lt;40,"Obesidad clase II",T1543&gt;=40,"Obesidad clase III"))</f>
        <v>Sobrepeso</v>
      </c>
      <c r="V1543">
        <v>127</v>
      </c>
      <c r="X1543" t="s">
        <v>3463</v>
      </c>
      <c r="Y1543">
        <v>0.59</v>
      </c>
      <c r="AA1543">
        <v>90</v>
      </c>
      <c r="AB1543" s="9">
        <f t="shared" si="48"/>
        <v>99.953189352250462</v>
      </c>
      <c r="AD1543" t="s">
        <v>73</v>
      </c>
      <c r="AF1543" t="s">
        <v>73</v>
      </c>
      <c r="AH1543" t="s">
        <v>3463</v>
      </c>
      <c r="AI1543" t="s">
        <v>3463</v>
      </c>
      <c r="AJ1543" t="s">
        <v>3463</v>
      </c>
      <c r="AK1543" t="s">
        <v>3463</v>
      </c>
      <c r="AL1543" t="s">
        <v>3465</v>
      </c>
      <c r="AM1543" t="s">
        <v>3268</v>
      </c>
      <c r="AN1543" t="s">
        <v>3901</v>
      </c>
      <c r="AP1543" t="s">
        <v>3463</v>
      </c>
      <c r="AQ1543" t="s">
        <v>159</v>
      </c>
      <c r="AR1543" t="s">
        <v>3491</v>
      </c>
      <c r="AT1543" t="s">
        <v>3465</v>
      </c>
      <c r="AU1543" t="s">
        <v>80</v>
      </c>
      <c r="AV1543" t="s">
        <v>126</v>
      </c>
      <c r="AW1543" t="s">
        <v>126</v>
      </c>
      <c r="AX1543" t="s">
        <v>3463</v>
      </c>
      <c r="BE1543" t="s">
        <v>3269</v>
      </c>
      <c r="BF1543" t="s">
        <v>4009</v>
      </c>
      <c r="BG1543" t="s">
        <v>3270</v>
      </c>
      <c r="BH1543" t="s">
        <v>4042</v>
      </c>
      <c r="BI1543" t="s">
        <v>76</v>
      </c>
      <c r="BL1543" t="s">
        <v>3271</v>
      </c>
      <c r="BP1543" t="s">
        <v>4261</v>
      </c>
      <c r="BQ1543" t="s">
        <v>3463</v>
      </c>
      <c r="BR1543" t="s">
        <v>3463</v>
      </c>
      <c r="BS1543" t="s">
        <v>3463</v>
      </c>
      <c r="BT1543" t="s">
        <v>3463</v>
      </c>
      <c r="BU1543" t="s">
        <v>3463</v>
      </c>
      <c r="BV1543" t="s">
        <v>3463</v>
      </c>
      <c r="BW1543" t="s">
        <v>3463</v>
      </c>
      <c r="BX1543" t="s">
        <v>79</v>
      </c>
      <c r="BY1543" t="s">
        <v>79</v>
      </c>
      <c r="BZ1543" t="s">
        <v>79</v>
      </c>
      <c r="CA1543" s="10">
        <v>45913</v>
      </c>
    </row>
    <row r="1544" spans="1:79">
      <c r="A1544">
        <v>1557</v>
      </c>
      <c r="B1544">
        <v>187</v>
      </c>
      <c r="C1544">
        <v>34</v>
      </c>
      <c r="D1544" t="s">
        <v>3466</v>
      </c>
      <c r="F1544" t="s">
        <v>1804</v>
      </c>
      <c r="G1544" s="12" t="s">
        <v>3463</v>
      </c>
      <c r="H1544" s="12"/>
      <c r="I1544">
        <v>75</v>
      </c>
      <c r="K1544">
        <v>159</v>
      </c>
      <c r="L1544">
        <v>90</v>
      </c>
      <c r="M1544" t="s">
        <v>72</v>
      </c>
      <c r="N1544">
        <v>140</v>
      </c>
      <c r="O1544">
        <v>90</v>
      </c>
      <c r="P1544" t="s">
        <v>72</v>
      </c>
      <c r="Q1544" t="s">
        <v>72</v>
      </c>
      <c r="R1544">
        <v>79.8</v>
      </c>
      <c r="S1544">
        <v>161</v>
      </c>
      <c r="T1544" s="8">
        <f t="shared" si="49"/>
        <v>30.785849311369159</v>
      </c>
      <c r="U1544" s="13" t="str" cm="1">
        <f t="array" ref="U1544">IF(T1544="","",_xlfn.IFS(T1544&lt;18.5,"Bajo peso",T1544&lt;25,"Peso normal",T1544&lt;30,"Sobrepeso",T1544&lt;35,"Obesidad clase I",T1544&lt;40,"Obesidad clase II",T1544&gt;=40,"Obesidad clase III"))</f>
        <v>Obesidad clase I</v>
      </c>
      <c r="V1544">
        <v>119</v>
      </c>
      <c r="X1544" t="s">
        <v>3463</v>
      </c>
      <c r="Y1544">
        <v>1.03</v>
      </c>
      <c r="AA1544">
        <v>73</v>
      </c>
      <c r="AB1544" s="9">
        <f t="shared" si="48"/>
        <v>73.172446734568709</v>
      </c>
      <c r="AD1544" t="s">
        <v>73</v>
      </c>
      <c r="AF1544" t="s">
        <v>73</v>
      </c>
      <c r="AH1544" t="s">
        <v>3463</v>
      </c>
      <c r="AI1544" t="s">
        <v>3463</v>
      </c>
      <c r="AJ1544" t="s">
        <v>3463</v>
      </c>
      <c r="AK1544" t="s">
        <v>3465</v>
      </c>
      <c r="AL1544" t="s">
        <v>3465</v>
      </c>
      <c r="AM1544" t="s">
        <v>3272</v>
      </c>
      <c r="AN1544" t="s">
        <v>3902</v>
      </c>
      <c r="AP1544" t="s">
        <v>3463</v>
      </c>
      <c r="AQ1544" t="s">
        <v>3273</v>
      </c>
      <c r="AR1544" t="s">
        <v>3489</v>
      </c>
      <c r="AT1544" t="s">
        <v>3465</v>
      </c>
      <c r="AU1544" t="s">
        <v>125</v>
      </c>
      <c r="AV1544" t="s">
        <v>126</v>
      </c>
      <c r="AW1544" t="s">
        <v>126</v>
      </c>
      <c r="AX1544" t="s">
        <v>3463</v>
      </c>
      <c r="AY1544" t="s">
        <v>3465</v>
      </c>
      <c r="AZ1544" t="s">
        <v>90</v>
      </c>
      <c r="BF1544" t="s">
        <v>3921</v>
      </c>
      <c r="BH1544" t="s">
        <v>4020</v>
      </c>
      <c r="BP1544" t="s">
        <v>4260</v>
      </c>
      <c r="BQ1544" t="s">
        <v>3465</v>
      </c>
      <c r="BR1544" t="s">
        <v>3465</v>
      </c>
      <c r="BS1544" t="s">
        <v>3465</v>
      </c>
      <c r="BT1544" t="s">
        <v>3465</v>
      </c>
      <c r="BU1544" t="s">
        <v>3463</v>
      </c>
      <c r="BV1544" t="s">
        <v>3463</v>
      </c>
      <c r="BW1544" t="s">
        <v>3463</v>
      </c>
      <c r="BX1544" t="s">
        <v>79</v>
      </c>
      <c r="BY1544" t="s">
        <v>79</v>
      </c>
      <c r="BZ1544" t="s">
        <v>79</v>
      </c>
      <c r="CA1544" s="10">
        <v>45913</v>
      </c>
    </row>
    <row r="1545" spans="1:79">
      <c r="A1545">
        <v>1558</v>
      </c>
      <c r="B1545">
        <v>188</v>
      </c>
      <c r="C1545">
        <v>33</v>
      </c>
      <c r="D1545" t="s">
        <v>3466</v>
      </c>
      <c r="E1545" t="s">
        <v>1804</v>
      </c>
      <c r="F1545" t="s">
        <v>1804</v>
      </c>
      <c r="G1545" s="12" t="s">
        <v>3463</v>
      </c>
      <c r="I1545">
        <v>72</v>
      </c>
      <c r="K1545">
        <v>117</v>
      </c>
      <c r="L1545">
        <v>74</v>
      </c>
      <c r="M1545" t="s">
        <v>80</v>
      </c>
      <c r="P1545" t="s">
        <v>83</v>
      </c>
      <c r="Q1545" t="s">
        <v>80</v>
      </c>
      <c r="R1545">
        <v>74.5</v>
      </c>
      <c r="S1545">
        <v>151.5</v>
      </c>
      <c r="T1545" s="8">
        <f t="shared" si="49"/>
        <v>32.458691413695824</v>
      </c>
      <c r="U1545" s="13" t="str" cm="1">
        <f t="array" ref="U1545">IF(T1545="","",_xlfn.IFS(T1545&lt;18.5,"Bajo peso",T1545&lt;25,"Peso normal",T1545&lt;30,"Sobrepeso",T1545&lt;35,"Obesidad clase I",T1545&lt;40,"Obesidad clase II",T1545&gt;=40,"Obesidad clase III"))</f>
        <v>Obesidad clase I</v>
      </c>
      <c r="V1545">
        <v>86</v>
      </c>
      <c r="X1545" t="s">
        <v>3463</v>
      </c>
      <c r="Y1545">
        <v>0.71</v>
      </c>
      <c r="AA1545">
        <v>90</v>
      </c>
      <c r="AB1545" s="9">
        <f t="shared" si="48"/>
        <v>115.06499845094447</v>
      </c>
      <c r="AD1545" t="s">
        <v>73</v>
      </c>
      <c r="AF1545" t="s">
        <v>73</v>
      </c>
      <c r="AH1545" t="s">
        <v>3463</v>
      </c>
      <c r="AI1545" t="s">
        <v>3463</v>
      </c>
      <c r="AJ1545" t="s">
        <v>3463</v>
      </c>
      <c r="AK1545" t="s">
        <v>3463</v>
      </c>
      <c r="AL1545" t="s">
        <v>3465</v>
      </c>
      <c r="AM1545" t="s">
        <v>3274</v>
      </c>
      <c r="AN1545" t="s">
        <v>3903</v>
      </c>
      <c r="AP1545" t="s">
        <v>3463</v>
      </c>
      <c r="AQ1545" t="s">
        <v>120</v>
      </c>
      <c r="AR1545" t="s">
        <v>3491</v>
      </c>
      <c r="AT1545" t="s">
        <v>3463</v>
      </c>
      <c r="AV1545" t="s">
        <v>126</v>
      </c>
      <c r="AW1545" t="s">
        <v>126</v>
      </c>
      <c r="AX1545" t="s">
        <v>3463</v>
      </c>
      <c r="AY1545" t="s">
        <v>3465</v>
      </c>
      <c r="AZ1545" t="s">
        <v>90</v>
      </c>
      <c r="BF1545" t="s">
        <v>3921</v>
      </c>
      <c r="BH1545" t="s">
        <v>4020</v>
      </c>
      <c r="BP1545" t="s">
        <v>4260</v>
      </c>
      <c r="BQ1545" t="s">
        <v>3463</v>
      </c>
      <c r="BR1545" t="s">
        <v>3463</v>
      </c>
      <c r="BS1545" t="s">
        <v>3463</v>
      </c>
      <c r="BT1545" t="s">
        <v>3463</v>
      </c>
      <c r="BU1545" t="s">
        <v>3463</v>
      </c>
      <c r="BX1545" t="s">
        <v>79</v>
      </c>
      <c r="BY1545" t="s">
        <v>79</v>
      </c>
      <c r="BZ1545" t="s">
        <v>79</v>
      </c>
      <c r="CA1545" s="10">
        <v>45913</v>
      </c>
    </row>
    <row r="1546" spans="1:79">
      <c r="A1546">
        <v>1559</v>
      </c>
      <c r="B1546">
        <v>189</v>
      </c>
      <c r="C1546">
        <v>27</v>
      </c>
      <c r="D1546" t="s">
        <v>3462</v>
      </c>
      <c r="E1546" t="s">
        <v>3180</v>
      </c>
      <c r="F1546" t="s">
        <v>1804</v>
      </c>
      <c r="G1546" s="12" t="s">
        <v>3465</v>
      </c>
      <c r="H1546" t="s">
        <v>88</v>
      </c>
      <c r="I1546">
        <v>64</v>
      </c>
      <c r="K1546">
        <v>126</v>
      </c>
      <c r="L1546">
        <v>76</v>
      </c>
      <c r="M1546" t="s">
        <v>118</v>
      </c>
      <c r="P1546" t="s">
        <v>83</v>
      </c>
      <c r="Q1546" t="s">
        <v>118</v>
      </c>
      <c r="R1546">
        <v>77.599999999999994</v>
      </c>
      <c r="S1546">
        <v>174</v>
      </c>
      <c r="T1546" s="8">
        <f t="shared" si="49"/>
        <v>25.63086272955476</v>
      </c>
      <c r="U1546" s="13" t="str" cm="1">
        <f t="array" ref="U1546">IF(T1546="","",_xlfn.IFS(T1546&lt;18.5,"Bajo peso",T1546&lt;25,"Peso normal",T1546&lt;30,"Sobrepeso",T1546&lt;35,"Obesidad clase I",T1546&lt;40,"Obesidad clase II",T1546&gt;=40,"Obesidad clase III"))</f>
        <v>Sobrepeso</v>
      </c>
      <c r="V1546">
        <v>94</v>
      </c>
      <c r="X1546" t="s">
        <v>3463</v>
      </c>
      <c r="Y1546">
        <v>0.71</v>
      </c>
      <c r="AA1546">
        <v>90</v>
      </c>
      <c r="AB1546" s="9">
        <f t="shared" si="48"/>
        <v>128.96217704893627</v>
      </c>
      <c r="AD1546" t="s">
        <v>73</v>
      </c>
      <c r="AF1546" t="s">
        <v>73</v>
      </c>
      <c r="AH1546" t="s">
        <v>3463</v>
      </c>
      <c r="AI1546" t="s">
        <v>3463</v>
      </c>
      <c r="AJ1546" t="s">
        <v>3463</v>
      </c>
      <c r="AK1546" t="s">
        <v>3463</v>
      </c>
      <c r="AL1546" t="s">
        <v>3463</v>
      </c>
      <c r="AO1546" t="s">
        <v>3463</v>
      </c>
      <c r="AP1546" t="s">
        <v>3465</v>
      </c>
      <c r="AQ1546" t="s">
        <v>3145</v>
      </c>
      <c r="AR1546" t="s">
        <v>3508</v>
      </c>
      <c r="AV1546" t="s">
        <v>126</v>
      </c>
      <c r="AW1546" t="s">
        <v>126</v>
      </c>
      <c r="BF1546" t="s">
        <v>3921</v>
      </c>
      <c r="BH1546" t="s">
        <v>4020</v>
      </c>
      <c r="BP1546" t="s">
        <v>4260</v>
      </c>
      <c r="BQ1546" t="s">
        <v>3463</v>
      </c>
      <c r="BR1546" t="s">
        <v>3463</v>
      </c>
      <c r="BS1546" t="s">
        <v>3463</v>
      </c>
      <c r="BT1546" t="s">
        <v>3463</v>
      </c>
      <c r="BU1546" t="s">
        <v>3463</v>
      </c>
      <c r="BV1546" t="s">
        <v>3463</v>
      </c>
      <c r="BW1546" t="s">
        <v>3463</v>
      </c>
      <c r="BX1546" t="s">
        <v>79</v>
      </c>
      <c r="BY1546" t="s">
        <v>79</v>
      </c>
      <c r="BZ1546" t="s">
        <v>79</v>
      </c>
      <c r="CA1546" s="10">
        <v>45913</v>
      </c>
    </row>
    <row r="1547" spans="1:79">
      <c r="A1547">
        <v>1560</v>
      </c>
      <c r="B1547">
        <v>190</v>
      </c>
      <c r="C1547">
        <v>34</v>
      </c>
      <c r="D1547" t="s">
        <v>3466</v>
      </c>
      <c r="E1547" t="s">
        <v>2565</v>
      </c>
      <c r="F1547" t="s">
        <v>1804</v>
      </c>
      <c r="G1547" s="12" t="s">
        <v>3465</v>
      </c>
      <c r="H1547" t="s">
        <v>88</v>
      </c>
      <c r="I1547">
        <v>67</v>
      </c>
      <c r="K1547">
        <v>123</v>
      </c>
      <c r="L1547">
        <v>75</v>
      </c>
      <c r="M1547" t="s">
        <v>118</v>
      </c>
      <c r="P1547" t="s">
        <v>83</v>
      </c>
      <c r="Q1547" t="s">
        <v>118</v>
      </c>
      <c r="R1547">
        <v>101.5</v>
      </c>
      <c r="S1547">
        <v>165</v>
      </c>
      <c r="T1547" s="8">
        <f t="shared" si="49"/>
        <v>37.281910009182738</v>
      </c>
      <c r="U1547" s="13" t="str" cm="1">
        <f t="array" ref="U1547">IF(T1547="","",_xlfn.IFS(T1547&lt;18.5,"Bajo peso",T1547&lt;25,"Peso normal",T1547&lt;30,"Sobrepeso",T1547&lt;35,"Obesidad clase I",T1547&lt;40,"Obesidad clase II",T1547&gt;=40,"Obesidad clase III"))</f>
        <v>Obesidad clase II</v>
      </c>
      <c r="V1547">
        <v>104</v>
      </c>
      <c r="X1547" t="s">
        <v>3463</v>
      </c>
      <c r="Y1547">
        <v>0.74</v>
      </c>
      <c r="AA1547">
        <v>90</v>
      </c>
      <c r="AB1547" s="9">
        <f t="shared" si="48"/>
        <v>108.81134614522115</v>
      </c>
      <c r="AD1547" t="s">
        <v>73</v>
      </c>
      <c r="AF1547" t="s">
        <v>73</v>
      </c>
      <c r="AH1547" t="s">
        <v>3463</v>
      </c>
      <c r="AI1547" t="s">
        <v>3463</v>
      </c>
      <c r="AJ1547" t="s">
        <v>3463</v>
      </c>
      <c r="AK1547" t="s">
        <v>3463</v>
      </c>
      <c r="AL1547" t="s">
        <v>3463</v>
      </c>
      <c r="AP1547" t="s">
        <v>3463</v>
      </c>
      <c r="AT1547" t="s">
        <v>3463</v>
      </c>
      <c r="AV1547" t="s">
        <v>74</v>
      </c>
      <c r="AW1547" t="s">
        <v>3915</v>
      </c>
      <c r="AX1547" t="s">
        <v>3463</v>
      </c>
      <c r="AY1547" t="s">
        <v>3465</v>
      </c>
      <c r="AZ1547" t="s">
        <v>247</v>
      </c>
      <c r="BF1547" t="s">
        <v>3921</v>
      </c>
      <c r="BH1547" t="s">
        <v>4020</v>
      </c>
      <c r="BP1547" t="s">
        <v>4260</v>
      </c>
      <c r="BQ1547" t="s">
        <v>3463</v>
      </c>
      <c r="BR1547" t="s">
        <v>3463</v>
      </c>
      <c r="BS1547" t="s">
        <v>3463</v>
      </c>
      <c r="BT1547" t="s">
        <v>3463</v>
      </c>
      <c r="BU1547" t="s">
        <v>3463</v>
      </c>
      <c r="BV1547" t="s">
        <v>3463</v>
      </c>
      <c r="BW1547" t="s">
        <v>3463</v>
      </c>
      <c r="BX1547" t="s">
        <v>79</v>
      </c>
      <c r="BY1547" t="s">
        <v>79</v>
      </c>
      <c r="BZ1547" t="s">
        <v>79</v>
      </c>
      <c r="CA1547" s="10">
        <v>45913</v>
      </c>
    </row>
    <row r="1548" spans="1:79">
      <c r="A1548">
        <v>1561</v>
      </c>
      <c r="B1548">
        <v>191</v>
      </c>
      <c r="C1548">
        <v>32</v>
      </c>
      <c r="D1548" t="s">
        <v>3466</v>
      </c>
      <c r="E1548" t="s">
        <v>3275</v>
      </c>
      <c r="F1548" t="s">
        <v>1804</v>
      </c>
      <c r="G1548" s="12" t="s">
        <v>3465</v>
      </c>
      <c r="H1548" t="s">
        <v>88</v>
      </c>
      <c r="I1548">
        <v>61</v>
      </c>
      <c r="K1548">
        <v>137</v>
      </c>
      <c r="L1548">
        <v>70</v>
      </c>
      <c r="M1548" t="s">
        <v>82</v>
      </c>
      <c r="P1548" t="s">
        <v>83</v>
      </c>
      <c r="Q1548" t="s">
        <v>82</v>
      </c>
      <c r="R1548">
        <v>67.2</v>
      </c>
      <c r="S1548">
        <v>159</v>
      </c>
      <c r="T1548" s="8">
        <f t="shared" si="49"/>
        <v>26.581227008425302</v>
      </c>
      <c r="U1548" s="13" t="str" cm="1">
        <f t="array" ref="U1548">IF(T1548="","",_xlfn.IFS(T1548&lt;18.5,"Bajo peso",T1548&lt;25,"Peso normal",T1548&lt;30,"Sobrepeso",T1548&lt;35,"Obesidad clase I",T1548&lt;40,"Obesidad clase II",T1548&gt;=40,"Obesidad clase III"))</f>
        <v>Sobrepeso</v>
      </c>
      <c r="V1548">
        <v>85</v>
      </c>
      <c r="X1548" t="s">
        <v>3463</v>
      </c>
      <c r="Y1548">
        <v>0.79</v>
      </c>
      <c r="AA1548">
        <v>90</v>
      </c>
      <c r="AB1548" s="9">
        <f t="shared" si="48"/>
        <v>101.85954982701109</v>
      </c>
      <c r="AD1548" t="s">
        <v>73</v>
      </c>
      <c r="AF1548" t="s">
        <v>73</v>
      </c>
      <c r="AH1548" t="s">
        <v>3463</v>
      </c>
      <c r="AI1548" t="s">
        <v>3463</v>
      </c>
      <c r="AJ1548" t="s">
        <v>3463</v>
      </c>
      <c r="AK1548" t="s">
        <v>3463</v>
      </c>
      <c r="AL1548" t="s">
        <v>3463</v>
      </c>
      <c r="AP1548" t="s">
        <v>3463</v>
      </c>
      <c r="AT1548" t="s">
        <v>3463</v>
      </c>
      <c r="AV1548" t="s">
        <v>126</v>
      </c>
      <c r="AW1548" t="s">
        <v>126</v>
      </c>
      <c r="AX1548" t="s">
        <v>3463</v>
      </c>
      <c r="AY1548" t="s">
        <v>3465</v>
      </c>
      <c r="AZ1548" t="s">
        <v>90</v>
      </c>
      <c r="BF1548" t="s">
        <v>3921</v>
      </c>
      <c r="BH1548" t="s">
        <v>4020</v>
      </c>
      <c r="BP1548" t="s">
        <v>4260</v>
      </c>
      <c r="BQ1548" t="s">
        <v>3463</v>
      </c>
      <c r="BR1548" t="s">
        <v>3465</v>
      </c>
      <c r="BS1548" t="s">
        <v>3463</v>
      </c>
      <c r="BT1548" t="s">
        <v>3463</v>
      </c>
      <c r="BU1548" t="s">
        <v>3463</v>
      </c>
      <c r="BV1548" t="s">
        <v>3463</v>
      </c>
      <c r="BW1548" t="s">
        <v>3463</v>
      </c>
      <c r="BX1548" t="s">
        <v>79</v>
      </c>
      <c r="BY1548" t="s">
        <v>79</v>
      </c>
      <c r="BZ1548" t="s">
        <v>79</v>
      </c>
      <c r="CA1548" s="10">
        <v>45913</v>
      </c>
    </row>
    <row r="1549" spans="1:79">
      <c r="A1549">
        <v>1562</v>
      </c>
      <c r="B1549">
        <v>193</v>
      </c>
      <c r="C1549">
        <v>29</v>
      </c>
      <c r="D1549" t="s">
        <v>3466</v>
      </c>
      <c r="E1549" t="s">
        <v>3276</v>
      </c>
      <c r="F1549" t="s">
        <v>168</v>
      </c>
      <c r="G1549" s="12" t="s">
        <v>3465</v>
      </c>
      <c r="H1549" t="s">
        <v>88</v>
      </c>
      <c r="I1549">
        <v>68</v>
      </c>
      <c r="J1549">
        <v>68</v>
      </c>
      <c r="K1549">
        <v>144</v>
      </c>
      <c r="L1549">
        <v>86</v>
      </c>
      <c r="M1549" t="s">
        <v>72</v>
      </c>
      <c r="N1549">
        <v>139</v>
      </c>
      <c r="O1549">
        <v>86</v>
      </c>
      <c r="P1549" t="s">
        <v>82</v>
      </c>
      <c r="Q1549" t="s">
        <v>82</v>
      </c>
      <c r="R1549">
        <v>58.6</v>
      </c>
      <c r="S1549">
        <v>155</v>
      </c>
      <c r="T1549" s="8">
        <f t="shared" si="49"/>
        <v>24.391259105098857</v>
      </c>
      <c r="U1549" s="13" t="str" cm="1">
        <f t="array" ref="U1549">IF(T1549="","",_xlfn.IFS(T1549&lt;18.5,"Bajo peso",T1549&lt;25,"Peso normal",T1549&lt;30,"Sobrepeso",T1549&lt;35,"Obesidad clase I",T1549&lt;40,"Obesidad clase II",T1549&gt;=40,"Obesidad clase III"))</f>
        <v>Peso normal</v>
      </c>
      <c r="V1549">
        <v>86</v>
      </c>
      <c r="X1549" t="s">
        <v>3463</v>
      </c>
      <c r="Y1549">
        <v>0.59</v>
      </c>
      <c r="AA1549">
        <v>90</v>
      </c>
      <c r="AB1549" s="9">
        <f t="shared" si="48"/>
        <v>125.03538324610928</v>
      </c>
      <c r="AD1549" t="s">
        <v>73</v>
      </c>
      <c r="AF1549" t="s">
        <v>73</v>
      </c>
      <c r="AH1549" t="s">
        <v>3463</v>
      </c>
      <c r="AI1549" t="s">
        <v>3463</v>
      </c>
      <c r="AJ1549" t="s">
        <v>3463</v>
      </c>
      <c r="AK1549" t="s">
        <v>3463</v>
      </c>
      <c r="AL1549" t="s">
        <v>3463</v>
      </c>
      <c r="AP1549" t="s">
        <v>3463</v>
      </c>
      <c r="AT1549" t="s">
        <v>3463</v>
      </c>
      <c r="AV1549" t="s">
        <v>74</v>
      </c>
      <c r="AW1549" t="s">
        <v>3915</v>
      </c>
      <c r="AX1549" t="s">
        <v>3463</v>
      </c>
      <c r="AY1549" t="s">
        <v>3465</v>
      </c>
      <c r="AZ1549" t="s">
        <v>90</v>
      </c>
      <c r="BF1549" t="s">
        <v>3921</v>
      </c>
      <c r="BH1549" t="s">
        <v>4020</v>
      </c>
      <c r="BP1549" t="s">
        <v>4260</v>
      </c>
      <c r="BQ1549" t="s">
        <v>3463</v>
      </c>
      <c r="BR1549" t="s">
        <v>3463</v>
      </c>
      <c r="BS1549" t="s">
        <v>3465</v>
      </c>
      <c r="BT1549" t="s">
        <v>3465</v>
      </c>
      <c r="BU1549" t="s">
        <v>3463</v>
      </c>
      <c r="BX1549" t="s">
        <v>79</v>
      </c>
      <c r="BY1549" t="s">
        <v>79</v>
      </c>
      <c r="BZ1549" t="s">
        <v>79</v>
      </c>
      <c r="CA1549" s="10">
        <v>45913</v>
      </c>
    </row>
    <row r="1550" spans="1:79">
      <c r="A1550">
        <v>1563</v>
      </c>
      <c r="B1550">
        <v>194</v>
      </c>
      <c r="C1550">
        <v>21</v>
      </c>
      <c r="D1550" t="s">
        <v>3466</v>
      </c>
      <c r="E1550" t="s">
        <v>2351</v>
      </c>
      <c r="F1550" t="s">
        <v>168</v>
      </c>
      <c r="G1550" s="12" t="s">
        <v>3465</v>
      </c>
      <c r="H1550" t="s">
        <v>88</v>
      </c>
      <c r="I1550">
        <v>83</v>
      </c>
      <c r="J1550">
        <v>72</v>
      </c>
      <c r="K1550">
        <v>131</v>
      </c>
      <c r="L1550">
        <v>90</v>
      </c>
      <c r="M1550" t="s">
        <v>72</v>
      </c>
      <c r="N1550">
        <v>151</v>
      </c>
      <c r="O1550">
        <v>83</v>
      </c>
      <c r="P1550" t="s">
        <v>72</v>
      </c>
      <c r="Q1550" t="s">
        <v>72</v>
      </c>
      <c r="R1550">
        <v>50.3</v>
      </c>
      <c r="S1550">
        <v>151</v>
      </c>
      <c r="T1550" s="8">
        <f t="shared" si="49"/>
        <v>22.060435945791848</v>
      </c>
      <c r="U1550" s="13" t="str" cm="1">
        <f t="array" ref="U1550">IF(T1550="","",_xlfn.IFS(T1550&lt;18.5,"Bajo peso",T1550&lt;25,"Peso normal",T1550&lt;30,"Sobrepeso",T1550&lt;35,"Obesidad clase I",T1550&lt;40,"Obesidad clase II",T1550&gt;=40,"Obesidad clase III"))</f>
        <v>Peso normal</v>
      </c>
      <c r="V1550">
        <v>101</v>
      </c>
      <c r="X1550" t="s">
        <v>3463</v>
      </c>
      <c r="Y1550">
        <v>0.94</v>
      </c>
      <c r="AA1550">
        <v>89</v>
      </c>
      <c r="AB1550" s="9">
        <f t="shared" si="48"/>
        <v>88.534374064306846</v>
      </c>
      <c r="AD1550" t="s">
        <v>73</v>
      </c>
      <c r="AF1550" t="s">
        <v>73</v>
      </c>
      <c r="AH1550" t="s">
        <v>3463</v>
      </c>
      <c r="AI1550" t="s">
        <v>3463</v>
      </c>
      <c r="AJ1550" t="s">
        <v>3463</v>
      </c>
      <c r="AK1550" t="s">
        <v>3463</v>
      </c>
      <c r="AL1550" t="s">
        <v>3463</v>
      </c>
      <c r="AO1550" t="s">
        <v>3463</v>
      </c>
      <c r="AP1550" t="s">
        <v>3463</v>
      </c>
      <c r="AV1550" t="s">
        <v>126</v>
      </c>
      <c r="AW1550" t="s">
        <v>126</v>
      </c>
      <c r="AX1550" t="s">
        <v>3463</v>
      </c>
      <c r="AY1550" t="s">
        <v>3463</v>
      </c>
      <c r="BF1550" t="s">
        <v>3921</v>
      </c>
      <c r="BG1550" t="s">
        <v>3277</v>
      </c>
      <c r="BH1550" t="s">
        <v>4021</v>
      </c>
      <c r="BI1550" t="s">
        <v>76</v>
      </c>
      <c r="BL1550" t="s">
        <v>650</v>
      </c>
      <c r="BP1550" t="s">
        <v>4261</v>
      </c>
      <c r="BQ1550" t="s">
        <v>3463</v>
      </c>
      <c r="BR1550" t="s">
        <v>3463</v>
      </c>
      <c r="BS1550" t="s">
        <v>3463</v>
      </c>
      <c r="BT1550" t="s">
        <v>3463</v>
      </c>
      <c r="BU1550" t="s">
        <v>3463</v>
      </c>
      <c r="BV1550" t="s">
        <v>3463</v>
      </c>
      <c r="BW1550" t="s">
        <v>3463</v>
      </c>
      <c r="BX1550" t="s">
        <v>79</v>
      </c>
      <c r="BY1550" t="s">
        <v>79</v>
      </c>
      <c r="BZ1550" t="s">
        <v>79</v>
      </c>
      <c r="CA1550" s="10">
        <v>45913</v>
      </c>
    </row>
    <row r="1551" spans="1:79">
      <c r="A1551">
        <v>1564</v>
      </c>
      <c r="B1551">
        <v>195</v>
      </c>
      <c r="C1551">
        <v>58</v>
      </c>
      <c r="D1551" t="s">
        <v>3462</v>
      </c>
      <c r="E1551" t="s">
        <v>3278</v>
      </c>
      <c r="F1551" t="s">
        <v>1804</v>
      </c>
      <c r="G1551" s="12" t="s">
        <v>3463</v>
      </c>
      <c r="I1551">
        <v>58</v>
      </c>
      <c r="J1551">
        <v>59</v>
      </c>
      <c r="K1551">
        <v>148</v>
      </c>
      <c r="L1551">
        <v>77</v>
      </c>
      <c r="M1551" t="s">
        <v>72</v>
      </c>
      <c r="N1551">
        <v>148</v>
      </c>
      <c r="O1551">
        <v>78</v>
      </c>
      <c r="P1551" t="s">
        <v>72</v>
      </c>
      <c r="Q1551" t="s">
        <v>72</v>
      </c>
      <c r="R1551">
        <v>75.3</v>
      </c>
      <c r="S1551">
        <v>164</v>
      </c>
      <c r="T1551" s="8">
        <f t="shared" si="49"/>
        <v>27.996728138013086</v>
      </c>
      <c r="U1551" s="13" t="str" cm="1">
        <f t="array" ref="U1551">IF(T1551="","",_xlfn.IFS(T1551&lt;18.5,"Bajo peso",T1551&lt;25,"Peso normal",T1551&lt;30,"Sobrepeso",T1551&lt;35,"Obesidad clase I",T1551&lt;40,"Obesidad clase II",T1551&gt;=40,"Obesidad clase III"))</f>
        <v>Sobrepeso</v>
      </c>
      <c r="V1551">
        <v>92</v>
      </c>
      <c r="X1551" t="s">
        <v>3463</v>
      </c>
      <c r="Y1551">
        <v>1.1100000000000001</v>
      </c>
      <c r="AA1551">
        <v>77</v>
      </c>
      <c r="AB1551" s="9">
        <f t="shared" si="48"/>
        <v>76.972100976345345</v>
      </c>
      <c r="AD1551" t="s">
        <v>73</v>
      </c>
      <c r="AF1551" t="s">
        <v>73</v>
      </c>
      <c r="AG1551" t="s">
        <v>3465</v>
      </c>
      <c r="AH1551" t="s">
        <v>3465</v>
      </c>
      <c r="AI1551" t="s">
        <v>3463</v>
      </c>
      <c r="AJ1551" t="s">
        <v>3465</v>
      </c>
      <c r="AK1551" t="s">
        <v>3463</v>
      </c>
      <c r="AL1551" t="s">
        <v>3463</v>
      </c>
      <c r="AP1551" t="s">
        <v>3463</v>
      </c>
      <c r="AQ1551" t="s">
        <v>3279</v>
      </c>
      <c r="AR1551" t="s">
        <v>3508</v>
      </c>
      <c r="AV1551" t="s">
        <v>74</v>
      </c>
      <c r="AW1551" t="s">
        <v>3915</v>
      </c>
      <c r="BA1551" t="s">
        <v>3920</v>
      </c>
      <c r="BC1551" t="s">
        <v>128</v>
      </c>
      <c r="BF1551" t="s">
        <v>3921</v>
      </c>
      <c r="BG1551" t="s">
        <v>3280</v>
      </c>
      <c r="BH1551" t="s">
        <v>4042</v>
      </c>
      <c r="BI1551" t="s">
        <v>3281</v>
      </c>
      <c r="BP1551" t="s">
        <v>4260</v>
      </c>
      <c r="BQ1551" t="s">
        <v>3463</v>
      </c>
      <c r="BR1551" t="s">
        <v>3463</v>
      </c>
      <c r="BS1551" t="s">
        <v>3463</v>
      </c>
      <c r="BT1551" t="s">
        <v>3463</v>
      </c>
      <c r="BU1551" t="s">
        <v>3463</v>
      </c>
      <c r="BV1551" t="s">
        <v>3463</v>
      </c>
      <c r="BW1551" t="s">
        <v>3463</v>
      </c>
      <c r="BX1551" t="s">
        <v>79</v>
      </c>
      <c r="BY1551" t="s">
        <v>79</v>
      </c>
      <c r="BZ1551" t="s">
        <v>79</v>
      </c>
      <c r="CA1551" s="10">
        <v>45913</v>
      </c>
    </row>
    <row r="1552" spans="1:79">
      <c r="A1552">
        <v>1565</v>
      </c>
      <c r="B1552">
        <v>196</v>
      </c>
      <c r="C1552">
        <v>57</v>
      </c>
      <c r="D1552" t="s">
        <v>3466</v>
      </c>
      <c r="E1552" t="s">
        <v>2565</v>
      </c>
      <c r="F1552" t="s">
        <v>1804</v>
      </c>
      <c r="G1552" s="12" t="s">
        <v>3463</v>
      </c>
      <c r="I1552">
        <v>66</v>
      </c>
      <c r="J1552">
        <v>69</v>
      </c>
      <c r="K1552">
        <v>142</v>
      </c>
      <c r="L1552">
        <v>75</v>
      </c>
      <c r="M1552" t="s">
        <v>72</v>
      </c>
      <c r="N1552">
        <v>142</v>
      </c>
      <c r="O1552">
        <v>82</v>
      </c>
      <c r="P1552" t="s">
        <v>72</v>
      </c>
      <c r="Q1552" t="s">
        <v>72</v>
      </c>
      <c r="R1552">
        <v>61.7</v>
      </c>
      <c r="S1552">
        <v>143</v>
      </c>
      <c r="T1552" s="8">
        <f t="shared" si="49"/>
        <v>30.172624578218986</v>
      </c>
      <c r="U1552" s="13" t="str" cm="1">
        <f t="array" ref="U1552">IF(T1552="","",_xlfn.IFS(T1552&lt;18.5,"Bajo peso",T1552&lt;25,"Peso normal",T1552&lt;30,"Sobrepeso",T1552&lt;35,"Obesidad clase I",T1552&lt;40,"Obesidad clase II",T1552&gt;=40,"Obesidad clase III"))</f>
        <v>Obesidad clase I</v>
      </c>
      <c r="V1552">
        <v>67</v>
      </c>
      <c r="X1552" t="s">
        <v>3463</v>
      </c>
      <c r="Y1552">
        <v>0.86</v>
      </c>
      <c r="AA1552">
        <v>90</v>
      </c>
      <c r="AB1552" s="9">
        <f t="shared" si="48"/>
        <v>78.746440290857592</v>
      </c>
      <c r="AD1552" t="s">
        <v>73</v>
      </c>
      <c r="AF1552" t="s">
        <v>73</v>
      </c>
      <c r="AH1552" t="s">
        <v>3463</v>
      </c>
      <c r="AI1552" t="s">
        <v>3463</v>
      </c>
      <c r="AJ1552" t="s">
        <v>3463</v>
      </c>
      <c r="AK1552" t="s">
        <v>3463</v>
      </c>
      <c r="AL1552" t="s">
        <v>3463</v>
      </c>
      <c r="AP1552" t="s">
        <v>3463</v>
      </c>
      <c r="AQ1552" t="s">
        <v>1567</v>
      </c>
      <c r="AR1552" t="s">
        <v>3491</v>
      </c>
      <c r="AT1552" t="s">
        <v>3465</v>
      </c>
      <c r="AU1552" t="s">
        <v>80</v>
      </c>
      <c r="AV1552" t="s">
        <v>74</v>
      </c>
      <c r="AW1552" t="s">
        <v>3915</v>
      </c>
      <c r="AX1552" t="s">
        <v>3463</v>
      </c>
      <c r="AY1552" t="s">
        <v>3465</v>
      </c>
      <c r="AZ1552" t="s">
        <v>90</v>
      </c>
      <c r="BF1552" t="s">
        <v>3921</v>
      </c>
      <c r="BH1552" t="s">
        <v>4021</v>
      </c>
      <c r="BI1552" t="s">
        <v>76</v>
      </c>
      <c r="BP1552" t="s">
        <v>4261</v>
      </c>
      <c r="BQ1552" t="s">
        <v>3463</v>
      </c>
      <c r="BR1552" t="s">
        <v>3465</v>
      </c>
      <c r="BS1552" t="s">
        <v>3463</v>
      </c>
      <c r="BT1552" t="s">
        <v>3463</v>
      </c>
      <c r="BU1552" t="s">
        <v>3463</v>
      </c>
      <c r="BV1552" t="s">
        <v>3463</v>
      </c>
      <c r="BW1552" t="s">
        <v>3463</v>
      </c>
      <c r="BX1552" t="s">
        <v>121</v>
      </c>
      <c r="BY1552" t="s">
        <v>79</v>
      </c>
      <c r="BZ1552" t="s">
        <v>79</v>
      </c>
      <c r="CA1552" s="10">
        <v>45913</v>
      </c>
    </row>
    <row r="1553" spans="1:79">
      <c r="A1553">
        <v>1566</v>
      </c>
      <c r="B1553">
        <v>197</v>
      </c>
      <c r="C1553">
        <v>75</v>
      </c>
      <c r="D1553" t="s">
        <v>3466</v>
      </c>
      <c r="E1553" t="s">
        <v>1804</v>
      </c>
      <c r="F1553" t="s">
        <v>1804</v>
      </c>
      <c r="G1553" s="12" t="s">
        <v>3463</v>
      </c>
      <c r="I1553">
        <v>80</v>
      </c>
      <c r="J1553">
        <v>72</v>
      </c>
      <c r="K1553">
        <v>142</v>
      </c>
      <c r="L1553">
        <v>75</v>
      </c>
      <c r="M1553" t="s">
        <v>72</v>
      </c>
      <c r="N1553">
        <v>132</v>
      </c>
      <c r="O1553">
        <v>70</v>
      </c>
      <c r="P1553" t="s">
        <v>82</v>
      </c>
      <c r="Q1553" t="s">
        <v>82</v>
      </c>
      <c r="R1553">
        <v>54</v>
      </c>
      <c r="S1553">
        <v>155</v>
      </c>
      <c r="T1553" s="8">
        <f t="shared" si="49"/>
        <v>22.47658688865765</v>
      </c>
      <c r="U1553" s="13" t="str" cm="1">
        <f t="array" ref="U1553">IF(T1553="","",_xlfn.IFS(T1553&lt;18.5,"Bajo peso",T1553&lt;25,"Peso normal",T1553&lt;30,"Sobrepeso",T1553&lt;35,"Obesidad clase I",T1553&lt;40,"Obesidad clase II",T1553&gt;=40,"Obesidad clase III"))</f>
        <v>Peso normal</v>
      </c>
      <c r="V1553">
        <v>123</v>
      </c>
      <c r="X1553" t="s">
        <v>3463</v>
      </c>
      <c r="Y1553">
        <v>1.07</v>
      </c>
      <c r="AA1553">
        <v>57</v>
      </c>
      <c r="AB1553" s="9">
        <f t="shared" si="48"/>
        <v>54.168948129455465</v>
      </c>
      <c r="AD1553" t="s">
        <v>158</v>
      </c>
      <c r="AF1553" t="s">
        <v>158</v>
      </c>
      <c r="AG1553" t="s">
        <v>3465</v>
      </c>
      <c r="AH1553" t="s">
        <v>3465</v>
      </c>
      <c r="AI1553" t="s">
        <v>3463</v>
      </c>
      <c r="AJ1553" t="s">
        <v>3463</v>
      </c>
      <c r="AK1553" t="s">
        <v>3463</v>
      </c>
      <c r="AL1553" t="s">
        <v>3465</v>
      </c>
      <c r="AM1553" t="s">
        <v>3282</v>
      </c>
      <c r="AN1553" t="s">
        <v>3846</v>
      </c>
      <c r="AP1553" t="s">
        <v>3463</v>
      </c>
      <c r="AQ1553" t="s">
        <v>3283</v>
      </c>
      <c r="AR1553" t="s">
        <v>3488</v>
      </c>
      <c r="AT1553" t="s">
        <v>3465</v>
      </c>
      <c r="AU1553" t="s">
        <v>80</v>
      </c>
      <c r="AV1553" t="s">
        <v>178</v>
      </c>
      <c r="AW1553" t="s">
        <v>3918</v>
      </c>
      <c r="AX1553" t="s">
        <v>3463</v>
      </c>
      <c r="AY1553" t="s">
        <v>3463</v>
      </c>
      <c r="BF1553" t="s">
        <v>3921</v>
      </c>
      <c r="BG1553" t="s">
        <v>3242</v>
      </c>
      <c r="BH1553" t="s">
        <v>4029</v>
      </c>
      <c r="BP1553" t="s">
        <v>4260</v>
      </c>
      <c r="BQ1553" t="s">
        <v>3463</v>
      </c>
      <c r="BR1553" t="s">
        <v>3463</v>
      </c>
      <c r="BS1553" t="s">
        <v>3465</v>
      </c>
      <c r="BT1553" t="s">
        <v>3465</v>
      </c>
      <c r="BU1553" t="s">
        <v>3463</v>
      </c>
      <c r="BX1553" t="s">
        <v>79</v>
      </c>
      <c r="BY1553" t="s">
        <v>79</v>
      </c>
      <c r="BZ1553" t="s">
        <v>79</v>
      </c>
      <c r="CA1553" s="10">
        <v>45913</v>
      </c>
    </row>
    <row r="1554" spans="1:79">
      <c r="A1554">
        <v>1567</v>
      </c>
      <c r="B1554">
        <v>198</v>
      </c>
      <c r="C1554">
        <v>45</v>
      </c>
      <c r="D1554" t="s">
        <v>3462</v>
      </c>
      <c r="E1554" t="s">
        <v>3114</v>
      </c>
      <c r="F1554" t="s">
        <v>1804</v>
      </c>
      <c r="G1554" s="12" t="s">
        <v>3463</v>
      </c>
      <c r="I1554">
        <v>76</v>
      </c>
      <c r="J1554">
        <v>78</v>
      </c>
      <c r="K1554">
        <v>155</v>
      </c>
      <c r="L1554">
        <v>93</v>
      </c>
      <c r="M1554" t="s">
        <v>72</v>
      </c>
      <c r="N1554">
        <v>131</v>
      </c>
      <c r="O1554">
        <v>94</v>
      </c>
      <c r="P1554" t="s">
        <v>72</v>
      </c>
      <c r="Q1554" t="s">
        <v>72</v>
      </c>
      <c r="R1554">
        <v>74.55</v>
      </c>
      <c r="S1554">
        <v>167</v>
      </c>
      <c r="T1554" s="8">
        <f t="shared" si="49"/>
        <v>26.730969199325902</v>
      </c>
      <c r="U1554" s="13" t="str" cm="1">
        <f t="array" ref="U1554">IF(T1554="","",_xlfn.IFS(T1554&lt;18.5,"Bajo peso",T1554&lt;25,"Peso normal",T1554&lt;30,"Sobrepeso",T1554&lt;35,"Obesidad clase I",T1554&lt;40,"Obesidad clase II",T1554&gt;=40,"Obesidad clase III"))</f>
        <v>Sobrepeso</v>
      </c>
      <c r="V1554">
        <v>130</v>
      </c>
      <c r="X1554" t="s">
        <v>3463</v>
      </c>
      <c r="Y1554">
        <v>1.01</v>
      </c>
      <c r="AA1554">
        <v>90</v>
      </c>
      <c r="AB1554" s="9">
        <f t="shared" si="48"/>
        <v>93.464861251078105</v>
      </c>
      <c r="AD1554" t="s">
        <v>73</v>
      </c>
      <c r="AF1554" t="s">
        <v>73</v>
      </c>
      <c r="AH1554" t="s">
        <v>3463</v>
      </c>
      <c r="AI1554" t="s">
        <v>3463</v>
      </c>
      <c r="AJ1554" t="s">
        <v>3465</v>
      </c>
      <c r="AK1554" t="s">
        <v>3463</v>
      </c>
      <c r="AL1554" t="s">
        <v>3463</v>
      </c>
      <c r="AP1554" t="s">
        <v>3463</v>
      </c>
      <c r="AQ1554" t="s">
        <v>3284</v>
      </c>
      <c r="AR1554" t="s">
        <v>3488</v>
      </c>
      <c r="AV1554" t="s">
        <v>74</v>
      </c>
      <c r="AW1554" t="s">
        <v>3915</v>
      </c>
      <c r="BF1554" t="s">
        <v>3921</v>
      </c>
      <c r="BH1554" t="s">
        <v>4020</v>
      </c>
      <c r="BP1554" t="s">
        <v>4260</v>
      </c>
      <c r="BQ1554" t="s">
        <v>3463</v>
      </c>
      <c r="BR1554" t="s">
        <v>3463</v>
      </c>
      <c r="BS1554" t="s">
        <v>3463</v>
      </c>
      <c r="BT1554" t="s">
        <v>3465</v>
      </c>
      <c r="BU1554" t="s">
        <v>3463</v>
      </c>
      <c r="BV1554" t="s">
        <v>3463</v>
      </c>
      <c r="BW1554" t="s">
        <v>3463</v>
      </c>
      <c r="BX1554" t="s">
        <v>79</v>
      </c>
      <c r="BY1554" t="s">
        <v>79</v>
      </c>
      <c r="BZ1554" t="s">
        <v>79</v>
      </c>
      <c r="CA1554" s="10">
        <v>45913</v>
      </c>
    </row>
    <row r="1555" spans="1:79">
      <c r="A1555">
        <v>1568</v>
      </c>
      <c r="B1555">
        <v>199</v>
      </c>
      <c r="C1555">
        <v>77</v>
      </c>
      <c r="D1555" t="s">
        <v>3466</v>
      </c>
      <c r="E1555" t="s">
        <v>3013</v>
      </c>
      <c r="F1555" t="s">
        <v>1804</v>
      </c>
      <c r="G1555" s="12" t="s">
        <v>3463</v>
      </c>
      <c r="I1555">
        <v>77</v>
      </c>
      <c r="K1555">
        <v>149</v>
      </c>
      <c r="L1555">
        <v>78</v>
      </c>
      <c r="M1555" t="s">
        <v>72</v>
      </c>
      <c r="P1555" t="s">
        <v>83</v>
      </c>
      <c r="Q1555" t="s">
        <v>72</v>
      </c>
      <c r="R1555">
        <v>55.2</v>
      </c>
      <c r="S1555">
        <v>156</v>
      </c>
      <c r="T1555" s="8">
        <f t="shared" si="49"/>
        <v>22.682445759368836</v>
      </c>
      <c r="U1555" s="13" t="str" cm="1">
        <f t="array" ref="U1555">IF(T1555="","",_xlfn.IFS(T1555&lt;18.5,"Bajo peso",T1555&lt;25,"Peso normal",T1555&lt;30,"Sobrepeso",T1555&lt;35,"Obesidad clase I",T1555&lt;40,"Obesidad clase II",T1555&gt;=40,"Obesidad clase III"))</f>
        <v>Peso normal</v>
      </c>
      <c r="V1555">
        <v>97</v>
      </c>
      <c r="X1555" t="s">
        <v>3463</v>
      </c>
      <c r="Y1555">
        <v>0.98</v>
      </c>
      <c r="AA1555">
        <v>59</v>
      </c>
      <c r="AB1555" s="9">
        <f t="shared" si="48"/>
        <v>59.448052195028787</v>
      </c>
      <c r="AD1555" t="s">
        <v>158</v>
      </c>
      <c r="AF1555" t="s">
        <v>158</v>
      </c>
      <c r="AH1555" t="s">
        <v>3463</v>
      </c>
      <c r="AI1555" t="s">
        <v>3465</v>
      </c>
      <c r="AJ1555" t="s">
        <v>3465</v>
      </c>
      <c r="AK1555" t="s">
        <v>3463</v>
      </c>
      <c r="AL1555" t="s">
        <v>3465</v>
      </c>
      <c r="AM1555" t="s">
        <v>257</v>
      </c>
      <c r="AN1555" t="s">
        <v>116</v>
      </c>
      <c r="AP1555" t="s">
        <v>3463</v>
      </c>
      <c r="AQ1555" t="s">
        <v>3047</v>
      </c>
      <c r="AR1555" t="s">
        <v>3508</v>
      </c>
      <c r="AS1555" t="s">
        <v>3465</v>
      </c>
      <c r="AT1555" t="s">
        <v>3465</v>
      </c>
      <c r="AU1555" t="s">
        <v>125</v>
      </c>
      <c r="AV1555" t="s">
        <v>74</v>
      </c>
      <c r="AW1555" t="s">
        <v>3915</v>
      </c>
      <c r="AX1555" t="s">
        <v>3463</v>
      </c>
      <c r="AY1555" t="s">
        <v>3463</v>
      </c>
      <c r="BA1555" t="s">
        <v>3920</v>
      </c>
      <c r="BE1555" t="s">
        <v>3285</v>
      </c>
      <c r="BF1555" t="s">
        <v>4010</v>
      </c>
      <c r="BG1555" t="s">
        <v>3286</v>
      </c>
      <c r="BH1555" t="s">
        <v>4113</v>
      </c>
      <c r="BI1555" t="s">
        <v>3287</v>
      </c>
      <c r="BK1555" t="s">
        <v>3288</v>
      </c>
      <c r="BL1555" t="s">
        <v>3289</v>
      </c>
      <c r="BP1555" t="s">
        <v>4274</v>
      </c>
      <c r="BQ1555" t="s">
        <v>3463</v>
      </c>
      <c r="BR1555" t="s">
        <v>3463</v>
      </c>
      <c r="BS1555" t="s">
        <v>3465</v>
      </c>
      <c r="BT1555" t="s">
        <v>3465</v>
      </c>
      <c r="BU1555" t="s">
        <v>3463</v>
      </c>
      <c r="BV1555" t="s">
        <v>3463</v>
      </c>
      <c r="BW1555" t="s">
        <v>3463</v>
      </c>
      <c r="BX1555" t="s">
        <v>79</v>
      </c>
      <c r="BY1555" t="s">
        <v>79</v>
      </c>
      <c r="BZ1555" t="s">
        <v>95</v>
      </c>
      <c r="CA1555" s="10">
        <v>45913</v>
      </c>
    </row>
    <row r="1556" spans="1:79">
      <c r="A1556">
        <v>1569</v>
      </c>
      <c r="B1556">
        <v>200</v>
      </c>
      <c r="C1556">
        <v>55</v>
      </c>
      <c r="D1556" t="s">
        <v>3466</v>
      </c>
      <c r="E1556" t="s">
        <v>3187</v>
      </c>
      <c r="F1556" t="s">
        <v>1804</v>
      </c>
      <c r="G1556" s="12" t="s">
        <v>3463</v>
      </c>
      <c r="H1556" s="12"/>
      <c r="I1556">
        <v>82</v>
      </c>
      <c r="K1556">
        <v>131</v>
      </c>
      <c r="L1556">
        <v>67</v>
      </c>
      <c r="M1556" t="s">
        <v>82</v>
      </c>
      <c r="P1556" t="s">
        <v>83</v>
      </c>
      <c r="Q1556" t="s">
        <v>82</v>
      </c>
      <c r="R1556">
        <v>58.2</v>
      </c>
      <c r="S1556">
        <v>156</v>
      </c>
      <c r="T1556" s="8">
        <f t="shared" si="49"/>
        <v>23.915187376725839</v>
      </c>
      <c r="U1556" s="13" t="str" cm="1">
        <f t="array" ref="U1556">IF(T1556="","",_xlfn.IFS(T1556&lt;18.5,"Bajo peso",T1556&lt;25,"Peso normal",T1556&lt;30,"Sobrepeso",T1556&lt;35,"Obesidad clase I",T1556&lt;40,"Obesidad clase II",T1556&gt;=40,"Obesidad clase III"))</f>
        <v>Peso normal</v>
      </c>
      <c r="V1556">
        <v>100</v>
      </c>
      <c r="X1556" t="s">
        <v>3463</v>
      </c>
      <c r="Y1556">
        <v>0.76</v>
      </c>
      <c r="AA1556">
        <v>90</v>
      </c>
      <c r="AB1556" s="9">
        <f t="shared" si="48"/>
        <v>92.481481161615434</v>
      </c>
      <c r="AD1556" t="s">
        <v>73</v>
      </c>
      <c r="AF1556" t="s">
        <v>73</v>
      </c>
      <c r="AH1556" t="s">
        <v>3463</v>
      </c>
      <c r="AI1556" t="s">
        <v>3463</v>
      </c>
      <c r="AJ1556" t="s">
        <v>3463</v>
      </c>
      <c r="AK1556" t="s">
        <v>3463</v>
      </c>
      <c r="AL1556" t="s">
        <v>3465</v>
      </c>
      <c r="AM1556" t="s">
        <v>3290</v>
      </c>
      <c r="AN1556" t="s">
        <v>3904</v>
      </c>
      <c r="AP1556" t="s">
        <v>3463</v>
      </c>
      <c r="AQ1556" t="s">
        <v>159</v>
      </c>
      <c r="AR1556" t="s">
        <v>3491</v>
      </c>
      <c r="AT1556" t="s">
        <v>3465</v>
      </c>
      <c r="AU1556" t="s">
        <v>80</v>
      </c>
      <c r="AV1556" t="s">
        <v>126</v>
      </c>
      <c r="AW1556" t="s">
        <v>126</v>
      </c>
      <c r="AX1556" t="s">
        <v>3463</v>
      </c>
      <c r="AY1556" t="s">
        <v>3465</v>
      </c>
      <c r="AZ1556" t="s">
        <v>90</v>
      </c>
      <c r="BE1556" t="s">
        <v>3291</v>
      </c>
      <c r="BF1556" t="s">
        <v>3904</v>
      </c>
      <c r="BG1556" t="s">
        <v>3292</v>
      </c>
      <c r="BH1556" t="s">
        <v>4253</v>
      </c>
      <c r="BP1556" t="s">
        <v>4260</v>
      </c>
      <c r="BQ1556" t="s">
        <v>3465</v>
      </c>
      <c r="BR1556" t="s">
        <v>3463</v>
      </c>
      <c r="BS1556" t="s">
        <v>3463</v>
      </c>
      <c r="BT1556" t="s">
        <v>3463</v>
      </c>
      <c r="BU1556" t="s">
        <v>3463</v>
      </c>
      <c r="BV1556" t="s">
        <v>3463</v>
      </c>
      <c r="BW1556" t="s">
        <v>3463</v>
      </c>
      <c r="BX1556" t="s">
        <v>518</v>
      </c>
      <c r="BY1556" t="s">
        <v>79</v>
      </c>
      <c r="BZ1556" t="s">
        <v>79</v>
      </c>
      <c r="CA1556" s="10">
        <v>45913</v>
      </c>
    </row>
    <row r="1557" spans="1:79">
      <c r="A1557">
        <v>1570</v>
      </c>
      <c r="B1557">
        <v>201</v>
      </c>
      <c r="C1557">
        <v>51</v>
      </c>
      <c r="D1557" t="s">
        <v>3466</v>
      </c>
      <c r="F1557" t="s">
        <v>1804</v>
      </c>
      <c r="G1557" s="12" t="s">
        <v>3463</v>
      </c>
      <c r="I1557">
        <v>88</v>
      </c>
      <c r="J1557">
        <v>88</v>
      </c>
      <c r="K1557">
        <v>149</v>
      </c>
      <c r="L1557">
        <v>77</v>
      </c>
      <c r="M1557" t="s">
        <v>72</v>
      </c>
      <c r="N1557">
        <v>137</v>
      </c>
      <c r="O1557">
        <v>78</v>
      </c>
      <c r="P1557" t="s">
        <v>82</v>
      </c>
      <c r="Q1557" t="s">
        <v>82</v>
      </c>
      <c r="R1557">
        <v>64.3</v>
      </c>
      <c r="S1557">
        <v>146</v>
      </c>
      <c r="T1557" s="8">
        <f t="shared" si="49"/>
        <v>30.165134171514357</v>
      </c>
      <c r="U1557" s="13" t="str" cm="1">
        <f t="array" ref="U1557">IF(T1557="","",_xlfn.IFS(T1557&lt;18.5,"Bajo peso",T1557&lt;25,"Peso normal",T1557&lt;30,"Sobrepeso",T1557&lt;35,"Obesidad clase I",T1557&lt;40,"Obesidad clase II",T1557&gt;=40,"Obesidad clase III"))</f>
        <v>Obesidad clase I</v>
      </c>
      <c r="V1557">
        <v>111</v>
      </c>
      <c r="X1557" t="s">
        <v>3463</v>
      </c>
      <c r="Y1557">
        <v>0.64</v>
      </c>
      <c r="AA1557">
        <v>90</v>
      </c>
      <c r="AB1557" s="9">
        <f t="shared" si="48"/>
        <v>106.92929997782048</v>
      </c>
      <c r="AD1557" t="s">
        <v>73</v>
      </c>
      <c r="AF1557" t="s">
        <v>73</v>
      </c>
      <c r="AH1557" t="s">
        <v>3463</v>
      </c>
      <c r="AI1557" t="s">
        <v>3463</v>
      </c>
      <c r="AJ1557" t="s">
        <v>3463</v>
      </c>
      <c r="AK1557" t="s">
        <v>3463</v>
      </c>
      <c r="AL1557" t="s">
        <v>3465</v>
      </c>
      <c r="AM1557" t="s">
        <v>110</v>
      </c>
      <c r="AN1557" t="s">
        <v>110</v>
      </c>
      <c r="AP1557" t="s">
        <v>3463</v>
      </c>
      <c r="AT1557" t="s">
        <v>3465</v>
      </c>
      <c r="AU1557" t="s">
        <v>80</v>
      </c>
      <c r="AV1557" t="s">
        <v>74</v>
      </c>
      <c r="AW1557" t="s">
        <v>3915</v>
      </c>
      <c r="AX1557" t="s">
        <v>3465</v>
      </c>
      <c r="AY1557" t="s">
        <v>3465</v>
      </c>
      <c r="AZ1557" t="s">
        <v>90</v>
      </c>
      <c r="BF1557" t="s">
        <v>3921</v>
      </c>
      <c r="BH1557" t="s">
        <v>4020</v>
      </c>
      <c r="BP1557" t="s">
        <v>4260</v>
      </c>
      <c r="BQ1557" t="s">
        <v>3463</v>
      </c>
      <c r="BR1557" t="s">
        <v>3463</v>
      </c>
      <c r="BT1557" t="s">
        <v>3465</v>
      </c>
      <c r="BU1557" t="s">
        <v>3463</v>
      </c>
      <c r="BX1557" t="s">
        <v>79</v>
      </c>
      <c r="BY1557" t="s">
        <v>79</v>
      </c>
      <c r="BZ1557" t="s">
        <v>79</v>
      </c>
      <c r="CA1557" s="10">
        <v>45913</v>
      </c>
    </row>
    <row r="1558" spans="1:79">
      <c r="A1558">
        <v>1571</v>
      </c>
      <c r="B1558">
        <v>202</v>
      </c>
      <c r="C1558">
        <v>80</v>
      </c>
      <c r="D1558" t="s">
        <v>3462</v>
      </c>
      <c r="E1558" t="s">
        <v>2565</v>
      </c>
      <c r="F1558" t="s">
        <v>1804</v>
      </c>
      <c r="G1558" s="12" t="s">
        <v>3463</v>
      </c>
      <c r="I1558">
        <v>61</v>
      </c>
      <c r="J1558">
        <v>59</v>
      </c>
      <c r="K1558">
        <v>155</v>
      </c>
      <c r="L1558">
        <v>70</v>
      </c>
      <c r="M1558" t="s">
        <v>72</v>
      </c>
      <c r="N1558">
        <v>141</v>
      </c>
      <c r="O1558">
        <v>64</v>
      </c>
      <c r="P1558" t="s">
        <v>72</v>
      </c>
      <c r="Q1558" t="s">
        <v>72</v>
      </c>
      <c r="R1558">
        <v>69</v>
      </c>
      <c r="S1558">
        <v>161</v>
      </c>
      <c r="T1558" s="8">
        <f t="shared" si="49"/>
        <v>26.619343389529725</v>
      </c>
      <c r="U1558" s="13" t="str" cm="1">
        <f t="array" ref="U1558">IF(T1558="","",_xlfn.IFS(T1558&lt;18.5,"Bajo peso",T1558&lt;25,"Peso normal",T1558&lt;30,"Sobrepeso",T1558&lt;35,"Obesidad clase I",T1558&lt;40,"Obesidad clase II",T1558&gt;=40,"Obesidad clase III"))</f>
        <v>Sobrepeso</v>
      </c>
      <c r="V1558">
        <v>171</v>
      </c>
      <c r="X1558" t="s">
        <v>3463</v>
      </c>
      <c r="Y1558">
        <v>1.23</v>
      </c>
      <c r="AA1558">
        <v>59</v>
      </c>
      <c r="AB1558" s="9">
        <f t="shared" si="48"/>
        <v>59.348891909145436</v>
      </c>
      <c r="AD1558" t="s">
        <v>158</v>
      </c>
      <c r="AF1558" t="s">
        <v>158</v>
      </c>
      <c r="AG1558" t="s">
        <v>3465</v>
      </c>
      <c r="AH1558" t="s">
        <v>3465</v>
      </c>
      <c r="AI1558" t="s">
        <v>3465</v>
      </c>
      <c r="AJ1558" t="s">
        <v>3463</v>
      </c>
      <c r="AK1558" t="s">
        <v>3465</v>
      </c>
      <c r="AL1558" t="s">
        <v>3463</v>
      </c>
      <c r="AP1558" t="s">
        <v>3463</v>
      </c>
      <c r="AQ1558" t="s">
        <v>3293</v>
      </c>
      <c r="AR1558" t="s">
        <v>3493</v>
      </c>
      <c r="AS1558" t="s">
        <v>3463</v>
      </c>
      <c r="AV1558" t="s">
        <v>74</v>
      </c>
      <c r="AW1558" t="s">
        <v>3915</v>
      </c>
      <c r="BF1558" t="s">
        <v>3921</v>
      </c>
      <c r="BH1558" t="s">
        <v>4020</v>
      </c>
      <c r="BP1558" t="s">
        <v>4260</v>
      </c>
      <c r="BQ1558" t="s">
        <v>3463</v>
      </c>
      <c r="BR1558" t="s">
        <v>3465</v>
      </c>
      <c r="BS1558" t="s">
        <v>3463</v>
      </c>
      <c r="BT1558" t="s">
        <v>3463</v>
      </c>
      <c r="BU1558" t="s">
        <v>3463</v>
      </c>
      <c r="BV1558" t="s">
        <v>3463</v>
      </c>
      <c r="BW1558" t="s">
        <v>3463</v>
      </c>
      <c r="BX1558" t="s">
        <v>79</v>
      </c>
      <c r="BY1558" t="s">
        <v>87</v>
      </c>
      <c r="BZ1558" t="s">
        <v>79</v>
      </c>
      <c r="CA1558" s="10">
        <v>45913</v>
      </c>
    </row>
    <row r="1559" spans="1:79">
      <c r="A1559">
        <v>1572</v>
      </c>
      <c r="B1559">
        <v>203</v>
      </c>
      <c r="C1559">
        <v>53</v>
      </c>
      <c r="D1559" t="s">
        <v>3462</v>
      </c>
      <c r="E1559" t="s">
        <v>3114</v>
      </c>
      <c r="F1559" t="s">
        <v>1804</v>
      </c>
      <c r="G1559" s="12" t="s">
        <v>3463</v>
      </c>
      <c r="I1559">
        <v>59</v>
      </c>
      <c r="J1559">
        <v>56</v>
      </c>
      <c r="K1559">
        <v>152</v>
      </c>
      <c r="L1559">
        <v>86</v>
      </c>
      <c r="M1559" t="s">
        <v>72</v>
      </c>
      <c r="N1559">
        <v>158</v>
      </c>
      <c r="O1559">
        <v>97</v>
      </c>
      <c r="P1559" t="s">
        <v>72</v>
      </c>
      <c r="Q1559" t="s">
        <v>72</v>
      </c>
      <c r="R1559">
        <v>85.5</v>
      </c>
      <c r="S1559">
        <v>164</v>
      </c>
      <c r="T1559" s="8">
        <f t="shared" si="49"/>
        <v>31.789113622843544</v>
      </c>
      <c r="U1559" s="13" t="str" cm="1">
        <f t="array" ref="U1559">IF(T1559="","",_xlfn.IFS(T1559&lt;18.5,"Bajo peso",T1559&lt;25,"Peso normal",T1559&lt;30,"Sobrepeso",T1559&lt;35,"Obesidad clase I",T1559&lt;40,"Obesidad clase II",T1559&gt;=40,"Obesidad clase III"))</f>
        <v>Obesidad clase I</v>
      </c>
      <c r="V1559">
        <v>101</v>
      </c>
      <c r="X1559" t="s">
        <v>3463</v>
      </c>
      <c r="Y1559">
        <v>0.93</v>
      </c>
      <c r="AA1559">
        <v>90</v>
      </c>
      <c r="AB1559" s="9">
        <f t="shared" si="48"/>
        <v>98.185287277347584</v>
      </c>
      <c r="AD1559" t="s">
        <v>73</v>
      </c>
      <c r="AF1559" t="s">
        <v>73</v>
      </c>
      <c r="AH1559" t="s">
        <v>3463</v>
      </c>
      <c r="AI1559" t="s">
        <v>3463</v>
      </c>
      <c r="AJ1559" t="s">
        <v>3463</v>
      </c>
      <c r="AK1559" t="s">
        <v>3463</v>
      </c>
      <c r="AL1559" t="s">
        <v>3465</v>
      </c>
      <c r="AM1559" t="s">
        <v>866</v>
      </c>
      <c r="AN1559" t="s">
        <v>3617</v>
      </c>
      <c r="AP1559" t="s">
        <v>3463</v>
      </c>
      <c r="AV1559" t="s">
        <v>126</v>
      </c>
      <c r="AW1559" t="s">
        <v>126</v>
      </c>
      <c r="BF1559" t="s">
        <v>3921</v>
      </c>
      <c r="BH1559" t="s">
        <v>4021</v>
      </c>
      <c r="BI1559" t="s">
        <v>76</v>
      </c>
      <c r="BP1559" t="s">
        <v>4261</v>
      </c>
      <c r="BQ1559" t="s">
        <v>3465</v>
      </c>
      <c r="BR1559" t="s">
        <v>3463</v>
      </c>
      <c r="BS1559" t="s">
        <v>3463</v>
      </c>
      <c r="BT1559" t="s">
        <v>3463</v>
      </c>
      <c r="BU1559" t="s">
        <v>3463</v>
      </c>
      <c r="BV1559" t="s">
        <v>3463</v>
      </c>
      <c r="BW1559" t="s">
        <v>3463</v>
      </c>
      <c r="BX1559" t="s">
        <v>79</v>
      </c>
      <c r="BY1559" t="s">
        <v>87</v>
      </c>
      <c r="BZ1559" t="s">
        <v>79</v>
      </c>
      <c r="CA1559" s="10">
        <v>45913</v>
      </c>
    </row>
    <row r="1560" spans="1:79">
      <c r="A1560">
        <v>1573</v>
      </c>
      <c r="B1560">
        <v>204</v>
      </c>
      <c r="C1560">
        <v>65</v>
      </c>
      <c r="D1560" t="s">
        <v>3462</v>
      </c>
      <c r="E1560" t="s">
        <v>1804</v>
      </c>
      <c r="F1560" t="s">
        <v>1804</v>
      </c>
      <c r="G1560" s="12" t="s">
        <v>3463</v>
      </c>
      <c r="H1560" s="12"/>
      <c r="I1560">
        <v>69</v>
      </c>
      <c r="K1560">
        <v>111</v>
      </c>
      <c r="L1560">
        <v>58</v>
      </c>
      <c r="M1560" t="s">
        <v>80</v>
      </c>
      <c r="P1560" t="s">
        <v>83</v>
      </c>
      <c r="Q1560" t="s">
        <v>80</v>
      </c>
      <c r="R1560">
        <v>70.2</v>
      </c>
      <c r="S1560">
        <v>163</v>
      </c>
      <c r="T1560" s="8">
        <f t="shared" si="49"/>
        <v>26.42176973164214</v>
      </c>
      <c r="U1560" s="13" t="str" cm="1">
        <f t="array" ref="U1560">IF(T1560="","",_xlfn.IFS(T1560&lt;18.5,"Bajo peso",T1560&lt;25,"Peso normal",T1560&lt;30,"Sobrepeso",T1560&lt;35,"Obesidad clase I",T1560&lt;40,"Obesidad clase II",T1560&gt;=40,"Obesidad clase III"))</f>
        <v>Sobrepeso</v>
      </c>
      <c r="V1560">
        <v>196</v>
      </c>
      <c r="X1560" t="s">
        <v>3463</v>
      </c>
      <c r="Y1560">
        <v>1.2</v>
      </c>
      <c r="AA1560">
        <v>67</v>
      </c>
      <c r="AB1560" s="9">
        <f t="shared" si="48"/>
        <v>67.111410572021768</v>
      </c>
      <c r="AD1560" t="s">
        <v>73</v>
      </c>
      <c r="AF1560" t="s">
        <v>73</v>
      </c>
      <c r="AG1560" t="s">
        <v>3465</v>
      </c>
      <c r="AH1560" t="s">
        <v>3465</v>
      </c>
      <c r="AI1560" t="s">
        <v>3465</v>
      </c>
      <c r="AJ1560" t="s">
        <v>3465</v>
      </c>
      <c r="AK1560" t="s">
        <v>3463</v>
      </c>
      <c r="AL1560" t="s">
        <v>3465</v>
      </c>
      <c r="AM1560" t="s">
        <v>941</v>
      </c>
      <c r="AN1560" t="s">
        <v>3617</v>
      </c>
      <c r="AP1560" t="s">
        <v>3463</v>
      </c>
      <c r="AS1560" t="s">
        <v>3465</v>
      </c>
      <c r="AV1560" t="s">
        <v>74</v>
      </c>
      <c r="AW1560" t="s">
        <v>3915</v>
      </c>
      <c r="BF1560" t="s">
        <v>3921</v>
      </c>
      <c r="BH1560" t="s">
        <v>4020</v>
      </c>
      <c r="BP1560" t="s">
        <v>4260</v>
      </c>
      <c r="BQ1560" t="s">
        <v>3465</v>
      </c>
      <c r="BR1560" t="s">
        <v>3465</v>
      </c>
      <c r="BS1560" t="s">
        <v>3463</v>
      </c>
      <c r="BT1560" t="s">
        <v>3463</v>
      </c>
      <c r="BU1560" t="s">
        <v>3463</v>
      </c>
      <c r="BX1560" t="s">
        <v>79</v>
      </c>
      <c r="BY1560" t="s">
        <v>121</v>
      </c>
      <c r="BZ1560" t="s">
        <v>79</v>
      </c>
      <c r="CA1560" s="10">
        <v>45913</v>
      </c>
    </row>
    <row r="1561" spans="1:79">
      <c r="A1561">
        <v>1574</v>
      </c>
      <c r="B1561">
        <v>205</v>
      </c>
      <c r="C1561">
        <v>34</v>
      </c>
      <c r="D1561" t="s">
        <v>3466</v>
      </c>
      <c r="E1561" t="s">
        <v>2986</v>
      </c>
      <c r="F1561" t="s">
        <v>1804</v>
      </c>
      <c r="G1561" s="12" t="s">
        <v>3463</v>
      </c>
      <c r="H1561" s="12"/>
      <c r="I1561">
        <v>76</v>
      </c>
      <c r="K1561">
        <v>128</v>
      </c>
      <c r="L1561">
        <v>73</v>
      </c>
      <c r="M1561" t="s">
        <v>118</v>
      </c>
      <c r="P1561" t="s">
        <v>83</v>
      </c>
      <c r="Q1561" t="s">
        <v>118</v>
      </c>
      <c r="R1561">
        <v>91.5</v>
      </c>
      <c r="S1561">
        <v>158</v>
      </c>
      <c r="T1561" s="8">
        <f t="shared" si="49"/>
        <v>36.652780003204619</v>
      </c>
      <c r="U1561" s="13" t="str" cm="1">
        <f t="array" ref="U1561">IF(T1561="","",_xlfn.IFS(T1561&lt;18.5,"Bajo peso",T1561&lt;25,"Peso normal",T1561&lt;30,"Sobrepeso",T1561&lt;35,"Obesidad clase I",T1561&lt;40,"Obesidad clase II",T1561&gt;=40,"Obesidad clase III"))</f>
        <v>Obesidad clase II</v>
      </c>
      <c r="V1561">
        <v>98</v>
      </c>
      <c r="X1561" t="s">
        <v>3463</v>
      </c>
      <c r="Y1561">
        <v>1.2</v>
      </c>
      <c r="AA1561">
        <v>61</v>
      </c>
      <c r="AB1561" s="9">
        <f t="shared" si="48"/>
        <v>60.91647319273843</v>
      </c>
      <c r="AD1561" t="s">
        <v>73</v>
      </c>
      <c r="AF1561" t="s">
        <v>73</v>
      </c>
      <c r="AH1561" t="s">
        <v>3463</v>
      </c>
      <c r="AI1561" t="s">
        <v>3463</v>
      </c>
      <c r="AJ1561" t="s">
        <v>3465</v>
      </c>
      <c r="AK1561" t="s">
        <v>3463</v>
      </c>
      <c r="AL1561" t="s">
        <v>3463</v>
      </c>
      <c r="AO1561" t="s">
        <v>3465</v>
      </c>
      <c r="AP1561" t="s">
        <v>3465</v>
      </c>
      <c r="AQ1561" t="s">
        <v>3209</v>
      </c>
      <c r="AR1561" t="s">
        <v>3508</v>
      </c>
      <c r="AT1561" t="s">
        <v>3463</v>
      </c>
      <c r="AV1561" t="s">
        <v>74</v>
      </c>
      <c r="AW1561" t="s">
        <v>3915</v>
      </c>
      <c r="AX1561" t="s">
        <v>3463</v>
      </c>
      <c r="AY1561" t="s">
        <v>3465</v>
      </c>
      <c r="AZ1561" t="s">
        <v>247</v>
      </c>
      <c r="BF1561" t="s">
        <v>3921</v>
      </c>
      <c r="BH1561" t="s">
        <v>4020</v>
      </c>
      <c r="BP1561" t="s">
        <v>4260</v>
      </c>
      <c r="BQ1561" t="s">
        <v>3465</v>
      </c>
      <c r="BR1561" t="s">
        <v>3463</v>
      </c>
      <c r="BS1561" t="s">
        <v>3465</v>
      </c>
      <c r="BT1561" t="s">
        <v>3465</v>
      </c>
      <c r="BU1561" t="s">
        <v>3465</v>
      </c>
      <c r="BV1561" t="s">
        <v>3465</v>
      </c>
      <c r="BW1561" t="s">
        <v>3465</v>
      </c>
      <c r="BX1561" t="s">
        <v>79</v>
      </c>
      <c r="BY1561" t="s">
        <v>79</v>
      </c>
      <c r="BZ1561" t="s">
        <v>79</v>
      </c>
      <c r="CA1561" s="10">
        <v>45913</v>
      </c>
    </row>
    <row r="1562" spans="1:79">
      <c r="A1562">
        <v>1575</v>
      </c>
      <c r="B1562">
        <v>206</v>
      </c>
      <c r="C1562">
        <v>69</v>
      </c>
      <c r="D1562" t="s">
        <v>3466</v>
      </c>
      <c r="E1562" t="s">
        <v>3126</v>
      </c>
      <c r="F1562" t="s">
        <v>1804</v>
      </c>
      <c r="G1562" s="12" t="s">
        <v>3463</v>
      </c>
      <c r="H1562" s="12"/>
      <c r="I1562">
        <v>75</v>
      </c>
      <c r="K1562">
        <v>116</v>
      </c>
      <c r="L1562">
        <v>66</v>
      </c>
      <c r="M1562" t="s">
        <v>80</v>
      </c>
      <c r="P1562" t="s">
        <v>83</v>
      </c>
      <c r="Q1562" t="s">
        <v>80</v>
      </c>
      <c r="R1562">
        <v>58.2</v>
      </c>
      <c r="S1562">
        <v>148</v>
      </c>
      <c r="T1562" s="8">
        <f t="shared" si="49"/>
        <v>26.570489408327248</v>
      </c>
      <c r="U1562" s="13" t="str" cm="1">
        <f t="array" ref="U1562">IF(T1562="","",_xlfn.IFS(T1562&lt;18.5,"Bajo peso",T1562&lt;25,"Peso normal",T1562&lt;30,"Sobrepeso",T1562&lt;35,"Obesidad clase I",T1562&lt;40,"Obesidad clase II",T1562&gt;=40,"Obesidad clase III"))</f>
        <v>Sobrepeso</v>
      </c>
      <c r="V1562">
        <v>130</v>
      </c>
      <c r="X1562" t="s">
        <v>3463</v>
      </c>
      <c r="Y1562">
        <v>1.28</v>
      </c>
      <c r="AA1562">
        <v>45</v>
      </c>
      <c r="AB1562" s="9">
        <f t="shared" si="48"/>
        <v>45.348718359122621</v>
      </c>
      <c r="AD1562" t="s">
        <v>158</v>
      </c>
      <c r="AF1562" t="s">
        <v>158</v>
      </c>
      <c r="AH1562" t="s">
        <v>3463</v>
      </c>
      <c r="AI1562" t="s">
        <v>3465</v>
      </c>
      <c r="AJ1562" t="s">
        <v>3463</v>
      </c>
      <c r="AK1562" t="s">
        <v>3463</v>
      </c>
      <c r="AL1562" t="s">
        <v>3463</v>
      </c>
      <c r="AP1562" t="s">
        <v>3463</v>
      </c>
      <c r="AQ1562" t="s">
        <v>159</v>
      </c>
      <c r="AR1562" t="s">
        <v>3491</v>
      </c>
      <c r="AS1562" t="s">
        <v>3465</v>
      </c>
      <c r="AT1562" t="s">
        <v>3465</v>
      </c>
      <c r="AU1562" t="s">
        <v>80</v>
      </c>
      <c r="AV1562" t="s">
        <v>74</v>
      </c>
      <c r="AW1562" t="s">
        <v>3915</v>
      </c>
      <c r="AX1562" t="s">
        <v>3463</v>
      </c>
      <c r="AY1562" t="s">
        <v>3465</v>
      </c>
      <c r="BF1562" t="s">
        <v>3921</v>
      </c>
      <c r="BH1562" t="s">
        <v>4029</v>
      </c>
      <c r="BL1562" t="s">
        <v>2328</v>
      </c>
      <c r="BP1562" t="s">
        <v>4260</v>
      </c>
      <c r="BQ1562" t="s">
        <v>3463</v>
      </c>
      <c r="BR1562" t="s">
        <v>3463</v>
      </c>
      <c r="BS1562" t="s">
        <v>3463</v>
      </c>
      <c r="BT1562" t="s">
        <v>3463</v>
      </c>
      <c r="BU1562" t="s">
        <v>3463</v>
      </c>
      <c r="BV1562" t="s">
        <v>3463</v>
      </c>
      <c r="BW1562" t="s">
        <v>3463</v>
      </c>
      <c r="BX1562" t="s">
        <v>79</v>
      </c>
      <c r="BY1562" t="s">
        <v>79</v>
      </c>
      <c r="BZ1562" t="s">
        <v>79</v>
      </c>
      <c r="CA1562" s="10">
        <v>45913</v>
      </c>
    </row>
    <row r="1563" spans="1:79">
      <c r="A1563">
        <v>1576</v>
      </c>
      <c r="B1563">
        <v>207</v>
      </c>
      <c r="C1563">
        <v>77</v>
      </c>
      <c r="D1563" t="s">
        <v>3462</v>
      </c>
      <c r="E1563" t="s">
        <v>3126</v>
      </c>
      <c r="F1563" t="s">
        <v>1804</v>
      </c>
      <c r="G1563" s="12" t="s">
        <v>3463</v>
      </c>
      <c r="H1563" s="12"/>
      <c r="I1563">
        <v>67</v>
      </c>
      <c r="J1563">
        <v>64</v>
      </c>
      <c r="K1563">
        <v>146</v>
      </c>
      <c r="L1563">
        <v>70</v>
      </c>
      <c r="M1563" t="s">
        <v>72</v>
      </c>
      <c r="N1563">
        <v>121</v>
      </c>
      <c r="O1563">
        <v>68</v>
      </c>
      <c r="P1563" t="s">
        <v>118</v>
      </c>
      <c r="Q1563" t="s">
        <v>118</v>
      </c>
      <c r="R1563">
        <v>75</v>
      </c>
      <c r="S1563">
        <v>157</v>
      </c>
      <c r="T1563" s="8">
        <f t="shared" si="49"/>
        <v>30.427197857925272</v>
      </c>
      <c r="U1563" s="13" t="str" cm="1">
        <f t="array" ref="U1563">IF(T1563="","",_xlfn.IFS(T1563&lt;18.5,"Bajo peso",T1563&lt;25,"Peso normal",T1563&lt;30,"Sobrepeso",T1563&lt;35,"Obesidad clase I",T1563&lt;40,"Obesidad clase II",T1563&gt;=40,"Obesidad clase III"))</f>
        <v>Obesidad clase I</v>
      </c>
      <c r="V1563">
        <v>89</v>
      </c>
      <c r="X1563" t="s">
        <v>3463</v>
      </c>
      <c r="Y1563">
        <v>1.19</v>
      </c>
      <c r="AA1563">
        <v>63</v>
      </c>
      <c r="AB1563" s="9">
        <f t="shared" si="48"/>
        <v>62.913727591482811</v>
      </c>
      <c r="AD1563" t="s">
        <v>73</v>
      </c>
      <c r="AF1563" t="s">
        <v>73</v>
      </c>
      <c r="AG1563" t="s">
        <v>3465</v>
      </c>
      <c r="AH1563" t="s">
        <v>3465</v>
      </c>
      <c r="AI1563" t="s">
        <v>3465</v>
      </c>
      <c r="AJ1563" t="s">
        <v>3463</v>
      </c>
      <c r="AK1563" t="s">
        <v>3463</v>
      </c>
      <c r="AL1563" t="s">
        <v>3465</v>
      </c>
      <c r="AM1563" t="s">
        <v>457</v>
      </c>
      <c r="AN1563" t="s">
        <v>3617</v>
      </c>
      <c r="AP1563" t="s">
        <v>3463</v>
      </c>
      <c r="AQ1563" t="s">
        <v>451</v>
      </c>
      <c r="AR1563" t="s">
        <v>3490</v>
      </c>
      <c r="AS1563" t="s">
        <v>3465</v>
      </c>
      <c r="AV1563" t="s">
        <v>74</v>
      </c>
      <c r="AW1563" t="s">
        <v>3915</v>
      </c>
      <c r="BF1563" t="s">
        <v>3921</v>
      </c>
      <c r="BH1563" t="s">
        <v>4020</v>
      </c>
      <c r="BP1563" t="s">
        <v>4260</v>
      </c>
      <c r="BQ1563" t="s">
        <v>3463</v>
      </c>
      <c r="BR1563" t="s">
        <v>3465</v>
      </c>
      <c r="BS1563" t="s">
        <v>3463</v>
      </c>
      <c r="BT1563" t="s">
        <v>3463</v>
      </c>
      <c r="BU1563" t="s">
        <v>3463</v>
      </c>
      <c r="BV1563" t="s">
        <v>3463</v>
      </c>
      <c r="BW1563" t="s">
        <v>3463</v>
      </c>
      <c r="BX1563" t="s">
        <v>79</v>
      </c>
      <c r="BY1563" t="s">
        <v>79</v>
      </c>
      <c r="BZ1563" t="s">
        <v>79</v>
      </c>
      <c r="CA1563" s="10">
        <v>45913</v>
      </c>
    </row>
    <row r="1564" spans="1:79">
      <c r="A1564">
        <v>1577</v>
      </c>
      <c r="B1564">
        <v>208</v>
      </c>
      <c r="C1564">
        <v>61</v>
      </c>
      <c r="D1564" t="s">
        <v>3462</v>
      </c>
      <c r="E1564" t="s">
        <v>1804</v>
      </c>
      <c r="F1564" t="s">
        <v>1804</v>
      </c>
      <c r="G1564" s="12" t="s">
        <v>3463</v>
      </c>
      <c r="H1564" s="12"/>
      <c r="I1564">
        <v>71</v>
      </c>
      <c r="J1564">
        <v>68</v>
      </c>
      <c r="K1564">
        <v>163</v>
      </c>
      <c r="L1564">
        <v>71</v>
      </c>
      <c r="M1564" t="s">
        <v>72</v>
      </c>
      <c r="N1564">
        <v>154</v>
      </c>
      <c r="O1564">
        <v>83</v>
      </c>
      <c r="P1564" t="s">
        <v>72</v>
      </c>
      <c r="Q1564" t="s">
        <v>72</v>
      </c>
      <c r="R1564">
        <v>82.5</v>
      </c>
      <c r="S1564">
        <v>158</v>
      </c>
      <c r="T1564" s="8">
        <f t="shared" si="49"/>
        <v>33.047588527479569</v>
      </c>
      <c r="U1564" s="13" t="str" cm="1">
        <f t="array" ref="U1564">IF(T1564="","",_xlfn.IFS(T1564&lt;18.5,"Bajo peso",T1564&lt;25,"Peso normal",T1564&lt;30,"Sobrepeso",T1564&lt;35,"Obesidad clase I",T1564&lt;40,"Obesidad clase II",T1564&gt;=40,"Obesidad clase III"))</f>
        <v>Obesidad clase I</v>
      </c>
      <c r="V1564">
        <v>126</v>
      </c>
      <c r="X1564" t="s">
        <v>3463</v>
      </c>
      <c r="Y1564">
        <v>0.74</v>
      </c>
      <c r="AA1564">
        <v>89</v>
      </c>
      <c r="AB1564" s="9">
        <f t="shared" si="48"/>
        <v>103.08610720295268</v>
      </c>
      <c r="AD1564" t="s">
        <v>73</v>
      </c>
      <c r="AF1564" t="s">
        <v>73</v>
      </c>
      <c r="AH1564" t="s">
        <v>3463</v>
      </c>
      <c r="AI1564" t="s">
        <v>3465</v>
      </c>
      <c r="AJ1564" t="s">
        <v>3465</v>
      </c>
      <c r="AK1564" t="s">
        <v>3463</v>
      </c>
      <c r="AL1564" t="s">
        <v>3463</v>
      </c>
      <c r="AP1564" t="s">
        <v>3463</v>
      </c>
      <c r="AQ1564" t="s">
        <v>120</v>
      </c>
      <c r="AR1564" t="s">
        <v>3491</v>
      </c>
      <c r="AS1564" t="s">
        <v>3465</v>
      </c>
      <c r="AV1564" t="s">
        <v>74</v>
      </c>
      <c r="AW1564" t="s">
        <v>3915</v>
      </c>
      <c r="BF1564" t="s">
        <v>3921</v>
      </c>
      <c r="BH1564" t="s">
        <v>4020</v>
      </c>
      <c r="BP1564" t="s">
        <v>4260</v>
      </c>
      <c r="BQ1564" t="s">
        <v>3463</v>
      </c>
      <c r="BR1564" t="s">
        <v>3465</v>
      </c>
      <c r="BS1564" t="s">
        <v>3463</v>
      </c>
      <c r="BT1564" t="s">
        <v>3465</v>
      </c>
      <c r="BU1564" t="s">
        <v>3463</v>
      </c>
      <c r="BX1564" t="s">
        <v>79</v>
      </c>
      <c r="BY1564" t="s">
        <v>79</v>
      </c>
      <c r="BZ1564" t="s">
        <v>79</v>
      </c>
      <c r="CA1564" s="10">
        <v>45913</v>
      </c>
    </row>
    <row r="1565" spans="1:79">
      <c r="A1565">
        <v>1578</v>
      </c>
      <c r="B1565">
        <v>209</v>
      </c>
      <c r="C1565">
        <v>34</v>
      </c>
      <c r="D1565" t="s">
        <v>3466</v>
      </c>
      <c r="E1565" t="s">
        <v>3180</v>
      </c>
      <c r="F1565" t="s">
        <v>1804</v>
      </c>
      <c r="G1565" s="12" t="s">
        <v>3463</v>
      </c>
      <c r="I1565">
        <v>98</v>
      </c>
      <c r="J1565">
        <v>100</v>
      </c>
      <c r="K1565">
        <v>142</v>
      </c>
      <c r="L1565">
        <v>91</v>
      </c>
      <c r="M1565" t="s">
        <v>72</v>
      </c>
      <c r="N1565">
        <v>131</v>
      </c>
      <c r="O1565">
        <v>92</v>
      </c>
      <c r="P1565" t="s">
        <v>72</v>
      </c>
      <c r="Q1565" t="s">
        <v>72</v>
      </c>
      <c r="R1565">
        <v>104.7</v>
      </c>
      <c r="S1565">
        <v>162</v>
      </c>
      <c r="T1565" s="8">
        <f t="shared" si="49"/>
        <v>39.894833104709654</v>
      </c>
      <c r="U1565" s="13" t="str" cm="1">
        <f t="array" ref="U1565">IF(T1565="","",_xlfn.IFS(T1565&lt;18.5,"Bajo peso",T1565&lt;25,"Peso normal",T1565&lt;30,"Sobrepeso",T1565&lt;35,"Obesidad clase I",T1565&lt;40,"Obesidad clase II",T1565&gt;=40,"Obesidad clase III"))</f>
        <v>Obesidad clase II</v>
      </c>
      <c r="V1565">
        <v>77</v>
      </c>
      <c r="X1565" t="s">
        <v>3463</v>
      </c>
      <c r="Y1565">
        <v>0.79</v>
      </c>
      <c r="AA1565">
        <v>90</v>
      </c>
      <c r="AB1565" s="9">
        <f t="shared" si="48"/>
        <v>100.60040689025151</v>
      </c>
      <c r="AD1565" t="s">
        <v>73</v>
      </c>
      <c r="AF1565" t="s">
        <v>73</v>
      </c>
      <c r="AH1565" t="s">
        <v>3463</v>
      </c>
      <c r="AI1565" t="s">
        <v>3463</v>
      </c>
      <c r="AJ1565" t="s">
        <v>3463</v>
      </c>
      <c r="AK1565" t="s">
        <v>3463</v>
      </c>
      <c r="AL1565" t="s">
        <v>3463</v>
      </c>
      <c r="AP1565" t="s">
        <v>3463</v>
      </c>
      <c r="AQ1565" t="s">
        <v>3294</v>
      </c>
      <c r="AR1565" t="s">
        <v>3488</v>
      </c>
      <c r="AT1565" t="s">
        <v>3463</v>
      </c>
      <c r="AV1565" t="s">
        <v>74</v>
      </c>
      <c r="AW1565" t="s">
        <v>3915</v>
      </c>
      <c r="AX1565" t="s">
        <v>3463</v>
      </c>
      <c r="AY1565" t="s">
        <v>3465</v>
      </c>
      <c r="AZ1565" t="s">
        <v>90</v>
      </c>
      <c r="BF1565" t="s">
        <v>3921</v>
      </c>
      <c r="BH1565" t="s">
        <v>4020</v>
      </c>
      <c r="BP1565" t="s">
        <v>4260</v>
      </c>
      <c r="BQ1565" t="s">
        <v>3463</v>
      </c>
      <c r="BR1565" t="s">
        <v>3463</v>
      </c>
      <c r="BS1565" t="s">
        <v>3465</v>
      </c>
      <c r="BT1565" t="s">
        <v>3465</v>
      </c>
      <c r="BU1565" t="s">
        <v>3463</v>
      </c>
      <c r="BV1565" t="s">
        <v>3463</v>
      </c>
      <c r="BW1565" t="s">
        <v>3463</v>
      </c>
      <c r="BX1565" t="s">
        <v>3094</v>
      </c>
      <c r="BY1565" t="s">
        <v>79</v>
      </c>
      <c r="BZ1565" t="s">
        <v>79</v>
      </c>
      <c r="CA1565" s="10">
        <v>45913</v>
      </c>
    </row>
    <row r="1566" spans="1:79">
      <c r="A1566">
        <v>1579</v>
      </c>
      <c r="B1566">
        <v>210</v>
      </c>
      <c r="C1566">
        <v>55</v>
      </c>
      <c r="D1566" t="s">
        <v>3466</v>
      </c>
      <c r="E1566" t="s">
        <v>3295</v>
      </c>
      <c r="F1566" t="s">
        <v>1804</v>
      </c>
      <c r="G1566" s="12" t="s">
        <v>3465</v>
      </c>
      <c r="H1566" t="s">
        <v>88</v>
      </c>
      <c r="I1566">
        <v>68</v>
      </c>
      <c r="J1566">
        <v>64</v>
      </c>
      <c r="K1566">
        <v>143</v>
      </c>
      <c r="L1566">
        <v>73</v>
      </c>
      <c r="M1566" t="s">
        <v>72</v>
      </c>
      <c r="N1566">
        <v>138</v>
      </c>
      <c r="O1566">
        <v>71</v>
      </c>
      <c r="P1566" t="s">
        <v>82</v>
      </c>
      <c r="Q1566" t="s">
        <v>82</v>
      </c>
      <c r="R1566">
        <v>77.5</v>
      </c>
      <c r="S1566">
        <v>153</v>
      </c>
      <c r="T1566" s="8">
        <f t="shared" si="49"/>
        <v>33.106924687086163</v>
      </c>
      <c r="U1566" s="13" t="str" cm="1">
        <f t="array" ref="U1566">IF(T1566="","",_xlfn.IFS(T1566&lt;18.5,"Bajo peso",T1566&lt;25,"Peso normal",T1566&lt;30,"Sobrepeso",T1566&lt;35,"Obesidad clase I",T1566&lt;40,"Obesidad clase II",T1566&gt;=40,"Obesidad clase III"))</f>
        <v>Obesidad clase I</v>
      </c>
      <c r="V1566">
        <v>103</v>
      </c>
      <c r="X1566" t="s">
        <v>3463</v>
      </c>
      <c r="Y1566">
        <v>0.89</v>
      </c>
      <c r="AA1566">
        <v>77</v>
      </c>
      <c r="AB1566" s="9">
        <f t="shared" si="48"/>
        <v>76.517906511049716</v>
      </c>
      <c r="AD1566" t="s">
        <v>73</v>
      </c>
      <c r="AF1566" t="s">
        <v>73</v>
      </c>
      <c r="AH1566" t="s">
        <v>3463</v>
      </c>
      <c r="AI1566" t="s">
        <v>3465</v>
      </c>
      <c r="AJ1566" t="s">
        <v>3463</v>
      </c>
      <c r="AK1566" t="s">
        <v>3463</v>
      </c>
      <c r="AL1566" t="s">
        <v>3463</v>
      </c>
      <c r="AP1566" t="s">
        <v>3463</v>
      </c>
      <c r="AQ1566" t="s">
        <v>159</v>
      </c>
      <c r="AR1566" t="s">
        <v>3491</v>
      </c>
      <c r="AS1566" t="s">
        <v>3463</v>
      </c>
      <c r="AT1566" t="s">
        <v>3465</v>
      </c>
      <c r="AU1566" t="s">
        <v>80</v>
      </c>
      <c r="AV1566" t="s">
        <v>126</v>
      </c>
      <c r="AW1566" t="s">
        <v>126</v>
      </c>
      <c r="AX1566" t="s">
        <v>3463</v>
      </c>
      <c r="AY1566" t="s">
        <v>3465</v>
      </c>
      <c r="AZ1566" t="s">
        <v>90</v>
      </c>
      <c r="BF1566" t="s">
        <v>3921</v>
      </c>
      <c r="BH1566" t="s">
        <v>4020</v>
      </c>
      <c r="BP1566" t="s">
        <v>4260</v>
      </c>
      <c r="BQ1566" t="s">
        <v>3463</v>
      </c>
      <c r="BR1566" t="s">
        <v>3463</v>
      </c>
      <c r="BS1566" t="s">
        <v>3463</v>
      </c>
      <c r="BT1566" t="s">
        <v>3465</v>
      </c>
      <c r="BU1566" t="s">
        <v>3463</v>
      </c>
      <c r="BV1566" t="s">
        <v>3463</v>
      </c>
      <c r="BW1566" t="s">
        <v>3463</v>
      </c>
      <c r="BX1566" t="s">
        <v>79</v>
      </c>
      <c r="BY1566" t="s">
        <v>79</v>
      </c>
      <c r="BZ1566" t="s">
        <v>79</v>
      </c>
      <c r="CA1566" s="10">
        <v>45913</v>
      </c>
    </row>
    <row r="1567" spans="1:79">
      <c r="A1567">
        <v>1580</v>
      </c>
      <c r="B1567">
        <v>211</v>
      </c>
      <c r="C1567">
        <v>25</v>
      </c>
      <c r="D1567" t="s">
        <v>3466</v>
      </c>
      <c r="E1567" t="s">
        <v>3295</v>
      </c>
      <c r="F1567" t="s">
        <v>1804</v>
      </c>
      <c r="G1567" s="12" t="s">
        <v>3465</v>
      </c>
      <c r="H1567" t="s">
        <v>88</v>
      </c>
      <c r="I1567">
        <v>71</v>
      </c>
      <c r="K1567">
        <v>102</v>
      </c>
      <c r="L1567">
        <v>70</v>
      </c>
      <c r="M1567" t="s">
        <v>80</v>
      </c>
      <c r="P1567" t="s">
        <v>83</v>
      </c>
      <c r="Q1567" t="s">
        <v>80</v>
      </c>
      <c r="R1567">
        <v>114</v>
      </c>
      <c r="S1567">
        <v>163</v>
      </c>
      <c r="T1567" s="8">
        <f t="shared" si="49"/>
        <v>42.907147427453047</v>
      </c>
      <c r="U1567" s="13" t="str" cm="1">
        <f t="array" ref="U1567">IF(T1567="","",_xlfn.IFS(T1567&lt;18.5,"Bajo peso",T1567&lt;25,"Peso normal",T1567&lt;30,"Sobrepeso",T1567&lt;35,"Obesidad clase I",T1567&lt;40,"Obesidad clase II",T1567&gt;=40,"Obesidad clase III"))</f>
        <v>Obesidad clase III</v>
      </c>
      <c r="V1567">
        <v>92</v>
      </c>
      <c r="X1567" t="s">
        <v>3463</v>
      </c>
      <c r="Y1567">
        <v>0.71</v>
      </c>
      <c r="AA1567">
        <v>90</v>
      </c>
      <c r="AB1567" s="9">
        <f t="shared" si="48"/>
        <v>120.93480166101278</v>
      </c>
      <c r="AD1567" t="s">
        <v>73</v>
      </c>
      <c r="AF1567" t="s">
        <v>73</v>
      </c>
      <c r="AH1567" t="s">
        <v>3463</v>
      </c>
      <c r="AI1567" t="s">
        <v>3463</v>
      </c>
      <c r="AJ1567" t="s">
        <v>3463</v>
      </c>
      <c r="AK1567" t="s">
        <v>3463</v>
      </c>
      <c r="AL1567" t="s">
        <v>3465</v>
      </c>
      <c r="AM1567" t="s">
        <v>1511</v>
      </c>
      <c r="AN1567" t="s">
        <v>1511</v>
      </c>
      <c r="AP1567" t="s">
        <v>3463</v>
      </c>
      <c r="AQ1567" t="s">
        <v>3284</v>
      </c>
      <c r="AR1567" t="s">
        <v>3488</v>
      </c>
      <c r="AT1567" t="s">
        <v>3463</v>
      </c>
      <c r="AV1567" t="s">
        <v>126</v>
      </c>
      <c r="AW1567" t="s">
        <v>126</v>
      </c>
      <c r="AX1567" t="s">
        <v>3463</v>
      </c>
      <c r="AY1567" t="s">
        <v>3465</v>
      </c>
      <c r="AZ1567" t="s">
        <v>90</v>
      </c>
      <c r="BF1567" t="s">
        <v>3921</v>
      </c>
      <c r="BH1567" t="s">
        <v>4020</v>
      </c>
      <c r="BP1567" t="s">
        <v>4260</v>
      </c>
      <c r="BQ1567" t="s">
        <v>3463</v>
      </c>
      <c r="BR1567" t="s">
        <v>3463</v>
      </c>
      <c r="BS1567" t="s">
        <v>3465</v>
      </c>
      <c r="BT1567" t="s">
        <v>3465</v>
      </c>
      <c r="BU1567" t="s">
        <v>3463</v>
      </c>
      <c r="BV1567" t="s">
        <v>3463</v>
      </c>
      <c r="BW1567" t="s">
        <v>3463</v>
      </c>
      <c r="BX1567" t="s">
        <v>79</v>
      </c>
      <c r="BY1567" t="s">
        <v>79</v>
      </c>
      <c r="BZ1567" t="s">
        <v>79</v>
      </c>
      <c r="CA1567" s="10">
        <v>45913</v>
      </c>
    </row>
    <row r="1568" spans="1:79">
      <c r="A1568">
        <v>1581</v>
      </c>
      <c r="B1568">
        <v>212</v>
      </c>
      <c r="C1568">
        <v>76</v>
      </c>
      <c r="D1568" t="s">
        <v>3466</v>
      </c>
      <c r="F1568" t="s">
        <v>1804</v>
      </c>
      <c r="G1568" s="12" t="s">
        <v>3463</v>
      </c>
      <c r="I1568">
        <v>54</v>
      </c>
      <c r="J1568">
        <v>51</v>
      </c>
      <c r="K1568">
        <v>142</v>
      </c>
      <c r="L1568">
        <v>65</v>
      </c>
      <c r="M1568" t="s">
        <v>72</v>
      </c>
      <c r="N1568">
        <v>143</v>
      </c>
      <c r="O1568">
        <v>59</v>
      </c>
      <c r="P1568" t="s">
        <v>72</v>
      </c>
      <c r="Q1568" t="s">
        <v>72</v>
      </c>
      <c r="R1568">
        <v>68.099999999999994</v>
      </c>
      <c r="S1568">
        <v>147</v>
      </c>
      <c r="T1568" s="8">
        <f t="shared" si="49"/>
        <v>31.514646674996527</v>
      </c>
      <c r="U1568" s="13" t="str" cm="1">
        <f t="array" ref="U1568">IF(T1568="","",_xlfn.IFS(T1568&lt;18.5,"Bajo peso",T1568&lt;25,"Peso normal",T1568&lt;30,"Sobrepeso",T1568&lt;35,"Obesidad clase I",T1568&lt;40,"Obesidad clase II",T1568&gt;=40,"Obesidad clase III"))</f>
        <v>Obesidad clase I</v>
      </c>
      <c r="V1568">
        <v>92</v>
      </c>
      <c r="W1568">
        <v>92</v>
      </c>
      <c r="X1568" t="s">
        <v>3463</v>
      </c>
      <c r="Y1568">
        <v>2.3199999999999998</v>
      </c>
      <c r="Z1568">
        <v>2.29</v>
      </c>
      <c r="AA1568">
        <v>21</v>
      </c>
      <c r="AB1568" s="9">
        <f t="shared" si="48"/>
        <v>21.267887097556773</v>
      </c>
      <c r="AC1568">
        <v>22</v>
      </c>
      <c r="AD1568" t="s">
        <v>303</v>
      </c>
      <c r="AE1568" t="s">
        <v>303</v>
      </c>
      <c r="AF1568" t="s">
        <v>303</v>
      </c>
      <c r="AG1568" t="s">
        <v>3465</v>
      </c>
      <c r="AH1568" t="s">
        <v>3465</v>
      </c>
      <c r="AI1568" t="s">
        <v>3465</v>
      </c>
      <c r="AJ1568" t="s">
        <v>3465</v>
      </c>
      <c r="AK1568" t="s">
        <v>3463</v>
      </c>
      <c r="AL1568" t="s">
        <v>3465</v>
      </c>
      <c r="AM1568" t="s">
        <v>116</v>
      </c>
      <c r="AN1568" t="s">
        <v>116</v>
      </c>
      <c r="AO1568" t="s">
        <v>3465</v>
      </c>
      <c r="AP1568" t="s">
        <v>3465</v>
      </c>
      <c r="AQ1568" t="s">
        <v>3283</v>
      </c>
      <c r="AR1568" t="s">
        <v>3488</v>
      </c>
      <c r="AS1568" t="s">
        <v>3465</v>
      </c>
      <c r="AT1568" t="s">
        <v>3463</v>
      </c>
      <c r="AV1568" t="s">
        <v>112</v>
      </c>
      <c r="AW1568" t="s">
        <v>3917</v>
      </c>
      <c r="AX1568" t="s">
        <v>3463</v>
      </c>
      <c r="AY1568" t="s">
        <v>3463</v>
      </c>
      <c r="BA1568" t="s">
        <v>3920</v>
      </c>
      <c r="BB1568" t="s">
        <v>3485</v>
      </c>
      <c r="BD1568" t="s">
        <v>105</v>
      </c>
      <c r="BF1568" t="s">
        <v>3921</v>
      </c>
      <c r="BH1568" t="s">
        <v>4029</v>
      </c>
      <c r="BL1568" t="s">
        <v>3296</v>
      </c>
      <c r="BP1568" t="s">
        <v>4408</v>
      </c>
      <c r="BQ1568" t="s">
        <v>3463</v>
      </c>
      <c r="BR1568" t="s">
        <v>3463</v>
      </c>
      <c r="BS1568" t="s">
        <v>3463</v>
      </c>
      <c r="BT1568" t="s">
        <v>3463</v>
      </c>
      <c r="BU1568" t="s">
        <v>3463</v>
      </c>
      <c r="BX1568" t="s">
        <v>79</v>
      </c>
      <c r="BY1568" t="s">
        <v>121</v>
      </c>
      <c r="BZ1568" t="s">
        <v>563</v>
      </c>
      <c r="CA1568" s="10">
        <v>45913</v>
      </c>
    </row>
    <row r="1569" spans="1:79">
      <c r="A1569">
        <v>1582</v>
      </c>
      <c r="B1569">
        <v>213</v>
      </c>
      <c r="C1569">
        <v>52</v>
      </c>
      <c r="D1569" t="s">
        <v>3462</v>
      </c>
      <c r="E1569" t="s">
        <v>3180</v>
      </c>
      <c r="F1569" t="s">
        <v>1804</v>
      </c>
      <c r="G1569" s="12" t="s">
        <v>3463</v>
      </c>
      <c r="I1569">
        <v>66</v>
      </c>
      <c r="J1569">
        <v>63</v>
      </c>
      <c r="K1569">
        <v>184</v>
      </c>
      <c r="L1569">
        <v>99</v>
      </c>
      <c r="M1569" t="s">
        <v>96</v>
      </c>
      <c r="N1569">
        <v>193</v>
      </c>
      <c r="O1569">
        <v>104</v>
      </c>
      <c r="P1569" t="s">
        <v>96</v>
      </c>
      <c r="Q1569" t="s">
        <v>96</v>
      </c>
      <c r="R1569">
        <v>93.8</v>
      </c>
      <c r="S1569">
        <v>163</v>
      </c>
      <c r="T1569" s="8">
        <f t="shared" si="49"/>
        <v>35.30430200609733</v>
      </c>
      <c r="U1569" s="13" t="str" cm="1">
        <f t="array" ref="U1569">IF(T1569="","",_xlfn.IFS(T1569&lt;18.5,"Bajo peso",T1569&lt;25,"Peso normal",T1569&lt;30,"Sobrepeso",T1569&lt;35,"Obesidad clase I",T1569&lt;40,"Obesidad clase II",T1569&gt;=40,"Obesidad clase III"))</f>
        <v>Obesidad clase II</v>
      </c>
      <c r="V1569">
        <v>90</v>
      </c>
      <c r="X1569" t="s">
        <v>3463</v>
      </c>
      <c r="Y1569">
        <v>1.02</v>
      </c>
      <c r="AA1569">
        <v>88</v>
      </c>
      <c r="AB1569" s="9">
        <f t="shared" si="48"/>
        <v>88.431451780061124</v>
      </c>
      <c r="AD1569" t="s">
        <v>73</v>
      </c>
      <c r="AF1569" t="s">
        <v>73</v>
      </c>
      <c r="AG1569" t="s">
        <v>3463</v>
      </c>
      <c r="AH1569" t="s">
        <v>3465</v>
      </c>
      <c r="AI1569" t="s">
        <v>3465</v>
      </c>
      <c r="AJ1569" t="s">
        <v>3463</v>
      </c>
      <c r="AK1569" t="s">
        <v>3463</v>
      </c>
      <c r="AL1569" t="s">
        <v>3463</v>
      </c>
      <c r="AO1569" t="s">
        <v>3465</v>
      </c>
      <c r="AP1569" t="s">
        <v>3465</v>
      </c>
      <c r="AQ1569" t="s">
        <v>3001</v>
      </c>
      <c r="AR1569" t="s">
        <v>3508</v>
      </c>
      <c r="AS1569" t="s">
        <v>3463</v>
      </c>
      <c r="AV1569" t="s">
        <v>178</v>
      </c>
      <c r="AW1569" t="s">
        <v>3918</v>
      </c>
      <c r="BF1569" t="s">
        <v>3921</v>
      </c>
      <c r="BH1569" t="s">
        <v>4020</v>
      </c>
      <c r="BP1569" t="s">
        <v>4260</v>
      </c>
      <c r="BQ1569" t="s">
        <v>3463</v>
      </c>
      <c r="BR1569" t="s">
        <v>3463</v>
      </c>
      <c r="BS1569" t="s">
        <v>3463</v>
      </c>
      <c r="BT1569" t="s">
        <v>3463</v>
      </c>
      <c r="BU1569" t="s">
        <v>3463</v>
      </c>
      <c r="BV1569" t="s">
        <v>3463</v>
      </c>
      <c r="BW1569" t="s">
        <v>3463</v>
      </c>
      <c r="BX1569" t="s">
        <v>79</v>
      </c>
      <c r="BY1569" t="s">
        <v>79</v>
      </c>
      <c r="BZ1569" t="s">
        <v>95</v>
      </c>
      <c r="CA1569" s="10">
        <v>45913</v>
      </c>
    </row>
    <row r="1570" spans="1:79">
      <c r="A1570">
        <v>1583</v>
      </c>
      <c r="B1570">
        <v>214</v>
      </c>
      <c r="C1570">
        <v>41</v>
      </c>
      <c r="D1570" t="s">
        <v>3466</v>
      </c>
      <c r="E1570" t="s">
        <v>3297</v>
      </c>
      <c r="F1570" t="s">
        <v>1804</v>
      </c>
      <c r="G1570" s="12" t="s">
        <v>3463</v>
      </c>
      <c r="I1570">
        <v>77</v>
      </c>
      <c r="K1570">
        <v>122</v>
      </c>
      <c r="L1570">
        <v>64</v>
      </c>
      <c r="M1570" t="s">
        <v>118</v>
      </c>
      <c r="P1570" t="s">
        <v>83</v>
      </c>
      <c r="Q1570" t="s">
        <v>118</v>
      </c>
      <c r="R1570">
        <v>62.7</v>
      </c>
      <c r="S1570">
        <v>157</v>
      </c>
      <c r="T1570" s="8">
        <f t="shared" si="49"/>
        <v>25.437137409225528</v>
      </c>
      <c r="U1570" s="13" t="str" cm="1">
        <f t="array" ref="U1570">IF(T1570="","",_xlfn.IFS(T1570&lt;18.5,"Bajo peso",T1570&lt;25,"Peso normal",T1570&lt;30,"Sobrepeso",T1570&lt;35,"Obesidad clase I",T1570&lt;40,"Obesidad clase II",T1570&gt;=40,"Obesidad clase III"))</f>
        <v>Sobrepeso</v>
      </c>
      <c r="V1570">
        <v>120</v>
      </c>
      <c r="X1570" t="s">
        <v>3463</v>
      </c>
      <c r="Y1570">
        <v>0.82</v>
      </c>
      <c r="AA1570">
        <v>90</v>
      </c>
      <c r="AB1570" s="9">
        <f t="shared" si="48"/>
        <v>92.101896043240558</v>
      </c>
      <c r="AD1570" t="s">
        <v>73</v>
      </c>
      <c r="AF1570" t="s">
        <v>73</v>
      </c>
      <c r="AH1570" t="s">
        <v>3463</v>
      </c>
      <c r="AI1570" t="s">
        <v>3463</v>
      </c>
      <c r="AJ1570" t="s">
        <v>3463</v>
      </c>
      <c r="AK1570" t="s">
        <v>3463</v>
      </c>
      <c r="AL1570" t="s">
        <v>3463</v>
      </c>
      <c r="AP1570" t="s">
        <v>3463</v>
      </c>
      <c r="AT1570" t="s">
        <v>3465</v>
      </c>
      <c r="AU1570" t="s">
        <v>80</v>
      </c>
      <c r="AV1570" t="s">
        <v>126</v>
      </c>
      <c r="AW1570" t="s">
        <v>126</v>
      </c>
      <c r="AX1570" t="s">
        <v>3465</v>
      </c>
      <c r="AY1570" t="s">
        <v>3463</v>
      </c>
      <c r="AZ1570" t="s">
        <v>490</v>
      </c>
      <c r="BF1570" t="s">
        <v>3921</v>
      </c>
      <c r="BH1570" t="s">
        <v>4020</v>
      </c>
      <c r="BP1570" t="s">
        <v>4260</v>
      </c>
      <c r="BQ1570" t="s">
        <v>3463</v>
      </c>
      <c r="BR1570" t="s">
        <v>3465</v>
      </c>
      <c r="BS1570" t="s">
        <v>3465</v>
      </c>
      <c r="BT1570" t="s">
        <v>3463</v>
      </c>
      <c r="BU1570" t="s">
        <v>3463</v>
      </c>
      <c r="BV1570" t="s">
        <v>3463</v>
      </c>
      <c r="BW1570" t="s">
        <v>3463</v>
      </c>
      <c r="BX1570" t="s">
        <v>79</v>
      </c>
      <c r="BY1570" t="s">
        <v>79</v>
      </c>
      <c r="BZ1570" t="s">
        <v>79</v>
      </c>
      <c r="CA1570" s="10">
        <v>45913</v>
      </c>
    </row>
    <row r="1571" spans="1:79">
      <c r="A1571">
        <v>1584</v>
      </c>
      <c r="B1571">
        <v>215</v>
      </c>
      <c r="C1571">
        <v>41</v>
      </c>
      <c r="D1571" t="s">
        <v>3462</v>
      </c>
      <c r="E1571" t="s">
        <v>3298</v>
      </c>
      <c r="F1571" t="s">
        <v>1804</v>
      </c>
      <c r="G1571" s="12" t="s">
        <v>3463</v>
      </c>
      <c r="I1571">
        <v>73</v>
      </c>
      <c r="K1571">
        <v>134</v>
      </c>
      <c r="L1571">
        <v>72</v>
      </c>
      <c r="M1571" t="s">
        <v>82</v>
      </c>
      <c r="P1571" t="s">
        <v>83</v>
      </c>
      <c r="Q1571" t="s">
        <v>82</v>
      </c>
      <c r="R1571">
        <v>100.6</v>
      </c>
      <c r="S1571">
        <v>187</v>
      </c>
      <c r="T1571" s="8">
        <f t="shared" si="49"/>
        <v>28.768337670508163</v>
      </c>
      <c r="U1571" s="13" t="str" cm="1">
        <f t="array" ref="U1571">IF(T1571="","",_xlfn.IFS(T1571&lt;18.5,"Bajo peso",T1571&lt;25,"Peso normal",T1571&lt;30,"Sobrepeso",T1571&lt;35,"Obesidad clase I",T1571&lt;40,"Obesidad clase II",T1571&gt;=40,"Obesidad clase III"))</f>
        <v>Sobrepeso</v>
      </c>
      <c r="V1571">
        <v>101</v>
      </c>
      <c r="X1571" t="s">
        <v>3463</v>
      </c>
      <c r="Y1571">
        <v>1.03</v>
      </c>
      <c r="AA1571">
        <v>90</v>
      </c>
      <c r="AB1571" s="9">
        <f t="shared" si="48"/>
        <v>93.590846392690892</v>
      </c>
      <c r="AD1571" t="s">
        <v>73</v>
      </c>
      <c r="AF1571" t="s">
        <v>73</v>
      </c>
      <c r="AH1571" t="s">
        <v>3463</v>
      </c>
      <c r="AI1571" t="s">
        <v>3463</v>
      </c>
      <c r="AJ1571" t="s">
        <v>3465</v>
      </c>
      <c r="AK1571" t="s">
        <v>3463</v>
      </c>
      <c r="AL1571" t="s">
        <v>3465</v>
      </c>
      <c r="AM1571" t="s">
        <v>457</v>
      </c>
      <c r="AN1571" t="s">
        <v>3617</v>
      </c>
      <c r="AO1571" t="s">
        <v>3465</v>
      </c>
      <c r="AP1571" t="s">
        <v>3465</v>
      </c>
      <c r="AQ1571" t="s">
        <v>3299</v>
      </c>
      <c r="AR1571" t="s">
        <v>3520</v>
      </c>
      <c r="AV1571" t="s">
        <v>126</v>
      </c>
      <c r="AW1571" t="s">
        <v>126</v>
      </c>
      <c r="BF1571" t="s">
        <v>3921</v>
      </c>
      <c r="BH1571" t="s">
        <v>4020</v>
      </c>
      <c r="BP1571" t="s">
        <v>4260</v>
      </c>
      <c r="BQ1571" t="s">
        <v>3463</v>
      </c>
      <c r="BR1571" t="s">
        <v>3465</v>
      </c>
      <c r="BS1571" t="s">
        <v>3463</v>
      </c>
      <c r="BT1571" t="s">
        <v>3463</v>
      </c>
      <c r="BU1571" t="s">
        <v>3463</v>
      </c>
      <c r="BV1571" t="s">
        <v>3463</v>
      </c>
      <c r="BW1571" t="s">
        <v>3463</v>
      </c>
      <c r="BX1571" t="s">
        <v>79</v>
      </c>
      <c r="BY1571" t="s">
        <v>79</v>
      </c>
      <c r="BZ1571" t="s">
        <v>79</v>
      </c>
      <c r="CA1571" s="10">
        <v>45913</v>
      </c>
    </row>
    <row r="1572" spans="1:79">
      <c r="A1572">
        <v>1585</v>
      </c>
      <c r="B1572">
        <v>216</v>
      </c>
      <c r="C1572">
        <v>48</v>
      </c>
      <c r="D1572" t="s">
        <v>3466</v>
      </c>
      <c r="E1572" t="s">
        <v>1804</v>
      </c>
      <c r="F1572" t="s">
        <v>1804</v>
      </c>
      <c r="G1572" s="12" t="s">
        <v>3465</v>
      </c>
      <c r="H1572" t="s">
        <v>88</v>
      </c>
      <c r="I1572">
        <v>62</v>
      </c>
      <c r="J1572">
        <v>59</v>
      </c>
      <c r="K1572">
        <v>166</v>
      </c>
      <c r="L1572">
        <v>70</v>
      </c>
      <c r="M1572" t="s">
        <v>72</v>
      </c>
      <c r="N1572">
        <v>164</v>
      </c>
      <c r="O1572">
        <v>83</v>
      </c>
      <c r="P1572" t="s">
        <v>72</v>
      </c>
      <c r="Q1572" t="s">
        <v>72</v>
      </c>
      <c r="R1572">
        <v>88.2</v>
      </c>
      <c r="S1572">
        <v>145</v>
      </c>
      <c r="T1572" s="8">
        <f t="shared" si="49"/>
        <v>41.950059453032104</v>
      </c>
      <c r="U1572" s="13" t="str" cm="1">
        <f t="array" ref="U1572">IF(T1572="","",_xlfn.IFS(T1572&lt;18.5,"Bajo peso",T1572&lt;25,"Peso normal",T1572&lt;30,"Sobrepeso",T1572&lt;35,"Obesidad clase I",T1572&lt;40,"Obesidad clase II",T1572&gt;=40,"Obesidad clase III"))</f>
        <v>Obesidad clase III</v>
      </c>
      <c r="V1572">
        <v>122</v>
      </c>
      <c r="X1572" t="s">
        <v>3463</v>
      </c>
      <c r="Y1572">
        <v>0.69</v>
      </c>
      <c r="AA1572">
        <v>107</v>
      </c>
      <c r="AB1572" s="9">
        <f t="shared" si="48"/>
        <v>106.98588641778674</v>
      </c>
      <c r="AD1572" t="s">
        <v>73</v>
      </c>
      <c r="AF1572" t="s">
        <v>73</v>
      </c>
      <c r="AG1572" t="s">
        <v>3465</v>
      </c>
      <c r="AH1572" t="s">
        <v>3465</v>
      </c>
      <c r="AI1572" t="s">
        <v>3465</v>
      </c>
      <c r="AJ1572" t="s">
        <v>3465</v>
      </c>
      <c r="AK1572" t="s">
        <v>3465</v>
      </c>
      <c r="AL1572" t="s">
        <v>3465</v>
      </c>
      <c r="AM1572" t="s">
        <v>3300</v>
      </c>
      <c r="AN1572" t="s">
        <v>3635</v>
      </c>
      <c r="AP1572" t="s">
        <v>3463</v>
      </c>
      <c r="AQ1572" t="s">
        <v>3163</v>
      </c>
      <c r="AR1572" t="s">
        <v>3488</v>
      </c>
      <c r="AS1572" t="s">
        <v>3465</v>
      </c>
      <c r="AT1572" t="s">
        <v>3465</v>
      </c>
      <c r="AU1572" t="s">
        <v>80</v>
      </c>
      <c r="AV1572" t="s">
        <v>112</v>
      </c>
      <c r="AW1572" t="s">
        <v>3917</v>
      </c>
      <c r="AX1572" t="s">
        <v>3465</v>
      </c>
      <c r="AY1572" t="s">
        <v>3465</v>
      </c>
      <c r="AZ1572" t="s">
        <v>247</v>
      </c>
      <c r="BA1572" t="s">
        <v>3920</v>
      </c>
      <c r="BB1572" t="s">
        <v>3485</v>
      </c>
      <c r="BF1572" t="s">
        <v>3921</v>
      </c>
      <c r="BG1572" t="s">
        <v>3301</v>
      </c>
      <c r="BH1572" t="s">
        <v>4060</v>
      </c>
      <c r="BL1572" t="s">
        <v>3302</v>
      </c>
      <c r="BP1572" t="s">
        <v>4324</v>
      </c>
      <c r="BQ1572" t="s">
        <v>3465</v>
      </c>
      <c r="BR1572" t="s">
        <v>3465</v>
      </c>
      <c r="BS1572" t="s">
        <v>3463</v>
      </c>
      <c r="BT1572" t="s">
        <v>3465</v>
      </c>
      <c r="BU1572" t="s">
        <v>3463</v>
      </c>
      <c r="BX1572" t="s">
        <v>79</v>
      </c>
      <c r="BY1572" t="s">
        <v>79</v>
      </c>
      <c r="BZ1572" t="s">
        <v>79</v>
      </c>
      <c r="CA1572" s="10">
        <v>45913</v>
      </c>
    </row>
    <row r="1573" spans="1:79">
      <c r="A1573">
        <v>1586</v>
      </c>
      <c r="B1573">
        <v>217</v>
      </c>
      <c r="C1573">
        <v>58</v>
      </c>
      <c r="D1573" t="s">
        <v>3462</v>
      </c>
      <c r="E1573" t="s">
        <v>3303</v>
      </c>
      <c r="F1573" t="s">
        <v>1804</v>
      </c>
      <c r="G1573" s="12" t="s">
        <v>3463</v>
      </c>
      <c r="I1573">
        <v>61</v>
      </c>
      <c r="J1573">
        <v>57</v>
      </c>
      <c r="K1573">
        <v>141</v>
      </c>
      <c r="L1573">
        <v>85</v>
      </c>
      <c r="M1573" t="s">
        <v>72</v>
      </c>
      <c r="N1573">
        <v>135</v>
      </c>
      <c r="O1573">
        <v>86</v>
      </c>
      <c r="P1573" t="s">
        <v>82</v>
      </c>
      <c r="Q1573" t="s">
        <v>82</v>
      </c>
      <c r="R1573">
        <v>74</v>
      </c>
      <c r="S1573">
        <v>165</v>
      </c>
      <c r="T1573" s="8">
        <f t="shared" si="49"/>
        <v>27.180899908172638</v>
      </c>
      <c r="U1573" s="13" t="str" cm="1">
        <f t="array" ref="U1573">IF(T1573="","",_xlfn.IFS(T1573&lt;18.5,"Bajo peso",T1573&lt;25,"Peso normal",T1573&lt;30,"Sobrepeso",T1573&lt;35,"Obesidad clase I",T1573&lt;40,"Obesidad clase II",T1573&gt;=40,"Obesidad clase III"))</f>
        <v>Sobrepeso</v>
      </c>
      <c r="V1573">
        <v>81</v>
      </c>
      <c r="X1573" t="s">
        <v>3463</v>
      </c>
      <c r="Y1573">
        <v>0.95</v>
      </c>
      <c r="AA1573">
        <v>90</v>
      </c>
      <c r="AB1573" s="9">
        <f t="shared" si="48"/>
        <v>92.779619931790663</v>
      </c>
      <c r="AD1573" t="s">
        <v>73</v>
      </c>
      <c r="AF1573" t="s">
        <v>73</v>
      </c>
      <c r="AH1573" t="s">
        <v>3463</v>
      </c>
      <c r="AI1573" t="s">
        <v>3463</v>
      </c>
      <c r="AJ1573" t="s">
        <v>3463</v>
      </c>
      <c r="AK1573" t="s">
        <v>3463</v>
      </c>
      <c r="AL1573" t="s">
        <v>3463</v>
      </c>
      <c r="AP1573" t="s">
        <v>3463</v>
      </c>
      <c r="AV1573" t="s">
        <v>126</v>
      </c>
      <c r="AW1573" t="s">
        <v>126</v>
      </c>
      <c r="BF1573" t="s">
        <v>3921</v>
      </c>
      <c r="BH1573" t="s">
        <v>4020</v>
      </c>
      <c r="BP1573" t="s">
        <v>4260</v>
      </c>
      <c r="BQ1573" t="s">
        <v>3463</v>
      </c>
      <c r="BR1573" t="s">
        <v>3463</v>
      </c>
      <c r="BS1573" t="s">
        <v>3463</v>
      </c>
      <c r="BT1573" t="s">
        <v>3463</v>
      </c>
      <c r="BU1573" t="s">
        <v>3463</v>
      </c>
      <c r="BV1573" t="s">
        <v>3463</v>
      </c>
      <c r="BW1573" t="s">
        <v>3463</v>
      </c>
      <c r="BX1573" t="s">
        <v>79</v>
      </c>
      <c r="BY1573" t="s">
        <v>79</v>
      </c>
      <c r="BZ1573" t="s">
        <v>79</v>
      </c>
      <c r="CA1573" s="10">
        <v>45913</v>
      </c>
    </row>
    <row r="1574" spans="1:79">
      <c r="A1574">
        <v>1587</v>
      </c>
      <c r="B1574">
        <v>218</v>
      </c>
      <c r="C1574">
        <v>40</v>
      </c>
      <c r="D1574" t="s">
        <v>3466</v>
      </c>
      <c r="E1574" t="s">
        <v>3187</v>
      </c>
      <c r="F1574" t="s">
        <v>1804</v>
      </c>
      <c r="G1574" s="12" t="s">
        <v>3463</v>
      </c>
      <c r="I1574">
        <v>78</v>
      </c>
      <c r="K1574">
        <v>135</v>
      </c>
      <c r="L1574">
        <v>77</v>
      </c>
      <c r="M1574" t="s">
        <v>82</v>
      </c>
      <c r="P1574" t="s">
        <v>83</v>
      </c>
      <c r="Q1574" t="s">
        <v>82</v>
      </c>
      <c r="R1574">
        <v>78.400000000000006</v>
      </c>
      <c r="S1574">
        <v>163</v>
      </c>
      <c r="T1574" s="8">
        <f t="shared" si="49"/>
        <v>29.508073318529117</v>
      </c>
      <c r="U1574" s="13" t="str" cm="1">
        <f t="array" ref="U1574">IF(T1574="","",_xlfn.IFS(T1574&lt;18.5,"Bajo peso",T1574&lt;25,"Peso normal",T1574&lt;30,"Sobrepeso",T1574&lt;35,"Obesidad clase I",T1574&lt;40,"Obesidad clase II",T1574&gt;=40,"Obesidad clase III"))</f>
        <v>Sobrepeso</v>
      </c>
      <c r="V1574">
        <v>78</v>
      </c>
      <c r="X1574" t="s">
        <v>3463</v>
      </c>
      <c r="Y1574">
        <v>0.82</v>
      </c>
      <c r="AA1574">
        <v>90</v>
      </c>
      <c r="AB1574" s="9">
        <f t="shared" si="48"/>
        <v>92.676490282995132</v>
      </c>
      <c r="AD1574" t="s">
        <v>73</v>
      </c>
      <c r="AF1574" t="s">
        <v>73</v>
      </c>
      <c r="AH1574" t="s">
        <v>3463</v>
      </c>
      <c r="AI1574" t="s">
        <v>3463</v>
      </c>
      <c r="AJ1574" t="s">
        <v>3463</v>
      </c>
      <c r="AK1574" t="s">
        <v>3463</v>
      </c>
      <c r="AL1574" t="s">
        <v>3463</v>
      </c>
      <c r="AP1574" t="s">
        <v>3463</v>
      </c>
      <c r="AT1574" t="s">
        <v>3463</v>
      </c>
      <c r="AV1574" t="s">
        <v>74</v>
      </c>
      <c r="AW1574" t="s">
        <v>3915</v>
      </c>
      <c r="AX1574" t="s">
        <v>3463</v>
      </c>
      <c r="AY1574" t="s">
        <v>3465</v>
      </c>
      <c r="AZ1574" t="s">
        <v>90</v>
      </c>
      <c r="BF1574" t="s">
        <v>3921</v>
      </c>
      <c r="BH1574" t="s">
        <v>4020</v>
      </c>
      <c r="BP1574" t="s">
        <v>4260</v>
      </c>
      <c r="BQ1574" t="s">
        <v>3463</v>
      </c>
      <c r="BR1574" t="s">
        <v>3463</v>
      </c>
      <c r="BS1574" t="s">
        <v>3463</v>
      </c>
      <c r="BT1574" t="s">
        <v>3465</v>
      </c>
      <c r="BU1574" t="s">
        <v>3463</v>
      </c>
      <c r="BV1574" t="s">
        <v>3463</v>
      </c>
      <c r="BW1574" t="s">
        <v>3463</v>
      </c>
      <c r="BX1574" t="s">
        <v>79</v>
      </c>
      <c r="BY1574" t="s">
        <v>79</v>
      </c>
      <c r="BZ1574" t="s">
        <v>79</v>
      </c>
      <c r="CA1574" s="10">
        <v>45913</v>
      </c>
    </row>
    <row r="1575" spans="1:79">
      <c r="A1575">
        <v>1588</v>
      </c>
      <c r="B1575">
        <v>219</v>
      </c>
      <c r="C1575">
        <v>56</v>
      </c>
      <c r="D1575" t="s">
        <v>3466</v>
      </c>
      <c r="E1575" t="s">
        <v>3114</v>
      </c>
      <c r="F1575" t="s">
        <v>1804</v>
      </c>
      <c r="G1575" s="12" t="s">
        <v>3463</v>
      </c>
      <c r="I1575">
        <v>66</v>
      </c>
      <c r="J1575">
        <v>66</v>
      </c>
      <c r="K1575">
        <v>142</v>
      </c>
      <c r="L1575">
        <v>81</v>
      </c>
      <c r="M1575" t="s">
        <v>72</v>
      </c>
      <c r="N1575">
        <v>135</v>
      </c>
      <c r="O1575">
        <v>83</v>
      </c>
      <c r="P1575" t="s">
        <v>82</v>
      </c>
      <c r="Q1575" t="s">
        <v>82</v>
      </c>
      <c r="R1575">
        <v>72</v>
      </c>
      <c r="S1575">
        <v>154.5</v>
      </c>
      <c r="T1575" s="8">
        <f t="shared" si="49"/>
        <v>30.163069092280139</v>
      </c>
      <c r="U1575" s="13" t="str" cm="1">
        <f t="array" ref="U1575">IF(T1575="","",_xlfn.IFS(T1575&lt;18.5,"Bajo peso",T1575&lt;25,"Peso normal",T1575&lt;30,"Sobrepeso",T1575&lt;35,"Obesidad clase I",T1575&lt;40,"Obesidad clase II",T1575&gt;=40,"Obesidad clase III"))</f>
        <v>Obesidad clase I</v>
      </c>
      <c r="V1575">
        <v>89</v>
      </c>
      <c r="X1575" t="s">
        <v>3463</v>
      </c>
      <c r="Y1575">
        <v>0.89</v>
      </c>
      <c r="AA1575">
        <v>76</v>
      </c>
      <c r="AB1575" s="9">
        <f t="shared" si="48"/>
        <v>76.043495490681224</v>
      </c>
      <c r="AD1575" t="s">
        <v>73</v>
      </c>
      <c r="AF1575" t="s">
        <v>73</v>
      </c>
      <c r="AH1575" t="s">
        <v>3463</v>
      </c>
      <c r="AI1575" t="s">
        <v>3463</v>
      </c>
      <c r="AJ1575" t="s">
        <v>3463</v>
      </c>
      <c r="AK1575" t="s">
        <v>3463</v>
      </c>
      <c r="AL1575" t="s">
        <v>3463</v>
      </c>
      <c r="AP1575" t="s">
        <v>3463</v>
      </c>
      <c r="AT1575" t="s">
        <v>3465</v>
      </c>
      <c r="AU1575" t="s">
        <v>80</v>
      </c>
      <c r="AV1575" t="s">
        <v>74</v>
      </c>
      <c r="AW1575" t="s">
        <v>3915</v>
      </c>
      <c r="AX1575" t="s">
        <v>3463</v>
      </c>
      <c r="AY1575" t="s">
        <v>3465</v>
      </c>
      <c r="AZ1575" t="s">
        <v>247</v>
      </c>
      <c r="BF1575" t="s">
        <v>3921</v>
      </c>
      <c r="BH1575" t="s">
        <v>4020</v>
      </c>
      <c r="BP1575" t="s">
        <v>4260</v>
      </c>
      <c r="BQ1575" t="s">
        <v>3463</v>
      </c>
      <c r="BR1575" t="s">
        <v>3465</v>
      </c>
      <c r="BS1575" t="s">
        <v>3465</v>
      </c>
      <c r="BT1575" t="s">
        <v>3465</v>
      </c>
      <c r="BU1575" t="s">
        <v>3463</v>
      </c>
      <c r="BV1575" t="s">
        <v>3463</v>
      </c>
      <c r="BW1575" t="s">
        <v>3463</v>
      </c>
      <c r="BX1575" t="s">
        <v>79</v>
      </c>
      <c r="BY1575" t="s">
        <v>79</v>
      </c>
      <c r="BZ1575" t="s">
        <v>79</v>
      </c>
      <c r="CA1575" s="10">
        <v>45913</v>
      </c>
    </row>
    <row r="1576" spans="1:79">
      <c r="A1576">
        <v>1589</v>
      </c>
      <c r="B1576">
        <v>220</v>
      </c>
      <c r="C1576">
        <v>58</v>
      </c>
      <c r="D1576" t="s">
        <v>3462</v>
      </c>
      <c r="E1576" t="s">
        <v>3180</v>
      </c>
      <c r="F1576" t="s">
        <v>1804</v>
      </c>
      <c r="G1576" s="12" t="s">
        <v>3463</v>
      </c>
      <c r="I1576">
        <v>77</v>
      </c>
      <c r="K1576">
        <v>124</v>
      </c>
      <c r="L1576">
        <v>85</v>
      </c>
      <c r="M1576" t="s">
        <v>82</v>
      </c>
      <c r="P1576" t="s">
        <v>83</v>
      </c>
      <c r="Q1576" t="s">
        <v>82</v>
      </c>
      <c r="R1576">
        <v>72.2</v>
      </c>
      <c r="S1576">
        <v>162</v>
      </c>
      <c r="T1576" s="8">
        <f t="shared" si="49"/>
        <v>27.511050144795004</v>
      </c>
      <c r="U1576" s="13" t="str" cm="1">
        <f t="array" ref="U1576">IF(T1576="","",_xlfn.IFS(T1576&lt;18.5,"Bajo peso",T1576&lt;25,"Peso normal",T1576&lt;30,"Sobrepeso",T1576&lt;35,"Obesidad clase I",T1576&lt;40,"Obesidad clase II",T1576&gt;=40,"Obesidad clase III"))</f>
        <v>Sobrepeso</v>
      </c>
      <c r="V1576">
        <v>165</v>
      </c>
      <c r="X1576" t="s">
        <v>3463</v>
      </c>
      <c r="Y1576">
        <v>0.84</v>
      </c>
      <c r="AA1576">
        <v>90</v>
      </c>
      <c r="AB1576" s="9">
        <f t="shared" si="48"/>
        <v>101.08315708732556</v>
      </c>
      <c r="AD1576" t="s">
        <v>73</v>
      </c>
      <c r="AF1576" t="s">
        <v>73</v>
      </c>
      <c r="AH1576" t="s">
        <v>3463</v>
      </c>
      <c r="AI1576" t="s">
        <v>3465</v>
      </c>
      <c r="AJ1576" t="s">
        <v>3463</v>
      </c>
      <c r="AK1576" t="s">
        <v>3463</v>
      </c>
      <c r="AL1576" t="s">
        <v>3463</v>
      </c>
      <c r="AP1576" t="s">
        <v>3463</v>
      </c>
      <c r="AQ1576" t="s">
        <v>3047</v>
      </c>
      <c r="AR1576" t="s">
        <v>3508</v>
      </c>
      <c r="AS1576" t="s">
        <v>3465</v>
      </c>
      <c r="AV1576" t="s">
        <v>126</v>
      </c>
      <c r="AW1576" t="s">
        <v>126</v>
      </c>
      <c r="BF1576" t="s">
        <v>3921</v>
      </c>
      <c r="BH1576" t="s">
        <v>4020</v>
      </c>
      <c r="BP1576" t="s">
        <v>4260</v>
      </c>
      <c r="BQ1576" t="s">
        <v>3463</v>
      </c>
      <c r="BR1576" t="s">
        <v>3463</v>
      </c>
      <c r="BS1576" t="s">
        <v>3463</v>
      </c>
      <c r="BT1576" t="s">
        <v>3465</v>
      </c>
      <c r="BU1576" t="s">
        <v>3463</v>
      </c>
      <c r="BV1576" t="s">
        <v>3463</v>
      </c>
      <c r="BW1576" t="s">
        <v>3463</v>
      </c>
      <c r="BX1576" t="s">
        <v>79</v>
      </c>
      <c r="BY1576" t="s">
        <v>79</v>
      </c>
      <c r="BZ1576" t="s">
        <v>79</v>
      </c>
      <c r="CA1576" s="10">
        <v>45913</v>
      </c>
    </row>
    <row r="1577" spans="1:79">
      <c r="A1577">
        <v>1590</v>
      </c>
      <c r="B1577">
        <v>221</v>
      </c>
      <c r="C1577">
        <v>64</v>
      </c>
      <c r="D1577" t="s">
        <v>3462</v>
      </c>
      <c r="E1577" t="s">
        <v>1804</v>
      </c>
      <c r="F1577" t="s">
        <v>1804</v>
      </c>
      <c r="G1577" s="12" t="s">
        <v>3463</v>
      </c>
      <c r="I1577">
        <v>80</v>
      </c>
      <c r="J1577">
        <v>80</v>
      </c>
      <c r="K1577">
        <v>114</v>
      </c>
      <c r="L1577">
        <v>90</v>
      </c>
      <c r="M1577" t="s">
        <v>72</v>
      </c>
      <c r="N1577">
        <v>126</v>
      </c>
      <c r="O1577">
        <v>84</v>
      </c>
      <c r="P1577" t="s">
        <v>82</v>
      </c>
      <c r="Q1577" t="s">
        <v>82</v>
      </c>
      <c r="R1577">
        <v>94.4</v>
      </c>
      <c r="S1577">
        <v>153</v>
      </c>
      <c r="T1577" s="8">
        <f t="shared" si="49"/>
        <v>40.326370199495926</v>
      </c>
      <c r="U1577" s="13" t="str" cm="1">
        <f t="array" ref="U1577">IF(T1577="","",_xlfn.IFS(T1577&lt;18.5,"Bajo peso",T1577&lt;25,"Peso normal",T1577&lt;30,"Sobrepeso",T1577&lt;35,"Obesidad clase I",T1577&lt;40,"Obesidad clase II",T1577&gt;=40,"Obesidad clase III"))</f>
        <v>Obesidad clase III</v>
      </c>
      <c r="V1577">
        <v>112</v>
      </c>
      <c r="X1577" t="s">
        <v>3463</v>
      </c>
      <c r="Y1577">
        <v>0.96</v>
      </c>
      <c r="AA1577">
        <v>86</v>
      </c>
      <c r="AB1577" s="9">
        <f t="shared" si="48"/>
        <v>88.265175744991552</v>
      </c>
      <c r="AD1577" t="s">
        <v>73</v>
      </c>
      <c r="AF1577" t="s">
        <v>73</v>
      </c>
      <c r="AG1577" t="s">
        <v>3465</v>
      </c>
      <c r="AH1577" t="s">
        <v>3465</v>
      </c>
      <c r="AI1577" t="s">
        <v>3465</v>
      </c>
      <c r="AJ1577" t="s">
        <v>3463</v>
      </c>
      <c r="AK1577" t="s">
        <v>3464</v>
      </c>
      <c r="AL1577" t="s">
        <v>3465</v>
      </c>
      <c r="AM1577" t="s">
        <v>3304</v>
      </c>
      <c r="AN1577" t="s">
        <v>3905</v>
      </c>
      <c r="AP1577" t="s">
        <v>3463</v>
      </c>
      <c r="AS1577" t="s">
        <v>3465</v>
      </c>
      <c r="AV1577" t="s">
        <v>74</v>
      </c>
      <c r="AW1577" t="s">
        <v>3915</v>
      </c>
      <c r="BE1577" t="s">
        <v>3305</v>
      </c>
      <c r="BF1577" t="s">
        <v>3776</v>
      </c>
      <c r="BG1577" t="s">
        <v>3306</v>
      </c>
      <c r="BH1577" t="s">
        <v>4043</v>
      </c>
      <c r="BL1577" t="s">
        <v>3307</v>
      </c>
      <c r="BP1577" t="s">
        <v>4260</v>
      </c>
      <c r="BQ1577" t="s">
        <v>3463</v>
      </c>
      <c r="BR1577" t="s">
        <v>3465</v>
      </c>
      <c r="BS1577" t="s">
        <v>3463</v>
      </c>
      <c r="BT1577" t="s">
        <v>3465</v>
      </c>
      <c r="BU1577" t="s">
        <v>3465</v>
      </c>
      <c r="BX1577" t="s">
        <v>79</v>
      </c>
      <c r="BY1577" t="s">
        <v>79</v>
      </c>
      <c r="BZ1577" t="s">
        <v>79</v>
      </c>
      <c r="CA1577" s="10">
        <v>45913</v>
      </c>
    </row>
    <row r="1578" spans="1:79">
      <c r="A1578">
        <v>1591</v>
      </c>
      <c r="B1578">
        <v>222</v>
      </c>
      <c r="C1578">
        <v>55</v>
      </c>
      <c r="D1578" t="s">
        <v>3466</v>
      </c>
      <c r="E1578" t="s">
        <v>3187</v>
      </c>
      <c r="F1578" t="s">
        <v>1804</v>
      </c>
      <c r="G1578" s="12" t="s">
        <v>3463</v>
      </c>
      <c r="I1578">
        <v>82</v>
      </c>
      <c r="K1578">
        <v>124</v>
      </c>
      <c r="L1578">
        <v>87</v>
      </c>
      <c r="M1578" t="s">
        <v>82</v>
      </c>
      <c r="P1578" t="s">
        <v>83</v>
      </c>
      <c r="Q1578" t="s">
        <v>82</v>
      </c>
      <c r="R1578">
        <v>102.7</v>
      </c>
      <c r="S1578">
        <v>152</v>
      </c>
      <c r="T1578" s="8">
        <f t="shared" si="49"/>
        <v>44.451177285318558</v>
      </c>
      <c r="U1578" s="13" t="str" cm="1">
        <f t="array" ref="U1578">IF(T1578="","",_xlfn.IFS(T1578&lt;18.5,"Bajo peso",T1578&lt;25,"Peso normal",T1578&lt;30,"Sobrepeso",T1578&lt;35,"Obesidad clase I",T1578&lt;40,"Obesidad clase II",T1578&gt;=40,"Obesidad clase III"))</f>
        <v>Obesidad clase III</v>
      </c>
      <c r="V1578">
        <v>98</v>
      </c>
      <c r="X1578" t="s">
        <v>3463</v>
      </c>
      <c r="Y1578">
        <v>0.81</v>
      </c>
      <c r="AA1578">
        <v>86</v>
      </c>
      <c r="AB1578" s="9">
        <f t="shared" si="48"/>
        <v>85.674004101831173</v>
      </c>
      <c r="AD1578" t="s">
        <v>73</v>
      </c>
      <c r="AF1578" t="s">
        <v>73</v>
      </c>
      <c r="AG1578" t="s">
        <v>3465</v>
      </c>
      <c r="AH1578" t="s">
        <v>3465</v>
      </c>
      <c r="AI1578" t="s">
        <v>3463</v>
      </c>
      <c r="AJ1578" t="s">
        <v>3463</v>
      </c>
      <c r="AK1578" t="s">
        <v>3463</v>
      </c>
      <c r="AL1578" t="s">
        <v>3465</v>
      </c>
      <c r="AM1578" t="s">
        <v>3308</v>
      </c>
      <c r="AN1578" t="s">
        <v>3906</v>
      </c>
      <c r="AO1578" t="s">
        <v>3463</v>
      </c>
      <c r="AP1578" t="s">
        <v>3465</v>
      </c>
      <c r="AQ1578" t="s">
        <v>89</v>
      </c>
      <c r="AR1578" t="s">
        <v>3488</v>
      </c>
      <c r="AT1578" t="s">
        <v>3465</v>
      </c>
      <c r="AU1578" t="s">
        <v>80</v>
      </c>
      <c r="AV1578" t="s">
        <v>112</v>
      </c>
      <c r="AW1578" t="s">
        <v>3917</v>
      </c>
      <c r="AX1578" t="s">
        <v>3463</v>
      </c>
      <c r="AY1578" t="s">
        <v>3465</v>
      </c>
      <c r="AZ1578" t="s">
        <v>90</v>
      </c>
      <c r="BF1578" t="s">
        <v>3921</v>
      </c>
      <c r="BH1578" t="s">
        <v>4020</v>
      </c>
      <c r="BP1578" t="s">
        <v>4260</v>
      </c>
      <c r="BQ1578" t="s">
        <v>3465</v>
      </c>
      <c r="BR1578" t="s">
        <v>3465</v>
      </c>
      <c r="BS1578" t="s">
        <v>3463</v>
      </c>
      <c r="BT1578" t="s">
        <v>3465</v>
      </c>
      <c r="BU1578" t="s">
        <v>3463</v>
      </c>
      <c r="BV1578" t="s">
        <v>3463</v>
      </c>
      <c r="BW1578" t="s">
        <v>3463</v>
      </c>
      <c r="BX1578" t="s">
        <v>79</v>
      </c>
      <c r="BY1578" t="s">
        <v>87</v>
      </c>
      <c r="BZ1578" t="s">
        <v>79</v>
      </c>
      <c r="CA1578" s="10">
        <v>45913</v>
      </c>
    </row>
    <row r="1579" spans="1:79">
      <c r="A1579">
        <v>1592</v>
      </c>
      <c r="B1579">
        <v>223</v>
      </c>
      <c r="C1579">
        <v>39</v>
      </c>
      <c r="D1579" t="s">
        <v>3466</v>
      </c>
      <c r="E1579" t="s">
        <v>1804</v>
      </c>
      <c r="F1579" t="s">
        <v>1804</v>
      </c>
      <c r="G1579" s="12" t="s">
        <v>3463</v>
      </c>
      <c r="I1579">
        <v>70</v>
      </c>
      <c r="K1579">
        <v>133</v>
      </c>
      <c r="L1579">
        <v>69</v>
      </c>
      <c r="M1579" t="s">
        <v>82</v>
      </c>
      <c r="P1579" t="s">
        <v>83</v>
      </c>
      <c r="Q1579" t="s">
        <v>82</v>
      </c>
      <c r="R1579">
        <v>66</v>
      </c>
      <c r="S1579">
        <v>153.5</v>
      </c>
      <c r="T1579" s="8">
        <f t="shared" si="49"/>
        <v>28.010907277530794</v>
      </c>
      <c r="U1579" s="13" t="str" cm="1">
        <f t="array" ref="U1579">IF(T1579="","",_xlfn.IFS(T1579&lt;18.5,"Bajo peso",T1579&lt;25,"Peso normal",T1579&lt;30,"Sobrepeso",T1579&lt;35,"Obesidad clase I",T1579&lt;40,"Obesidad clase II",T1579&gt;=40,"Obesidad clase III"))</f>
        <v>Sobrepeso</v>
      </c>
      <c r="V1579">
        <v>81</v>
      </c>
      <c r="X1579" t="s">
        <v>3463</v>
      </c>
      <c r="Y1579">
        <v>0.89</v>
      </c>
      <c r="AA1579">
        <v>85</v>
      </c>
      <c r="AB1579" s="9">
        <f t="shared" ref="AB1579:AB1613" si="50">IF(OR(C1579="",D1579="",Y1579=""),"",142*POWER(MIN(Y1579/IF(D1579="Mujer",0.7,0.9),1),IF(D1579="Mujer",-0.241,-0.302))*POWER(MAX(Y1579/IF(D1579="Mujer",0.7,0.9),1),-1.2)*POWER(0.9938,C1579)*IF(D1579="Mujer",1.012,1))</f>
        <v>84.523836429293098</v>
      </c>
      <c r="AD1579" t="s">
        <v>73</v>
      </c>
      <c r="AF1579" t="s">
        <v>73</v>
      </c>
      <c r="AH1579" t="s">
        <v>3463</v>
      </c>
      <c r="AI1579" t="s">
        <v>3463</v>
      </c>
      <c r="AJ1579" t="s">
        <v>3465</v>
      </c>
      <c r="AK1579" t="s">
        <v>3463</v>
      </c>
      <c r="AL1579" t="s">
        <v>3463</v>
      </c>
      <c r="AP1579" t="s">
        <v>3463</v>
      </c>
      <c r="AQ1579" t="s">
        <v>120</v>
      </c>
      <c r="AR1579" t="s">
        <v>3491</v>
      </c>
      <c r="AT1579" t="s">
        <v>3463</v>
      </c>
      <c r="AV1579" t="s">
        <v>178</v>
      </c>
      <c r="AW1579" t="s">
        <v>3918</v>
      </c>
      <c r="AX1579" t="s">
        <v>3463</v>
      </c>
      <c r="AY1579" t="s">
        <v>3465</v>
      </c>
      <c r="AZ1579" t="s">
        <v>90</v>
      </c>
      <c r="BF1579" t="s">
        <v>3921</v>
      </c>
      <c r="BH1579" t="s">
        <v>4020</v>
      </c>
      <c r="BP1579" t="s">
        <v>4260</v>
      </c>
      <c r="BQ1579" t="s">
        <v>3463</v>
      </c>
      <c r="BR1579" t="s">
        <v>3463</v>
      </c>
      <c r="BT1579" t="s">
        <v>3465</v>
      </c>
      <c r="BU1579" t="s">
        <v>3463</v>
      </c>
      <c r="BX1579" t="s">
        <v>79</v>
      </c>
      <c r="BY1579" t="s">
        <v>79</v>
      </c>
      <c r="BZ1579" t="s">
        <v>79</v>
      </c>
      <c r="CA1579" s="10">
        <v>45913</v>
      </c>
    </row>
    <row r="1580" spans="1:79">
      <c r="A1580">
        <v>1593</v>
      </c>
      <c r="B1580">
        <v>224</v>
      </c>
      <c r="C1580">
        <v>63</v>
      </c>
      <c r="D1580" t="s">
        <v>3466</v>
      </c>
      <c r="E1580" t="s">
        <v>1804</v>
      </c>
      <c r="F1580" t="s">
        <v>1804</v>
      </c>
      <c r="G1580" s="12" t="s">
        <v>3463</v>
      </c>
      <c r="H1580" s="12"/>
      <c r="I1580">
        <v>85</v>
      </c>
      <c r="J1580">
        <v>78</v>
      </c>
      <c r="K1580">
        <v>152</v>
      </c>
      <c r="L1580">
        <v>91</v>
      </c>
      <c r="M1580" t="s">
        <v>72</v>
      </c>
      <c r="N1580">
        <v>138</v>
      </c>
      <c r="O1580">
        <v>82</v>
      </c>
      <c r="P1580" t="s">
        <v>82</v>
      </c>
      <c r="Q1580" t="s">
        <v>82</v>
      </c>
      <c r="R1580">
        <v>78.099999999999994</v>
      </c>
      <c r="S1580">
        <v>148</v>
      </c>
      <c r="T1580" s="8">
        <f t="shared" si="49"/>
        <v>35.655588020452882</v>
      </c>
      <c r="U1580" s="13" t="str" cm="1">
        <f t="array" ref="U1580">IF(T1580="","",_xlfn.IFS(T1580&lt;18.5,"Bajo peso",T1580&lt;25,"Peso normal",T1580&lt;30,"Sobrepeso",T1580&lt;35,"Obesidad clase I",T1580&lt;40,"Obesidad clase II",T1580&gt;=40,"Obesidad clase III"))</f>
        <v>Obesidad clase II</v>
      </c>
      <c r="V1580">
        <v>107</v>
      </c>
      <c r="X1580" t="s">
        <v>3463</v>
      </c>
      <c r="Y1580">
        <v>0.94</v>
      </c>
      <c r="AA1580">
        <v>68</v>
      </c>
      <c r="AB1580" s="9">
        <f t="shared" si="50"/>
        <v>68.181978967894992</v>
      </c>
      <c r="AD1580" t="s">
        <v>73</v>
      </c>
      <c r="AF1580" t="s">
        <v>73</v>
      </c>
      <c r="AG1580" t="s">
        <v>3463</v>
      </c>
      <c r="AH1580" t="s">
        <v>3463</v>
      </c>
      <c r="AI1580" t="s">
        <v>3463</v>
      </c>
      <c r="AJ1580" t="s">
        <v>3463</v>
      </c>
      <c r="AK1580" t="s">
        <v>3463</v>
      </c>
      <c r="AL1580" t="s">
        <v>3465</v>
      </c>
      <c r="AM1580" t="s">
        <v>3309</v>
      </c>
      <c r="AN1580" t="s">
        <v>3635</v>
      </c>
      <c r="AP1580" t="s">
        <v>3463</v>
      </c>
      <c r="AT1580" t="s">
        <v>3465</v>
      </c>
      <c r="AU1580" t="s">
        <v>80</v>
      </c>
      <c r="AV1580" t="s">
        <v>74</v>
      </c>
      <c r="AW1580" t="s">
        <v>3915</v>
      </c>
      <c r="AX1580" t="s">
        <v>3463</v>
      </c>
      <c r="AY1580" t="s">
        <v>3465</v>
      </c>
      <c r="AZ1580" t="s">
        <v>247</v>
      </c>
      <c r="BF1580" t="s">
        <v>3921</v>
      </c>
      <c r="BH1580" t="s">
        <v>4020</v>
      </c>
      <c r="BP1580" t="s">
        <v>4260</v>
      </c>
      <c r="BQ1580" t="s">
        <v>3463</v>
      </c>
      <c r="BR1580" t="s">
        <v>3465</v>
      </c>
      <c r="BS1580" t="s">
        <v>3465</v>
      </c>
      <c r="BT1580" t="s">
        <v>3465</v>
      </c>
      <c r="BU1580" t="s">
        <v>3463</v>
      </c>
      <c r="BX1580" t="s">
        <v>79</v>
      </c>
      <c r="BY1580" t="s">
        <v>79</v>
      </c>
      <c r="BZ1580" t="s">
        <v>79</v>
      </c>
      <c r="CA1580" s="10">
        <v>45913</v>
      </c>
    </row>
    <row r="1581" spans="1:79">
      <c r="A1581">
        <v>1594</v>
      </c>
      <c r="B1581">
        <v>225</v>
      </c>
      <c r="C1581">
        <v>66</v>
      </c>
      <c r="D1581" t="s">
        <v>3462</v>
      </c>
      <c r="E1581" t="s">
        <v>3310</v>
      </c>
      <c r="F1581" t="s">
        <v>1804</v>
      </c>
      <c r="G1581" s="12" t="s">
        <v>3463</v>
      </c>
      <c r="H1581" s="12"/>
      <c r="I1581">
        <v>77</v>
      </c>
      <c r="J1581">
        <v>75</v>
      </c>
      <c r="K1581">
        <v>156</v>
      </c>
      <c r="L1581">
        <v>80</v>
      </c>
      <c r="M1581" t="s">
        <v>72</v>
      </c>
      <c r="N1581">
        <v>132</v>
      </c>
      <c r="O1581">
        <v>89</v>
      </c>
      <c r="P1581" t="s">
        <v>82</v>
      </c>
      <c r="Q1581" t="s">
        <v>82</v>
      </c>
      <c r="R1581">
        <v>90</v>
      </c>
      <c r="S1581">
        <v>166</v>
      </c>
      <c r="T1581" s="8">
        <f t="shared" si="49"/>
        <v>32.660763536072004</v>
      </c>
      <c r="U1581" s="13" t="str" cm="1">
        <f t="array" ref="U1581">IF(T1581="","",_xlfn.IFS(T1581&lt;18.5,"Bajo peso",T1581&lt;25,"Peso normal",T1581&lt;30,"Sobrepeso",T1581&lt;35,"Obesidad clase I",T1581&lt;40,"Obesidad clase II",T1581&gt;=40,"Obesidad clase III"))</f>
        <v>Obesidad clase I</v>
      </c>
      <c r="V1581">
        <v>94</v>
      </c>
      <c r="X1581" t="s">
        <v>3463</v>
      </c>
      <c r="Y1581">
        <v>0.86</v>
      </c>
      <c r="AA1581">
        <v>95</v>
      </c>
      <c r="AB1581" s="9">
        <f t="shared" si="50"/>
        <v>95.495861059264612</v>
      </c>
      <c r="AD1581" t="s">
        <v>73</v>
      </c>
      <c r="AF1581" t="s">
        <v>73</v>
      </c>
      <c r="AG1581" t="s">
        <v>3464</v>
      </c>
      <c r="AH1581" t="s">
        <v>3465</v>
      </c>
      <c r="AI1581" t="s">
        <v>3465</v>
      </c>
      <c r="AJ1581" t="s">
        <v>3463</v>
      </c>
      <c r="AK1581" t="s">
        <v>3463</v>
      </c>
      <c r="AL1581" t="s">
        <v>3465</v>
      </c>
      <c r="AM1581" t="s">
        <v>120</v>
      </c>
      <c r="AN1581" t="s">
        <v>3801</v>
      </c>
      <c r="AP1581" t="s">
        <v>3463</v>
      </c>
      <c r="AQ1581" t="s">
        <v>3311</v>
      </c>
      <c r="AR1581" t="s">
        <v>3490</v>
      </c>
      <c r="AS1581" t="s">
        <v>3465</v>
      </c>
      <c r="AV1581" t="s">
        <v>126</v>
      </c>
      <c r="AW1581" t="s">
        <v>126</v>
      </c>
      <c r="BF1581" t="s">
        <v>3921</v>
      </c>
      <c r="BH1581" t="s">
        <v>4020</v>
      </c>
      <c r="BP1581" t="s">
        <v>4260</v>
      </c>
      <c r="BQ1581" t="s">
        <v>3463</v>
      </c>
      <c r="BR1581" t="s">
        <v>3463</v>
      </c>
      <c r="BS1581" t="s">
        <v>3465</v>
      </c>
      <c r="BT1581" t="s">
        <v>3465</v>
      </c>
      <c r="BU1581" t="s">
        <v>3463</v>
      </c>
      <c r="BV1581" t="s">
        <v>3463</v>
      </c>
      <c r="BW1581" t="s">
        <v>3463</v>
      </c>
      <c r="BX1581" t="s">
        <v>79</v>
      </c>
      <c r="BY1581" t="s">
        <v>79</v>
      </c>
      <c r="BZ1581" t="s">
        <v>79</v>
      </c>
      <c r="CA1581" s="10">
        <v>45913</v>
      </c>
    </row>
    <row r="1582" spans="1:79">
      <c r="A1582">
        <v>1595</v>
      </c>
      <c r="B1582">
        <v>226</v>
      </c>
      <c r="C1582">
        <v>63</v>
      </c>
      <c r="D1582" t="s">
        <v>3462</v>
      </c>
      <c r="F1582" t="s">
        <v>1804</v>
      </c>
      <c r="G1582" s="12" t="s">
        <v>3463</v>
      </c>
      <c r="I1582">
        <v>79</v>
      </c>
      <c r="K1582">
        <v>130</v>
      </c>
      <c r="L1582">
        <v>86</v>
      </c>
      <c r="M1582" t="s">
        <v>82</v>
      </c>
      <c r="P1582" t="s">
        <v>83</v>
      </c>
      <c r="Q1582" t="s">
        <v>82</v>
      </c>
      <c r="R1582">
        <v>79.7</v>
      </c>
      <c r="S1582">
        <v>172</v>
      </c>
      <c r="T1582" s="8">
        <f t="shared" si="49"/>
        <v>26.940237966468363</v>
      </c>
      <c r="U1582" s="13" t="str" cm="1">
        <f t="array" ref="U1582">IF(T1582="","",_xlfn.IFS(T1582&lt;18.5,"Bajo peso",T1582&lt;25,"Peso normal",T1582&lt;30,"Sobrepeso",T1582&lt;35,"Obesidad clase I",T1582&lt;40,"Obesidad clase II",T1582&gt;=40,"Obesidad clase III"))</f>
        <v>Sobrepeso</v>
      </c>
      <c r="V1582">
        <v>359</v>
      </c>
      <c r="X1582" t="s">
        <v>3465</v>
      </c>
      <c r="Y1582">
        <v>0.59</v>
      </c>
      <c r="AA1582">
        <v>90</v>
      </c>
      <c r="AB1582" s="9">
        <f t="shared" si="50"/>
        <v>109.02065740005828</v>
      </c>
      <c r="AD1582" t="s">
        <v>73</v>
      </c>
      <c r="AF1582" t="s">
        <v>73</v>
      </c>
      <c r="AG1582" t="s">
        <v>3465</v>
      </c>
      <c r="AH1582" t="s">
        <v>3465</v>
      </c>
      <c r="AI1582" t="s">
        <v>3464</v>
      </c>
      <c r="AJ1582" t="s">
        <v>3465</v>
      </c>
      <c r="AK1582" t="s">
        <v>3463</v>
      </c>
      <c r="AL1582" t="s">
        <v>3465</v>
      </c>
      <c r="AM1582" t="s">
        <v>472</v>
      </c>
      <c r="AN1582" t="s">
        <v>3617</v>
      </c>
      <c r="AP1582" t="s">
        <v>3463</v>
      </c>
      <c r="AQ1582" t="s">
        <v>399</v>
      </c>
      <c r="AR1582" t="s">
        <v>3505</v>
      </c>
      <c r="AV1582" t="s">
        <v>126</v>
      </c>
      <c r="AW1582" t="s">
        <v>126</v>
      </c>
      <c r="BF1582" t="s">
        <v>3921</v>
      </c>
      <c r="BH1582" t="s">
        <v>4020</v>
      </c>
      <c r="BP1582" t="s">
        <v>4260</v>
      </c>
      <c r="BQ1582" t="s">
        <v>3463</v>
      </c>
      <c r="BR1582" t="s">
        <v>3463</v>
      </c>
      <c r="BS1582" t="s">
        <v>3463</v>
      </c>
      <c r="BT1582" t="s">
        <v>3463</v>
      </c>
      <c r="BU1582" t="s">
        <v>3463</v>
      </c>
      <c r="BV1582" t="s">
        <v>3463</v>
      </c>
      <c r="BW1582" t="s">
        <v>3463</v>
      </c>
      <c r="BX1582" t="s">
        <v>79</v>
      </c>
      <c r="BY1582" t="s">
        <v>121</v>
      </c>
      <c r="BZ1582" t="s">
        <v>79</v>
      </c>
      <c r="CA1582" s="10">
        <v>45913</v>
      </c>
    </row>
    <row r="1583" spans="1:79">
      <c r="A1583">
        <v>1596</v>
      </c>
      <c r="B1583">
        <v>227</v>
      </c>
      <c r="C1583">
        <v>62</v>
      </c>
      <c r="D1583" t="s">
        <v>3466</v>
      </c>
      <c r="F1583" t="s">
        <v>1804</v>
      </c>
      <c r="G1583" s="12" t="s">
        <v>3463</v>
      </c>
      <c r="I1583">
        <v>80</v>
      </c>
      <c r="J1583">
        <v>81</v>
      </c>
      <c r="K1583">
        <v>140</v>
      </c>
      <c r="L1583">
        <v>82</v>
      </c>
      <c r="M1583" t="s">
        <v>72</v>
      </c>
      <c r="N1583">
        <v>137</v>
      </c>
      <c r="O1583">
        <v>78</v>
      </c>
      <c r="P1583" t="s">
        <v>82</v>
      </c>
      <c r="Q1583" t="s">
        <v>82</v>
      </c>
      <c r="R1583">
        <v>66.7</v>
      </c>
      <c r="S1583">
        <v>152</v>
      </c>
      <c r="T1583" s="8">
        <f t="shared" si="49"/>
        <v>28.869459833795016</v>
      </c>
      <c r="U1583" s="13" t="str" cm="1">
        <f t="array" ref="U1583">IF(T1583="","",_xlfn.IFS(T1583&lt;18.5,"Bajo peso",T1583&lt;25,"Peso normal",T1583&lt;30,"Sobrepeso",T1583&lt;35,"Obesidad clase I",T1583&lt;40,"Obesidad clase II",T1583&gt;=40,"Obesidad clase III"))</f>
        <v>Sobrepeso</v>
      </c>
      <c r="V1583">
        <v>120</v>
      </c>
      <c r="X1583" t="s">
        <v>3463</v>
      </c>
      <c r="Y1583">
        <v>0.81</v>
      </c>
      <c r="AA1583">
        <v>82</v>
      </c>
      <c r="AB1583" s="9">
        <f t="shared" si="50"/>
        <v>82.024201573260058</v>
      </c>
      <c r="AD1583" t="s">
        <v>73</v>
      </c>
      <c r="AF1583" t="s">
        <v>73</v>
      </c>
      <c r="AH1583" t="s">
        <v>3464</v>
      </c>
      <c r="AI1583" t="s">
        <v>3464</v>
      </c>
      <c r="AJ1583" t="s">
        <v>3463</v>
      </c>
      <c r="AK1583" t="s">
        <v>3463</v>
      </c>
      <c r="AL1583" t="s">
        <v>3464</v>
      </c>
      <c r="AP1583" t="s">
        <v>3463</v>
      </c>
      <c r="AQ1583" t="s">
        <v>883</v>
      </c>
      <c r="AR1583" t="s">
        <v>3491</v>
      </c>
      <c r="AT1583" t="s">
        <v>3463</v>
      </c>
      <c r="AV1583" t="s">
        <v>74</v>
      </c>
      <c r="AW1583" t="s">
        <v>3915</v>
      </c>
      <c r="AX1583" t="s">
        <v>3463</v>
      </c>
      <c r="AY1583" t="s">
        <v>3463</v>
      </c>
      <c r="BF1583" t="s">
        <v>3921</v>
      </c>
      <c r="BH1583" t="s">
        <v>4020</v>
      </c>
      <c r="BP1583" t="s">
        <v>4260</v>
      </c>
      <c r="BQ1583" t="s">
        <v>3463</v>
      </c>
      <c r="BR1583" t="s">
        <v>3463</v>
      </c>
      <c r="BS1583" t="s">
        <v>3463</v>
      </c>
      <c r="BT1583" t="s">
        <v>3463</v>
      </c>
      <c r="BU1583" t="s">
        <v>3463</v>
      </c>
      <c r="BV1583" t="s">
        <v>3463</v>
      </c>
      <c r="BW1583" t="s">
        <v>3463</v>
      </c>
      <c r="BX1583" t="s">
        <v>79</v>
      </c>
      <c r="BY1583" t="s">
        <v>79</v>
      </c>
      <c r="BZ1583" t="s">
        <v>79</v>
      </c>
      <c r="CA1583" s="10">
        <v>45913</v>
      </c>
    </row>
    <row r="1584" spans="1:79">
      <c r="A1584">
        <v>1597</v>
      </c>
      <c r="B1584">
        <v>228</v>
      </c>
      <c r="C1584">
        <v>85</v>
      </c>
      <c r="D1584" t="s">
        <v>3462</v>
      </c>
      <c r="E1584" t="s">
        <v>3312</v>
      </c>
      <c r="F1584" t="s">
        <v>1804</v>
      </c>
      <c r="G1584" s="12" t="s">
        <v>3463</v>
      </c>
      <c r="I1584">
        <v>70</v>
      </c>
      <c r="J1584">
        <v>67</v>
      </c>
      <c r="K1584">
        <v>180</v>
      </c>
      <c r="L1584">
        <v>119</v>
      </c>
      <c r="M1584" t="s">
        <v>96</v>
      </c>
      <c r="N1584">
        <v>181</v>
      </c>
      <c r="O1584">
        <v>79</v>
      </c>
      <c r="P1584" t="s">
        <v>96</v>
      </c>
      <c r="Q1584" t="s">
        <v>96</v>
      </c>
      <c r="R1584">
        <v>61.8</v>
      </c>
      <c r="S1584">
        <v>150</v>
      </c>
      <c r="T1584" s="8">
        <f t="shared" si="49"/>
        <v>27.466666666666665</v>
      </c>
      <c r="U1584" s="13" t="str" cm="1">
        <f t="array" ref="U1584">IF(T1584="","",_xlfn.IFS(T1584&lt;18.5,"Bajo peso",T1584&lt;25,"Peso normal",T1584&lt;30,"Sobrepeso",T1584&lt;35,"Obesidad clase I",T1584&lt;40,"Obesidad clase II",T1584&gt;=40,"Obesidad clase III"))</f>
        <v>Sobrepeso</v>
      </c>
      <c r="V1584">
        <v>94</v>
      </c>
      <c r="X1584" t="s">
        <v>3463</v>
      </c>
      <c r="Y1584">
        <v>1.17</v>
      </c>
      <c r="AA1584">
        <v>61</v>
      </c>
      <c r="AB1584" s="9">
        <f t="shared" si="50"/>
        <v>61.090077547430255</v>
      </c>
      <c r="AD1584" t="s">
        <v>73</v>
      </c>
      <c r="AF1584" t="s">
        <v>73</v>
      </c>
      <c r="AH1584" t="s">
        <v>3463</v>
      </c>
      <c r="AI1584" t="s">
        <v>3465</v>
      </c>
      <c r="AJ1584" t="s">
        <v>3465</v>
      </c>
      <c r="AK1584" t="s">
        <v>3463</v>
      </c>
      <c r="AL1584" t="s">
        <v>3465</v>
      </c>
      <c r="AM1584" t="s">
        <v>457</v>
      </c>
      <c r="AN1584" t="s">
        <v>3617</v>
      </c>
      <c r="AP1584" t="s">
        <v>3463</v>
      </c>
      <c r="AS1584" t="s">
        <v>3465</v>
      </c>
      <c r="AV1584" t="s">
        <v>126</v>
      </c>
      <c r="AW1584" t="s">
        <v>126</v>
      </c>
      <c r="BF1584" t="s">
        <v>3921</v>
      </c>
      <c r="BH1584" t="s">
        <v>4020</v>
      </c>
      <c r="BP1584" t="s">
        <v>4260</v>
      </c>
      <c r="BQ1584" t="s">
        <v>3463</v>
      </c>
      <c r="BR1584" t="s">
        <v>3463</v>
      </c>
      <c r="BS1584" t="s">
        <v>3463</v>
      </c>
      <c r="BT1584" t="s">
        <v>3463</v>
      </c>
      <c r="BU1584" t="s">
        <v>3463</v>
      </c>
      <c r="BV1584" t="s">
        <v>3463</v>
      </c>
      <c r="BW1584" t="s">
        <v>3463</v>
      </c>
      <c r="BX1584" t="s">
        <v>518</v>
      </c>
      <c r="BY1584" t="s">
        <v>79</v>
      </c>
      <c r="BZ1584" t="s">
        <v>79</v>
      </c>
      <c r="CA1584" s="10">
        <v>45913</v>
      </c>
    </row>
    <row r="1585" spans="1:79">
      <c r="A1585">
        <v>1598</v>
      </c>
      <c r="B1585">
        <v>229</v>
      </c>
      <c r="C1585">
        <v>69</v>
      </c>
      <c r="D1585" t="s">
        <v>3462</v>
      </c>
      <c r="E1585" t="s">
        <v>2997</v>
      </c>
      <c r="F1585" t="s">
        <v>1804</v>
      </c>
      <c r="G1585" s="12" t="s">
        <v>3463</v>
      </c>
      <c r="I1585">
        <v>77</v>
      </c>
      <c r="J1585">
        <v>70</v>
      </c>
      <c r="K1585">
        <v>144</v>
      </c>
      <c r="L1585">
        <v>82</v>
      </c>
      <c r="M1585" t="s">
        <v>72</v>
      </c>
      <c r="N1585">
        <v>155</v>
      </c>
      <c r="O1585">
        <v>86</v>
      </c>
      <c r="P1585" t="s">
        <v>72</v>
      </c>
      <c r="Q1585" t="s">
        <v>72</v>
      </c>
      <c r="R1585">
        <v>78</v>
      </c>
      <c r="S1585">
        <v>158</v>
      </c>
      <c r="T1585" s="8">
        <f t="shared" si="49"/>
        <v>31.244992789617051</v>
      </c>
      <c r="U1585" s="13" t="str" cm="1">
        <f t="array" ref="U1585">IF(T1585="","",_xlfn.IFS(T1585&lt;18.5,"Bajo peso",T1585&lt;25,"Peso normal",T1585&lt;30,"Sobrepeso",T1585&lt;35,"Obesidad clase I",T1585&lt;40,"Obesidad clase II",T1585&gt;=40,"Obesidad clase III"))</f>
        <v>Obesidad clase I</v>
      </c>
      <c r="V1585">
        <v>138</v>
      </c>
      <c r="X1585" t="s">
        <v>3463</v>
      </c>
      <c r="Y1585">
        <v>0.92</v>
      </c>
      <c r="AA1585">
        <v>90</v>
      </c>
      <c r="AB1585" s="9">
        <f t="shared" si="50"/>
        <v>90.046002837339159</v>
      </c>
      <c r="AD1585" t="s">
        <v>73</v>
      </c>
      <c r="AF1585" t="s">
        <v>73</v>
      </c>
      <c r="AG1585" t="s">
        <v>3465</v>
      </c>
      <c r="AH1585" t="s">
        <v>3465</v>
      </c>
      <c r="AI1585" t="s">
        <v>3465</v>
      </c>
      <c r="AJ1585" t="s">
        <v>3463</v>
      </c>
      <c r="AK1585" t="s">
        <v>3465</v>
      </c>
      <c r="AL1585" t="s">
        <v>3465</v>
      </c>
      <c r="AM1585" t="s">
        <v>955</v>
      </c>
      <c r="AN1585" t="s">
        <v>3907</v>
      </c>
      <c r="AP1585" t="s">
        <v>3463</v>
      </c>
      <c r="AS1585" t="s">
        <v>3465</v>
      </c>
      <c r="AV1585" t="s">
        <v>112</v>
      </c>
      <c r="AW1585" t="s">
        <v>3917</v>
      </c>
      <c r="BF1585" t="s">
        <v>3921</v>
      </c>
      <c r="BH1585" t="s">
        <v>4020</v>
      </c>
      <c r="BP1585" t="s">
        <v>4260</v>
      </c>
      <c r="BQ1585" t="s">
        <v>3463</v>
      </c>
      <c r="BR1585" t="s">
        <v>3465</v>
      </c>
      <c r="BS1585" t="s">
        <v>3463</v>
      </c>
      <c r="BT1585" t="s">
        <v>3463</v>
      </c>
      <c r="BU1585" t="s">
        <v>3463</v>
      </c>
      <c r="BV1585" t="s">
        <v>3463</v>
      </c>
      <c r="BW1585" t="s">
        <v>3463</v>
      </c>
      <c r="BX1585" t="s">
        <v>518</v>
      </c>
      <c r="BY1585" t="s">
        <v>79</v>
      </c>
      <c r="BZ1585" t="s">
        <v>79</v>
      </c>
      <c r="CA1585" s="10">
        <v>45913</v>
      </c>
    </row>
    <row r="1586" spans="1:79">
      <c r="A1586">
        <v>1599</v>
      </c>
      <c r="B1586">
        <v>230</v>
      </c>
      <c r="C1586">
        <v>83</v>
      </c>
      <c r="D1586" t="s">
        <v>3466</v>
      </c>
      <c r="E1586" t="s">
        <v>3313</v>
      </c>
      <c r="F1586" t="s">
        <v>1804</v>
      </c>
      <c r="G1586" s="12" t="s">
        <v>3463</v>
      </c>
      <c r="H1586" s="12"/>
      <c r="I1586">
        <v>83</v>
      </c>
      <c r="J1586">
        <v>76</v>
      </c>
      <c r="K1586">
        <v>159</v>
      </c>
      <c r="L1586">
        <v>82</v>
      </c>
      <c r="M1586" t="s">
        <v>72</v>
      </c>
      <c r="N1586">
        <v>153</v>
      </c>
      <c r="O1586">
        <v>75</v>
      </c>
      <c r="P1586" t="s">
        <v>72</v>
      </c>
      <c r="Q1586" t="s">
        <v>72</v>
      </c>
      <c r="R1586">
        <v>46.4</v>
      </c>
      <c r="S1586">
        <v>136</v>
      </c>
      <c r="T1586" s="8">
        <f t="shared" si="49"/>
        <v>25.086505190311417</v>
      </c>
      <c r="U1586" s="13" t="str" cm="1">
        <f t="array" ref="U1586">IF(T1586="","",_xlfn.IFS(T1586&lt;18.5,"Bajo peso",T1586&lt;25,"Peso normal",T1586&lt;30,"Sobrepeso",T1586&lt;35,"Obesidad clase I",T1586&lt;40,"Obesidad clase II",T1586&gt;=40,"Obesidad clase III"))</f>
        <v>Sobrepeso</v>
      </c>
      <c r="V1586">
        <v>101</v>
      </c>
      <c r="X1586" t="s">
        <v>3463</v>
      </c>
      <c r="Y1586">
        <v>0.54</v>
      </c>
      <c r="AA1586">
        <v>91</v>
      </c>
      <c r="AB1586" s="9">
        <f t="shared" si="50"/>
        <v>91.294992736081142</v>
      </c>
      <c r="AD1586" t="s">
        <v>73</v>
      </c>
      <c r="AF1586" t="s">
        <v>73</v>
      </c>
      <c r="AH1586" t="s">
        <v>3463</v>
      </c>
      <c r="AI1586" t="s">
        <v>3465</v>
      </c>
      <c r="AJ1586" t="s">
        <v>3463</v>
      </c>
      <c r="AK1586" t="s">
        <v>3463</v>
      </c>
      <c r="AL1586" t="s">
        <v>3463</v>
      </c>
      <c r="AP1586" t="s">
        <v>3463</v>
      </c>
      <c r="AS1586" t="s">
        <v>3463</v>
      </c>
      <c r="AT1586" t="s">
        <v>3465</v>
      </c>
      <c r="AU1586" t="s">
        <v>80</v>
      </c>
      <c r="AV1586" t="s">
        <v>74</v>
      </c>
      <c r="AW1586" t="s">
        <v>3915</v>
      </c>
      <c r="AX1586" t="s">
        <v>3463</v>
      </c>
      <c r="AY1586" t="s">
        <v>3463</v>
      </c>
      <c r="BF1586" t="s">
        <v>3921</v>
      </c>
      <c r="BG1586" t="s">
        <v>3314</v>
      </c>
      <c r="BH1586" t="s">
        <v>4051</v>
      </c>
      <c r="BI1586" t="s">
        <v>76</v>
      </c>
      <c r="BL1586" t="s">
        <v>3315</v>
      </c>
      <c r="BP1586" t="s">
        <v>4261</v>
      </c>
      <c r="BQ1586" t="s">
        <v>3463</v>
      </c>
      <c r="BR1586" t="s">
        <v>3463</v>
      </c>
      <c r="BS1586" t="s">
        <v>3463</v>
      </c>
      <c r="BT1586" t="s">
        <v>3463</v>
      </c>
      <c r="BU1586" t="s">
        <v>3463</v>
      </c>
      <c r="BV1586" t="s">
        <v>3463</v>
      </c>
      <c r="BW1586" t="s">
        <v>3463</v>
      </c>
      <c r="BX1586" t="s">
        <v>79</v>
      </c>
      <c r="BY1586" t="s">
        <v>79</v>
      </c>
      <c r="BZ1586" t="s">
        <v>79</v>
      </c>
      <c r="CA1586" s="10">
        <v>45913</v>
      </c>
    </row>
    <row r="1587" spans="1:79">
      <c r="A1587">
        <v>1600</v>
      </c>
      <c r="B1587">
        <v>231</v>
      </c>
      <c r="C1587">
        <v>52</v>
      </c>
      <c r="D1587" t="s">
        <v>3466</v>
      </c>
      <c r="E1587" t="s">
        <v>3316</v>
      </c>
      <c r="F1587" t="s">
        <v>1804</v>
      </c>
      <c r="G1587" s="12" t="s">
        <v>3463</v>
      </c>
      <c r="I1587">
        <v>87</v>
      </c>
      <c r="K1587">
        <v>124</v>
      </c>
      <c r="L1587">
        <v>85</v>
      </c>
      <c r="M1587" t="s">
        <v>82</v>
      </c>
      <c r="P1587" t="s">
        <v>83</v>
      </c>
      <c r="Q1587" t="s">
        <v>82</v>
      </c>
      <c r="R1587">
        <v>60.6</v>
      </c>
      <c r="S1587">
        <v>149</v>
      </c>
      <c r="T1587" s="8">
        <f t="shared" si="49"/>
        <v>27.296067744696185</v>
      </c>
      <c r="U1587" s="13" t="str" cm="1">
        <f t="array" ref="U1587">IF(T1587="","",_xlfn.IFS(T1587&lt;18.5,"Bajo peso",T1587&lt;25,"Peso normal",T1587&lt;30,"Sobrepeso",T1587&lt;35,"Obesidad clase I",T1587&lt;40,"Obesidad clase II",T1587&gt;=40,"Obesidad clase III"))</f>
        <v>Sobrepeso</v>
      </c>
      <c r="V1587">
        <v>103</v>
      </c>
      <c r="X1587" t="s">
        <v>3463</v>
      </c>
      <c r="Y1587">
        <v>0.56999999999999995</v>
      </c>
      <c r="AA1587">
        <v>90</v>
      </c>
      <c r="AB1587" s="9">
        <f t="shared" si="50"/>
        <v>109.27460608392239</v>
      </c>
      <c r="AD1587" t="s">
        <v>73</v>
      </c>
      <c r="AF1587" t="s">
        <v>73</v>
      </c>
      <c r="AH1587" t="s">
        <v>3463</v>
      </c>
      <c r="AI1587" t="s">
        <v>3463</v>
      </c>
      <c r="AJ1587" t="s">
        <v>3463</v>
      </c>
      <c r="AK1587" t="s">
        <v>3463</v>
      </c>
      <c r="AL1587" t="s">
        <v>3464</v>
      </c>
      <c r="AP1587" t="s">
        <v>3463</v>
      </c>
      <c r="AQ1587" t="s">
        <v>955</v>
      </c>
      <c r="AR1587" t="s">
        <v>3512</v>
      </c>
      <c r="AT1587" t="s">
        <v>3465</v>
      </c>
      <c r="AU1587" t="s">
        <v>80</v>
      </c>
      <c r="AV1587" t="s">
        <v>126</v>
      </c>
      <c r="AW1587" t="s">
        <v>126</v>
      </c>
      <c r="AX1587" t="s">
        <v>3463</v>
      </c>
      <c r="AY1587" t="s">
        <v>3465</v>
      </c>
      <c r="AZ1587" t="s">
        <v>104</v>
      </c>
      <c r="BF1587" t="s">
        <v>3921</v>
      </c>
      <c r="BH1587" t="s">
        <v>4020</v>
      </c>
      <c r="BP1587" t="s">
        <v>4260</v>
      </c>
      <c r="BQ1587" t="s">
        <v>3463</v>
      </c>
      <c r="BR1587" t="s">
        <v>3463</v>
      </c>
      <c r="BS1587" t="s">
        <v>3465</v>
      </c>
      <c r="BT1587" t="s">
        <v>3465</v>
      </c>
      <c r="BU1587" t="s">
        <v>3463</v>
      </c>
      <c r="BV1587" t="s">
        <v>3463</v>
      </c>
      <c r="BW1587" t="s">
        <v>3463</v>
      </c>
      <c r="BX1587" t="s">
        <v>79</v>
      </c>
      <c r="BY1587" t="s">
        <v>79</v>
      </c>
      <c r="BZ1587" t="s">
        <v>79</v>
      </c>
      <c r="CA1587" s="10">
        <v>45913</v>
      </c>
    </row>
    <row r="1588" spans="1:79">
      <c r="A1588">
        <v>1601</v>
      </c>
      <c r="B1588">
        <v>232</v>
      </c>
      <c r="C1588">
        <v>81</v>
      </c>
      <c r="D1588" t="s">
        <v>3466</v>
      </c>
      <c r="E1588" t="s">
        <v>3312</v>
      </c>
      <c r="F1588" t="s">
        <v>1804</v>
      </c>
      <c r="G1588" s="12" t="s">
        <v>3465</v>
      </c>
      <c r="H1588" t="s">
        <v>88</v>
      </c>
      <c r="I1588">
        <v>64</v>
      </c>
      <c r="K1588">
        <v>119</v>
      </c>
      <c r="L1588">
        <v>63</v>
      </c>
      <c r="M1588" t="s">
        <v>80</v>
      </c>
      <c r="P1588" t="s">
        <v>83</v>
      </c>
      <c r="Q1588" t="s">
        <v>80</v>
      </c>
      <c r="R1588">
        <v>69.400000000000006</v>
      </c>
      <c r="S1588">
        <v>149</v>
      </c>
      <c r="T1588" s="8">
        <f t="shared" ref="T1588:T1613" si="51">IFERROR(R1588/(S1588^2)*10000,"")</f>
        <v>31.25985315976758</v>
      </c>
      <c r="U1588" s="13" t="str" cm="1">
        <f t="array" ref="U1588">IF(T1588="","",_xlfn.IFS(T1588&lt;18.5,"Bajo peso",T1588&lt;25,"Peso normal",T1588&lt;30,"Sobrepeso",T1588&lt;35,"Obesidad clase I",T1588&lt;40,"Obesidad clase II",T1588&gt;=40,"Obesidad clase III"))</f>
        <v>Obesidad clase I</v>
      </c>
      <c r="V1588">
        <v>93</v>
      </c>
      <c r="X1588" t="s">
        <v>3463</v>
      </c>
      <c r="Y1588">
        <v>0.92</v>
      </c>
      <c r="AA1588">
        <v>63</v>
      </c>
      <c r="AB1588" s="9">
        <f t="shared" si="50"/>
        <v>62.55463541615277</v>
      </c>
      <c r="AD1588" t="s">
        <v>73</v>
      </c>
      <c r="AF1588" t="s">
        <v>73</v>
      </c>
      <c r="AG1588" t="s">
        <v>3465</v>
      </c>
      <c r="AH1588" t="s">
        <v>3465</v>
      </c>
      <c r="AI1588" t="s">
        <v>3465</v>
      </c>
      <c r="AJ1588" t="s">
        <v>3463</v>
      </c>
      <c r="AK1588" t="s">
        <v>3463</v>
      </c>
      <c r="AL1588" t="s">
        <v>3465</v>
      </c>
      <c r="AM1588" t="s">
        <v>3317</v>
      </c>
      <c r="AN1588" t="s">
        <v>3908</v>
      </c>
      <c r="AP1588" t="s">
        <v>3463</v>
      </c>
      <c r="AS1588" t="s">
        <v>3465</v>
      </c>
      <c r="AT1588" t="s">
        <v>3463</v>
      </c>
      <c r="AV1588" t="s">
        <v>74</v>
      </c>
      <c r="AW1588" t="s">
        <v>3915</v>
      </c>
      <c r="AX1588" t="s">
        <v>3463</v>
      </c>
      <c r="AY1588" t="s">
        <v>3463</v>
      </c>
      <c r="BB1588" t="s">
        <v>3485</v>
      </c>
      <c r="BD1588" t="s">
        <v>105</v>
      </c>
      <c r="BF1588" t="s">
        <v>3921</v>
      </c>
      <c r="BH1588" t="s">
        <v>4018</v>
      </c>
      <c r="BI1588" t="s">
        <v>3318</v>
      </c>
      <c r="BK1588" t="s">
        <v>3319</v>
      </c>
      <c r="BL1588" t="s">
        <v>3320</v>
      </c>
      <c r="BP1588" t="s">
        <v>4532</v>
      </c>
      <c r="BQ1588" t="s">
        <v>3463</v>
      </c>
      <c r="BR1588" t="s">
        <v>3463</v>
      </c>
      <c r="BS1588" t="s">
        <v>3463</v>
      </c>
      <c r="BT1588" t="s">
        <v>3463</v>
      </c>
      <c r="BU1588" t="s">
        <v>3463</v>
      </c>
      <c r="BV1588" t="s">
        <v>3463</v>
      </c>
      <c r="BW1588" t="s">
        <v>3463</v>
      </c>
      <c r="BX1588" t="s">
        <v>79</v>
      </c>
      <c r="BY1588" t="s">
        <v>87</v>
      </c>
      <c r="BZ1588" t="s">
        <v>95</v>
      </c>
      <c r="CA1588" s="10">
        <v>45913</v>
      </c>
    </row>
    <row r="1589" spans="1:79">
      <c r="A1589">
        <v>1602</v>
      </c>
      <c r="B1589">
        <v>233</v>
      </c>
      <c r="C1589">
        <v>83</v>
      </c>
      <c r="D1589" t="s">
        <v>3466</v>
      </c>
      <c r="E1589" t="s">
        <v>1804</v>
      </c>
      <c r="F1589" t="s">
        <v>1804</v>
      </c>
      <c r="G1589" s="12" t="s">
        <v>3463</v>
      </c>
      <c r="I1589">
        <v>64</v>
      </c>
      <c r="J1589">
        <v>65</v>
      </c>
      <c r="K1589">
        <v>147</v>
      </c>
      <c r="L1589">
        <v>57</v>
      </c>
      <c r="M1589" t="s">
        <v>72</v>
      </c>
      <c r="N1589">
        <v>126</v>
      </c>
      <c r="O1589">
        <v>69</v>
      </c>
      <c r="P1589" t="s">
        <v>118</v>
      </c>
      <c r="Q1589" t="s">
        <v>118</v>
      </c>
      <c r="R1589">
        <v>55.3</v>
      </c>
      <c r="S1589">
        <v>149.5</v>
      </c>
      <c r="T1589" s="8">
        <f t="shared" si="51"/>
        <v>24.74245254527354</v>
      </c>
      <c r="U1589" s="13" t="str" cm="1">
        <f t="array" ref="U1589">IF(T1589="","",_xlfn.IFS(T1589&lt;18.5,"Bajo peso",T1589&lt;25,"Peso normal",T1589&lt;30,"Sobrepeso",T1589&lt;35,"Obesidad clase I",T1589&lt;40,"Obesidad clase II",T1589&gt;=40,"Obesidad clase III"))</f>
        <v>Peso normal</v>
      </c>
      <c r="V1589">
        <v>76</v>
      </c>
      <c r="X1589" t="s">
        <v>3463</v>
      </c>
      <c r="Y1589">
        <v>0.55000000000000004</v>
      </c>
      <c r="AA1589">
        <v>91</v>
      </c>
      <c r="AB1589" s="9">
        <f t="shared" si="50"/>
        <v>90.892164614173453</v>
      </c>
      <c r="AD1589" t="s">
        <v>73</v>
      </c>
      <c r="AF1589" t="s">
        <v>73</v>
      </c>
      <c r="AG1589" t="s">
        <v>3465</v>
      </c>
      <c r="AH1589" t="s">
        <v>3465</v>
      </c>
      <c r="AI1589" t="s">
        <v>3465</v>
      </c>
      <c r="AJ1589" t="s">
        <v>3463</v>
      </c>
      <c r="AK1589" t="s">
        <v>3463</v>
      </c>
      <c r="AL1589" t="s">
        <v>3463</v>
      </c>
      <c r="AP1589" t="s">
        <v>3464</v>
      </c>
      <c r="AS1589" t="s">
        <v>3465</v>
      </c>
      <c r="AT1589" t="s">
        <v>3463</v>
      </c>
      <c r="AV1589" t="s">
        <v>126</v>
      </c>
      <c r="AW1589" t="s">
        <v>126</v>
      </c>
      <c r="AX1589" t="s">
        <v>3463</v>
      </c>
      <c r="AY1589" t="s">
        <v>3463</v>
      </c>
      <c r="BF1589" t="s">
        <v>3921</v>
      </c>
      <c r="BH1589" t="s">
        <v>4020</v>
      </c>
      <c r="BP1589" t="s">
        <v>4260</v>
      </c>
      <c r="BQ1589" t="s">
        <v>3463</v>
      </c>
      <c r="BR1589" t="s">
        <v>3463</v>
      </c>
      <c r="BS1589" t="s">
        <v>3463</v>
      </c>
      <c r="BT1589" t="s">
        <v>3463</v>
      </c>
      <c r="BU1589" t="s">
        <v>3463</v>
      </c>
      <c r="BX1589" t="s">
        <v>518</v>
      </c>
      <c r="BY1589" t="s">
        <v>87</v>
      </c>
      <c r="BZ1589" t="s">
        <v>79</v>
      </c>
      <c r="CA1589" s="10">
        <v>45913</v>
      </c>
    </row>
    <row r="1590" spans="1:79">
      <c r="A1590">
        <v>1603</v>
      </c>
      <c r="B1590">
        <v>234</v>
      </c>
      <c r="C1590">
        <v>69</v>
      </c>
      <c r="D1590" t="s">
        <v>3466</v>
      </c>
      <c r="E1590" t="s">
        <v>3312</v>
      </c>
      <c r="F1590" t="s">
        <v>1804</v>
      </c>
      <c r="G1590" s="12" t="s">
        <v>3465</v>
      </c>
      <c r="H1590" t="s">
        <v>88</v>
      </c>
      <c r="I1590">
        <v>115</v>
      </c>
      <c r="J1590">
        <v>116</v>
      </c>
      <c r="K1590">
        <v>162</v>
      </c>
      <c r="L1590">
        <v>68</v>
      </c>
      <c r="M1590" t="s">
        <v>72</v>
      </c>
      <c r="N1590">
        <v>102</v>
      </c>
      <c r="O1590">
        <v>82</v>
      </c>
      <c r="P1590" t="s">
        <v>82</v>
      </c>
      <c r="Q1590" t="s">
        <v>82</v>
      </c>
      <c r="R1590">
        <v>96</v>
      </c>
      <c r="S1590">
        <v>157</v>
      </c>
      <c r="T1590" s="8">
        <f t="shared" si="51"/>
        <v>38.946813258144346</v>
      </c>
      <c r="U1590" s="13" t="str" cm="1">
        <f t="array" ref="U1590">IF(T1590="","",_xlfn.IFS(T1590&lt;18.5,"Bajo peso",T1590&lt;25,"Peso normal",T1590&lt;30,"Sobrepeso",T1590&lt;35,"Obesidad clase I",T1590&lt;40,"Obesidad clase II",T1590&gt;=40,"Obesidad clase III"))</f>
        <v>Obesidad clase II</v>
      </c>
      <c r="V1590">
        <v>101</v>
      </c>
      <c r="X1590" t="s">
        <v>3463</v>
      </c>
      <c r="Y1590">
        <v>1.0900000000000001</v>
      </c>
      <c r="AA1590">
        <v>55</v>
      </c>
      <c r="AB1590" s="9">
        <f t="shared" si="50"/>
        <v>54.992717814328749</v>
      </c>
      <c r="AD1590" t="s">
        <v>158</v>
      </c>
      <c r="AF1590" t="s">
        <v>158</v>
      </c>
      <c r="AG1590" t="s">
        <v>3465</v>
      </c>
      <c r="AH1590" t="s">
        <v>3465</v>
      </c>
      <c r="AI1590" t="s">
        <v>3465</v>
      </c>
      <c r="AJ1590" t="s">
        <v>3463</v>
      </c>
      <c r="AK1590" t="s">
        <v>3463</v>
      </c>
      <c r="AL1590" t="s">
        <v>3465</v>
      </c>
      <c r="AM1590" t="s">
        <v>3321</v>
      </c>
      <c r="AN1590" t="s">
        <v>3909</v>
      </c>
      <c r="AP1590" t="s">
        <v>3463</v>
      </c>
      <c r="AS1590" t="s">
        <v>3465</v>
      </c>
      <c r="AT1590" t="s">
        <v>3463</v>
      </c>
      <c r="AV1590" t="s">
        <v>126</v>
      </c>
      <c r="AW1590" t="s">
        <v>126</v>
      </c>
      <c r="AX1590" t="s">
        <v>3463</v>
      </c>
      <c r="AY1590" t="s">
        <v>3463</v>
      </c>
      <c r="BF1590" t="s">
        <v>3921</v>
      </c>
      <c r="BG1590" t="s">
        <v>3322</v>
      </c>
      <c r="BH1590" t="s">
        <v>4029</v>
      </c>
      <c r="BP1590" t="s">
        <v>4260</v>
      </c>
      <c r="BQ1590" t="s">
        <v>3463</v>
      </c>
      <c r="BR1590" t="s">
        <v>3463</v>
      </c>
      <c r="BS1590" t="s">
        <v>3463</v>
      </c>
      <c r="BT1590" t="s">
        <v>3463</v>
      </c>
      <c r="BU1590" t="s">
        <v>3463</v>
      </c>
      <c r="BV1590" t="s">
        <v>3463</v>
      </c>
      <c r="BW1590" t="s">
        <v>3463</v>
      </c>
      <c r="BX1590" t="s">
        <v>79</v>
      </c>
      <c r="BY1590" t="s">
        <v>79</v>
      </c>
      <c r="BZ1590" t="s">
        <v>79</v>
      </c>
      <c r="CA1590" s="10">
        <v>45913</v>
      </c>
    </row>
    <row r="1591" spans="1:79">
      <c r="A1591">
        <v>1604</v>
      </c>
      <c r="B1591">
        <v>235</v>
      </c>
      <c r="C1591">
        <v>78</v>
      </c>
      <c r="D1591" t="s">
        <v>3462</v>
      </c>
      <c r="E1591" t="s">
        <v>1804</v>
      </c>
      <c r="F1591" t="s">
        <v>1804</v>
      </c>
      <c r="G1591" s="12" t="s">
        <v>3463</v>
      </c>
      <c r="I1591">
        <v>67</v>
      </c>
      <c r="J1591">
        <v>67</v>
      </c>
      <c r="K1591">
        <v>144</v>
      </c>
      <c r="L1591">
        <v>76</v>
      </c>
      <c r="M1591" t="s">
        <v>72</v>
      </c>
      <c r="N1591">
        <v>133</v>
      </c>
      <c r="O1591">
        <v>78</v>
      </c>
      <c r="P1591" t="s">
        <v>82</v>
      </c>
      <c r="Q1591" t="s">
        <v>82</v>
      </c>
      <c r="R1591">
        <v>102.6</v>
      </c>
      <c r="S1591">
        <v>173</v>
      </c>
      <c r="T1591" s="8">
        <f t="shared" si="51"/>
        <v>34.281132012429417</v>
      </c>
      <c r="U1591" s="13" t="str" cm="1">
        <f t="array" ref="U1591">IF(T1591="","",_xlfn.IFS(T1591&lt;18.5,"Bajo peso",T1591&lt;25,"Peso normal",T1591&lt;30,"Sobrepeso",T1591&lt;35,"Obesidad clase I",T1591&lt;40,"Obesidad clase II",T1591&gt;=40,"Obesidad clase III"))</f>
        <v>Obesidad clase I</v>
      </c>
      <c r="V1591">
        <v>92</v>
      </c>
      <c r="X1591" t="s">
        <v>3463</v>
      </c>
      <c r="Y1591">
        <v>0.92</v>
      </c>
      <c r="AA1591">
        <v>85</v>
      </c>
      <c r="AB1591" s="9">
        <f t="shared" si="50"/>
        <v>85.14425912036171</v>
      </c>
      <c r="AD1591" t="s">
        <v>73</v>
      </c>
      <c r="AF1591" t="s">
        <v>73</v>
      </c>
      <c r="AG1591" t="s">
        <v>3465</v>
      </c>
      <c r="AH1591" t="s">
        <v>3465</v>
      </c>
      <c r="AI1591" t="s">
        <v>3465</v>
      </c>
      <c r="AJ1591" t="s">
        <v>3464</v>
      </c>
      <c r="AK1591" t="s">
        <v>3463</v>
      </c>
      <c r="AL1591" t="s">
        <v>3465</v>
      </c>
      <c r="AM1591" t="s">
        <v>116</v>
      </c>
      <c r="AN1591" t="s">
        <v>116</v>
      </c>
      <c r="AP1591" t="s">
        <v>3464</v>
      </c>
      <c r="AS1591" t="s">
        <v>3465</v>
      </c>
      <c r="AV1591" t="s">
        <v>126</v>
      </c>
      <c r="AW1591" t="s">
        <v>126</v>
      </c>
      <c r="BF1591" t="s">
        <v>3921</v>
      </c>
      <c r="BH1591" t="s">
        <v>4020</v>
      </c>
      <c r="BP1591" t="s">
        <v>4260</v>
      </c>
      <c r="BQ1591" t="s">
        <v>3463</v>
      </c>
      <c r="BR1591" t="s">
        <v>3463</v>
      </c>
      <c r="BS1591" t="s">
        <v>3465</v>
      </c>
      <c r="BT1591" t="s">
        <v>3465</v>
      </c>
      <c r="BU1591" t="s">
        <v>3463</v>
      </c>
      <c r="BX1591" t="s">
        <v>79</v>
      </c>
      <c r="BY1591" t="s">
        <v>79</v>
      </c>
      <c r="BZ1591" t="s">
        <v>79</v>
      </c>
      <c r="CA1591" s="10">
        <v>45913</v>
      </c>
    </row>
    <row r="1592" spans="1:79">
      <c r="A1592">
        <v>1605</v>
      </c>
      <c r="B1592">
        <v>236</v>
      </c>
      <c r="C1592">
        <v>64</v>
      </c>
      <c r="D1592" t="s">
        <v>3466</v>
      </c>
      <c r="E1592" t="s">
        <v>3323</v>
      </c>
      <c r="F1592" t="s">
        <v>1804</v>
      </c>
      <c r="G1592" s="12" t="s">
        <v>3463</v>
      </c>
      <c r="H1592" t="s">
        <v>88</v>
      </c>
      <c r="I1592">
        <v>83</v>
      </c>
      <c r="J1592">
        <v>84</v>
      </c>
      <c r="K1592">
        <v>157</v>
      </c>
      <c r="L1592">
        <v>90</v>
      </c>
      <c r="M1592" t="s">
        <v>72</v>
      </c>
      <c r="N1592">
        <v>142</v>
      </c>
      <c r="O1592">
        <v>79</v>
      </c>
      <c r="P1592" t="s">
        <v>72</v>
      </c>
      <c r="Q1592" t="s">
        <v>72</v>
      </c>
      <c r="R1592">
        <v>75.099999999999994</v>
      </c>
      <c r="S1592">
        <v>161</v>
      </c>
      <c r="T1592" s="8">
        <f t="shared" si="51"/>
        <v>28.972647660198291</v>
      </c>
      <c r="U1592" s="13" t="str" cm="1">
        <f t="array" ref="U1592">IF(T1592="","",_xlfn.IFS(T1592&lt;18.5,"Bajo peso",T1592&lt;25,"Peso normal",T1592&lt;30,"Sobrepeso",T1592&lt;35,"Obesidad clase I",T1592&lt;40,"Obesidad clase II",T1592&gt;=40,"Obesidad clase III"))</f>
        <v>Sobrepeso</v>
      </c>
      <c r="V1592">
        <v>104</v>
      </c>
      <c r="X1592" t="s">
        <v>3463</v>
      </c>
      <c r="Y1592">
        <v>0.57999999999999996</v>
      </c>
      <c r="AA1592">
        <v>101</v>
      </c>
      <c r="AB1592" s="9">
        <f t="shared" si="50"/>
        <v>100.99197196308047</v>
      </c>
      <c r="AD1592" t="s">
        <v>73</v>
      </c>
      <c r="AF1592" t="s">
        <v>73</v>
      </c>
      <c r="AH1592" t="s">
        <v>3464</v>
      </c>
      <c r="AI1592" t="s">
        <v>3463</v>
      </c>
      <c r="AJ1592" t="s">
        <v>3465</v>
      </c>
      <c r="AK1592" t="s">
        <v>3465</v>
      </c>
      <c r="AL1592" t="s">
        <v>3463</v>
      </c>
      <c r="AP1592" t="s">
        <v>3463</v>
      </c>
      <c r="AQ1592" t="s">
        <v>399</v>
      </c>
      <c r="AR1592" t="s">
        <v>3505</v>
      </c>
      <c r="AT1592" t="s">
        <v>3465</v>
      </c>
      <c r="AU1592" t="s">
        <v>80</v>
      </c>
      <c r="AV1592" t="s">
        <v>74</v>
      </c>
      <c r="AW1592" t="s">
        <v>3915</v>
      </c>
      <c r="AY1592" t="s">
        <v>3465</v>
      </c>
      <c r="AZ1592" t="s">
        <v>247</v>
      </c>
      <c r="BF1592" t="s">
        <v>3921</v>
      </c>
      <c r="BG1592" t="s">
        <v>3324</v>
      </c>
      <c r="BH1592" t="s">
        <v>4021</v>
      </c>
      <c r="BL1592" t="s">
        <v>3325</v>
      </c>
      <c r="BP1592" t="s">
        <v>4260</v>
      </c>
      <c r="BQ1592" t="s">
        <v>3463</v>
      </c>
      <c r="BR1592" t="s">
        <v>3463</v>
      </c>
      <c r="BS1592" t="s">
        <v>3465</v>
      </c>
      <c r="BT1592" t="s">
        <v>3465</v>
      </c>
      <c r="BU1592" t="s">
        <v>3463</v>
      </c>
      <c r="BV1592" t="s">
        <v>3463</v>
      </c>
      <c r="BW1592" t="s">
        <v>3463</v>
      </c>
      <c r="BX1592" t="s">
        <v>79</v>
      </c>
      <c r="BY1592" t="s">
        <v>79</v>
      </c>
      <c r="BZ1592" t="s">
        <v>79</v>
      </c>
      <c r="CA1592" s="10">
        <v>45913</v>
      </c>
    </row>
    <row r="1593" spans="1:79">
      <c r="A1593">
        <v>1606</v>
      </c>
      <c r="B1593">
        <v>237</v>
      </c>
      <c r="C1593">
        <v>76</v>
      </c>
      <c r="D1593" t="s">
        <v>3466</v>
      </c>
      <c r="E1593" t="s">
        <v>3312</v>
      </c>
      <c r="F1593" t="s">
        <v>1804</v>
      </c>
      <c r="G1593" s="12" t="s">
        <v>3463</v>
      </c>
      <c r="I1593">
        <v>72</v>
      </c>
      <c r="J1593">
        <v>72</v>
      </c>
      <c r="K1593">
        <v>168</v>
      </c>
      <c r="L1593">
        <v>83</v>
      </c>
      <c r="M1593" t="s">
        <v>72</v>
      </c>
      <c r="N1593">
        <v>168</v>
      </c>
      <c r="O1593">
        <v>83</v>
      </c>
      <c r="P1593" t="s">
        <v>72</v>
      </c>
      <c r="Q1593" t="s">
        <v>72</v>
      </c>
      <c r="R1593">
        <v>55.3</v>
      </c>
      <c r="S1593">
        <v>145</v>
      </c>
      <c r="T1593" s="8">
        <f t="shared" si="51"/>
        <v>26.302021403091558</v>
      </c>
      <c r="U1593" s="13" t="str" cm="1">
        <f t="array" ref="U1593">IF(T1593="","",_xlfn.IFS(T1593&lt;18.5,"Bajo peso",T1593&lt;25,"Peso normal",T1593&lt;30,"Sobrepeso",T1593&lt;35,"Obesidad clase I",T1593&lt;40,"Obesidad clase II",T1593&gt;=40,"Obesidad clase III"))</f>
        <v>Sobrepeso</v>
      </c>
      <c r="V1593">
        <v>114</v>
      </c>
      <c r="X1593" t="s">
        <v>3463</v>
      </c>
      <c r="Y1593">
        <v>1.0900000000000001</v>
      </c>
      <c r="AA1593">
        <v>53</v>
      </c>
      <c r="AB1593" s="9">
        <f t="shared" si="50"/>
        <v>52.649970295569496</v>
      </c>
      <c r="AD1593" t="s">
        <v>158</v>
      </c>
      <c r="AF1593" t="s">
        <v>158</v>
      </c>
      <c r="AH1593" t="s">
        <v>3463</v>
      </c>
      <c r="AI1593" t="s">
        <v>3465</v>
      </c>
      <c r="AJ1593" t="s">
        <v>3463</v>
      </c>
      <c r="AK1593" t="s">
        <v>3463</v>
      </c>
      <c r="AL1593" t="s">
        <v>3465</v>
      </c>
      <c r="AM1593" t="s">
        <v>1273</v>
      </c>
      <c r="AN1593" t="s">
        <v>3716</v>
      </c>
      <c r="AP1593" t="s">
        <v>3463</v>
      </c>
      <c r="AS1593" t="s">
        <v>3465</v>
      </c>
      <c r="AT1593" t="s">
        <v>3463</v>
      </c>
      <c r="AV1593" t="s">
        <v>74</v>
      </c>
      <c r="AW1593" t="s">
        <v>3915</v>
      </c>
      <c r="AX1593" t="s">
        <v>3463</v>
      </c>
      <c r="AY1593" t="s">
        <v>3463</v>
      </c>
      <c r="BE1593" t="s">
        <v>3326</v>
      </c>
      <c r="BF1593" t="s">
        <v>372</v>
      </c>
      <c r="BH1593" t="s">
        <v>4020</v>
      </c>
      <c r="BP1593" t="s">
        <v>4260</v>
      </c>
      <c r="BQ1593" t="s">
        <v>3463</v>
      </c>
      <c r="BR1593" t="s">
        <v>3463</v>
      </c>
      <c r="BS1593" t="s">
        <v>3463</v>
      </c>
      <c r="BT1593" t="s">
        <v>3463</v>
      </c>
      <c r="BU1593" t="s">
        <v>3463</v>
      </c>
      <c r="BV1593" t="s">
        <v>3463</v>
      </c>
      <c r="BW1593" t="s">
        <v>3463</v>
      </c>
      <c r="BX1593" t="s">
        <v>79</v>
      </c>
      <c r="BY1593" t="s">
        <v>79</v>
      </c>
      <c r="BZ1593" t="s">
        <v>79</v>
      </c>
      <c r="CA1593" s="10">
        <v>45913</v>
      </c>
    </row>
    <row r="1594" spans="1:79">
      <c r="A1594">
        <v>1607</v>
      </c>
      <c r="B1594">
        <v>238</v>
      </c>
      <c r="C1594">
        <v>51</v>
      </c>
      <c r="D1594" t="s">
        <v>3462</v>
      </c>
      <c r="E1594" t="s">
        <v>1804</v>
      </c>
      <c r="F1594" t="s">
        <v>1804</v>
      </c>
      <c r="G1594" s="12" t="s">
        <v>3465</v>
      </c>
      <c r="H1594" t="s">
        <v>88</v>
      </c>
      <c r="I1594">
        <v>85</v>
      </c>
      <c r="J1594">
        <v>83</v>
      </c>
      <c r="K1594">
        <v>150</v>
      </c>
      <c r="L1594">
        <v>95</v>
      </c>
      <c r="M1594" t="s">
        <v>72</v>
      </c>
      <c r="N1594">
        <v>139</v>
      </c>
      <c r="O1594">
        <v>93</v>
      </c>
      <c r="P1594" t="s">
        <v>72</v>
      </c>
      <c r="Q1594" t="s">
        <v>72</v>
      </c>
      <c r="R1594">
        <v>90.3</v>
      </c>
      <c r="S1594">
        <v>164</v>
      </c>
      <c r="T1594" s="8">
        <f t="shared" si="51"/>
        <v>33.573765615704936</v>
      </c>
      <c r="U1594" s="13" t="str" cm="1">
        <f t="array" ref="U1594">IF(T1594="","",_xlfn.IFS(T1594&lt;18.5,"Bajo peso",T1594&lt;25,"Peso normal",T1594&lt;30,"Sobrepeso",T1594&lt;35,"Obesidad clase I",T1594&lt;40,"Obesidad clase II",T1594&gt;=40,"Obesidad clase III"))</f>
        <v>Obesidad clase I</v>
      </c>
      <c r="V1594">
        <v>90</v>
      </c>
      <c r="X1594" t="s">
        <v>3463</v>
      </c>
      <c r="Y1594">
        <v>0.78</v>
      </c>
      <c r="AA1594">
        <v>108</v>
      </c>
      <c r="AB1594" s="9">
        <f t="shared" si="50"/>
        <v>107.97062742757869</v>
      </c>
      <c r="AD1594" t="s">
        <v>73</v>
      </c>
      <c r="AF1594" t="s">
        <v>73</v>
      </c>
      <c r="AH1594" t="s">
        <v>3463</v>
      </c>
      <c r="AI1594" t="s">
        <v>3463</v>
      </c>
      <c r="AJ1594" t="s">
        <v>3463</v>
      </c>
      <c r="AK1594" t="s">
        <v>3463</v>
      </c>
      <c r="AL1594" t="s">
        <v>3465</v>
      </c>
      <c r="AM1594" t="s">
        <v>3327</v>
      </c>
      <c r="AN1594" t="s">
        <v>3909</v>
      </c>
      <c r="AP1594" t="s">
        <v>3463</v>
      </c>
      <c r="AV1594" t="s">
        <v>126</v>
      </c>
      <c r="AW1594" t="s">
        <v>126</v>
      </c>
      <c r="BE1594" t="s">
        <v>674</v>
      </c>
      <c r="BF1594" t="s">
        <v>674</v>
      </c>
      <c r="BH1594" t="s">
        <v>4021</v>
      </c>
      <c r="BI1594" t="s">
        <v>76</v>
      </c>
      <c r="BP1594" t="s">
        <v>4261</v>
      </c>
      <c r="BQ1594" t="s">
        <v>3463</v>
      </c>
      <c r="BR1594" t="s">
        <v>3463</v>
      </c>
      <c r="BS1594" t="s">
        <v>3463</v>
      </c>
      <c r="BT1594" t="s">
        <v>3463</v>
      </c>
      <c r="BU1594" t="s">
        <v>3463</v>
      </c>
      <c r="BX1594" t="s">
        <v>518</v>
      </c>
      <c r="BY1594" t="s">
        <v>79</v>
      </c>
      <c r="BZ1594" t="s">
        <v>79</v>
      </c>
      <c r="CA1594" s="10">
        <v>45913</v>
      </c>
    </row>
    <row r="1595" spans="1:79">
      <c r="A1595">
        <v>1608</v>
      </c>
      <c r="B1595">
        <v>239</v>
      </c>
      <c r="C1595">
        <v>60</v>
      </c>
      <c r="D1595" t="s">
        <v>3466</v>
      </c>
      <c r="F1595" t="s">
        <v>1804</v>
      </c>
      <c r="G1595" s="12" t="s">
        <v>3463</v>
      </c>
      <c r="I1595">
        <v>87</v>
      </c>
      <c r="K1595">
        <v>123</v>
      </c>
      <c r="L1595">
        <v>70</v>
      </c>
      <c r="M1595" t="s">
        <v>118</v>
      </c>
      <c r="P1595" t="s">
        <v>83</v>
      </c>
      <c r="Q1595" t="s">
        <v>118</v>
      </c>
      <c r="R1595">
        <v>69.5</v>
      </c>
      <c r="S1595">
        <v>150</v>
      </c>
      <c r="T1595" s="8">
        <f t="shared" si="51"/>
        <v>30.888888888888889</v>
      </c>
      <c r="U1595" s="13" t="str" cm="1">
        <f t="array" ref="U1595">IF(T1595="","",_xlfn.IFS(T1595&lt;18.5,"Bajo peso",T1595&lt;25,"Peso normal",T1595&lt;30,"Sobrepeso",T1595&lt;35,"Obesidad clase I",T1595&lt;40,"Obesidad clase II",T1595&gt;=40,"Obesidad clase III"))</f>
        <v>Obesidad clase I</v>
      </c>
      <c r="V1595">
        <v>104</v>
      </c>
      <c r="X1595" t="s">
        <v>3463</v>
      </c>
      <c r="Y1595">
        <v>0.59</v>
      </c>
      <c r="AA1595">
        <v>90</v>
      </c>
      <c r="AB1595" s="9">
        <f t="shared" si="50"/>
        <v>103.11021544385669</v>
      </c>
      <c r="AD1595" t="s">
        <v>73</v>
      </c>
      <c r="AF1595" t="s">
        <v>73</v>
      </c>
      <c r="AH1595" t="s">
        <v>3463</v>
      </c>
      <c r="AI1595" t="s">
        <v>3465</v>
      </c>
      <c r="AJ1595" t="s">
        <v>3465</v>
      </c>
      <c r="AK1595" t="s">
        <v>3463</v>
      </c>
      <c r="AL1595" t="s">
        <v>3463</v>
      </c>
      <c r="AP1595" t="s">
        <v>3463</v>
      </c>
      <c r="AS1595" t="s">
        <v>3464</v>
      </c>
      <c r="AT1595" t="s">
        <v>3465</v>
      </c>
      <c r="AU1595" t="s">
        <v>80</v>
      </c>
      <c r="AV1595" t="s">
        <v>126</v>
      </c>
      <c r="AW1595" t="s">
        <v>126</v>
      </c>
      <c r="AX1595" t="s">
        <v>3463</v>
      </c>
      <c r="AY1595" t="s">
        <v>3465</v>
      </c>
      <c r="AZ1595" t="s">
        <v>247</v>
      </c>
      <c r="BF1595" t="s">
        <v>3921</v>
      </c>
      <c r="BH1595" t="s">
        <v>4020</v>
      </c>
      <c r="BP1595" t="s">
        <v>4260</v>
      </c>
      <c r="BQ1595" t="s">
        <v>3463</v>
      </c>
      <c r="BR1595" t="s">
        <v>3463</v>
      </c>
      <c r="BS1595" t="s">
        <v>3465</v>
      </c>
      <c r="BT1595" t="s">
        <v>3465</v>
      </c>
      <c r="BU1595" t="s">
        <v>3463</v>
      </c>
      <c r="BV1595" t="s">
        <v>3463</v>
      </c>
      <c r="BW1595" t="s">
        <v>3463</v>
      </c>
      <c r="BX1595" t="s">
        <v>79</v>
      </c>
      <c r="BY1595" t="s">
        <v>79</v>
      </c>
      <c r="BZ1595" t="s">
        <v>79</v>
      </c>
      <c r="CA1595" s="10">
        <v>45913</v>
      </c>
    </row>
    <row r="1596" spans="1:79">
      <c r="A1596">
        <v>1609</v>
      </c>
      <c r="B1596">
        <v>240</v>
      </c>
      <c r="C1596">
        <v>72</v>
      </c>
      <c r="D1596" t="s">
        <v>3462</v>
      </c>
      <c r="E1596" t="s">
        <v>3231</v>
      </c>
      <c r="F1596" t="s">
        <v>1804</v>
      </c>
      <c r="G1596" s="12" t="s">
        <v>3463</v>
      </c>
      <c r="I1596">
        <v>64</v>
      </c>
      <c r="J1596">
        <v>65</v>
      </c>
      <c r="K1596">
        <v>161</v>
      </c>
      <c r="L1596">
        <v>89</v>
      </c>
      <c r="M1596" t="s">
        <v>72</v>
      </c>
      <c r="N1596">
        <v>156</v>
      </c>
      <c r="O1596">
        <v>80</v>
      </c>
      <c r="P1596" t="s">
        <v>72</v>
      </c>
      <c r="Q1596" t="s">
        <v>72</v>
      </c>
      <c r="R1596">
        <v>52.5</v>
      </c>
      <c r="S1596">
        <v>156</v>
      </c>
      <c r="T1596" s="8">
        <f t="shared" si="51"/>
        <v>21.572978303747536</v>
      </c>
      <c r="U1596" s="13" t="str" cm="1">
        <f t="array" ref="U1596">IF(T1596="","",_xlfn.IFS(T1596&lt;18.5,"Bajo peso",T1596&lt;25,"Peso normal",T1596&lt;30,"Sobrepeso",T1596&lt;35,"Obesidad clase I",T1596&lt;40,"Obesidad clase II",T1596&gt;=40,"Obesidad clase III"))</f>
        <v>Peso normal</v>
      </c>
      <c r="V1596">
        <v>104</v>
      </c>
      <c r="X1596" t="s">
        <v>3463</v>
      </c>
      <c r="Y1596">
        <v>0.74</v>
      </c>
      <c r="AA1596">
        <v>90</v>
      </c>
      <c r="AB1596" s="9">
        <f t="shared" si="50"/>
        <v>96.269575402241173</v>
      </c>
      <c r="AD1596" t="s">
        <v>73</v>
      </c>
      <c r="AF1596" t="s">
        <v>73</v>
      </c>
      <c r="AH1596" t="s">
        <v>3463</v>
      </c>
      <c r="AI1596" t="s">
        <v>3465</v>
      </c>
      <c r="AJ1596" t="s">
        <v>3463</v>
      </c>
      <c r="AK1596" t="s">
        <v>3463</v>
      </c>
      <c r="AL1596" t="s">
        <v>3463</v>
      </c>
      <c r="AP1596" t="s">
        <v>3463</v>
      </c>
      <c r="AS1596" t="s">
        <v>3465</v>
      </c>
      <c r="AV1596" t="s">
        <v>74</v>
      </c>
      <c r="AW1596" t="s">
        <v>3915</v>
      </c>
      <c r="BF1596" t="s">
        <v>3921</v>
      </c>
      <c r="BH1596" t="s">
        <v>4020</v>
      </c>
      <c r="BP1596" t="s">
        <v>4260</v>
      </c>
      <c r="BQ1596" t="s">
        <v>3463</v>
      </c>
      <c r="BR1596" t="s">
        <v>3463</v>
      </c>
      <c r="BS1596" t="s">
        <v>3463</v>
      </c>
      <c r="BT1596" t="s">
        <v>3463</v>
      </c>
      <c r="BU1596" t="s">
        <v>3463</v>
      </c>
      <c r="BV1596" t="s">
        <v>3463</v>
      </c>
      <c r="BW1596" t="s">
        <v>3463</v>
      </c>
      <c r="BX1596" t="s">
        <v>79</v>
      </c>
      <c r="BY1596" t="s">
        <v>79</v>
      </c>
      <c r="BZ1596" t="s">
        <v>79</v>
      </c>
      <c r="CA1596" s="10">
        <v>45913</v>
      </c>
    </row>
    <row r="1597" spans="1:79">
      <c r="A1597">
        <v>1610</v>
      </c>
      <c r="B1597">
        <v>241</v>
      </c>
      <c r="C1597">
        <v>67</v>
      </c>
      <c r="D1597" t="s">
        <v>3466</v>
      </c>
      <c r="E1597" t="s">
        <v>3312</v>
      </c>
      <c r="F1597" t="s">
        <v>1804</v>
      </c>
      <c r="G1597" s="12" t="s">
        <v>3463</v>
      </c>
      <c r="I1597">
        <v>69</v>
      </c>
      <c r="J1597">
        <v>69</v>
      </c>
      <c r="K1597">
        <v>174</v>
      </c>
      <c r="L1597">
        <v>93</v>
      </c>
      <c r="M1597" t="s">
        <v>72</v>
      </c>
      <c r="N1597">
        <v>165</v>
      </c>
      <c r="O1597">
        <v>105</v>
      </c>
      <c r="P1597" t="s">
        <v>72</v>
      </c>
      <c r="Q1597" t="s">
        <v>72</v>
      </c>
      <c r="R1597">
        <v>64.3</v>
      </c>
      <c r="S1597">
        <v>147</v>
      </c>
      <c r="T1597" s="8">
        <f t="shared" si="51"/>
        <v>29.756120135128882</v>
      </c>
      <c r="U1597" s="13" t="str" cm="1">
        <f t="array" ref="U1597">IF(T1597="","",_xlfn.IFS(T1597&lt;18.5,"Bajo peso",T1597&lt;25,"Peso normal",T1597&lt;30,"Sobrepeso",T1597&lt;35,"Obesidad clase I",T1597&lt;40,"Obesidad clase II",T1597&gt;=40,"Obesidad clase III"))</f>
        <v>Sobrepeso</v>
      </c>
      <c r="V1597">
        <v>94</v>
      </c>
      <c r="X1597" t="s">
        <v>3463</v>
      </c>
      <c r="Y1597">
        <v>0.73</v>
      </c>
      <c r="AA1597">
        <v>90</v>
      </c>
      <c r="AB1597" s="9">
        <f t="shared" si="50"/>
        <v>90.080660975584635</v>
      </c>
      <c r="AD1597" t="s">
        <v>73</v>
      </c>
      <c r="AF1597" t="s">
        <v>73</v>
      </c>
      <c r="AH1597" t="s">
        <v>3463</v>
      </c>
      <c r="AI1597" t="s">
        <v>3463</v>
      </c>
      <c r="AJ1597" t="s">
        <v>3463</v>
      </c>
      <c r="AK1597" t="s">
        <v>3463</v>
      </c>
      <c r="AL1597" t="s">
        <v>3465</v>
      </c>
      <c r="AM1597" t="s">
        <v>3328</v>
      </c>
      <c r="AN1597" t="s">
        <v>3910</v>
      </c>
      <c r="AP1597" t="s">
        <v>3463</v>
      </c>
      <c r="AT1597" t="s">
        <v>3463</v>
      </c>
      <c r="AV1597" t="s">
        <v>74</v>
      </c>
      <c r="AW1597" t="s">
        <v>3915</v>
      </c>
      <c r="AX1597" t="s">
        <v>3463</v>
      </c>
      <c r="AY1597" t="s">
        <v>3463</v>
      </c>
      <c r="BF1597" t="s">
        <v>3921</v>
      </c>
      <c r="BH1597" t="s">
        <v>4020</v>
      </c>
      <c r="BP1597" t="s">
        <v>4260</v>
      </c>
      <c r="BQ1597" t="s">
        <v>3463</v>
      </c>
      <c r="BR1597" t="s">
        <v>3463</v>
      </c>
      <c r="BS1597" t="s">
        <v>3463</v>
      </c>
      <c r="BT1597" t="s">
        <v>3463</v>
      </c>
      <c r="BU1597" t="s">
        <v>3463</v>
      </c>
      <c r="BV1597" t="s">
        <v>3463</v>
      </c>
      <c r="BW1597" t="s">
        <v>3463</v>
      </c>
      <c r="BX1597" t="s">
        <v>518</v>
      </c>
      <c r="BY1597" t="s">
        <v>79</v>
      </c>
      <c r="BZ1597" t="s">
        <v>79</v>
      </c>
      <c r="CA1597" s="10">
        <v>45913</v>
      </c>
    </row>
    <row r="1598" spans="1:79">
      <c r="A1598">
        <v>1611</v>
      </c>
      <c r="B1598">
        <v>242</v>
      </c>
      <c r="C1598">
        <v>37</v>
      </c>
      <c r="D1598" t="s">
        <v>3466</v>
      </c>
      <c r="E1598" t="s">
        <v>3329</v>
      </c>
      <c r="F1598" t="s">
        <v>1804</v>
      </c>
      <c r="G1598" s="12" t="s">
        <v>3463</v>
      </c>
      <c r="I1598">
        <v>72</v>
      </c>
      <c r="K1598">
        <v>120</v>
      </c>
      <c r="L1598">
        <v>63</v>
      </c>
      <c r="M1598" t="s">
        <v>118</v>
      </c>
      <c r="P1598" t="s">
        <v>83</v>
      </c>
      <c r="Q1598" t="s">
        <v>118</v>
      </c>
      <c r="R1598">
        <v>66.5</v>
      </c>
      <c r="S1598">
        <v>160</v>
      </c>
      <c r="T1598" s="8">
        <f t="shared" si="51"/>
        <v>25.9765625</v>
      </c>
      <c r="U1598" s="13" t="str" cm="1">
        <f t="array" ref="U1598">IF(T1598="","",_xlfn.IFS(T1598&lt;18.5,"Bajo peso",T1598&lt;25,"Peso normal",T1598&lt;30,"Sobrepeso",T1598&lt;35,"Obesidad clase I",T1598&lt;40,"Obesidad clase II",T1598&gt;=40,"Obesidad clase III"))</f>
        <v>Sobrepeso</v>
      </c>
      <c r="V1598">
        <v>132</v>
      </c>
      <c r="X1598" t="s">
        <v>3463</v>
      </c>
      <c r="Y1598">
        <v>1.02</v>
      </c>
      <c r="AA1598">
        <v>73</v>
      </c>
      <c r="AB1598" s="9">
        <f t="shared" si="50"/>
        <v>72.665625778529858</v>
      </c>
      <c r="AD1598" t="s">
        <v>73</v>
      </c>
      <c r="AF1598" t="s">
        <v>73</v>
      </c>
      <c r="AG1598" t="s">
        <v>3465</v>
      </c>
      <c r="AH1598" t="s">
        <v>3465</v>
      </c>
      <c r="AI1598" t="s">
        <v>3463</v>
      </c>
      <c r="AJ1598" t="s">
        <v>3465</v>
      </c>
      <c r="AK1598" t="s">
        <v>3463</v>
      </c>
      <c r="AL1598" t="s">
        <v>3463</v>
      </c>
      <c r="AP1598" t="s">
        <v>3463</v>
      </c>
      <c r="AQ1598" t="s">
        <v>3330</v>
      </c>
      <c r="AR1598" t="s">
        <v>3512</v>
      </c>
      <c r="AV1598" t="s">
        <v>74</v>
      </c>
      <c r="AW1598" t="s">
        <v>3915</v>
      </c>
      <c r="AX1598" t="s">
        <v>3463</v>
      </c>
      <c r="AY1598" t="s">
        <v>3465</v>
      </c>
      <c r="AZ1598" t="s">
        <v>104</v>
      </c>
      <c r="BF1598" t="s">
        <v>3921</v>
      </c>
      <c r="BH1598" t="s">
        <v>4020</v>
      </c>
      <c r="BP1598" t="s">
        <v>4260</v>
      </c>
      <c r="BQ1598" t="s">
        <v>3463</v>
      </c>
      <c r="BR1598" t="s">
        <v>3463</v>
      </c>
      <c r="BS1598" t="s">
        <v>3465</v>
      </c>
      <c r="BT1598" t="s">
        <v>3465</v>
      </c>
      <c r="BU1598" t="s">
        <v>3463</v>
      </c>
      <c r="BV1598" t="s">
        <v>3463</v>
      </c>
      <c r="BW1598" t="s">
        <v>3463</v>
      </c>
      <c r="BX1598" t="s">
        <v>79</v>
      </c>
      <c r="BY1598" t="s">
        <v>79</v>
      </c>
      <c r="BZ1598" t="s">
        <v>79</v>
      </c>
      <c r="CA1598" s="10">
        <v>45913</v>
      </c>
    </row>
    <row r="1599" spans="1:79">
      <c r="A1599">
        <v>1612</v>
      </c>
      <c r="B1599">
        <v>243</v>
      </c>
      <c r="C1599">
        <v>72</v>
      </c>
      <c r="D1599" t="s">
        <v>3462</v>
      </c>
      <c r="E1599" t="s">
        <v>1804</v>
      </c>
      <c r="F1599" t="s">
        <v>1804</v>
      </c>
      <c r="G1599" s="12" t="s">
        <v>3463</v>
      </c>
      <c r="I1599">
        <v>64</v>
      </c>
      <c r="J1599">
        <v>69</v>
      </c>
      <c r="K1599">
        <v>141</v>
      </c>
      <c r="L1599">
        <v>77</v>
      </c>
      <c r="M1599" t="s">
        <v>72</v>
      </c>
      <c r="N1599">
        <v>138</v>
      </c>
      <c r="O1599">
        <v>79</v>
      </c>
      <c r="P1599" t="s">
        <v>82</v>
      </c>
      <c r="Q1599" t="s">
        <v>82</v>
      </c>
      <c r="R1599">
        <v>86.6</v>
      </c>
      <c r="S1599">
        <v>159</v>
      </c>
      <c r="T1599" s="8">
        <f t="shared" si="51"/>
        <v>34.254974091214748</v>
      </c>
      <c r="U1599" s="13" t="str" cm="1">
        <f t="array" ref="U1599">IF(T1599="","",_xlfn.IFS(T1599&lt;18.5,"Bajo peso",T1599&lt;25,"Peso normal",T1599&lt;30,"Sobrepeso",T1599&lt;35,"Obesidad clase I",T1599&lt;40,"Obesidad clase II",T1599&gt;=40,"Obesidad clase III"))</f>
        <v>Obesidad clase I</v>
      </c>
      <c r="V1599">
        <v>122</v>
      </c>
      <c r="X1599" t="s">
        <v>3463</v>
      </c>
      <c r="Y1599">
        <v>0.61</v>
      </c>
      <c r="AA1599">
        <v>90</v>
      </c>
      <c r="AB1599" s="9">
        <f t="shared" si="50"/>
        <v>102.0533876266712</v>
      </c>
      <c r="AD1599" t="s">
        <v>73</v>
      </c>
      <c r="AF1599" t="s">
        <v>73</v>
      </c>
      <c r="AH1599" t="s">
        <v>3463</v>
      </c>
      <c r="AI1599" t="s">
        <v>3465</v>
      </c>
      <c r="AJ1599" t="s">
        <v>3463</v>
      </c>
      <c r="AK1599" t="s">
        <v>3463</v>
      </c>
      <c r="AL1599" t="s">
        <v>3465</v>
      </c>
      <c r="AM1599" t="s">
        <v>941</v>
      </c>
      <c r="AN1599" t="s">
        <v>3617</v>
      </c>
      <c r="AP1599" t="s">
        <v>3464</v>
      </c>
      <c r="AS1599" t="s">
        <v>3465</v>
      </c>
      <c r="AV1599" t="s">
        <v>112</v>
      </c>
      <c r="AW1599" t="s">
        <v>3917</v>
      </c>
      <c r="BF1599" t="s">
        <v>3921</v>
      </c>
      <c r="BH1599" t="s">
        <v>4020</v>
      </c>
      <c r="BP1599" t="s">
        <v>4260</v>
      </c>
      <c r="BQ1599" t="s">
        <v>3463</v>
      </c>
      <c r="BR1599" t="s">
        <v>3463</v>
      </c>
      <c r="BS1599" t="s">
        <v>3463</v>
      </c>
      <c r="BT1599" t="s">
        <v>3463</v>
      </c>
      <c r="BU1599" t="s">
        <v>3463</v>
      </c>
      <c r="BX1599" t="s">
        <v>79</v>
      </c>
      <c r="BY1599" t="s">
        <v>79</v>
      </c>
      <c r="BZ1599" t="s">
        <v>79</v>
      </c>
      <c r="CA1599" s="10">
        <v>45913</v>
      </c>
    </row>
    <row r="1600" spans="1:79">
      <c r="A1600">
        <v>1613</v>
      </c>
      <c r="B1600">
        <v>244</v>
      </c>
      <c r="C1600">
        <v>56</v>
      </c>
      <c r="D1600" t="s">
        <v>3466</v>
      </c>
      <c r="E1600" t="s">
        <v>2993</v>
      </c>
      <c r="F1600" t="s">
        <v>1804</v>
      </c>
      <c r="G1600" s="12" t="s">
        <v>3463</v>
      </c>
      <c r="I1600">
        <v>69</v>
      </c>
      <c r="K1600">
        <v>120</v>
      </c>
      <c r="L1600">
        <v>86</v>
      </c>
      <c r="M1600" t="s">
        <v>82</v>
      </c>
      <c r="P1600" t="s">
        <v>83</v>
      </c>
      <c r="Q1600" t="s">
        <v>82</v>
      </c>
      <c r="R1600">
        <v>119.4</v>
      </c>
      <c r="S1600">
        <v>160</v>
      </c>
      <c r="T1600" s="8">
        <f t="shared" si="51"/>
        <v>46.640625</v>
      </c>
      <c r="U1600" s="13" t="str" cm="1">
        <f t="array" ref="U1600">IF(T1600="","",_xlfn.IFS(T1600&lt;18.5,"Bajo peso",T1600&lt;25,"Peso normal",T1600&lt;30,"Sobrepeso",T1600&lt;35,"Obesidad clase I",T1600&lt;40,"Obesidad clase II",T1600&gt;=40,"Obesidad clase III"))</f>
        <v>Obesidad clase III</v>
      </c>
      <c r="V1600">
        <v>96</v>
      </c>
      <c r="X1600" t="s">
        <v>3463</v>
      </c>
      <c r="Y1600">
        <v>0.74</v>
      </c>
      <c r="AA1600">
        <v>90</v>
      </c>
      <c r="AB1600" s="9">
        <f t="shared" si="50"/>
        <v>94.896897948637687</v>
      </c>
      <c r="AD1600" t="s">
        <v>73</v>
      </c>
      <c r="AF1600" t="s">
        <v>73</v>
      </c>
      <c r="AH1600" t="s">
        <v>3463</v>
      </c>
      <c r="AI1600" t="s">
        <v>3465</v>
      </c>
      <c r="AJ1600" t="s">
        <v>3464</v>
      </c>
      <c r="AK1600" t="s">
        <v>3464</v>
      </c>
      <c r="AL1600" t="s">
        <v>3465</v>
      </c>
      <c r="AM1600" t="s">
        <v>110</v>
      </c>
      <c r="AN1600" t="s">
        <v>110</v>
      </c>
      <c r="AP1600" t="s">
        <v>3463</v>
      </c>
      <c r="AQ1600" t="s">
        <v>3331</v>
      </c>
      <c r="AR1600" t="s">
        <v>3508</v>
      </c>
      <c r="AS1600" t="s">
        <v>3465</v>
      </c>
      <c r="AT1600" t="s">
        <v>3465</v>
      </c>
      <c r="AU1600" t="s">
        <v>125</v>
      </c>
      <c r="AV1600" t="s">
        <v>112</v>
      </c>
      <c r="AW1600" t="s">
        <v>3917</v>
      </c>
      <c r="AX1600" t="s">
        <v>3463</v>
      </c>
      <c r="AY1600" t="s">
        <v>3465</v>
      </c>
      <c r="AZ1600" t="s">
        <v>718</v>
      </c>
      <c r="BF1600" t="s">
        <v>3921</v>
      </c>
      <c r="BH1600" t="s">
        <v>4020</v>
      </c>
      <c r="BP1600" t="s">
        <v>4260</v>
      </c>
      <c r="BQ1600" t="s">
        <v>3463</v>
      </c>
      <c r="BR1600" t="s">
        <v>3463</v>
      </c>
      <c r="BS1600" t="s">
        <v>3465</v>
      </c>
      <c r="BT1600" t="s">
        <v>3465</v>
      </c>
      <c r="BU1600" t="s">
        <v>3463</v>
      </c>
      <c r="BV1600" t="s">
        <v>3463</v>
      </c>
      <c r="BW1600" t="s">
        <v>3463</v>
      </c>
      <c r="BX1600" t="s">
        <v>79</v>
      </c>
      <c r="BY1600" t="s">
        <v>79</v>
      </c>
      <c r="BZ1600" t="s">
        <v>79</v>
      </c>
      <c r="CA1600" s="10">
        <v>45913</v>
      </c>
    </row>
    <row r="1601" spans="1:79">
      <c r="A1601">
        <v>1614</v>
      </c>
      <c r="B1601">
        <v>245</v>
      </c>
      <c r="C1601">
        <v>57</v>
      </c>
      <c r="D1601" t="s">
        <v>3466</v>
      </c>
      <c r="E1601" t="s">
        <v>3332</v>
      </c>
      <c r="F1601" t="s">
        <v>1804</v>
      </c>
      <c r="G1601" s="12" t="s">
        <v>3463</v>
      </c>
      <c r="I1601">
        <v>81</v>
      </c>
      <c r="K1601">
        <v>133</v>
      </c>
      <c r="L1601">
        <v>82</v>
      </c>
      <c r="M1601" t="s">
        <v>82</v>
      </c>
      <c r="P1601" t="s">
        <v>83</v>
      </c>
      <c r="Q1601" t="s">
        <v>82</v>
      </c>
      <c r="R1601">
        <v>80.2</v>
      </c>
      <c r="S1601">
        <v>156.5</v>
      </c>
      <c r="T1601" s="8">
        <f t="shared" si="51"/>
        <v>32.745052006246873</v>
      </c>
      <c r="U1601" s="13" t="str" cm="1">
        <f t="array" ref="U1601">IF(T1601="","",_xlfn.IFS(T1601&lt;18.5,"Bajo peso",T1601&lt;25,"Peso normal",T1601&lt;30,"Sobrepeso",T1601&lt;35,"Obesidad clase I",T1601&lt;40,"Obesidad clase II",T1601&gt;=40,"Obesidad clase III"))</f>
        <v>Obesidad clase I</v>
      </c>
      <c r="V1601">
        <v>202</v>
      </c>
      <c r="X1601" t="s">
        <v>3465</v>
      </c>
      <c r="Y1601">
        <v>0.87</v>
      </c>
      <c r="AA1601">
        <v>78</v>
      </c>
      <c r="AB1601" s="9">
        <f t="shared" si="50"/>
        <v>77.661534797590804</v>
      </c>
      <c r="AD1601" t="s">
        <v>73</v>
      </c>
      <c r="AF1601" t="s">
        <v>73</v>
      </c>
      <c r="AH1601" t="s">
        <v>3463</v>
      </c>
      <c r="AI1601" t="s">
        <v>3463</v>
      </c>
      <c r="AJ1601" t="s">
        <v>3463</v>
      </c>
      <c r="AK1601" t="s">
        <v>3463</v>
      </c>
      <c r="AL1601" t="s">
        <v>3463</v>
      </c>
      <c r="AO1601" t="s">
        <v>3465</v>
      </c>
      <c r="AP1601" t="s">
        <v>3465</v>
      </c>
      <c r="AT1601" t="s">
        <v>3465</v>
      </c>
      <c r="AU1601" t="s">
        <v>80</v>
      </c>
      <c r="AV1601" t="s">
        <v>74</v>
      </c>
      <c r="AW1601" t="s">
        <v>3915</v>
      </c>
      <c r="AX1601" t="s">
        <v>3465</v>
      </c>
      <c r="AY1601" t="s">
        <v>3463</v>
      </c>
      <c r="BE1601" t="s">
        <v>372</v>
      </c>
      <c r="BF1601" t="s">
        <v>372</v>
      </c>
      <c r="BH1601" t="s">
        <v>4029</v>
      </c>
      <c r="BI1601" t="s">
        <v>86</v>
      </c>
      <c r="BP1601" t="s">
        <v>4391</v>
      </c>
      <c r="BQ1601" t="s">
        <v>3463</v>
      </c>
      <c r="BR1601" t="s">
        <v>3463</v>
      </c>
      <c r="BS1601" t="s">
        <v>3463</v>
      </c>
      <c r="BT1601" t="s">
        <v>3463</v>
      </c>
      <c r="BU1601" t="s">
        <v>3463</v>
      </c>
      <c r="BX1601" t="s">
        <v>79</v>
      </c>
      <c r="BY1601" t="s">
        <v>79</v>
      </c>
      <c r="BZ1601" t="s">
        <v>79</v>
      </c>
      <c r="CA1601" s="10">
        <v>45913</v>
      </c>
    </row>
    <row r="1602" spans="1:79">
      <c r="A1602">
        <v>1615</v>
      </c>
      <c r="B1602">
        <v>246</v>
      </c>
      <c r="C1602">
        <v>60</v>
      </c>
      <c r="D1602" t="s">
        <v>3466</v>
      </c>
      <c r="E1602" t="s">
        <v>3323</v>
      </c>
      <c r="F1602" t="s">
        <v>1804</v>
      </c>
      <c r="G1602" s="12" t="s">
        <v>3463</v>
      </c>
      <c r="H1602" s="12"/>
      <c r="I1602">
        <v>87</v>
      </c>
      <c r="J1602">
        <v>85</v>
      </c>
      <c r="K1602">
        <v>151</v>
      </c>
      <c r="L1602">
        <v>89</v>
      </c>
      <c r="M1602" t="s">
        <v>72</v>
      </c>
      <c r="N1602">
        <v>139</v>
      </c>
      <c r="O1602">
        <v>84</v>
      </c>
      <c r="P1602" t="s">
        <v>82</v>
      </c>
      <c r="Q1602" t="s">
        <v>82</v>
      </c>
      <c r="R1602">
        <v>106.7</v>
      </c>
      <c r="S1602">
        <v>155</v>
      </c>
      <c r="T1602" s="8">
        <f t="shared" si="51"/>
        <v>44.412070759625394</v>
      </c>
      <c r="U1602" s="13" t="str" cm="1">
        <f t="array" ref="U1602">IF(T1602="","",_xlfn.IFS(T1602&lt;18.5,"Bajo peso",T1602&lt;25,"Peso normal",T1602&lt;30,"Sobrepeso",T1602&lt;35,"Obesidad clase I",T1602&lt;40,"Obesidad clase II",T1602&gt;=40,"Obesidad clase III"))</f>
        <v>Obesidad clase III</v>
      </c>
      <c r="V1602">
        <v>104</v>
      </c>
      <c r="X1602" t="s">
        <v>3463</v>
      </c>
      <c r="Y1602">
        <v>0.81</v>
      </c>
      <c r="AA1602">
        <v>83</v>
      </c>
      <c r="AB1602" s="9">
        <f t="shared" si="50"/>
        <v>83.050839508899699</v>
      </c>
      <c r="AD1602" t="s">
        <v>73</v>
      </c>
      <c r="AF1602" t="s">
        <v>73</v>
      </c>
      <c r="AH1602" t="s">
        <v>3464</v>
      </c>
      <c r="AI1602" t="s">
        <v>3465</v>
      </c>
      <c r="AJ1602" t="s">
        <v>3463</v>
      </c>
      <c r="AK1602" t="s">
        <v>3463</v>
      </c>
      <c r="AL1602" t="s">
        <v>3463</v>
      </c>
      <c r="AP1602" t="s">
        <v>3463</v>
      </c>
      <c r="AQ1602" t="s">
        <v>120</v>
      </c>
      <c r="AR1602" t="s">
        <v>3491</v>
      </c>
      <c r="AS1602" t="s">
        <v>3465</v>
      </c>
      <c r="AT1602" t="s">
        <v>3465</v>
      </c>
      <c r="AU1602" t="s">
        <v>80</v>
      </c>
      <c r="AV1602" t="s">
        <v>112</v>
      </c>
      <c r="AW1602" t="s">
        <v>3917</v>
      </c>
      <c r="AX1602" t="s">
        <v>3463</v>
      </c>
      <c r="AY1602" t="s">
        <v>3465</v>
      </c>
      <c r="AZ1602" t="s">
        <v>90</v>
      </c>
      <c r="BF1602" t="s">
        <v>3921</v>
      </c>
      <c r="BH1602" t="s">
        <v>4020</v>
      </c>
      <c r="BP1602" t="s">
        <v>4260</v>
      </c>
      <c r="BQ1602" t="s">
        <v>3463</v>
      </c>
      <c r="BR1602" t="s">
        <v>3463</v>
      </c>
      <c r="BS1602" t="s">
        <v>3463</v>
      </c>
      <c r="BT1602" t="s">
        <v>3465</v>
      </c>
      <c r="BU1602" t="s">
        <v>3463</v>
      </c>
      <c r="BV1602" t="s">
        <v>3463</v>
      </c>
      <c r="BW1602" t="s">
        <v>3463</v>
      </c>
      <c r="BX1602" t="s">
        <v>518</v>
      </c>
      <c r="BY1602" t="s">
        <v>79</v>
      </c>
      <c r="BZ1602" t="s">
        <v>79</v>
      </c>
      <c r="CA1602" s="10">
        <v>45913</v>
      </c>
    </row>
    <row r="1603" spans="1:79">
      <c r="A1603">
        <v>1616</v>
      </c>
      <c r="B1603">
        <v>247</v>
      </c>
      <c r="C1603">
        <v>33</v>
      </c>
      <c r="D1603" t="s">
        <v>3462</v>
      </c>
      <c r="E1603" t="s">
        <v>2952</v>
      </c>
      <c r="F1603" t="s">
        <v>1804</v>
      </c>
      <c r="G1603" s="12" t="s">
        <v>3463</v>
      </c>
      <c r="I1603">
        <v>70</v>
      </c>
      <c r="K1603">
        <v>129</v>
      </c>
      <c r="L1603">
        <v>78</v>
      </c>
      <c r="M1603" t="s">
        <v>118</v>
      </c>
      <c r="P1603" t="s">
        <v>83</v>
      </c>
      <c r="Q1603" t="s">
        <v>118</v>
      </c>
      <c r="R1603">
        <v>89.2</v>
      </c>
      <c r="S1603">
        <v>175</v>
      </c>
      <c r="T1603" s="8">
        <f t="shared" si="51"/>
        <v>29.126530612244899</v>
      </c>
      <c r="U1603" s="13" t="str" cm="1">
        <f t="array" ref="U1603">IF(T1603="","",_xlfn.IFS(T1603&lt;18.5,"Bajo peso",T1603&lt;25,"Peso normal",T1603&lt;30,"Sobrepeso",T1603&lt;35,"Obesidad clase I",T1603&lt;40,"Obesidad clase II",T1603&gt;=40,"Obesidad clase III"))</f>
        <v>Sobrepeso</v>
      </c>
      <c r="V1603">
        <v>102</v>
      </c>
      <c r="X1603" t="s">
        <v>3463</v>
      </c>
      <c r="Y1603">
        <v>0.83</v>
      </c>
      <c r="AA1603">
        <v>90</v>
      </c>
      <c r="AB1603" s="9">
        <f t="shared" si="50"/>
        <v>118.51538941537385</v>
      </c>
      <c r="AD1603" t="s">
        <v>73</v>
      </c>
      <c r="AF1603" t="s">
        <v>73</v>
      </c>
      <c r="AH1603" t="s">
        <v>3463</v>
      </c>
      <c r="AI1603" t="s">
        <v>3463</v>
      </c>
      <c r="AJ1603" t="s">
        <v>3463</v>
      </c>
      <c r="AK1603" t="s">
        <v>3463</v>
      </c>
      <c r="AL1603" t="s">
        <v>3463</v>
      </c>
      <c r="AO1603" t="s">
        <v>3465</v>
      </c>
      <c r="AP1603" t="s">
        <v>3465</v>
      </c>
      <c r="AQ1603" t="s">
        <v>3236</v>
      </c>
      <c r="AR1603" t="s">
        <v>3508</v>
      </c>
      <c r="AV1603" t="s">
        <v>74</v>
      </c>
      <c r="AW1603" t="s">
        <v>3915</v>
      </c>
      <c r="BF1603" t="s">
        <v>3921</v>
      </c>
      <c r="BH1603" t="s">
        <v>4020</v>
      </c>
      <c r="BP1603" t="s">
        <v>4260</v>
      </c>
      <c r="BQ1603" t="s">
        <v>3463</v>
      </c>
      <c r="BR1603" t="s">
        <v>3463</v>
      </c>
      <c r="BS1603" t="s">
        <v>3463</v>
      </c>
      <c r="BT1603" t="s">
        <v>3463</v>
      </c>
      <c r="BU1603" t="s">
        <v>3463</v>
      </c>
      <c r="BV1603" t="s">
        <v>3463</v>
      </c>
      <c r="BW1603" t="s">
        <v>3463</v>
      </c>
      <c r="BX1603" t="s">
        <v>79</v>
      </c>
      <c r="BY1603" t="s">
        <v>79</v>
      </c>
      <c r="BZ1603" t="s">
        <v>79</v>
      </c>
      <c r="CA1603" s="10">
        <v>45913</v>
      </c>
    </row>
    <row r="1604" spans="1:79">
      <c r="A1604">
        <v>1617</v>
      </c>
      <c r="B1604">
        <v>248</v>
      </c>
      <c r="C1604">
        <v>30</v>
      </c>
      <c r="D1604" t="s">
        <v>3466</v>
      </c>
      <c r="E1604" t="s">
        <v>3114</v>
      </c>
      <c r="F1604" t="s">
        <v>1804</v>
      </c>
      <c r="G1604" s="12" t="s">
        <v>3463</v>
      </c>
      <c r="H1604" s="12"/>
      <c r="I1604">
        <v>65</v>
      </c>
      <c r="K1604">
        <v>118</v>
      </c>
      <c r="L1604">
        <v>71</v>
      </c>
      <c r="M1604" t="s">
        <v>80</v>
      </c>
      <c r="P1604" t="s">
        <v>83</v>
      </c>
      <c r="Q1604" t="s">
        <v>80</v>
      </c>
      <c r="R1604">
        <v>68.2</v>
      </c>
      <c r="S1604">
        <v>160</v>
      </c>
      <c r="T1604" s="8">
        <f t="shared" si="51"/>
        <v>26.640625000000004</v>
      </c>
      <c r="U1604" s="13" t="str" cm="1">
        <f t="array" ref="U1604">IF(T1604="","",_xlfn.IFS(T1604&lt;18.5,"Bajo peso",T1604&lt;25,"Peso normal",T1604&lt;30,"Sobrepeso",T1604&lt;35,"Obesidad clase I",T1604&lt;40,"Obesidad clase II",T1604&gt;=40,"Obesidad clase III"))</f>
        <v>Sobrepeso</v>
      </c>
      <c r="V1604">
        <v>96</v>
      </c>
      <c r="X1604" t="s">
        <v>3463</v>
      </c>
      <c r="Y1604">
        <v>0.86</v>
      </c>
      <c r="AA1604">
        <v>90</v>
      </c>
      <c r="AB1604" s="9">
        <f t="shared" si="50"/>
        <v>93.14469730368107</v>
      </c>
      <c r="AD1604" t="s">
        <v>73</v>
      </c>
      <c r="AF1604" t="s">
        <v>73</v>
      </c>
      <c r="AH1604" t="s">
        <v>3463</v>
      </c>
      <c r="AI1604" t="s">
        <v>3463</v>
      </c>
      <c r="AJ1604" t="s">
        <v>3463</v>
      </c>
      <c r="AK1604" t="s">
        <v>3463</v>
      </c>
      <c r="AL1604" t="s">
        <v>3463</v>
      </c>
      <c r="AP1604" t="s">
        <v>3463</v>
      </c>
      <c r="AQ1604" t="s">
        <v>889</v>
      </c>
      <c r="AR1604" t="s">
        <v>3488</v>
      </c>
      <c r="AT1604" t="s">
        <v>3463</v>
      </c>
      <c r="AV1604" t="s">
        <v>126</v>
      </c>
      <c r="AW1604" t="s">
        <v>126</v>
      </c>
      <c r="AX1604" t="s">
        <v>3463</v>
      </c>
      <c r="AY1604" t="s">
        <v>3463</v>
      </c>
      <c r="AZ1604" t="s">
        <v>137</v>
      </c>
      <c r="BF1604" t="s">
        <v>3921</v>
      </c>
      <c r="BH1604" t="s">
        <v>4020</v>
      </c>
      <c r="BP1604" t="s">
        <v>4260</v>
      </c>
      <c r="BQ1604" t="s">
        <v>3463</v>
      </c>
      <c r="BR1604" t="s">
        <v>3465</v>
      </c>
      <c r="BS1604" t="s">
        <v>3463</v>
      </c>
      <c r="BT1604" t="s">
        <v>3465</v>
      </c>
      <c r="BU1604" t="s">
        <v>3463</v>
      </c>
      <c r="BV1604" t="s">
        <v>3463</v>
      </c>
      <c r="BW1604" t="s">
        <v>3463</v>
      </c>
      <c r="BX1604" t="s">
        <v>79</v>
      </c>
      <c r="BY1604" t="s">
        <v>79</v>
      </c>
      <c r="BZ1604" t="s">
        <v>79</v>
      </c>
      <c r="CA1604" s="10">
        <v>45913</v>
      </c>
    </row>
    <row r="1605" spans="1:79">
      <c r="A1605">
        <v>1618</v>
      </c>
      <c r="B1605">
        <v>249</v>
      </c>
      <c r="C1605">
        <v>46</v>
      </c>
      <c r="D1605" t="s">
        <v>3462</v>
      </c>
      <c r="E1605" t="s">
        <v>1804</v>
      </c>
      <c r="F1605" t="s">
        <v>1804</v>
      </c>
      <c r="G1605" s="12" t="s">
        <v>3465</v>
      </c>
      <c r="H1605" t="s">
        <v>88</v>
      </c>
      <c r="I1605">
        <v>67</v>
      </c>
      <c r="K1605">
        <v>126</v>
      </c>
      <c r="L1605">
        <v>70</v>
      </c>
      <c r="M1605" t="s">
        <v>118</v>
      </c>
      <c r="P1605" t="s">
        <v>83</v>
      </c>
      <c r="Q1605" t="s">
        <v>118</v>
      </c>
      <c r="R1605">
        <v>88.6</v>
      </c>
      <c r="S1605">
        <v>170</v>
      </c>
      <c r="T1605" s="8">
        <f t="shared" si="51"/>
        <v>30.65743944636678</v>
      </c>
      <c r="U1605" s="13" t="str" cm="1">
        <f t="array" ref="U1605">IF(T1605="","",_xlfn.IFS(T1605&lt;18.5,"Bajo peso",T1605&lt;25,"Peso normal",T1605&lt;30,"Sobrepeso",T1605&lt;35,"Obesidad clase I",T1605&lt;40,"Obesidad clase II",T1605&gt;=40,"Obesidad clase III"))</f>
        <v>Obesidad clase I</v>
      </c>
      <c r="V1605">
        <v>98</v>
      </c>
      <c r="X1605" t="s">
        <v>3463</v>
      </c>
      <c r="Y1605">
        <v>0.9</v>
      </c>
      <c r="AA1605">
        <v>90</v>
      </c>
      <c r="AB1605" s="9">
        <f t="shared" si="50"/>
        <v>106.66992634691785</v>
      </c>
      <c r="AD1605" t="s">
        <v>73</v>
      </c>
      <c r="AF1605" t="s">
        <v>73</v>
      </c>
      <c r="AH1605" t="s">
        <v>3463</v>
      </c>
      <c r="AI1605" t="s">
        <v>3463</v>
      </c>
      <c r="AJ1605" t="s">
        <v>3463</v>
      </c>
      <c r="AK1605" t="s">
        <v>3463</v>
      </c>
      <c r="AL1605" t="s">
        <v>3463</v>
      </c>
      <c r="AP1605" t="s">
        <v>3463</v>
      </c>
      <c r="AQ1605" t="s">
        <v>120</v>
      </c>
      <c r="AR1605" t="s">
        <v>3491</v>
      </c>
      <c r="AV1605" t="s">
        <v>74</v>
      </c>
      <c r="AW1605" t="s">
        <v>3915</v>
      </c>
      <c r="BF1605" t="s">
        <v>3921</v>
      </c>
      <c r="BH1605" t="s">
        <v>4020</v>
      </c>
      <c r="BP1605" t="s">
        <v>4260</v>
      </c>
      <c r="BQ1605" t="s">
        <v>3463</v>
      </c>
      <c r="BR1605" t="s">
        <v>3465</v>
      </c>
      <c r="BS1605" t="s">
        <v>3463</v>
      </c>
      <c r="BT1605" t="s">
        <v>3463</v>
      </c>
      <c r="BU1605" t="s">
        <v>3463</v>
      </c>
      <c r="BX1605" t="s">
        <v>79</v>
      </c>
      <c r="BY1605" t="s">
        <v>79</v>
      </c>
      <c r="BZ1605" t="s">
        <v>79</v>
      </c>
      <c r="CA1605" s="10">
        <v>45913</v>
      </c>
    </row>
    <row r="1606" spans="1:79">
      <c r="A1606">
        <v>1619</v>
      </c>
      <c r="B1606">
        <v>250</v>
      </c>
      <c r="C1606">
        <v>41</v>
      </c>
      <c r="D1606" t="s">
        <v>3466</v>
      </c>
      <c r="E1606" t="s">
        <v>3333</v>
      </c>
      <c r="F1606" t="s">
        <v>1804</v>
      </c>
      <c r="G1606" s="12" t="s">
        <v>3465</v>
      </c>
      <c r="H1606" s="12" t="s">
        <v>88</v>
      </c>
      <c r="I1606">
        <v>80</v>
      </c>
      <c r="K1606">
        <v>134</v>
      </c>
      <c r="L1606">
        <v>86</v>
      </c>
      <c r="M1606" t="s">
        <v>82</v>
      </c>
      <c r="P1606" t="s">
        <v>83</v>
      </c>
      <c r="Q1606" t="s">
        <v>82</v>
      </c>
      <c r="R1606">
        <v>81</v>
      </c>
      <c r="S1606">
        <v>167</v>
      </c>
      <c r="T1606" s="8">
        <f t="shared" si="51"/>
        <v>29.043708989207214</v>
      </c>
      <c r="U1606" s="13" t="str" cm="1">
        <f t="array" ref="U1606">IF(T1606="","",_xlfn.IFS(T1606&lt;18.5,"Bajo peso",T1606&lt;25,"Peso normal",T1606&lt;30,"Sobrepeso",T1606&lt;35,"Obesidad clase I",T1606&lt;40,"Obesidad clase II",T1606&gt;=40,"Obesidad clase III"))</f>
        <v>Sobrepeso</v>
      </c>
      <c r="V1606">
        <v>85</v>
      </c>
      <c r="X1606" t="s">
        <v>3463</v>
      </c>
      <c r="Y1606">
        <v>0.57999999999999996</v>
      </c>
      <c r="AA1606">
        <v>90</v>
      </c>
      <c r="AB1606" s="9">
        <f t="shared" si="50"/>
        <v>116.52256251235389</v>
      </c>
      <c r="AD1606" t="s">
        <v>73</v>
      </c>
      <c r="AF1606" t="s">
        <v>73</v>
      </c>
      <c r="AH1606" t="s">
        <v>3463</v>
      </c>
      <c r="AI1606" t="s">
        <v>3465</v>
      </c>
      <c r="AJ1606" t="s">
        <v>3463</v>
      </c>
      <c r="AK1606" t="s">
        <v>3465</v>
      </c>
      <c r="AL1606" t="s">
        <v>3463</v>
      </c>
      <c r="AP1606" t="s">
        <v>3463</v>
      </c>
      <c r="AQ1606" t="s">
        <v>120</v>
      </c>
      <c r="AR1606" t="s">
        <v>3491</v>
      </c>
      <c r="AS1606" t="s">
        <v>3465</v>
      </c>
      <c r="AT1606" t="s">
        <v>3463</v>
      </c>
      <c r="AV1606" t="s">
        <v>74</v>
      </c>
      <c r="AW1606" t="s">
        <v>3915</v>
      </c>
      <c r="AX1606" t="s">
        <v>3463</v>
      </c>
      <c r="AY1606" t="s">
        <v>3465</v>
      </c>
      <c r="AZ1606" t="s">
        <v>104</v>
      </c>
      <c r="BF1606" t="s">
        <v>3921</v>
      </c>
      <c r="BH1606" t="s">
        <v>4020</v>
      </c>
      <c r="BP1606" t="s">
        <v>4260</v>
      </c>
      <c r="BQ1606" t="s">
        <v>3463</v>
      </c>
      <c r="BR1606" t="s">
        <v>3463</v>
      </c>
      <c r="BS1606" t="s">
        <v>3463</v>
      </c>
      <c r="BT1606" t="s">
        <v>3463</v>
      </c>
      <c r="BU1606" t="s">
        <v>3463</v>
      </c>
      <c r="BV1606" t="s">
        <v>3463</v>
      </c>
      <c r="BW1606" t="s">
        <v>3463</v>
      </c>
      <c r="BX1606" t="s">
        <v>79</v>
      </c>
      <c r="BY1606" t="s">
        <v>79</v>
      </c>
      <c r="BZ1606" t="s">
        <v>79</v>
      </c>
      <c r="CA1606" s="10">
        <v>45913</v>
      </c>
    </row>
    <row r="1607" spans="1:79">
      <c r="A1607">
        <v>1620</v>
      </c>
      <c r="B1607">
        <v>251</v>
      </c>
      <c r="C1607">
        <v>32</v>
      </c>
      <c r="D1607" t="s">
        <v>3466</v>
      </c>
      <c r="E1607" t="s">
        <v>2110</v>
      </c>
      <c r="F1607" t="s">
        <v>1804</v>
      </c>
      <c r="G1607" s="12" t="s">
        <v>3463</v>
      </c>
      <c r="I1607">
        <v>89</v>
      </c>
      <c r="J1607">
        <v>87</v>
      </c>
      <c r="K1607">
        <v>150</v>
      </c>
      <c r="L1607">
        <v>80</v>
      </c>
      <c r="M1607" t="s">
        <v>72</v>
      </c>
      <c r="N1607">
        <v>143</v>
      </c>
      <c r="O1607">
        <v>73</v>
      </c>
      <c r="P1607" t="s">
        <v>72</v>
      </c>
      <c r="Q1607" t="s">
        <v>72</v>
      </c>
      <c r="R1607">
        <v>55.8</v>
      </c>
      <c r="S1607">
        <v>155</v>
      </c>
      <c r="T1607" s="8">
        <f t="shared" si="51"/>
        <v>23.2258064516129</v>
      </c>
      <c r="U1607" s="13" t="str" cm="1">
        <f t="array" ref="U1607">IF(T1607="","",_xlfn.IFS(T1607&lt;18.5,"Bajo peso",T1607&lt;25,"Peso normal",T1607&lt;30,"Sobrepeso",T1607&lt;35,"Obesidad clase I",T1607&lt;40,"Obesidad clase II",T1607&gt;=40,"Obesidad clase III"))</f>
        <v>Peso normal</v>
      </c>
      <c r="V1607">
        <v>100</v>
      </c>
      <c r="X1607" t="s">
        <v>3463</v>
      </c>
      <c r="Y1607">
        <v>0.65</v>
      </c>
      <c r="AA1607">
        <v>90</v>
      </c>
      <c r="AB1607" s="9">
        <f t="shared" si="50"/>
        <v>119.8928054577063</v>
      </c>
      <c r="AD1607" t="s">
        <v>73</v>
      </c>
      <c r="AF1607" t="s">
        <v>73</v>
      </c>
      <c r="AH1607" t="s">
        <v>3463</v>
      </c>
      <c r="AI1607" t="s">
        <v>3463</v>
      </c>
      <c r="AJ1607" t="s">
        <v>3463</v>
      </c>
      <c r="AK1607" t="s">
        <v>3463</v>
      </c>
      <c r="AL1607" t="s">
        <v>3465</v>
      </c>
      <c r="AM1607" t="s">
        <v>3334</v>
      </c>
      <c r="AN1607" t="s">
        <v>3911</v>
      </c>
      <c r="AO1607" t="s">
        <v>3465</v>
      </c>
      <c r="AP1607" t="s">
        <v>3465</v>
      </c>
      <c r="AQ1607" t="s">
        <v>3001</v>
      </c>
      <c r="AR1607" t="s">
        <v>3508</v>
      </c>
      <c r="AT1607" t="s">
        <v>3463</v>
      </c>
      <c r="AV1607" t="s">
        <v>74</v>
      </c>
      <c r="AW1607" t="s">
        <v>3915</v>
      </c>
      <c r="AX1607" t="s">
        <v>3463</v>
      </c>
      <c r="AY1607" t="s">
        <v>3465</v>
      </c>
      <c r="AZ1607" t="s">
        <v>104</v>
      </c>
      <c r="BA1607" t="s">
        <v>3920</v>
      </c>
      <c r="BE1607" t="s">
        <v>3335</v>
      </c>
      <c r="BF1607" t="s">
        <v>4011</v>
      </c>
      <c r="BG1607" t="s">
        <v>3336</v>
      </c>
      <c r="BH1607" t="s">
        <v>4021</v>
      </c>
      <c r="BI1607" t="s">
        <v>76</v>
      </c>
      <c r="BP1607" t="s">
        <v>4261</v>
      </c>
      <c r="BQ1607" t="s">
        <v>3463</v>
      </c>
      <c r="BR1607" t="s">
        <v>3463</v>
      </c>
      <c r="BS1607" t="s">
        <v>3465</v>
      </c>
      <c r="BT1607" t="s">
        <v>3465</v>
      </c>
      <c r="BU1607" t="s">
        <v>3463</v>
      </c>
      <c r="BV1607" t="s">
        <v>3463</v>
      </c>
      <c r="BW1607" t="s">
        <v>3463</v>
      </c>
      <c r="BX1607" t="s">
        <v>79</v>
      </c>
      <c r="BY1607" t="s">
        <v>79</v>
      </c>
      <c r="BZ1607" t="s">
        <v>79</v>
      </c>
      <c r="CA1607" s="10">
        <v>45913</v>
      </c>
    </row>
    <row r="1608" spans="1:79">
      <c r="A1608">
        <v>1621</v>
      </c>
      <c r="B1608">
        <v>252</v>
      </c>
      <c r="C1608">
        <v>40</v>
      </c>
      <c r="D1608" t="s">
        <v>3466</v>
      </c>
      <c r="E1608" t="s">
        <v>1804</v>
      </c>
      <c r="F1608" t="s">
        <v>1804</v>
      </c>
      <c r="G1608" s="12" t="s">
        <v>3465</v>
      </c>
      <c r="H1608" s="12" t="s">
        <v>88</v>
      </c>
      <c r="I1608">
        <v>73</v>
      </c>
      <c r="K1608">
        <v>112</v>
      </c>
      <c r="L1608">
        <v>78</v>
      </c>
      <c r="M1608" t="s">
        <v>80</v>
      </c>
      <c r="P1608" t="s">
        <v>83</v>
      </c>
      <c r="Q1608" t="s">
        <v>80</v>
      </c>
      <c r="R1608">
        <v>67</v>
      </c>
      <c r="S1608">
        <v>155</v>
      </c>
      <c r="T1608" s="8">
        <f t="shared" si="51"/>
        <v>27.887617065556711</v>
      </c>
      <c r="U1608" s="13" t="str" cm="1">
        <f t="array" ref="U1608">IF(T1608="","",_xlfn.IFS(T1608&lt;18.5,"Bajo peso",T1608&lt;25,"Peso normal",T1608&lt;30,"Sobrepeso",T1608&lt;35,"Obesidad clase I",T1608&lt;40,"Obesidad clase II",T1608&gt;=40,"Obesidad clase III"))</f>
        <v>Sobrepeso</v>
      </c>
      <c r="V1608">
        <v>151</v>
      </c>
      <c r="X1608" t="s">
        <v>3463</v>
      </c>
      <c r="Y1608">
        <v>0.83</v>
      </c>
      <c r="AA1608">
        <v>90</v>
      </c>
      <c r="AB1608" s="9">
        <f t="shared" si="50"/>
        <v>91.33820877223603</v>
      </c>
      <c r="AD1608" t="s">
        <v>73</v>
      </c>
      <c r="AF1608" t="s">
        <v>73</v>
      </c>
      <c r="AH1608" t="s">
        <v>3463</v>
      </c>
      <c r="AI1608" t="s">
        <v>3463</v>
      </c>
      <c r="AJ1608" t="s">
        <v>3463</v>
      </c>
      <c r="AK1608" t="s">
        <v>3463</v>
      </c>
      <c r="AL1608" t="s">
        <v>3463</v>
      </c>
      <c r="AP1608" t="s">
        <v>3463</v>
      </c>
      <c r="AT1608" t="s">
        <v>3463</v>
      </c>
      <c r="AU1608" t="s">
        <v>80</v>
      </c>
      <c r="AV1608" t="s">
        <v>74</v>
      </c>
      <c r="AW1608" t="s">
        <v>3915</v>
      </c>
      <c r="AX1608" t="s">
        <v>3465</v>
      </c>
      <c r="AY1608" t="s">
        <v>3465</v>
      </c>
      <c r="AZ1608" t="s">
        <v>90</v>
      </c>
      <c r="BF1608" t="s">
        <v>3921</v>
      </c>
      <c r="BH1608" t="s">
        <v>4020</v>
      </c>
      <c r="BP1608" t="s">
        <v>4260</v>
      </c>
      <c r="BQ1608" t="s">
        <v>3465</v>
      </c>
      <c r="BR1608" t="s">
        <v>3465</v>
      </c>
      <c r="BS1608" t="s">
        <v>3465</v>
      </c>
      <c r="BT1608" t="s">
        <v>3465</v>
      </c>
      <c r="BU1608" t="s">
        <v>3463</v>
      </c>
      <c r="BX1608" t="s">
        <v>79</v>
      </c>
      <c r="BY1608" t="s">
        <v>79</v>
      </c>
      <c r="BZ1608" t="s">
        <v>79</v>
      </c>
      <c r="CA1608" s="10">
        <v>45913</v>
      </c>
    </row>
    <row r="1609" spans="1:79">
      <c r="A1609">
        <v>1622</v>
      </c>
      <c r="B1609">
        <v>253</v>
      </c>
      <c r="C1609">
        <v>38</v>
      </c>
      <c r="D1609" t="s">
        <v>3466</v>
      </c>
      <c r="E1609" t="s">
        <v>3337</v>
      </c>
      <c r="F1609" t="s">
        <v>1804</v>
      </c>
      <c r="G1609" s="12" t="s">
        <v>3463</v>
      </c>
      <c r="I1609">
        <v>84</v>
      </c>
      <c r="J1609">
        <v>81</v>
      </c>
      <c r="K1609">
        <v>157</v>
      </c>
      <c r="L1609">
        <v>89</v>
      </c>
      <c r="M1609" t="s">
        <v>72</v>
      </c>
      <c r="N1609">
        <v>147</v>
      </c>
      <c r="O1609">
        <v>88</v>
      </c>
      <c r="P1609" t="s">
        <v>72</v>
      </c>
      <c r="Q1609" t="s">
        <v>72</v>
      </c>
      <c r="R1609">
        <v>108.6</v>
      </c>
      <c r="S1609">
        <v>173</v>
      </c>
      <c r="T1609" s="8">
        <f t="shared" si="51"/>
        <v>36.285876574559786</v>
      </c>
      <c r="U1609" s="13" t="str" cm="1">
        <f t="array" ref="U1609">IF(T1609="","",_xlfn.IFS(T1609&lt;18.5,"Bajo peso",T1609&lt;25,"Peso normal",T1609&lt;30,"Sobrepeso",T1609&lt;35,"Obesidad clase I",T1609&lt;40,"Obesidad clase II",T1609&gt;=40,"Obesidad clase III"))</f>
        <v>Obesidad clase II</v>
      </c>
      <c r="V1609">
        <v>85</v>
      </c>
      <c r="X1609" t="s">
        <v>3463</v>
      </c>
      <c r="Y1609">
        <v>0.71</v>
      </c>
      <c r="AA1609">
        <v>90</v>
      </c>
      <c r="AB1609" s="9">
        <f t="shared" si="50"/>
        <v>111.54194110132561</v>
      </c>
      <c r="AD1609" t="s">
        <v>73</v>
      </c>
      <c r="AF1609" t="s">
        <v>73</v>
      </c>
      <c r="AH1609" t="s">
        <v>3463</v>
      </c>
      <c r="AI1609" t="s">
        <v>3465</v>
      </c>
      <c r="AK1609" t="s">
        <v>3463</v>
      </c>
      <c r="AL1609" t="s">
        <v>3463</v>
      </c>
      <c r="AP1609" t="s">
        <v>3463</v>
      </c>
      <c r="AQ1609" t="s">
        <v>3001</v>
      </c>
      <c r="AR1609" t="s">
        <v>3508</v>
      </c>
      <c r="AS1609" t="s">
        <v>3463</v>
      </c>
      <c r="AT1609" t="s">
        <v>3463</v>
      </c>
      <c r="AV1609" t="s">
        <v>74</v>
      </c>
      <c r="AW1609" t="s">
        <v>3915</v>
      </c>
      <c r="AX1609" t="s">
        <v>3463</v>
      </c>
      <c r="AY1609" t="s">
        <v>3465</v>
      </c>
      <c r="AZ1609" t="s">
        <v>90</v>
      </c>
      <c r="BF1609" t="s">
        <v>3921</v>
      </c>
      <c r="BH1609" t="s">
        <v>4020</v>
      </c>
      <c r="BP1609" t="s">
        <v>4260</v>
      </c>
      <c r="BQ1609" t="s">
        <v>3463</v>
      </c>
      <c r="BR1609" t="s">
        <v>3463</v>
      </c>
      <c r="BS1609" t="s">
        <v>3465</v>
      </c>
      <c r="BT1609" t="s">
        <v>3465</v>
      </c>
      <c r="BU1609" t="s">
        <v>3463</v>
      </c>
      <c r="BV1609" t="s">
        <v>3463</v>
      </c>
      <c r="BW1609" t="s">
        <v>3463</v>
      </c>
      <c r="BX1609" t="s">
        <v>79</v>
      </c>
      <c r="BY1609" t="s">
        <v>79</v>
      </c>
      <c r="BZ1609" t="s">
        <v>79</v>
      </c>
      <c r="CA1609" s="10">
        <v>45913</v>
      </c>
    </row>
    <row r="1610" spans="1:79">
      <c r="A1610">
        <v>1623</v>
      </c>
      <c r="B1610">
        <v>254</v>
      </c>
      <c r="C1610">
        <v>50</v>
      </c>
      <c r="D1610" t="s">
        <v>3466</v>
      </c>
      <c r="E1610" t="s">
        <v>1804</v>
      </c>
      <c r="F1610" t="s">
        <v>1804</v>
      </c>
      <c r="G1610" s="12" t="s">
        <v>3463</v>
      </c>
      <c r="I1610">
        <v>83</v>
      </c>
      <c r="K1610">
        <v>110</v>
      </c>
      <c r="L1610">
        <v>66</v>
      </c>
      <c r="M1610" t="s">
        <v>80</v>
      </c>
      <c r="P1610" t="s">
        <v>83</v>
      </c>
      <c r="Q1610" t="s">
        <v>80</v>
      </c>
      <c r="R1610">
        <v>65.2</v>
      </c>
      <c r="S1610">
        <v>173</v>
      </c>
      <c r="T1610" s="8">
        <f t="shared" si="51"/>
        <v>21.784890908483412</v>
      </c>
      <c r="U1610" s="13" t="str" cm="1">
        <f t="array" ref="U1610">IF(T1610="","",_xlfn.IFS(T1610&lt;18.5,"Bajo peso",T1610&lt;25,"Peso normal",T1610&lt;30,"Sobrepeso",T1610&lt;35,"Obesidad clase I",T1610&lt;40,"Obesidad clase II",T1610&gt;=40,"Obesidad clase III"))</f>
        <v>Peso normal</v>
      </c>
      <c r="V1610">
        <v>97</v>
      </c>
      <c r="X1610" t="s">
        <v>3463</v>
      </c>
      <c r="Y1610">
        <v>0.65</v>
      </c>
      <c r="AA1610">
        <v>90</v>
      </c>
      <c r="AB1610" s="9">
        <f t="shared" si="50"/>
        <v>107.19511290875062</v>
      </c>
      <c r="AD1610" t="s">
        <v>73</v>
      </c>
      <c r="AF1610" t="s">
        <v>73</v>
      </c>
      <c r="AH1610" t="s">
        <v>3463</v>
      </c>
      <c r="AI1610" t="s">
        <v>3463</v>
      </c>
      <c r="AJ1610" t="s">
        <v>3463</v>
      </c>
      <c r="AK1610" t="s">
        <v>3463</v>
      </c>
      <c r="AL1610" t="s">
        <v>3463</v>
      </c>
      <c r="AP1610" t="s">
        <v>3463</v>
      </c>
      <c r="AQ1610" t="s">
        <v>3283</v>
      </c>
      <c r="AR1610" t="s">
        <v>3488</v>
      </c>
      <c r="AT1610" t="s">
        <v>3465</v>
      </c>
      <c r="AU1610" t="s">
        <v>80</v>
      </c>
      <c r="AV1610" t="s">
        <v>126</v>
      </c>
      <c r="AW1610" t="s">
        <v>126</v>
      </c>
      <c r="AX1610" t="s">
        <v>3463</v>
      </c>
      <c r="AY1610" t="s">
        <v>3465</v>
      </c>
      <c r="AZ1610" t="s">
        <v>104</v>
      </c>
      <c r="BF1610" t="s">
        <v>3921</v>
      </c>
      <c r="BH1610" t="s">
        <v>4020</v>
      </c>
      <c r="BP1610" t="s">
        <v>4260</v>
      </c>
      <c r="BQ1610" t="s">
        <v>3465</v>
      </c>
      <c r="BR1610" t="s">
        <v>3463</v>
      </c>
      <c r="BS1610" t="s">
        <v>3465</v>
      </c>
      <c r="BT1610" t="s">
        <v>3465</v>
      </c>
      <c r="BU1610" t="s">
        <v>3463</v>
      </c>
      <c r="BX1610" t="s">
        <v>79</v>
      </c>
      <c r="BY1610" t="s">
        <v>79</v>
      </c>
      <c r="BZ1610" t="s">
        <v>79</v>
      </c>
      <c r="CA1610" s="10">
        <v>45913</v>
      </c>
    </row>
    <row r="1611" spans="1:79">
      <c r="A1611">
        <v>1624</v>
      </c>
      <c r="B1611">
        <v>255</v>
      </c>
      <c r="C1611">
        <v>48</v>
      </c>
      <c r="D1611" t="s">
        <v>3462</v>
      </c>
      <c r="E1611" t="s">
        <v>3338</v>
      </c>
      <c r="F1611" t="s">
        <v>1804</v>
      </c>
      <c r="G1611" s="12" t="s">
        <v>3463</v>
      </c>
      <c r="I1611">
        <v>73</v>
      </c>
      <c r="J1611">
        <v>73</v>
      </c>
      <c r="K1611">
        <v>156</v>
      </c>
      <c r="L1611">
        <v>97</v>
      </c>
      <c r="M1611" t="s">
        <v>72</v>
      </c>
      <c r="N1611">
        <v>150</v>
      </c>
      <c r="O1611">
        <v>99</v>
      </c>
      <c r="P1611" t="s">
        <v>72</v>
      </c>
      <c r="Q1611" t="s">
        <v>72</v>
      </c>
      <c r="R1611">
        <v>114.1</v>
      </c>
      <c r="S1611">
        <v>178</v>
      </c>
      <c r="T1611" s="8">
        <f t="shared" si="51"/>
        <v>36.011867188486299</v>
      </c>
      <c r="U1611" s="13" t="str" cm="1">
        <f t="array" ref="U1611">IF(T1611="","",_xlfn.IFS(T1611&lt;18.5,"Bajo peso",T1611&lt;25,"Peso normal",T1611&lt;30,"Sobrepeso",T1611&lt;35,"Obesidad clase I",T1611&lt;40,"Obesidad clase II",T1611&gt;=40,"Obesidad clase III"))</f>
        <v>Obesidad clase II</v>
      </c>
      <c r="V1611">
        <v>99</v>
      </c>
      <c r="X1611" t="s">
        <v>3463</v>
      </c>
      <c r="Y1611">
        <v>0.85</v>
      </c>
      <c r="AA1611">
        <v>90</v>
      </c>
      <c r="AB1611" s="9">
        <f t="shared" si="50"/>
        <v>107.1856639102139</v>
      </c>
      <c r="AD1611" t="s">
        <v>73</v>
      </c>
      <c r="AF1611" t="s">
        <v>73</v>
      </c>
      <c r="AH1611" t="s">
        <v>3463</v>
      </c>
      <c r="AI1611" t="s">
        <v>3463</v>
      </c>
      <c r="AJ1611" t="s">
        <v>3465</v>
      </c>
      <c r="AK1611" t="s">
        <v>3463</v>
      </c>
      <c r="AL1611" t="s">
        <v>3464</v>
      </c>
      <c r="AO1611" t="s">
        <v>3464</v>
      </c>
      <c r="AP1611" t="s">
        <v>3465</v>
      </c>
      <c r="AQ1611" t="s">
        <v>2873</v>
      </c>
      <c r="AR1611" t="s">
        <v>3600</v>
      </c>
      <c r="AV1611" t="s">
        <v>74</v>
      </c>
      <c r="AW1611" t="s">
        <v>3915</v>
      </c>
      <c r="BC1611" t="s">
        <v>128</v>
      </c>
      <c r="BE1611" t="s">
        <v>3339</v>
      </c>
      <c r="BF1611" t="s">
        <v>3339</v>
      </c>
      <c r="BG1611" t="s">
        <v>3340</v>
      </c>
      <c r="BH1611" t="s">
        <v>4021</v>
      </c>
      <c r="BI1611" t="s">
        <v>76</v>
      </c>
      <c r="BL1611" t="s">
        <v>650</v>
      </c>
      <c r="BP1611" t="s">
        <v>4261</v>
      </c>
      <c r="BQ1611" t="s">
        <v>3463</v>
      </c>
      <c r="BR1611" t="s">
        <v>3463</v>
      </c>
      <c r="BS1611" t="s">
        <v>3463</v>
      </c>
      <c r="BT1611" t="s">
        <v>3463</v>
      </c>
      <c r="BU1611" t="s">
        <v>3463</v>
      </c>
      <c r="BV1611" t="s">
        <v>3463</v>
      </c>
      <c r="BW1611" t="s">
        <v>3463</v>
      </c>
      <c r="BX1611" t="s">
        <v>79</v>
      </c>
      <c r="BY1611" t="s">
        <v>79</v>
      </c>
      <c r="BZ1611" t="s">
        <v>79</v>
      </c>
      <c r="CA1611" s="10">
        <v>45913</v>
      </c>
    </row>
    <row r="1612" spans="1:79">
      <c r="A1612">
        <v>1625</v>
      </c>
      <c r="B1612">
        <v>256</v>
      </c>
      <c r="C1612">
        <v>60</v>
      </c>
      <c r="D1612" t="s">
        <v>3466</v>
      </c>
      <c r="F1612" t="s">
        <v>1804</v>
      </c>
      <c r="G1612" s="12" t="s">
        <v>3465</v>
      </c>
      <c r="H1612" s="12" t="s">
        <v>88</v>
      </c>
      <c r="I1612">
        <v>114</v>
      </c>
      <c r="J1612">
        <v>109</v>
      </c>
      <c r="K1612">
        <v>180</v>
      </c>
      <c r="L1612">
        <v>109</v>
      </c>
      <c r="M1612" t="s">
        <v>96</v>
      </c>
      <c r="N1612">
        <v>170</v>
      </c>
      <c r="O1612">
        <v>103</v>
      </c>
      <c r="P1612" t="s">
        <v>72</v>
      </c>
      <c r="Q1612" t="s">
        <v>72</v>
      </c>
      <c r="R1612">
        <v>72.599999999999994</v>
      </c>
      <c r="S1612">
        <v>151.5</v>
      </c>
      <c r="T1612" s="8">
        <f t="shared" si="51"/>
        <v>31.630885860863309</v>
      </c>
      <c r="U1612" s="13" t="str" cm="1">
        <f t="array" ref="U1612">IF(T1612="","",_xlfn.IFS(T1612&lt;18.5,"Bajo peso",T1612&lt;25,"Peso normal",T1612&lt;30,"Sobrepeso",T1612&lt;35,"Obesidad clase I",T1612&lt;40,"Obesidad clase II",T1612&gt;=40,"Obesidad clase III"))</f>
        <v>Obesidad clase I</v>
      </c>
      <c r="V1612">
        <v>147</v>
      </c>
      <c r="X1612" t="s">
        <v>3463</v>
      </c>
      <c r="Y1612">
        <v>0.98</v>
      </c>
      <c r="AA1612">
        <v>66</v>
      </c>
      <c r="AB1612" s="9">
        <f t="shared" si="50"/>
        <v>66.07767577423445</v>
      </c>
      <c r="AD1612" t="s">
        <v>73</v>
      </c>
      <c r="AF1612" t="s">
        <v>73</v>
      </c>
      <c r="AH1612" t="s">
        <v>3463</v>
      </c>
      <c r="AI1612" t="s">
        <v>3465</v>
      </c>
      <c r="AJ1612" t="s">
        <v>3463</v>
      </c>
      <c r="AK1612" t="s">
        <v>3463</v>
      </c>
      <c r="AL1612" t="s">
        <v>3464</v>
      </c>
      <c r="AP1612" t="s">
        <v>3463</v>
      </c>
      <c r="AQ1612" t="s">
        <v>120</v>
      </c>
      <c r="AR1612" t="s">
        <v>3491</v>
      </c>
      <c r="AS1612" t="s">
        <v>3463</v>
      </c>
      <c r="AT1612" t="s">
        <v>3465</v>
      </c>
      <c r="AU1612" t="s">
        <v>80</v>
      </c>
      <c r="AV1612" t="s">
        <v>74</v>
      </c>
      <c r="AW1612" t="s">
        <v>3915</v>
      </c>
      <c r="AX1612" t="s">
        <v>3463</v>
      </c>
      <c r="AY1612" t="s">
        <v>3463</v>
      </c>
      <c r="BA1612" t="s">
        <v>3920</v>
      </c>
      <c r="BB1612" t="s">
        <v>3485</v>
      </c>
      <c r="BC1612" t="s">
        <v>128</v>
      </c>
      <c r="BD1612" t="s">
        <v>105</v>
      </c>
      <c r="BF1612" t="s">
        <v>3921</v>
      </c>
      <c r="BG1612" t="s">
        <v>3341</v>
      </c>
      <c r="BH1612" t="s">
        <v>4046</v>
      </c>
      <c r="BI1612" t="s">
        <v>1825</v>
      </c>
      <c r="BK1612" t="s">
        <v>3342</v>
      </c>
      <c r="BL1612" t="s">
        <v>3343</v>
      </c>
      <c r="BP1612" t="s">
        <v>4568</v>
      </c>
      <c r="BQ1612" t="s">
        <v>3465</v>
      </c>
      <c r="BR1612" t="s">
        <v>3463</v>
      </c>
      <c r="BS1612" t="s">
        <v>3463</v>
      </c>
      <c r="BT1612" t="s">
        <v>3463</v>
      </c>
      <c r="BX1612" t="s">
        <v>3094</v>
      </c>
      <c r="BY1612" t="s">
        <v>79</v>
      </c>
      <c r="BZ1612" t="s">
        <v>95</v>
      </c>
      <c r="CA1612" s="10">
        <v>45913</v>
      </c>
    </row>
    <row r="1613" spans="1:79">
      <c r="A1613">
        <v>1626</v>
      </c>
      <c r="B1613">
        <v>257</v>
      </c>
      <c r="C1613">
        <v>46</v>
      </c>
      <c r="D1613" t="s">
        <v>3462</v>
      </c>
      <c r="E1613" t="s">
        <v>3344</v>
      </c>
      <c r="F1613" t="s">
        <v>1804</v>
      </c>
      <c r="G1613" s="12" t="s">
        <v>3463</v>
      </c>
      <c r="I1613">
        <v>76</v>
      </c>
      <c r="K1613">
        <v>133</v>
      </c>
      <c r="L1613">
        <v>82</v>
      </c>
      <c r="M1613" t="s">
        <v>82</v>
      </c>
      <c r="P1613" t="s">
        <v>83</v>
      </c>
      <c r="Q1613" t="s">
        <v>82</v>
      </c>
      <c r="R1613">
        <v>129</v>
      </c>
      <c r="S1613">
        <v>177</v>
      </c>
      <c r="T1613" s="8">
        <f t="shared" si="51"/>
        <v>41.175907306329592</v>
      </c>
      <c r="U1613" s="13" t="str" cm="1">
        <f t="array" ref="U1613">IF(T1613="","",_xlfn.IFS(T1613&lt;18.5,"Bajo peso",T1613&lt;25,"Peso normal",T1613&lt;30,"Sobrepeso",T1613&lt;35,"Obesidad clase I",T1613&lt;40,"Obesidad clase II",T1613&gt;=40,"Obesidad clase III"))</f>
        <v>Obesidad clase III</v>
      </c>
      <c r="V1613">
        <v>116</v>
      </c>
      <c r="X1613" t="s">
        <v>3463</v>
      </c>
      <c r="Y1613">
        <v>1.1200000000000001</v>
      </c>
      <c r="AA1613">
        <v>82</v>
      </c>
      <c r="AB1613" s="9">
        <f t="shared" si="50"/>
        <v>82.048638593977557</v>
      </c>
      <c r="AD1613" t="s">
        <v>73</v>
      </c>
      <c r="AF1613" t="s">
        <v>73</v>
      </c>
      <c r="AG1613" t="s">
        <v>3465</v>
      </c>
      <c r="AH1613" t="s">
        <v>3465</v>
      </c>
      <c r="AI1613" t="s">
        <v>3465</v>
      </c>
      <c r="AJ1613" t="s">
        <v>3465</v>
      </c>
      <c r="AK1613" t="s">
        <v>3463</v>
      </c>
      <c r="AL1613" t="s">
        <v>3465</v>
      </c>
      <c r="AM1613" t="s">
        <v>3345</v>
      </c>
      <c r="AN1613" t="s">
        <v>3714</v>
      </c>
      <c r="AP1613" t="s">
        <v>3463</v>
      </c>
      <c r="AQ1613" t="s">
        <v>399</v>
      </c>
      <c r="AR1613" t="s">
        <v>3505</v>
      </c>
      <c r="AS1613" t="s">
        <v>3465</v>
      </c>
      <c r="AV1613" t="s">
        <v>74</v>
      </c>
      <c r="AW1613" t="s">
        <v>3915</v>
      </c>
      <c r="BF1613" t="s">
        <v>3921</v>
      </c>
      <c r="BH1613" t="s">
        <v>4020</v>
      </c>
      <c r="BP1613" t="s">
        <v>4260</v>
      </c>
      <c r="BQ1613" t="s">
        <v>3463</v>
      </c>
      <c r="BR1613" t="s">
        <v>3463</v>
      </c>
      <c r="BS1613" t="s">
        <v>3465</v>
      </c>
      <c r="BT1613" t="s">
        <v>3465</v>
      </c>
      <c r="BU1613" t="s">
        <v>3463</v>
      </c>
      <c r="BV1613" t="s">
        <v>3463</v>
      </c>
      <c r="BW1613" t="s">
        <v>3463</v>
      </c>
      <c r="BX1613" t="s">
        <v>79</v>
      </c>
      <c r="BY1613" t="s">
        <v>121</v>
      </c>
      <c r="BZ1613" t="s">
        <v>79</v>
      </c>
      <c r="CA1613" s="10">
        <v>45913</v>
      </c>
    </row>
    <row r="1614" spans="1:79">
      <c r="G1614" s="12"/>
    </row>
    <row r="1615" spans="1:79">
      <c r="G1615" s="12"/>
    </row>
    <row r="1616" spans="1:79">
      <c r="G1616" s="12"/>
    </row>
    <row r="1617" spans="7:8">
      <c r="G1617" s="12"/>
    </row>
    <row r="1618" spans="7:8">
      <c r="G1618" s="12"/>
    </row>
    <row r="1619" spans="7:8">
      <c r="G1619" s="12"/>
      <c r="H1619" s="12"/>
    </row>
    <row r="1620" spans="7:8">
      <c r="G1620" s="12"/>
      <c r="H1620" s="12"/>
    </row>
    <row r="1621" spans="7:8">
      <c r="G1621" s="12"/>
    </row>
    <row r="1622" spans="7:8">
      <c r="G1622" s="12"/>
      <c r="H1622" s="12"/>
    </row>
    <row r="1623" spans="7:8">
      <c r="G1623" s="12"/>
    </row>
    <row r="1624" spans="7:8">
      <c r="G1624" s="12"/>
    </row>
    <row r="1625" spans="7:8">
      <c r="G1625" s="12"/>
    </row>
    <row r="1626" spans="7:8">
      <c r="G1626" s="12"/>
      <c r="H1626" s="12"/>
    </row>
    <row r="1627" spans="7:8">
      <c r="G1627" s="12"/>
    </row>
  </sheetData>
  <autoFilter ref="A1:CA1627" xr:uid="{4A4AC5A0-8D4E-9448-953F-1C15EA781CAC}"/>
  <sortState xmlns:xlrd2="http://schemas.microsoft.com/office/spreadsheetml/2017/richdata2" ref="A2:CD1619">
    <sortCondition ref="A2:A1619"/>
  </sortState>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18"/>
  <sheetViews>
    <sheetView workbookViewId="0">
      <pane ySplit="1" topLeftCell="A2" activePane="bottomLeft" state="frozen"/>
      <selection pane="bottomLeft" activeCell="J24" sqref="J24"/>
    </sheetView>
  </sheetViews>
  <sheetFormatPr baseColWidth="10" defaultColWidth="8.83203125" defaultRowHeight="15"/>
  <cols>
    <col min="1" max="1" width="6" customWidth="1"/>
    <col min="2" max="2" width="15" customWidth="1"/>
    <col min="3" max="4" width="5" customWidth="1"/>
    <col min="5" max="5" width="19" customWidth="1"/>
    <col min="6" max="6" width="12" customWidth="1"/>
    <col min="7" max="7" width="8" customWidth="1"/>
    <col min="8" max="8" width="9" customWidth="1"/>
    <col min="9" max="10" width="8" customWidth="1"/>
    <col min="11" max="12" width="9" customWidth="1"/>
    <col min="13" max="13" width="17" customWidth="1"/>
    <col min="14" max="15" width="9" customWidth="1"/>
    <col min="16" max="16" width="21" customWidth="1"/>
    <col min="17" max="17" width="13" customWidth="1"/>
    <col min="18" max="19" width="11" customWidth="1"/>
    <col min="20" max="20" width="7" customWidth="1"/>
    <col min="21" max="21" width="17" customWidth="1"/>
    <col min="22" max="23" width="13" customWidth="1"/>
    <col min="24" max="24" width="15" customWidth="1"/>
    <col min="25" max="26" width="16" customWidth="1"/>
    <col min="27" max="28" width="10" customWidth="1"/>
    <col min="29" max="30" width="15" customWidth="1"/>
    <col min="31" max="31" width="26" customWidth="1"/>
    <col min="32" max="32" width="17" customWidth="1"/>
    <col min="33" max="35" width="28" customWidth="1"/>
    <col min="36" max="36" width="16" customWidth="1"/>
    <col min="37" max="37" width="25" customWidth="1"/>
    <col min="38" max="38" width="35" customWidth="1"/>
    <col min="39" max="39" width="9" customWidth="1"/>
    <col min="40" max="40" width="18" customWidth="1"/>
    <col min="41" max="41" width="25" customWidth="1"/>
    <col min="42" max="42" width="15" customWidth="1"/>
    <col min="43" max="43" width="12" customWidth="1"/>
    <col min="44" max="44" width="15" customWidth="1"/>
    <col min="45" max="45" width="22" customWidth="1"/>
    <col min="46" max="46" width="17" customWidth="1"/>
    <col min="47" max="47" width="12" customWidth="1"/>
    <col min="48" max="48" width="11" customWidth="1"/>
    <col min="49" max="49" width="24" customWidth="1"/>
    <col min="50" max="50" width="11" customWidth="1"/>
    <col min="51" max="51" width="22" customWidth="1"/>
    <col min="52" max="52" width="26" customWidth="1"/>
    <col min="53" max="53" width="27" customWidth="1"/>
    <col min="54" max="55" width="35" customWidth="1"/>
    <col min="56" max="56" width="14" customWidth="1"/>
    <col min="57" max="57" width="35" customWidth="1"/>
    <col min="58" max="58" width="23" customWidth="1"/>
    <col min="59" max="59" width="19" customWidth="1"/>
    <col min="60" max="60" width="24" customWidth="1"/>
    <col min="61" max="61" width="16" customWidth="1"/>
    <col min="62" max="62" width="8" customWidth="1"/>
    <col min="63" max="63" width="4" customWidth="1"/>
    <col min="64" max="64" width="14" customWidth="1"/>
    <col min="65" max="65" width="10" customWidth="1"/>
    <col min="66" max="66" width="13" customWidth="1"/>
    <col min="67" max="67" width="9" customWidth="1"/>
    <col min="68" max="68" width="12" customWidth="1"/>
    <col min="69" max="69" width="8" customWidth="1"/>
    <col min="70" max="71" width="11" customWidth="1"/>
    <col min="72" max="72" width="7" customWidth="1"/>
    <col min="73" max="73" width="12" customWidth="1"/>
    <col min="74" max="74" width="9" customWidth="1"/>
    <col min="75" max="75" width="4" customWidth="1"/>
    <col min="76" max="76" width="13" customWidth="1"/>
    <col min="77" max="77" width="17" customWidth="1"/>
    <col min="78" max="78" width="14" customWidth="1"/>
    <col min="79" max="79" width="21" customWidth="1"/>
    <col min="80" max="80" width="35" customWidth="1"/>
  </cols>
  <sheetData>
    <row r="1" spans="1:80">
      <c r="A1" s="1" t="s">
        <v>0</v>
      </c>
      <c r="B1" s="1" t="s">
        <v>1</v>
      </c>
      <c r="C1" s="1" t="s">
        <v>2</v>
      </c>
      <c r="D1" s="1" t="s">
        <v>3</v>
      </c>
      <c r="E1" s="1" t="s">
        <v>4</v>
      </c>
      <c r="F1" s="1" t="s">
        <v>5</v>
      </c>
      <c r="G1" s="14" t="s">
        <v>6</v>
      </c>
      <c r="H1" s="14" t="s">
        <v>7</v>
      </c>
      <c r="I1" s="1" t="s">
        <v>8</v>
      </c>
      <c r="J1" s="1" t="s">
        <v>9</v>
      </c>
      <c r="K1" s="1" t="s">
        <v>10</v>
      </c>
      <c r="L1" s="1" t="s">
        <v>11</v>
      </c>
      <c r="M1" s="1" t="s">
        <v>12</v>
      </c>
      <c r="N1" s="1" t="s">
        <v>13</v>
      </c>
      <c r="O1" s="1" t="s">
        <v>14</v>
      </c>
      <c r="P1" s="1" t="s">
        <v>15</v>
      </c>
      <c r="Q1" s="1" t="s">
        <v>16</v>
      </c>
      <c r="R1" s="1" t="s">
        <v>17</v>
      </c>
      <c r="S1" s="1" t="s">
        <v>18</v>
      </c>
      <c r="T1" s="3" t="s">
        <v>19</v>
      </c>
      <c r="U1" s="1" t="s">
        <v>3481</v>
      </c>
      <c r="V1" s="1" t="s">
        <v>20</v>
      </c>
      <c r="W1" s="1" t="s">
        <v>21</v>
      </c>
      <c r="X1" s="1" t="s">
        <v>22</v>
      </c>
      <c r="Y1" s="1" t="s">
        <v>23</v>
      </c>
      <c r="Z1" s="1" t="s">
        <v>24</v>
      </c>
      <c r="AA1" s="1" t="s">
        <v>25</v>
      </c>
      <c r="AB1" s="5" t="s">
        <v>4570</v>
      </c>
      <c r="AC1" s="1" t="s">
        <v>26</v>
      </c>
      <c r="AD1" s="1" t="s">
        <v>27</v>
      </c>
      <c r="AE1" s="1" t="s">
        <v>28</v>
      </c>
      <c r="AF1" s="1" t="s">
        <v>29</v>
      </c>
      <c r="AG1" s="1" t="s">
        <v>30</v>
      </c>
      <c r="AH1" s="1" t="s">
        <v>31</v>
      </c>
      <c r="AI1" s="1" t="s">
        <v>32</v>
      </c>
      <c r="AJ1" s="1" t="s">
        <v>33</v>
      </c>
      <c r="AK1" s="1" t="s">
        <v>34</v>
      </c>
      <c r="AL1" s="1" t="s">
        <v>35</v>
      </c>
      <c r="AM1" s="1" t="s">
        <v>36</v>
      </c>
      <c r="AN1" s="4" t="s">
        <v>3912</v>
      </c>
      <c r="AO1" s="1" t="s">
        <v>37</v>
      </c>
      <c r="AP1" s="1" t="s">
        <v>3472</v>
      </c>
      <c r="AQ1" s="1" t="s">
        <v>39</v>
      </c>
      <c r="AR1" s="4" t="s">
        <v>3913</v>
      </c>
      <c r="AS1" s="1" t="s">
        <v>40</v>
      </c>
      <c r="AT1" s="1" t="s">
        <v>3473</v>
      </c>
      <c r="AU1" s="1" t="s">
        <v>3474</v>
      </c>
      <c r="AV1" s="1" t="s">
        <v>43</v>
      </c>
      <c r="AW1" s="4" t="s">
        <v>3914</v>
      </c>
      <c r="AX1" s="1" t="s">
        <v>44</v>
      </c>
      <c r="AY1" s="1" t="s">
        <v>45</v>
      </c>
      <c r="AZ1" s="1" t="s">
        <v>46</v>
      </c>
      <c r="BA1" s="1" t="s">
        <v>3475</v>
      </c>
      <c r="BB1" s="1" t="s">
        <v>3476</v>
      </c>
      <c r="BC1" s="1" t="s">
        <v>3477</v>
      </c>
      <c r="BD1" s="1" t="s">
        <v>3478</v>
      </c>
      <c r="BE1" s="1" t="s">
        <v>51</v>
      </c>
      <c r="BF1" s="4" t="s">
        <v>4012</v>
      </c>
      <c r="BG1" s="1" t="s">
        <v>52</v>
      </c>
      <c r="BH1" s="6" t="s">
        <v>4013</v>
      </c>
      <c r="BI1" s="1" t="s">
        <v>53</v>
      </c>
      <c r="BJ1" s="1" t="s">
        <v>54</v>
      </c>
      <c r="BK1" s="1" t="s">
        <v>55</v>
      </c>
      <c r="BL1" s="1" t="s">
        <v>56</v>
      </c>
      <c r="BM1" s="1" t="s">
        <v>57</v>
      </c>
      <c r="BN1" s="1" t="s">
        <v>58</v>
      </c>
      <c r="BO1" s="1" t="s">
        <v>59</v>
      </c>
      <c r="BP1" s="7" t="s">
        <v>4569</v>
      </c>
      <c r="BQ1" s="1" t="s">
        <v>60</v>
      </c>
      <c r="BR1" s="1" t="s">
        <v>61</v>
      </c>
      <c r="BS1" s="1" t="s">
        <v>62</v>
      </c>
      <c r="BT1" s="1" t="s">
        <v>63</v>
      </c>
      <c r="BU1" s="1" t="s">
        <v>3461</v>
      </c>
      <c r="BV1" s="1" t="s">
        <v>64</v>
      </c>
      <c r="BW1" s="1" t="s">
        <v>65</v>
      </c>
      <c r="BX1" s="1" t="s">
        <v>66</v>
      </c>
      <c r="BY1" s="1" t="s">
        <v>67</v>
      </c>
      <c r="BZ1" s="1" t="s">
        <v>68</v>
      </c>
      <c r="CA1" s="1" t="s">
        <v>69</v>
      </c>
    </row>
    <row r="2" spans="1:80">
      <c r="A2">
        <v>60</v>
      </c>
      <c r="B2">
        <v>67</v>
      </c>
      <c r="C2">
        <v>64</v>
      </c>
      <c r="D2" t="s">
        <v>3462</v>
      </c>
      <c r="F2" t="s">
        <v>71</v>
      </c>
      <c r="G2" t="s">
        <v>3463</v>
      </c>
      <c r="I2">
        <v>95</v>
      </c>
      <c r="J2">
        <v>93</v>
      </c>
      <c r="K2">
        <v>179</v>
      </c>
      <c r="L2">
        <v>99</v>
      </c>
      <c r="M2" t="s">
        <v>72</v>
      </c>
      <c r="N2">
        <v>182</v>
      </c>
      <c r="O2">
        <v>84</v>
      </c>
      <c r="P2" t="s">
        <v>96</v>
      </c>
      <c r="Q2" t="s">
        <v>72</v>
      </c>
      <c r="R2">
        <v>64</v>
      </c>
      <c r="S2">
        <v>154.5</v>
      </c>
      <c r="T2" s="8">
        <f>IFERROR(R2/(S2^2)*10000,"")</f>
        <v>26.811616970915683</v>
      </c>
      <c r="U2" t="str" cm="1">
        <f t="array" ref="U2">IF(T2="","",_xlfn.IFS(T2&lt;18.5,"Bajo peso",T2&lt;25,"Peso normal",T2&lt;30,"Sobrepeso",T2&lt;35,"Obesidad clase I",T2&lt;40,"Obesidad clase II",T2&gt;=40,"Obesidad clase III"))</f>
        <v>Sobrepeso</v>
      </c>
      <c r="V2">
        <v>161</v>
      </c>
      <c r="X2" t="s">
        <v>3463</v>
      </c>
      <c r="Y2">
        <v>124</v>
      </c>
      <c r="AA2">
        <v>65</v>
      </c>
      <c r="AB2" s="8">
        <f>IF(OR(C2="",D2="",Y2=""),"",142*POWER(MIN(Y2/IF(D2="Mujer",0.7,0.9),1),IF(D2="Mujer",-0.241,-0.302))*POWER(MAX(Y2/IF(D2="Mujer",0.7,0.9),1),-1.2)*POWER(0.9938,C2)*IF(D2="Mujer",1.012,1))</f>
        <v>0.25846922922350335</v>
      </c>
      <c r="AD2" t="s">
        <v>73</v>
      </c>
      <c r="AF2" t="s">
        <v>73</v>
      </c>
      <c r="AH2" t="s">
        <v>3463</v>
      </c>
      <c r="AI2" t="s">
        <v>3463</v>
      </c>
      <c r="AJ2" t="s">
        <v>3463</v>
      </c>
      <c r="AK2" t="s">
        <v>3463</v>
      </c>
      <c r="AP2" t="s">
        <v>3463</v>
      </c>
      <c r="AV2" t="s">
        <v>126</v>
      </c>
      <c r="AW2" t="s">
        <v>126</v>
      </c>
      <c r="BA2" t="s">
        <v>3920</v>
      </c>
      <c r="BE2" t="s">
        <v>3346</v>
      </c>
      <c r="BF2" t="s">
        <v>3923</v>
      </c>
      <c r="BG2" t="s">
        <v>3347</v>
      </c>
      <c r="BH2" t="s">
        <v>4047</v>
      </c>
      <c r="BI2" t="s">
        <v>820</v>
      </c>
      <c r="BK2" t="s">
        <v>3348</v>
      </c>
      <c r="BN2" t="s">
        <v>94</v>
      </c>
      <c r="BP2" t="s">
        <v>4254</v>
      </c>
      <c r="BQ2" t="s">
        <v>3463</v>
      </c>
      <c r="BR2" t="s">
        <v>3465</v>
      </c>
      <c r="BS2" t="s">
        <v>3463</v>
      </c>
      <c r="BT2" t="s">
        <v>3463</v>
      </c>
      <c r="BU2" t="s">
        <v>3463</v>
      </c>
      <c r="BV2" t="s">
        <v>3463</v>
      </c>
      <c r="BW2" t="s">
        <v>3463</v>
      </c>
      <c r="BX2" t="s">
        <v>79</v>
      </c>
      <c r="BY2" t="s">
        <v>87</v>
      </c>
      <c r="BZ2" t="s">
        <v>79</v>
      </c>
      <c r="CA2" s="10">
        <v>45908</v>
      </c>
    </row>
    <row r="3" spans="1:80">
      <c r="A3" s="15">
        <v>68</v>
      </c>
      <c r="B3" s="15">
        <v>75</v>
      </c>
      <c r="C3" s="15">
        <v>58</v>
      </c>
      <c r="D3" s="15" t="s">
        <v>3466</v>
      </c>
      <c r="E3" s="15"/>
      <c r="F3" s="15" t="s">
        <v>71</v>
      </c>
      <c r="G3" s="15" t="s">
        <v>3463</v>
      </c>
      <c r="H3" s="15"/>
      <c r="I3" s="15">
        <v>63</v>
      </c>
      <c r="J3" s="15">
        <v>56</v>
      </c>
      <c r="K3" s="15">
        <v>176</v>
      </c>
      <c r="L3" s="15">
        <v>108</v>
      </c>
      <c r="M3" s="15" t="s">
        <v>72</v>
      </c>
      <c r="N3" s="15">
        <v>170</v>
      </c>
      <c r="O3" s="15">
        <v>95</v>
      </c>
      <c r="P3" s="15" t="s">
        <v>72</v>
      </c>
      <c r="Q3" s="15" t="s">
        <v>72</v>
      </c>
      <c r="R3" s="15">
        <v>68.2</v>
      </c>
      <c r="S3" s="15">
        <v>161</v>
      </c>
      <c r="T3" s="15">
        <v>26.310713321245323</v>
      </c>
      <c r="U3" s="15" t="s">
        <v>601</v>
      </c>
      <c r="V3" s="15">
        <v>90</v>
      </c>
      <c r="W3" s="15"/>
      <c r="X3" s="15" t="s">
        <v>3463</v>
      </c>
      <c r="Y3" s="15">
        <v>89</v>
      </c>
      <c r="Z3" s="15"/>
      <c r="AA3" s="15">
        <v>75</v>
      </c>
      <c r="AB3" s="15">
        <v>0.29899233626349969</v>
      </c>
      <c r="AC3" s="15"/>
      <c r="AD3" s="15" t="s">
        <v>73</v>
      </c>
      <c r="AE3" s="15"/>
      <c r="AF3" s="15" t="s">
        <v>73</v>
      </c>
      <c r="AG3" s="15"/>
      <c r="AH3" s="15" t="s">
        <v>3463</v>
      </c>
      <c r="AI3" s="15" t="s">
        <v>3463</v>
      </c>
      <c r="AJ3" s="15" t="s">
        <v>3463</v>
      </c>
      <c r="AK3" s="15" t="s">
        <v>3463</v>
      </c>
      <c r="AL3" s="15" t="s">
        <v>3463</v>
      </c>
      <c r="AM3" s="15"/>
      <c r="AN3" s="15"/>
      <c r="AO3" s="15"/>
      <c r="AP3" s="15" t="s">
        <v>3463</v>
      </c>
      <c r="AQ3" s="15" t="s">
        <v>148</v>
      </c>
      <c r="AR3" s="15" t="s">
        <v>3491</v>
      </c>
      <c r="AS3" s="15"/>
      <c r="AT3" s="15" t="s">
        <v>3463</v>
      </c>
      <c r="AU3" s="15"/>
      <c r="AV3" s="15" t="s">
        <v>126</v>
      </c>
      <c r="AW3" s="15" t="s">
        <v>126</v>
      </c>
      <c r="AX3" s="15" t="s">
        <v>3463</v>
      </c>
      <c r="AY3" s="15" t="s">
        <v>3463</v>
      </c>
      <c r="AZ3" s="15"/>
      <c r="BA3" s="15" t="s">
        <v>3920</v>
      </c>
      <c r="BB3" s="15"/>
      <c r="BC3" s="15"/>
      <c r="BD3" s="15"/>
      <c r="BE3" s="15" t="s">
        <v>3350</v>
      </c>
      <c r="BF3" s="15" t="s">
        <v>3928</v>
      </c>
      <c r="BG3" s="15" t="s">
        <v>3351</v>
      </c>
      <c r="BH3" s="15" t="s">
        <v>4050</v>
      </c>
      <c r="BI3" s="15" t="s">
        <v>139</v>
      </c>
      <c r="BJ3" s="15"/>
      <c r="BK3" s="15"/>
      <c r="BL3" s="15"/>
      <c r="BM3" s="15"/>
      <c r="BN3" s="15" t="s">
        <v>94</v>
      </c>
      <c r="BO3" s="15"/>
      <c r="BP3" s="15" t="s">
        <v>4296</v>
      </c>
      <c r="BQ3" s="15" t="s">
        <v>3463</v>
      </c>
      <c r="BR3" s="15" t="s">
        <v>3463</v>
      </c>
      <c r="BS3" s="15" t="s">
        <v>3463</v>
      </c>
      <c r="BT3" s="15" t="s">
        <v>3465</v>
      </c>
      <c r="BU3" s="15" t="s">
        <v>3463</v>
      </c>
      <c r="BV3" s="15" t="s">
        <v>3463</v>
      </c>
      <c r="BW3" s="15" t="s">
        <v>3463</v>
      </c>
      <c r="BX3" s="15" t="s">
        <v>79</v>
      </c>
      <c r="BY3" s="15" t="s">
        <v>87</v>
      </c>
      <c r="BZ3" s="15" t="s">
        <v>79</v>
      </c>
      <c r="CA3" s="16">
        <v>45908</v>
      </c>
      <c r="CB3" s="15"/>
    </row>
    <row r="4" spans="1:80">
      <c r="A4" s="15">
        <v>147</v>
      </c>
      <c r="B4" s="15">
        <v>5</v>
      </c>
      <c r="C4" s="15">
        <v>42</v>
      </c>
      <c r="D4" s="15" t="s">
        <v>3466</v>
      </c>
      <c r="E4" s="15" t="s">
        <v>502</v>
      </c>
      <c r="F4" s="15" t="s">
        <v>503</v>
      </c>
      <c r="G4" s="15" t="s">
        <v>3463</v>
      </c>
      <c r="H4" s="15"/>
      <c r="I4" s="15">
        <v>67</v>
      </c>
      <c r="J4" s="15"/>
      <c r="K4" s="15">
        <v>129</v>
      </c>
      <c r="L4" s="15">
        <v>82</v>
      </c>
      <c r="M4" s="15" t="s">
        <v>82</v>
      </c>
      <c r="N4" s="15"/>
      <c r="O4" s="15"/>
      <c r="P4" s="15" t="s">
        <v>83</v>
      </c>
      <c r="Q4" s="15" t="s">
        <v>82</v>
      </c>
      <c r="R4" s="15">
        <v>63.4</v>
      </c>
      <c r="S4" s="15">
        <v>162.5</v>
      </c>
      <c r="T4" s="15">
        <v>24.009467455621301</v>
      </c>
      <c r="U4" s="15" t="s">
        <v>4572</v>
      </c>
      <c r="V4" s="15">
        <v>78</v>
      </c>
      <c r="W4" s="15"/>
      <c r="X4" s="15" t="s">
        <v>3463</v>
      </c>
      <c r="Y4" s="15">
        <v>662</v>
      </c>
      <c r="Z4" s="15"/>
      <c r="AA4" s="15">
        <v>90</v>
      </c>
      <c r="AB4" s="15">
        <v>2.9724502789221348E-2</v>
      </c>
      <c r="AC4" s="15"/>
      <c r="AD4" s="15" t="s">
        <v>73</v>
      </c>
      <c r="AE4" s="15"/>
      <c r="AF4" s="15" t="s">
        <v>73</v>
      </c>
      <c r="AG4" s="15"/>
      <c r="AH4" s="15" t="s">
        <v>3463</v>
      </c>
      <c r="AI4" s="15" t="s">
        <v>3463</v>
      </c>
      <c r="AJ4" s="15" t="s">
        <v>3463</v>
      </c>
      <c r="AK4" s="15" t="s">
        <v>3463</v>
      </c>
      <c r="AL4" s="15" t="s">
        <v>3463</v>
      </c>
      <c r="AM4" s="15"/>
      <c r="AN4" s="15"/>
      <c r="AO4" s="15"/>
      <c r="AP4" s="15" t="s">
        <v>3463</v>
      </c>
      <c r="AQ4" s="15"/>
      <c r="AR4" s="15"/>
      <c r="AS4" s="15"/>
      <c r="AT4" s="15"/>
      <c r="AU4" s="15"/>
      <c r="AV4" s="15" t="s">
        <v>74</v>
      </c>
      <c r="AW4" s="15" t="s">
        <v>3915</v>
      </c>
      <c r="AX4" s="15" t="s">
        <v>3463</v>
      </c>
      <c r="AY4" s="15" t="s">
        <v>3465</v>
      </c>
      <c r="AZ4" s="15" t="s">
        <v>104</v>
      </c>
      <c r="BA4" s="15"/>
      <c r="BB4" s="15"/>
      <c r="BC4" s="15"/>
      <c r="BD4" s="15"/>
      <c r="BE4" s="15"/>
      <c r="BF4" s="15" t="s">
        <v>3921</v>
      </c>
      <c r="BG4" s="15"/>
      <c r="BH4" s="15" t="s">
        <v>4020</v>
      </c>
      <c r="BI4" s="15"/>
      <c r="BJ4" s="15"/>
      <c r="BK4" s="15"/>
      <c r="BL4" s="15"/>
      <c r="BM4" s="15"/>
      <c r="BN4" s="15"/>
      <c r="BO4" s="15"/>
      <c r="BP4" s="15" t="s">
        <v>4260</v>
      </c>
      <c r="BQ4" s="15" t="s">
        <v>3463</v>
      </c>
      <c r="BR4" s="15" t="s">
        <v>3465</v>
      </c>
      <c r="BS4" s="15" t="s">
        <v>3465</v>
      </c>
      <c r="BT4" s="15" t="s">
        <v>3465</v>
      </c>
      <c r="BU4" s="15" t="s">
        <v>3463</v>
      </c>
      <c r="BV4" s="15" t="s">
        <v>3463</v>
      </c>
      <c r="BW4" s="15" t="s">
        <v>3463</v>
      </c>
      <c r="BX4" s="15" t="s">
        <v>79</v>
      </c>
      <c r="BY4" s="15" t="s">
        <v>87</v>
      </c>
      <c r="BZ4" s="15" t="s">
        <v>79</v>
      </c>
      <c r="CA4" s="16">
        <v>45909</v>
      </c>
      <c r="CB4" s="15"/>
    </row>
    <row r="5" spans="1:80">
      <c r="A5" s="15">
        <v>181</v>
      </c>
      <c r="B5" s="15">
        <v>39</v>
      </c>
      <c r="C5" s="15">
        <v>34</v>
      </c>
      <c r="D5" s="15" t="s">
        <v>3466</v>
      </c>
      <c r="E5" s="15" t="s">
        <v>507</v>
      </c>
      <c r="F5" s="15" t="s">
        <v>613</v>
      </c>
      <c r="G5" s="15" t="s">
        <v>3465</v>
      </c>
      <c r="H5" s="15" t="s">
        <v>88</v>
      </c>
      <c r="I5" s="15">
        <v>75</v>
      </c>
      <c r="J5" s="15"/>
      <c r="K5" s="15">
        <v>124</v>
      </c>
      <c r="L5" s="15">
        <v>77</v>
      </c>
      <c r="M5" s="15" t="s">
        <v>118</v>
      </c>
      <c r="N5" s="15"/>
      <c r="O5" s="15"/>
      <c r="P5" s="15" t="s">
        <v>83</v>
      </c>
      <c r="Q5" s="15" t="s">
        <v>118</v>
      </c>
      <c r="R5" s="15">
        <v>49.8</v>
      </c>
      <c r="S5" s="15">
        <v>150</v>
      </c>
      <c r="T5" s="15">
        <v>22.133333333333333</v>
      </c>
      <c r="U5" s="15" t="s">
        <v>4572</v>
      </c>
      <c r="V5" s="15">
        <v>105</v>
      </c>
      <c r="W5" s="15"/>
      <c r="X5" s="15" t="s">
        <v>3463</v>
      </c>
      <c r="Y5" s="15">
        <v>347</v>
      </c>
      <c r="Z5" s="15"/>
      <c r="AA5" s="15">
        <v>90</v>
      </c>
      <c r="AB5" s="15">
        <v>6.781985814887373E-2</v>
      </c>
      <c r="AC5" s="15"/>
      <c r="AD5" s="15" t="s">
        <v>73</v>
      </c>
      <c r="AE5" s="15"/>
      <c r="AF5" s="15" t="s">
        <v>73</v>
      </c>
      <c r="AG5" s="15"/>
      <c r="AH5" s="15" t="s">
        <v>3463</v>
      </c>
      <c r="AI5" s="15" t="s">
        <v>3463</v>
      </c>
      <c r="AJ5" s="15" t="s">
        <v>3463</v>
      </c>
      <c r="AK5" s="15" t="s">
        <v>3463</v>
      </c>
      <c r="AL5" s="15" t="s">
        <v>3465</v>
      </c>
      <c r="AM5" s="15" t="s">
        <v>3352</v>
      </c>
      <c r="AN5" s="15" t="s">
        <v>116</v>
      </c>
      <c r="AO5" s="15"/>
      <c r="AP5" s="15" t="s">
        <v>3463</v>
      </c>
      <c r="AQ5" s="15" t="s">
        <v>3353</v>
      </c>
      <c r="AR5" s="15" t="s">
        <v>3512</v>
      </c>
      <c r="AS5" s="15"/>
      <c r="AT5" s="15" t="s">
        <v>3463</v>
      </c>
      <c r="AU5" s="15"/>
      <c r="AV5" s="15" t="s">
        <v>74</v>
      </c>
      <c r="AW5" s="15" t="s">
        <v>3915</v>
      </c>
      <c r="AX5" s="15" t="s">
        <v>3463</v>
      </c>
      <c r="AY5" s="15" t="s">
        <v>3463</v>
      </c>
      <c r="AZ5" s="15" t="s">
        <v>137</v>
      </c>
      <c r="BA5" s="15"/>
      <c r="BB5" s="15"/>
      <c r="BC5" s="15"/>
      <c r="BD5" s="15"/>
      <c r="BE5" s="15"/>
      <c r="BF5" s="15" t="s">
        <v>3921</v>
      </c>
      <c r="BG5" s="15"/>
      <c r="BH5" s="15" t="s">
        <v>4020</v>
      </c>
      <c r="BI5" s="15"/>
      <c r="BJ5" s="15"/>
      <c r="BK5" s="15"/>
      <c r="BL5" s="15"/>
      <c r="BM5" s="15"/>
      <c r="BN5" s="15"/>
      <c r="BO5" s="15"/>
      <c r="BP5" s="15" t="s">
        <v>4260</v>
      </c>
      <c r="BQ5" s="15" t="s">
        <v>3463</v>
      </c>
      <c r="BR5" s="15" t="s">
        <v>3465</v>
      </c>
      <c r="BS5" s="15" t="s">
        <v>3463</v>
      </c>
      <c r="BT5" s="15" t="s">
        <v>3463</v>
      </c>
      <c r="BU5" s="15" t="s">
        <v>3463</v>
      </c>
      <c r="BV5" s="15" t="s">
        <v>3463</v>
      </c>
      <c r="BW5" s="15" t="s">
        <v>3463</v>
      </c>
      <c r="BX5" s="15" t="s">
        <v>518</v>
      </c>
      <c r="BY5" s="15" t="s">
        <v>87</v>
      </c>
      <c r="BZ5" s="15" t="s">
        <v>79</v>
      </c>
      <c r="CA5" s="16">
        <v>45909</v>
      </c>
      <c r="CB5" s="15"/>
    </row>
    <row r="6" spans="1:80">
      <c r="A6" s="15">
        <v>260</v>
      </c>
      <c r="B6" s="15">
        <v>118</v>
      </c>
      <c r="C6" s="15">
        <v>63</v>
      </c>
      <c r="D6" s="15" t="s">
        <v>3462</v>
      </c>
      <c r="E6" s="15"/>
      <c r="F6" s="15" t="s">
        <v>503</v>
      </c>
      <c r="G6" s="15" t="s">
        <v>3463</v>
      </c>
      <c r="H6" s="15"/>
      <c r="I6" s="15">
        <v>50</v>
      </c>
      <c r="J6" s="15">
        <v>49</v>
      </c>
      <c r="K6" s="15">
        <v>154</v>
      </c>
      <c r="L6" s="15">
        <v>86</v>
      </c>
      <c r="M6" s="15" t="s">
        <v>72</v>
      </c>
      <c r="N6" s="15">
        <v>153</v>
      </c>
      <c r="O6" s="15">
        <v>91</v>
      </c>
      <c r="P6" s="15" t="s">
        <v>72</v>
      </c>
      <c r="Q6" s="15" t="s">
        <v>72</v>
      </c>
      <c r="R6" s="15">
        <v>88.9</v>
      </c>
      <c r="S6" s="15">
        <v>169</v>
      </c>
      <c r="T6" s="15">
        <v>31.126361121809463</v>
      </c>
      <c r="U6" s="15" t="s">
        <v>4573</v>
      </c>
      <c r="V6" s="15">
        <v>101</v>
      </c>
      <c r="W6" s="15"/>
      <c r="X6" s="15" t="s">
        <v>3463</v>
      </c>
      <c r="Y6" s="15">
        <v>74</v>
      </c>
      <c r="Z6" s="15"/>
      <c r="AA6" s="15">
        <v>90</v>
      </c>
      <c r="AB6" s="15">
        <v>0.48321211448401102</v>
      </c>
      <c r="AC6" s="15"/>
      <c r="AD6" s="15" t="s">
        <v>73</v>
      </c>
      <c r="AE6" s="15"/>
      <c r="AF6" s="15" t="s">
        <v>73</v>
      </c>
      <c r="AG6" s="15"/>
      <c r="AH6" s="15" t="s">
        <v>3463</v>
      </c>
      <c r="AI6" s="15" t="s">
        <v>3465</v>
      </c>
      <c r="AJ6" s="15" t="s">
        <v>3463</v>
      </c>
      <c r="AK6" s="15" t="s">
        <v>3463</v>
      </c>
      <c r="AL6" s="15" t="s">
        <v>3463</v>
      </c>
      <c r="AM6" s="15"/>
      <c r="AN6" s="15"/>
      <c r="AO6" s="15"/>
      <c r="AP6" s="15" t="s">
        <v>3463</v>
      </c>
      <c r="AQ6" s="15" t="s">
        <v>169</v>
      </c>
      <c r="AR6" s="15" t="s">
        <v>3493</v>
      </c>
      <c r="AS6" s="15" t="s">
        <v>3465</v>
      </c>
      <c r="AT6" s="15"/>
      <c r="AU6" s="15"/>
      <c r="AV6" s="15" t="s">
        <v>112</v>
      </c>
      <c r="AW6" s="15" t="s">
        <v>3917</v>
      </c>
      <c r="AX6" s="15"/>
      <c r="AY6" s="15"/>
      <c r="AZ6" s="15"/>
      <c r="BA6" s="15" t="s">
        <v>3920</v>
      </c>
      <c r="BB6" s="15"/>
      <c r="BC6" s="15"/>
      <c r="BD6" s="15"/>
      <c r="BE6" s="15"/>
      <c r="BF6" s="15" t="s">
        <v>3921</v>
      </c>
      <c r="BG6" s="15"/>
      <c r="BH6" s="15" t="s">
        <v>4029</v>
      </c>
      <c r="BI6" s="15"/>
      <c r="BJ6" s="15"/>
      <c r="BK6" s="15"/>
      <c r="BL6" s="15" t="s">
        <v>3354</v>
      </c>
      <c r="BM6" s="15"/>
      <c r="BN6" s="15"/>
      <c r="BO6" s="15"/>
      <c r="BP6" s="15" t="s">
        <v>4371</v>
      </c>
      <c r="BQ6" s="15" t="s">
        <v>3463</v>
      </c>
      <c r="BR6" s="15" t="s">
        <v>3465</v>
      </c>
      <c r="BS6" s="15" t="s">
        <v>3463</v>
      </c>
      <c r="BT6" s="15" t="s">
        <v>3465</v>
      </c>
      <c r="BU6" s="15" t="s">
        <v>3463</v>
      </c>
      <c r="BV6" s="15" t="s">
        <v>3463</v>
      </c>
      <c r="BW6" s="15" t="s">
        <v>3463</v>
      </c>
      <c r="BX6" s="15" t="s">
        <v>79</v>
      </c>
      <c r="BY6" s="15" t="s">
        <v>87</v>
      </c>
      <c r="BZ6" s="15" t="s">
        <v>79</v>
      </c>
      <c r="CA6" s="16">
        <v>45909</v>
      </c>
      <c r="CB6" s="15"/>
    </row>
    <row r="7" spans="1:80">
      <c r="A7" s="15">
        <v>296</v>
      </c>
      <c r="B7" s="15">
        <v>152</v>
      </c>
      <c r="C7" s="15">
        <v>43</v>
      </c>
      <c r="D7" s="15" t="s">
        <v>3466</v>
      </c>
      <c r="E7" s="15"/>
      <c r="F7" s="15" t="s">
        <v>503</v>
      </c>
      <c r="G7" s="15" t="s">
        <v>3463</v>
      </c>
      <c r="H7" s="15"/>
      <c r="I7" s="15">
        <v>78</v>
      </c>
      <c r="J7" s="15"/>
      <c r="K7" s="15">
        <v>138</v>
      </c>
      <c r="L7" s="15">
        <v>85</v>
      </c>
      <c r="M7" s="15" t="s">
        <v>82</v>
      </c>
      <c r="N7" s="15"/>
      <c r="O7" s="15"/>
      <c r="P7" s="15" t="s">
        <v>83</v>
      </c>
      <c r="Q7" s="15" t="s">
        <v>82</v>
      </c>
      <c r="R7" s="15">
        <v>56.9</v>
      </c>
      <c r="S7" s="15">
        <v>150</v>
      </c>
      <c r="T7" s="15">
        <v>25.288888888888888</v>
      </c>
      <c r="U7" s="15" t="s">
        <v>601</v>
      </c>
      <c r="V7" s="15">
        <v>83</v>
      </c>
      <c r="W7" s="15"/>
      <c r="X7" s="15" t="s">
        <v>3463</v>
      </c>
      <c r="Y7" s="15">
        <v>74</v>
      </c>
      <c r="Z7" s="15"/>
      <c r="AA7" s="15">
        <v>90</v>
      </c>
      <c r="AB7" s="15">
        <v>0.40960487310304761</v>
      </c>
      <c r="AC7" s="15"/>
      <c r="AD7" s="15" t="s">
        <v>73</v>
      </c>
      <c r="AE7" s="15"/>
      <c r="AF7" s="15" t="s">
        <v>73</v>
      </c>
      <c r="AG7" s="15"/>
      <c r="AH7" s="15" t="s">
        <v>3463</v>
      </c>
      <c r="AI7" s="15" t="s">
        <v>3463</v>
      </c>
      <c r="AJ7" s="15" t="s">
        <v>3465</v>
      </c>
      <c r="AK7" s="15" t="s">
        <v>3463</v>
      </c>
      <c r="AL7" s="15" t="s">
        <v>3463</v>
      </c>
      <c r="AM7" s="15"/>
      <c r="AN7" s="15"/>
      <c r="AO7" s="15"/>
      <c r="AP7" s="15" t="s">
        <v>3463</v>
      </c>
      <c r="AQ7" s="15" t="s">
        <v>159</v>
      </c>
      <c r="AR7" s="15" t="s">
        <v>3491</v>
      </c>
      <c r="AS7" s="15"/>
      <c r="AT7" s="15"/>
      <c r="AU7" s="15"/>
      <c r="AV7" s="15" t="s">
        <v>126</v>
      </c>
      <c r="AW7" s="15" t="s">
        <v>126</v>
      </c>
      <c r="AX7" s="15" t="s">
        <v>3463</v>
      </c>
      <c r="AY7" s="15" t="s">
        <v>3465</v>
      </c>
      <c r="AZ7" s="15" t="s">
        <v>90</v>
      </c>
      <c r="BA7" s="15"/>
      <c r="BB7" s="15"/>
      <c r="BC7" s="15"/>
      <c r="BD7" s="15"/>
      <c r="BE7" s="15"/>
      <c r="BF7" s="15" t="s">
        <v>3921</v>
      </c>
      <c r="BG7" s="15"/>
      <c r="BH7" s="15" t="s">
        <v>4020</v>
      </c>
      <c r="BI7" s="15"/>
      <c r="BJ7" s="15"/>
      <c r="BK7" s="15"/>
      <c r="BL7" s="15"/>
      <c r="BM7" s="15"/>
      <c r="BN7" s="15"/>
      <c r="BO7" s="15"/>
      <c r="BP7" s="15" t="s">
        <v>4260</v>
      </c>
      <c r="BQ7" s="15" t="s">
        <v>3463</v>
      </c>
      <c r="BR7" s="15" t="s">
        <v>3463</v>
      </c>
      <c r="BS7" s="15" t="s">
        <v>3463</v>
      </c>
      <c r="BT7" s="15" t="s">
        <v>3463</v>
      </c>
      <c r="BU7" s="15" t="s">
        <v>3463</v>
      </c>
      <c r="BV7" s="15" t="s">
        <v>3463</v>
      </c>
      <c r="BW7" s="15" t="s">
        <v>3463</v>
      </c>
      <c r="BX7" s="15" t="s">
        <v>79</v>
      </c>
      <c r="BY7" s="15" t="s">
        <v>79</v>
      </c>
      <c r="BZ7" s="15" t="s">
        <v>79</v>
      </c>
      <c r="CA7" s="16">
        <v>45909</v>
      </c>
      <c r="CB7" s="15"/>
    </row>
    <row r="8" spans="1:80">
      <c r="A8" s="15">
        <v>315</v>
      </c>
      <c r="B8" s="15">
        <v>162</v>
      </c>
      <c r="C8" s="15">
        <v>80</v>
      </c>
      <c r="D8" s="15" t="s">
        <v>3466</v>
      </c>
      <c r="E8" s="15"/>
      <c r="F8" s="15" t="s">
        <v>71</v>
      </c>
      <c r="G8" s="15" t="s">
        <v>3465</v>
      </c>
      <c r="H8" s="15" t="s">
        <v>88</v>
      </c>
      <c r="I8" s="15">
        <v>64</v>
      </c>
      <c r="J8" s="15">
        <v>63</v>
      </c>
      <c r="K8" s="15">
        <v>172</v>
      </c>
      <c r="L8" s="15">
        <v>68</v>
      </c>
      <c r="M8" s="15" t="s">
        <v>72</v>
      </c>
      <c r="N8" s="15">
        <v>173</v>
      </c>
      <c r="O8" s="15">
        <v>72</v>
      </c>
      <c r="P8" s="15" t="s">
        <v>72</v>
      </c>
      <c r="Q8" s="15" t="s">
        <v>72</v>
      </c>
      <c r="R8" s="15">
        <v>59</v>
      </c>
      <c r="S8" s="15">
        <v>146</v>
      </c>
      <c r="T8" s="15">
        <v>27.678738975417527</v>
      </c>
      <c r="U8" s="15" t="s">
        <v>601</v>
      </c>
      <c r="V8" s="15">
        <v>111</v>
      </c>
      <c r="W8" s="15"/>
      <c r="X8" s="15" t="s">
        <v>3463</v>
      </c>
      <c r="Y8" s="15">
        <v>153</v>
      </c>
      <c r="Z8" s="15"/>
      <c r="AA8" s="15">
        <v>34</v>
      </c>
      <c r="AB8" s="15">
        <v>0.1361056583771969</v>
      </c>
      <c r="AC8" s="15"/>
      <c r="AD8" s="15" t="s">
        <v>218</v>
      </c>
      <c r="AE8" s="15"/>
      <c r="AF8" s="15" t="s">
        <v>218</v>
      </c>
      <c r="AG8" s="15" t="s">
        <v>3465</v>
      </c>
      <c r="AH8" s="15" t="s">
        <v>3465</v>
      </c>
      <c r="AI8" s="15" t="s">
        <v>3465</v>
      </c>
      <c r="AJ8" s="15" t="s">
        <v>3463</v>
      </c>
      <c r="AK8" s="15" t="s">
        <v>3463</v>
      </c>
      <c r="AL8" s="15" t="s">
        <v>3465</v>
      </c>
      <c r="AM8" s="15" t="s">
        <v>472</v>
      </c>
      <c r="AN8" s="15" t="s">
        <v>3617</v>
      </c>
      <c r="AO8" s="15"/>
      <c r="AP8" s="15" t="s">
        <v>3463</v>
      </c>
      <c r="AQ8" s="15" t="s">
        <v>1173</v>
      </c>
      <c r="AR8" s="15" t="s">
        <v>3494</v>
      </c>
      <c r="AS8" s="15" t="s">
        <v>3465</v>
      </c>
      <c r="AT8" s="15" t="s">
        <v>3465</v>
      </c>
      <c r="AU8" s="15"/>
      <c r="AV8" s="15" t="s">
        <v>74</v>
      </c>
      <c r="AW8" s="15" t="s">
        <v>3915</v>
      </c>
      <c r="AX8" s="15" t="s">
        <v>3463</v>
      </c>
      <c r="AY8" s="15" t="s">
        <v>3465</v>
      </c>
      <c r="AZ8" s="15"/>
      <c r="BA8" s="15"/>
      <c r="BB8" s="15"/>
      <c r="BC8" s="15"/>
      <c r="BD8" s="15"/>
      <c r="BE8" s="15"/>
      <c r="BF8" s="15" t="s">
        <v>3921</v>
      </c>
      <c r="BG8" s="15"/>
      <c r="BH8" s="15" t="s">
        <v>4020</v>
      </c>
      <c r="BI8" s="15"/>
      <c r="BJ8" s="15"/>
      <c r="BK8" s="15"/>
      <c r="BL8" s="15"/>
      <c r="BM8" s="15"/>
      <c r="BN8" s="15"/>
      <c r="BO8" s="15"/>
      <c r="BP8" s="15" t="s">
        <v>4260</v>
      </c>
      <c r="BQ8" s="15" t="s">
        <v>3463</v>
      </c>
      <c r="BR8" s="15" t="s">
        <v>3463</v>
      </c>
      <c r="BS8" s="15" t="s">
        <v>3465</v>
      </c>
      <c r="BT8" s="15" t="s">
        <v>3465</v>
      </c>
      <c r="BU8" s="15" t="s">
        <v>3463</v>
      </c>
      <c r="BV8" s="15" t="s">
        <v>3463</v>
      </c>
      <c r="BW8" s="15" t="s">
        <v>3463</v>
      </c>
      <c r="BX8" s="15" t="s">
        <v>79</v>
      </c>
      <c r="BY8" s="15" t="s">
        <v>87</v>
      </c>
      <c r="BZ8" s="15" t="s">
        <v>79</v>
      </c>
      <c r="CA8" s="16">
        <v>45909</v>
      </c>
      <c r="CB8" s="15"/>
    </row>
    <row r="9" spans="1:80">
      <c r="A9" s="15">
        <v>708</v>
      </c>
      <c r="B9" s="15">
        <v>24</v>
      </c>
      <c r="C9" s="15">
        <v>91</v>
      </c>
      <c r="D9" s="15" t="s">
        <v>3466</v>
      </c>
      <c r="E9" s="15"/>
      <c r="F9" s="15" t="s">
        <v>150</v>
      </c>
      <c r="G9" s="15"/>
      <c r="H9" s="15" t="s">
        <v>3465</v>
      </c>
      <c r="I9" s="15">
        <v>78</v>
      </c>
      <c r="J9" s="15">
        <v>78</v>
      </c>
      <c r="K9" s="15">
        <v>167</v>
      </c>
      <c r="L9" s="15">
        <v>86</v>
      </c>
      <c r="M9" s="15" t="s">
        <v>72</v>
      </c>
      <c r="N9" s="15">
        <v>160</v>
      </c>
      <c r="O9" s="15">
        <v>79</v>
      </c>
      <c r="P9" s="15" t="s">
        <v>72</v>
      </c>
      <c r="Q9" s="15" t="s">
        <v>72</v>
      </c>
      <c r="R9" s="15">
        <v>54.1</v>
      </c>
      <c r="S9" s="15">
        <v>138.5</v>
      </c>
      <c r="T9" s="15">
        <v>28.203156564011</v>
      </c>
      <c r="U9" s="15" t="s">
        <v>601</v>
      </c>
      <c r="V9" s="15">
        <v>146</v>
      </c>
      <c r="W9" s="15"/>
      <c r="X9" s="15" t="s">
        <v>3463</v>
      </c>
      <c r="Y9" s="15">
        <v>108</v>
      </c>
      <c r="Z9" s="15"/>
      <c r="AA9" s="15">
        <v>49</v>
      </c>
      <c r="AB9" s="15">
        <v>0.19305733534369199</v>
      </c>
      <c r="AC9" s="15"/>
      <c r="AD9" s="15" t="s">
        <v>158</v>
      </c>
      <c r="AE9" s="15"/>
      <c r="AF9" s="15" t="s">
        <v>158</v>
      </c>
      <c r="AG9" s="15" t="s">
        <v>3463</v>
      </c>
      <c r="AH9" s="15" t="s">
        <v>3465</v>
      </c>
      <c r="AI9" s="15" t="s">
        <v>3465</v>
      </c>
      <c r="AJ9" s="15" t="s">
        <v>3463</v>
      </c>
      <c r="AK9" s="15" t="s">
        <v>3463</v>
      </c>
      <c r="AL9" s="15" t="s">
        <v>3465</v>
      </c>
      <c r="AM9" s="15" t="s">
        <v>110</v>
      </c>
      <c r="AN9" s="15" t="s">
        <v>110</v>
      </c>
      <c r="AO9" s="15"/>
      <c r="AP9" s="15" t="s">
        <v>3463</v>
      </c>
      <c r="AQ9" s="15" t="s">
        <v>1307</v>
      </c>
      <c r="AR9" s="15" t="s">
        <v>3491</v>
      </c>
      <c r="AS9" s="15" t="s">
        <v>3465</v>
      </c>
      <c r="AT9" s="15" t="s">
        <v>3463</v>
      </c>
      <c r="AU9" s="15"/>
      <c r="AV9" s="15" t="s">
        <v>74</v>
      </c>
      <c r="AW9" s="15" t="s">
        <v>3915</v>
      </c>
      <c r="AX9" s="15" t="s">
        <v>3463</v>
      </c>
      <c r="AY9" s="15" t="s">
        <v>3463</v>
      </c>
      <c r="AZ9" s="15"/>
      <c r="BA9" s="15" t="s">
        <v>3920</v>
      </c>
      <c r="BB9" s="15"/>
      <c r="BC9" s="15"/>
      <c r="BD9" s="15" t="s">
        <v>105</v>
      </c>
      <c r="BE9" s="15"/>
      <c r="BF9" s="15" t="s">
        <v>3921</v>
      </c>
      <c r="BG9" s="15" t="s">
        <v>3355</v>
      </c>
      <c r="BH9" s="15" t="s">
        <v>4171</v>
      </c>
      <c r="BI9" s="15"/>
      <c r="BJ9" s="15"/>
      <c r="BK9" s="15" t="s">
        <v>3356</v>
      </c>
      <c r="BL9" s="15" t="s">
        <v>3357</v>
      </c>
      <c r="BM9" s="15"/>
      <c r="BN9" s="15"/>
      <c r="BO9" s="15"/>
      <c r="BP9" s="15" t="s">
        <v>4459</v>
      </c>
      <c r="BQ9" s="15" t="s">
        <v>3463</v>
      </c>
      <c r="BR9" s="15" t="s">
        <v>3465</v>
      </c>
      <c r="BS9" s="15" t="s">
        <v>3463</v>
      </c>
      <c r="BT9" s="15" t="s">
        <v>3463</v>
      </c>
      <c r="BU9" s="15" t="s">
        <v>3463</v>
      </c>
      <c r="BV9" s="15" t="s">
        <v>3463</v>
      </c>
      <c r="BW9" s="15" t="s">
        <v>3463</v>
      </c>
      <c r="BX9" s="15" t="s">
        <v>79</v>
      </c>
      <c r="BY9" s="15" t="s">
        <v>79</v>
      </c>
      <c r="BZ9" s="15" t="s">
        <v>79</v>
      </c>
      <c r="CA9" s="16">
        <v>45911</v>
      </c>
      <c r="CB9" s="15"/>
    </row>
    <row r="10" spans="1:80">
      <c r="A10" s="15">
        <v>1020</v>
      </c>
      <c r="B10" s="15">
        <v>353</v>
      </c>
      <c r="C10" s="15">
        <v>30</v>
      </c>
      <c r="D10" s="15" t="s">
        <v>3462</v>
      </c>
      <c r="E10" s="15"/>
      <c r="F10" s="15" t="s">
        <v>150</v>
      </c>
      <c r="G10" s="15"/>
      <c r="H10" s="15" t="s">
        <v>3463</v>
      </c>
      <c r="I10" s="15">
        <v>66</v>
      </c>
      <c r="J10" s="15"/>
      <c r="K10" s="15">
        <v>130</v>
      </c>
      <c r="L10" s="15">
        <v>63</v>
      </c>
      <c r="M10" s="15" t="s">
        <v>82</v>
      </c>
      <c r="N10" s="15"/>
      <c r="O10" s="15"/>
      <c r="P10" s="15" t="s">
        <v>83</v>
      </c>
      <c r="Q10" s="15" t="s">
        <v>82</v>
      </c>
      <c r="R10" s="15">
        <v>104.5</v>
      </c>
      <c r="S10" s="15">
        <v>180</v>
      </c>
      <c r="T10" s="15">
        <v>32.253086419753082</v>
      </c>
      <c r="U10" s="15" t="s">
        <v>4573</v>
      </c>
      <c r="V10" s="15">
        <v>91</v>
      </c>
      <c r="W10" s="15"/>
      <c r="X10" s="15" t="s">
        <v>3463</v>
      </c>
      <c r="Y10" s="15">
        <v>104</v>
      </c>
      <c r="Z10" s="15"/>
      <c r="AA10" s="15">
        <v>90</v>
      </c>
      <c r="AB10" s="15">
        <v>0.39437476775711705</v>
      </c>
      <c r="AC10" s="15"/>
      <c r="AD10" s="15" t="s">
        <v>73</v>
      </c>
      <c r="AE10" s="15"/>
      <c r="AF10" s="15" t="s">
        <v>73</v>
      </c>
      <c r="AG10" s="15"/>
      <c r="AH10" s="15" t="s">
        <v>3463</v>
      </c>
      <c r="AI10" s="15" t="s">
        <v>3463</v>
      </c>
      <c r="AJ10" s="15" t="s">
        <v>3463</v>
      </c>
      <c r="AK10" s="15" t="s">
        <v>3463</v>
      </c>
      <c r="AL10" s="15" t="s">
        <v>3463</v>
      </c>
      <c r="AM10" s="15"/>
      <c r="AN10" s="15"/>
      <c r="AO10" s="15"/>
      <c r="AP10" s="15" t="s">
        <v>3463</v>
      </c>
      <c r="AQ10" s="15" t="s">
        <v>177</v>
      </c>
      <c r="AR10" s="15" t="s">
        <v>3488</v>
      </c>
      <c r="AS10" s="15"/>
      <c r="AT10" s="15"/>
      <c r="AU10" s="15"/>
      <c r="AV10" s="15"/>
      <c r="AW10" s="15" t="s">
        <v>3916</v>
      </c>
      <c r="AX10" s="15"/>
      <c r="AY10" s="15"/>
      <c r="AZ10" s="15"/>
      <c r="BA10" s="15"/>
      <c r="BB10" s="15"/>
      <c r="BC10" s="15"/>
      <c r="BD10" s="15"/>
      <c r="BE10" s="15"/>
      <c r="BF10" s="15" t="s">
        <v>3921</v>
      </c>
      <c r="BG10" s="15"/>
      <c r="BH10" s="15" t="s">
        <v>4020</v>
      </c>
      <c r="BI10" s="15"/>
      <c r="BJ10" s="15"/>
      <c r="BK10" s="15"/>
      <c r="BL10" s="15"/>
      <c r="BM10" s="15"/>
      <c r="BN10" s="15"/>
      <c r="BO10" s="15"/>
      <c r="BP10" s="15" t="s">
        <v>4260</v>
      </c>
      <c r="BQ10" s="15" t="s">
        <v>3465</v>
      </c>
      <c r="BR10" s="15" t="s">
        <v>3465</v>
      </c>
      <c r="BS10" s="15" t="s">
        <v>3463</v>
      </c>
      <c r="BT10" s="15" t="s">
        <v>3463</v>
      </c>
      <c r="BU10" s="15" t="s">
        <v>3463</v>
      </c>
      <c r="BV10" s="15"/>
      <c r="BW10" s="15"/>
      <c r="BX10" s="15" t="s">
        <v>79</v>
      </c>
      <c r="BY10" s="15" t="s">
        <v>79</v>
      </c>
      <c r="BZ10" s="15" t="s">
        <v>79</v>
      </c>
      <c r="CA10" s="16">
        <v>45911</v>
      </c>
      <c r="CB10" s="15"/>
    </row>
    <row r="11" spans="1:80">
      <c r="A11" s="15">
        <v>1032</v>
      </c>
      <c r="B11" s="15">
        <v>365</v>
      </c>
      <c r="C11" s="15">
        <v>35</v>
      </c>
      <c r="D11" s="15" t="s">
        <v>3462</v>
      </c>
      <c r="E11" s="15"/>
      <c r="F11" s="15" t="s">
        <v>168</v>
      </c>
      <c r="G11" s="15"/>
      <c r="H11" s="15" t="s">
        <v>3463</v>
      </c>
      <c r="I11" s="15">
        <v>86</v>
      </c>
      <c r="J11" s="15"/>
      <c r="K11" s="15">
        <v>129</v>
      </c>
      <c r="L11" s="15">
        <v>68</v>
      </c>
      <c r="M11" s="15" t="s">
        <v>118</v>
      </c>
      <c r="N11" s="15"/>
      <c r="O11" s="15"/>
      <c r="P11" s="15" t="s">
        <v>83</v>
      </c>
      <c r="Q11" s="15" t="s">
        <v>118</v>
      </c>
      <c r="R11" s="15">
        <v>776</v>
      </c>
      <c r="S11" s="15">
        <v>157</v>
      </c>
      <c r="T11" s="15">
        <v>314.82007383666684</v>
      </c>
      <c r="U11" s="15" t="s">
        <v>4574</v>
      </c>
      <c r="V11" s="15">
        <v>129</v>
      </c>
      <c r="W11" s="15"/>
      <c r="X11" s="15" t="s">
        <v>3463</v>
      </c>
      <c r="Y11" s="15">
        <v>98</v>
      </c>
      <c r="Z11" s="15"/>
      <c r="AA11" s="15">
        <v>90</v>
      </c>
      <c r="AB11" s="15">
        <v>0.41055637414508978</v>
      </c>
      <c r="AC11" s="15"/>
      <c r="AD11" s="15" t="s">
        <v>73</v>
      </c>
      <c r="AE11" s="15"/>
      <c r="AF11" s="15" t="s">
        <v>73</v>
      </c>
      <c r="AG11" s="15"/>
      <c r="AH11" s="15" t="s">
        <v>3463</v>
      </c>
      <c r="AI11" s="15" t="s">
        <v>3463</v>
      </c>
      <c r="AJ11" s="15" t="s">
        <v>3463</v>
      </c>
      <c r="AK11" s="15" t="s">
        <v>3463</v>
      </c>
      <c r="AL11" s="15" t="s">
        <v>3463</v>
      </c>
      <c r="AM11" s="15"/>
      <c r="AN11" s="15"/>
      <c r="AO11" s="15"/>
      <c r="AP11" s="15" t="s">
        <v>3463</v>
      </c>
      <c r="AQ11" s="15"/>
      <c r="AR11" s="15"/>
      <c r="AS11" s="15"/>
      <c r="AT11" s="15"/>
      <c r="AU11" s="15"/>
      <c r="AV11" s="15" t="s">
        <v>126</v>
      </c>
      <c r="AW11" s="15" t="s">
        <v>126</v>
      </c>
      <c r="AX11" s="15"/>
      <c r="AY11" s="15"/>
      <c r="AZ11" s="15"/>
      <c r="BA11" s="15"/>
      <c r="BB11" s="15"/>
      <c r="BC11" s="15"/>
      <c r="BD11" s="15"/>
      <c r="BE11" s="15"/>
      <c r="BF11" s="15" t="s">
        <v>3921</v>
      </c>
      <c r="BG11" s="15"/>
      <c r="BH11" s="15" t="s">
        <v>4020</v>
      </c>
      <c r="BI11" s="15"/>
      <c r="BJ11" s="15"/>
      <c r="BK11" s="15"/>
      <c r="BL11" s="15"/>
      <c r="BM11" s="15"/>
      <c r="BN11" s="15"/>
      <c r="BO11" s="15"/>
      <c r="BP11" s="15" t="s">
        <v>4260</v>
      </c>
      <c r="BQ11" s="15" t="s">
        <v>3465</v>
      </c>
      <c r="BR11" s="15" t="s">
        <v>3465</v>
      </c>
      <c r="BS11" s="15" t="s">
        <v>3463</v>
      </c>
      <c r="BT11" s="15" t="s">
        <v>3463</v>
      </c>
      <c r="BU11" s="15" t="s">
        <v>3463</v>
      </c>
      <c r="BV11" s="15"/>
      <c r="BW11" s="15"/>
      <c r="BX11" s="15" t="s">
        <v>79</v>
      </c>
      <c r="BY11" s="15" t="s">
        <v>87</v>
      </c>
      <c r="BZ11" s="15" t="s">
        <v>79</v>
      </c>
      <c r="CA11" s="16">
        <v>45911</v>
      </c>
      <c r="CB11" s="15"/>
    </row>
    <row r="12" spans="1:80">
      <c r="A12" s="15">
        <v>1047</v>
      </c>
      <c r="B12" s="15">
        <v>380</v>
      </c>
      <c r="C12" s="15">
        <v>29</v>
      </c>
      <c r="D12" s="15" t="s">
        <v>3462</v>
      </c>
      <c r="E12" s="15" t="s">
        <v>1966</v>
      </c>
      <c r="F12" s="15" t="s">
        <v>150</v>
      </c>
      <c r="G12" s="15"/>
      <c r="H12" s="15" t="s">
        <v>3465</v>
      </c>
      <c r="I12" s="15">
        <v>75</v>
      </c>
      <c r="J12" s="15"/>
      <c r="K12" s="15">
        <v>139</v>
      </c>
      <c r="L12" s="15">
        <v>82</v>
      </c>
      <c r="M12" s="15" t="s">
        <v>82</v>
      </c>
      <c r="N12" s="15"/>
      <c r="O12" s="15"/>
      <c r="P12" s="15" t="s">
        <v>83</v>
      </c>
      <c r="Q12" s="15" t="s">
        <v>82</v>
      </c>
      <c r="R12" s="15">
        <v>77.5</v>
      </c>
      <c r="S12" s="15">
        <v>166</v>
      </c>
      <c r="T12" s="15">
        <v>28.124546378284222</v>
      </c>
      <c r="U12" s="15" t="s">
        <v>601</v>
      </c>
      <c r="V12" s="15">
        <v>137</v>
      </c>
      <c r="W12" s="15"/>
      <c r="X12" s="15" t="s">
        <v>3463</v>
      </c>
      <c r="Y12" s="15">
        <v>90</v>
      </c>
      <c r="Z12" s="15"/>
      <c r="AA12" s="15">
        <v>90</v>
      </c>
      <c r="AB12" s="15">
        <v>0.47201861284141222</v>
      </c>
      <c r="AC12" s="15"/>
      <c r="AD12" s="15" t="s">
        <v>73</v>
      </c>
      <c r="AE12" s="15"/>
      <c r="AF12" s="15" t="s">
        <v>73</v>
      </c>
      <c r="AG12" s="15"/>
      <c r="AH12" s="15" t="s">
        <v>3463</v>
      </c>
      <c r="AI12" s="15" t="s">
        <v>3463</v>
      </c>
      <c r="AJ12" s="15" t="s">
        <v>3463</v>
      </c>
      <c r="AK12" s="15" t="s">
        <v>3463</v>
      </c>
      <c r="AL12" s="15"/>
      <c r="AM12" s="15"/>
      <c r="AN12" s="15"/>
      <c r="AO12" s="15"/>
      <c r="AP12" s="15" t="s">
        <v>3463</v>
      </c>
      <c r="AQ12" s="15"/>
      <c r="AR12" s="15"/>
      <c r="AS12" s="15"/>
      <c r="AT12" s="15"/>
      <c r="AU12" s="15"/>
      <c r="AV12" s="15"/>
      <c r="AW12" s="15" t="s">
        <v>3916</v>
      </c>
      <c r="AX12" s="15"/>
      <c r="AY12" s="15"/>
      <c r="AZ12" s="15"/>
      <c r="BA12" s="15"/>
      <c r="BB12" s="15"/>
      <c r="BC12" s="15"/>
      <c r="BD12" s="15"/>
      <c r="BE12" s="15"/>
      <c r="BF12" s="15" t="s">
        <v>3921</v>
      </c>
      <c r="BG12" s="15"/>
      <c r="BH12" s="15" t="s">
        <v>4020</v>
      </c>
      <c r="BI12" s="15"/>
      <c r="BJ12" s="15"/>
      <c r="BK12" s="15"/>
      <c r="BL12" s="15"/>
      <c r="BM12" s="15"/>
      <c r="BN12" s="15"/>
      <c r="BO12" s="15"/>
      <c r="BP12" s="15" t="s">
        <v>4260</v>
      </c>
      <c r="BQ12" s="15" t="s">
        <v>3463</v>
      </c>
      <c r="BR12" s="15" t="s">
        <v>3465</v>
      </c>
      <c r="BS12" s="15" t="s">
        <v>3463</v>
      </c>
      <c r="BT12" s="15" t="s">
        <v>3465</v>
      </c>
      <c r="BU12" s="15" t="s">
        <v>3463</v>
      </c>
      <c r="BV12" s="15" t="s">
        <v>3463</v>
      </c>
      <c r="BW12" s="15" t="s">
        <v>3463</v>
      </c>
      <c r="BX12" s="15" t="s">
        <v>79</v>
      </c>
      <c r="BY12" s="15" t="s">
        <v>79</v>
      </c>
      <c r="BZ12" s="15" t="s">
        <v>79</v>
      </c>
      <c r="CA12" s="16">
        <v>45911</v>
      </c>
      <c r="CB12" s="15"/>
    </row>
    <row r="13" spans="1:80">
      <c r="A13" s="15">
        <v>1053</v>
      </c>
      <c r="B13" s="15">
        <v>386</v>
      </c>
      <c r="C13" s="15">
        <v>45</v>
      </c>
      <c r="D13" s="15" t="s">
        <v>3462</v>
      </c>
      <c r="E13" s="15"/>
      <c r="F13" s="15" t="s">
        <v>380</v>
      </c>
      <c r="G13" s="15"/>
      <c r="H13" s="15" t="s">
        <v>3465</v>
      </c>
      <c r="I13" s="15">
        <v>83</v>
      </c>
      <c r="J13" s="15"/>
      <c r="K13" s="15">
        <v>141</v>
      </c>
      <c r="L13" s="15">
        <v>87</v>
      </c>
      <c r="M13" s="15" t="s">
        <v>72</v>
      </c>
      <c r="N13" s="15"/>
      <c r="O13" s="15"/>
      <c r="P13" s="15" t="s">
        <v>83</v>
      </c>
      <c r="Q13" s="15" t="s">
        <v>72</v>
      </c>
      <c r="R13" s="15">
        <v>102.7</v>
      </c>
      <c r="S13" s="15">
        <v>171</v>
      </c>
      <c r="T13" s="15">
        <v>35.121917855066521</v>
      </c>
      <c r="U13" s="15" t="s">
        <v>4575</v>
      </c>
      <c r="V13" s="15">
        <v>81</v>
      </c>
      <c r="W13" s="15"/>
      <c r="X13" s="15" t="s">
        <v>3463</v>
      </c>
      <c r="Y13" s="15">
        <v>178</v>
      </c>
      <c r="Z13" s="15"/>
      <c r="AA13" s="15">
        <v>47</v>
      </c>
      <c r="AB13" s="15">
        <v>0.18850809793208839</v>
      </c>
      <c r="AC13" s="15"/>
      <c r="AD13" s="15" t="s">
        <v>158</v>
      </c>
      <c r="AE13" s="15"/>
      <c r="AF13" s="15" t="s">
        <v>158</v>
      </c>
      <c r="AG13" s="15"/>
      <c r="AH13" s="15" t="s">
        <v>3463</v>
      </c>
      <c r="AI13" s="15" t="s">
        <v>3465</v>
      </c>
      <c r="AJ13" s="15" t="s">
        <v>3463</v>
      </c>
      <c r="AK13" s="15" t="s">
        <v>3463</v>
      </c>
      <c r="AL13" s="15" t="s">
        <v>3463</v>
      </c>
      <c r="AM13" s="15"/>
      <c r="AN13" s="15"/>
      <c r="AO13" s="15"/>
      <c r="AP13" s="15" t="s">
        <v>3463</v>
      </c>
      <c r="AQ13" s="15"/>
      <c r="AR13" s="15"/>
      <c r="AS13" s="15" t="s">
        <v>3465</v>
      </c>
      <c r="AT13" s="15"/>
      <c r="AU13" s="15"/>
      <c r="AV13" s="15" t="s">
        <v>178</v>
      </c>
      <c r="AW13" s="15" t="s">
        <v>3918</v>
      </c>
      <c r="AX13" s="15"/>
      <c r="AY13" s="15"/>
      <c r="AZ13" s="15"/>
      <c r="BA13" s="15"/>
      <c r="BB13" s="15"/>
      <c r="BC13" s="15"/>
      <c r="BD13" s="15"/>
      <c r="BE13" s="15"/>
      <c r="BF13" s="15" t="s">
        <v>3921</v>
      </c>
      <c r="BG13" s="15"/>
      <c r="BH13" s="15" t="s">
        <v>4020</v>
      </c>
      <c r="BI13" s="15"/>
      <c r="BJ13" s="15"/>
      <c r="BK13" s="15"/>
      <c r="BL13" s="15"/>
      <c r="BM13" s="15"/>
      <c r="BN13" s="15"/>
      <c r="BO13" s="15"/>
      <c r="BP13" s="15" t="s">
        <v>4260</v>
      </c>
      <c r="BQ13" s="15" t="s">
        <v>3465</v>
      </c>
      <c r="BR13" s="15" t="s">
        <v>3465</v>
      </c>
      <c r="BS13" s="15" t="s">
        <v>3463</v>
      </c>
      <c r="BT13" s="15" t="s">
        <v>3463</v>
      </c>
      <c r="BU13" s="15" t="s">
        <v>3463</v>
      </c>
      <c r="BV13" s="15"/>
      <c r="BW13" s="15"/>
      <c r="BX13" s="15" t="s">
        <v>79</v>
      </c>
      <c r="BY13" s="15" t="s">
        <v>87</v>
      </c>
      <c r="BZ13" s="15" t="s">
        <v>79</v>
      </c>
      <c r="CA13" s="16">
        <v>45911</v>
      </c>
      <c r="CB13" s="15"/>
    </row>
    <row r="14" spans="1:80">
      <c r="A14" s="15">
        <v>1067</v>
      </c>
      <c r="B14" s="15">
        <v>401</v>
      </c>
      <c r="C14" s="15">
        <v>43</v>
      </c>
      <c r="D14" s="15" t="s">
        <v>3462</v>
      </c>
      <c r="E14" s="15"/>
      <c r="F14" s="15" t="s">
        <v>150</v>
      </c>
      <c r="G14" s="15"/>
      <c r="H14" s="15" t="s">
        <v>3463</v>
      </c>
      <c r="I14" s="15">
        <v>67</v>
      </c>
      <c r="J14" s="15">
        <v>90</v>
      </c>
      <c r="K14" s="15">
        <v>151</v>
      </c>
      <c r="L14" s="15">
        <v>88</v>
      </c>
      <c r="M14" s="15" t="s">
        <v>72</v>
      </c>
      <c r="N14" s="15">
        <v>136</v>
      </c>
      <c r="O14" s="15">
        <v>85</v>
      </c>
      <c r="P14" s="15" t="s">
        <v>82</v>
      </c>
      <c r="Q14" s="15" t="s">
        <v>82</v>
      </c>
      <c r="R14" s="15">
        <v>941</v>
      </c>
      <c r="S14" s="15">
        <v>168</v>
      </c>
      <c r="T14" s="15">
        <v>333.40419501133783</v>
      </c>
      <c r="U14" s="15" t="s">
        <v>4574</v>
      </c>
      <c r="V14" s="15">
        <v>131</v>
      </c>
      <c r="W14" s="15"/>
      <c r="X14" s="15" t="s">
        <v>3463</v>
      </c>
      <c r="Y14" s="15">
        <v>85</v>
      </c>
      <c r="Z14" s="15"/>
      <c r="AA14" s="15">
        <v>90</v>
      </c>
      <c r="AB14" s="15">
        <v>0.46337576759814636</v>
      </c>
      <c r="AC14" s="15"/>
      <c r="AD14" s="15" t="s">
        <v>73</v>
      </c>
      <c r="AE14" s="15"/>
      <c r="AF14" s="15" t="s">
        <v>73</v>
      </c>
      <c r="AG14" s="15"/>
      <c r="AH14" s="15" t="s">
        <v>3463</v>
      </c>
      <c r="AI14" s="15" t="s">
        <v>3463</v>
      </c>
      <c r="AJ14" s="15" t="s">
        <v>3463</v>
      </c>
      <c r="AK14" s="15" t="s">
        <v>3463</v>
      </c>
      <c r="AL14" s="15" t="s">
        <v>3463</v>
      </c>
      <c r="AM14" s="15"/>
      <c r="AN14" s="15"/>
      <c r="AO14" s="15"/>
      <c r="AP14" s="15" t="s">
        <v>3463</v>
      </c>
      <c r="AQ14" s="15"/>
      <c r="AR14" s="15"/>
      <c r="AS14" s="15"/>
      <c r="AT14" s="15"/>
      <c r="AU14" s="15"/>
      <c r="AV14" s="15" t="s">
        <v>74</v>
      </c>
      <c r="AW14" s="15" t="s">
        <v>3915</v>
      </c>
      <c r="AX14" s="15"/>
      <c r="AY14" s="15"/>
      <c r="AZ14" s="15"/>
      <c r="BA14" s="15"/>
      <c r="BB14" s="15"/>
      <c r="BC14" s="15"/>
      <c r="BD14" s="15"/>
      <c r="BE14" s="15"/>
      <c r="BF14" s="15" t="s">
        <v>3921</v>
      </c>
      <c r="BG14" s="15"/>
      <c r="BH14" s="15" t="s">
        <v>4020</v>
      </c>
      <c r="BI14" s="15"/>
      <c r="BJ14" s="15"/>
      <c r="BK14" s="15"/>
      <c r="BL14" s="15"/>
      <c r="BM14" s="15"/>
      <c r="BN14" s="15"/>
      <c r="BO14" s="15"/>
      <c r="BP14" s="15" t="s">
        <v>4260</v>
      </c>
      <c r="BQ14" s="15" t="s">
        <v>3465</v>
      </c>
      <c r="BR14" s="15" t="s">
        <v>3465</v>
      </c>
      <c r="BS14" s="15" t="s">
        <v>3463</v>
      </c>
      <c r="BT14" s="15" t="s">
        <v>3463</v>
      </c>
      <c r="BU14" s="15" t="s">
        <v>3463</v>
      </c>
      <c r="BV14" s="15"/>
      <c r="BW14" s="15"/>
      <c r="BX14" s="15" t="s">
        <v>79</v>
      </c>
      <c r="BY14" s="15" t="s">
        <v>87</v>
      </c>
      <c r="BZ14" s="15" t="s">
        <v>79</v>
      </c>
      <c r="CA14" s="16">
        <v>45911</v>
      </c>
      <c r="CB14" s="15"/>
    </row>
    <row r="15" spans="1:80">
      <c r="A15" s="15">
        <v>1083</v>
      </c>
      <c r="B15" s="15">
        <v>417</v>
      </c>
      <c r="C15" s="15">
        <v>52</v>
      </c>
      <c r="D15" s="15" t="s">
        <v>3462</v>
      </c>
      <c r="E15" s="15"/>
      <c r="F15" s="15" t="s">
        <v>1804</v>
      </c>
      <c r="G15" s="15"/>
      <c r="H15" s="15" t="s">
        <v>3465</v>
      </c>
      <c r="I15" s="15">
        <v>70</v>
      </c>
      <c r="J15" s="15">
        <v>66</v>
      </c>
      <c r="K15" s="15">
        <v>153</v>
      </c>
      <c r="L15" s="15">
        <v>90</v>
      </c>
      <c r="M15" s="15" t="s">
        <v>72</v>
      </c>
      <c r="N15" s="15">
        <v>146</v>
      </c>
      <c r="O15" s="15">
        <v>90</v>
      </c>
      <c r="P15" s="15" t="s">
        <v>72</v>
      </c>
      <c r="Q15" s="15" t="s">
        <v>72</v>
      </c>
      <c r="R15" s="15">
        <v>835</v>
      </c>
      <c r="S15" s="15">
        <v>168</v>
      </c>
      <c r="T15" s="15">
        <v>295.84750566893422</v>
      </c>
      <c r="U15" s="15" t="s">
        <v>4574</v>
      </c>
      <c r="V15" s="15">
        <v>107</v>
      </c>
      <c r="W15" s="15"/>
      <c r="X15" s="15" t="s">
        <v>3463</v>
      </c>
      <c r="Y15" s="15">
        <v>108</v>
      </c>
      <c r="Z15" s="15"/>
      <c r="AA15" s="15">
        <v>82</v>
      </c>
      <c r="AB15" s="15">
        <v>0.32871419168268962</v>
      </c>
      <c r="AC15" s="15"/>
      <c r="AD15" s="15" t="s">
        <v>73</v>
      </c>
      <c r="AE15" s="15"/>
      <c r="AF15" s="15" t="s">
        <v>73</v>
      </c>
      <c r="AG15" s="15"/>
      <c r="AH15" s="15" t="s">
        <v>3463</v>
      </c>
      <c r="AI15" s="15" t="s">
        <v>3463</v>
      </c>
      <c r="AJ15" s="15" t="s">
        <v>3463</v>
      </c>
      <c r="AK15" s="15" t="s">
        <v>3463</v>
      </c>
      <c r="AL15" s="15" t="s">
        <v>3463</v>
      </c>
      <c r="AM15" s="15"/>
      <c r="AN15" s="15"/>
      <c r="AO15" s="15"/>
      <c r="AP15" s="15" t="s">
        <v>3463</v>
      </c>
      <c r="AQ15" s="15"/>
      <c r="AR15" s="15"/>
      <c r="AS15" s="15"/>
      <c r="AT15" s="15"/>
      <c r="AU15" s="15"/>
      <c r="AV15" s="15" t="s">
        <v>126</v>
      </c>
      <c r="AW15" s="15" t="s">
        <v>126</v>
      </c>
      <c r="AX15" s="15"/>
      <c r="AY15" s="15"/>
      <c r="AZ15" s="15"/>
      <c r="BA15" s="15"/>
      <c r="BB15" s="15"/>
      <c r="BC15" s="15"/>
      <c r="BD15" s="15"/>
      <c r="BE15" s="15"/>
      <c r="BF15" s="15" t="s">
        <v>3921</v>
      </c>
      <c r="BG15" s="15"/>
      <c r="BH15" s="15" t="s">
        <v>4020</v>
      </c>
      <c r="BI15" s="15"/>
      <c r="BJ15" s="15"/>
      <c r="BK15" s="15"/>
      <c r="BL15" s="15"/>
      <c r="BM15" s="15"/>
      <c r="BN15" s="15"/>
      <c r="BO15" s="15"/>
      <c r="BP15" s="15" t="s">
        <v>4260</v>
      </c>
      <c r="BQ15" s="15" t="s">
        <v>3465</v>
      </c>
      <c r="BR15" s="15" t="s">
        <v>3465</v>
      </c>
      <c r="BS15" s="15" t="s">
        <v>3463</v>
      </c>
      <c r="BT15" s="15" t="s">
        <v>3465</v>
      </c>
      <c r="BU15" s="15" t="s">
        <v>3463</v>
      </c>
      <c r="BV15" s="15"/>
      <c r="BW15" s="15"/>
      <c r="BX15" s="15" t="s">
        <v>79</v>
      </c>
      <c r="BY15" s="15" t="s">
        <v>87</v>
      </c>
      <c r="BZ15" s="15" t="s">
        <v>79</v>
      </c>
      <c r="CA15" s="16">
        <v>45911</v>
      </c>
      <c r="CB15" s="15"/>
    </row>
    <row r="18" spans="80:80">
      <c r="CB18" s="15" t="s">
        <v>3349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1"/>
  <sheetViews>
    <sheetView tabSelected="1" zoomScale="138" zoomScaleNormal="100" workbookViewId="0">
      <pane ySplit="1" topLeftCell="A66" activePane="bottomLeft" state="frozen"/>
      <selection pane="bottomLeft" activeCell="B83" sqref="B83"/>
    </sheetView>
  </sheetViews>
  <sheetFormatPr baseColWidth="10" defaultColWidth="8.83203125" defaultRowHeight="16"/>
  <cols>
    <col min="1" max="1" width="39" style="26" bestFit="1" customWidth="1"/>
    <col min="2" max="2" width="30" style="20" customWidth="1"/>
    <col min="3" max="3" width="35" style="27" customWidth="1"/>
    <col min="4" max="4" width="27.33203125" style="20" customWidth="1"/>
    <col min="5" max="5" width="40" style="20" customWidth="1"/>
    <col min="6" max="16384" width="8.83203125" style="20"/>
  </cols>
  <sheetData>
    <row r="1" spans="1:5" ht="17">
      <c r="A1" s="17" t="s">
        <v>3358</v>
      </c>
      <c r="B1" s="18"/>
      <c r="C1" s="19" t="s">
        <v>3359</v>
      </c>
      <c r="D1" s="18" t="s">
        <v>3360</v>
      </c>
      <c r="E1" s="18" t="s">
        <v>3361</v>
      </c>
    </row>
    <row r="2" spans="1:5" ht="17">
      <c r="A2" s="21" t="s">
        <v>0</v>
      </c>
      <c r="B2" s="21"/>
      <c r="C2" s="22" t="s">
        <v>3362</v>
      </c>
      <c r="D2" s="21" t="s">
        <v>3363</v>
      </c>
      <c r="E2" s="21"/>
    </row>
    <row r="3" spans="1:5" ht="17">
      <c r="A3" s="21" t="s">
        <v>1</v>
      </c>
      <c r="B3" s="21"/>
      <c r="C3" s="22" t="s">
        <v>3364</v>
      </c>
      <c r="D3" s="21" t="s">
        <v>3363</v>
      </c>
      <c r="E3" s="21" t="s">
        <v>3365</v>
      </c>
    </row>
    <row r="4" spans="1:5" ht="17">
      <c r="A4" s="21" t="s">
        <v>2</v>
      </c>
      <c r="B4" s="21"/>
      <c r="C4" s="22" t="s">
        <v>3366</v>
      </c>
      <c r="D4" s="21" t="s">
        <v>3367</v>
      </c>
      <c r="E4" s="21" t="s">
        <v>3368</v>
      </c>
    </row>
    <row r="5" spans="1:5" ht="17">
      <c r="A5" s="21" t="s">
        <v>3</v>
      </c>
      <c r="B5" s="21"/>
      <c r="C5" s="22" t="s">
        <v>3369</v>
      </c>
      <c r="D5" s="21" t="s">
        <v>3479</v>
      </c>
      <c r="E5" s="21"/>
    </row>
    <row r="6" spans="1:5" ht="17">
      <c r="A6" s="21" t="s">
        <v>4</v>
      </c>
      <c r="B6" s="21"/>
      <c r="C6" s="22" t="s">
        <v>3370</v>
      </c>
      <c r="D6" s="21" t="s">
        <v>3371</v>
      </c>
      <c r="E6" s="21"/>
    </row>
    <row r="7" spans="1:5" ht="17">
      <c r="A7" s="21" t="s">
        <v>5</v>
      </c>
      <c r="B7" s="21"/>
      <c r="C7" s="22" t="s">
        <v>3372</v>
      </c>
      <c r="D7" s="21" t="s">
        <v>3373</v>
      </c>
      <c r="E7" s="21" t="s">
        <v>3374</v>
      </c>
    </row>
    <row r="8" spans="1:5" ht="17">
      <c r="A8" s="21" t="s">
        <v>6</v>
      </c>
      <c r="B8" s="21"/>
      <c r="C8" s="22" t="s">
        <v>3375</v>
      </c>
      <c r="D8" s="21" t="s">
        <v>3376</v>
      </c>
      <c r="E8" s="21"/>
    </row>
    <row r="9" spans="1:5" ht="17">
      <c r="A9" s="21" t="s">
        <v>7</v>
      </c>
      <c r="B9" s="21"/>
      <c r="C9" s="22" t="s">
        <v>3377</v>
      </c>
      <c r="D9" s="21" t="s">
        <v>3371</v>
      </c>
      <c r="E9" s="21"/>
    </row>
    <row r="10" spans="1:5" ht="17">
      <c r="A10" s="21" t="s">
        <v>8</v>
      </c>
      <c r="B10" s="21"/>
      <c r="C10" s="22" t="s">
        <v>3378</v>
      </c>
      <c r="D10" s="21" t="s">
        <v>3379</v>
      </c>
      <c r="E10" s="21"/>
    </row>
    <row r="11" spans="1:5" ht="17">
      <c r="A11" s="21" t="s">
        <v>9</v>
      </c>
      <c r="B11" s="21"/>
      <c r="C11" s="22" t="s">
        <v>3380</v>
      </c>
      <c r="D11" s="21" t="s">
        <v>3379</v>
      </c>
      <c r="E11" s="21"/>
    </row>
    <row r="12" spans="1:5" ht="17">
      <c r="A12" s="21" t="s">
        <v>10</v>
      </c>
      <c r="B12" s="21"/>
      <c r="C12" s="22" t="s">
        <v>3381</v>
      </c>
      <c r="D12" s="21" t="s">
        <v>3382</v>
      </c>
      <c r="E12" s="21"/>
    </row>
    <row r="13" spans="1:5" ht="17">
      <c r="A13" s="21" t="s">
        <v>11</v>
      </c>
      <c r="B13" s="21"/>
      <c r="C13" s="22" t="s">
        <v>3383</v>
      </c>
      <c r="D13" s="21" t="s">
        <v>3382</v>
      </c>
      <c r="E13" s="21"/>
    </row>
    <row r="14" spans="1:5" ht="17">
      <c r="A14" s="21" t="s">
        <v>12</v>
      </c>
      <c r="B14" s="21"/>
      <c r="C14" s="22" t="s">
        <v>3384</v>
      </c>
      <c r="D14" s="21" t="s">
        <v>3371</v>
      </c>
      <c r="E14" s="21" t="s">
        <v>3385</v>
      </c>
    </row>
    <row r="15" spans="1:5" ht="17">
      <c r="A15" s="21" t="s">
        <v>13</v>
      </c>
      <c r="B15" s="21"/>
      <c r="C15" s="22" t="s">
        <v>3386</v>
      </c>
      <c r="D15" s="21" t="s">
        <v>3382</v>
      </c>
      <c r="E15" s="21"/>
    </row>
    <row r="16" spans="1:5" ht="17">
      <c r="A16" s="21" t="s">
        <v>14</v>
      </c>
      <c r="B16" s="21"/>
      <c r="C16" s="22" t="s">
        <v>3387</v>
      </c>
      <c r="D16" s="21" t="s">
        <v>3382</v>
      </c>
      <c r="E16" s="21"/>
    </row>
    <row r="17" spans="1:5" ht="17">
      <c r="A17" s="21" t="s">
        <v>15</v>
      </c>
      <c r="B17" s="21"/>
      <c r="C17" s="22" t="s">
        <v>3388</v>
      </c>
      <c r="D17" s="21" t="s">
        <v>3371</v>
      </c>
      <c r="E17" s="21"/>
    </row>
    <row r="18" spans="1:5" ht="17">
      <c r="A18" s="21" t="s">
        <v>16</v>
      </c>
      <c r="B18" s="21"/>
      <c r="C18" s="22" t="s">
        <v>3389</v>
      </c>
      <c r="D18" s="21" t="s">
        <v>3371</v>
      </c>
      <c r="E18" s="21" t="s">
        <v>3390</v>
      </c>
    </row>
    <row r="19" spans="1:5" ht="17">
      <c r="A19" s="21" t="s">
        <v>17</v>
      </c>
      <c r="B19" s="21"/>
      <c r="C19" s="22" t="s">
        <v>3391</v>
      </c>
      <c r="D19" s="21" t="s">
        <v>3392</v>
      </c>
      <c r="E19" s="21"/>
    </row>
    <row r="20" spans="1:5" ht="17">
      <c r="A20" s="21" t="s">
        <v>18</v>
      </c>
      <c r="B20" s="21"/>
      <c r="C20" s="22" t="s">
        <v>3393</v>
      </c>
      <c r="D20" s="21" t="s">
        <v>3394</v>
      </c>
      <c r="E20" s="21"/>
    </row>
    <row r="21" spans="1:5" ht="17">
      <c r="A21" s="21" t="s">
        <v>19</v>
      </c>
      <c r="B21" s="21"/>
      <c r="C21" s="22" t="s">
        <v>3395</v>
      </c>
      <c r="D21" s="21" t="s">
        <v>3396</v>
      </c>
      <c r="E21" s="21"/>
    </row>
    <row r="22" spans="1:5" ht="60" customHeight="1">
      <c r="A22" s="21" t="s">
        <v>3481</v>
      </c>
      <c r="B22" s="21"/>
      <c r="C22" s="22" t="s">
        <v>3482</v>
      </c>
      <c r="D22" s="21" t="s">
        <v>3371</v>
      </c>
      <c r="E22" s="22" t="s">
        <v>3483</v>
      </c>
    </row>
    <row r="23" spans="1:5" ht="17">
      <c r="A23" s="21" t="s">
        <v>20</v>
      </c>
      <c r="B23" s="21"/>
      <c r="C23" s="22" t="s">
        <v>3397</v>
      </c>
      <c r="D23" s="21" t="s">
        <v>3398</v>
      </c>
      <c r="E23" s="21"/>
    </row>
    <row r="24" spans="1:5" ht="17">
      <c r="A24" s="21" t="s">
        <v>21</v>
      </c>
      <c r="B24" s="21"/>
      <c r="C24" s="22" t="s">
        <v>3399</v>
      </c>
      <c r="D24" s="21" t="s">
        <v>3398</v>
      </c>
      <c r="E24" s="21" t="s">
        <v>3400</v>
      </c>
    </row>
    <row r="25" spans="1:5" ht="17">
      <c r="A25" s="21" t="s">
        <v>22</v>
      </c>
      <c r="B25" s="21"/>
      <c r="C25" s="22" t="s">
        <v>3401</v>
      </c>
      <c r="D25" s="21" t="s">
        <v>3376</v>
      </c>
      <c r="E25" s="21"/>
    </row>
    <row r="26" spans="1:5" ht="17">
      <c r="A26" s="21" t="s">
        <v>23</v>
      </c>
      <c r="B26" s="21"/>
      <c r="C26" s="22" t="s">
        <v>3402</v>
      </c>
      <c r="D26" s="21" t="s">
        <v>3398</v>
      </c>
      <c r="E26" s="21" t="s">
        <v>3403</v>
      </c>
    </row>
    <row r="27" spans="1:5" ht="17">
      <c r="A27" s="21" t="s">
        <v>24</v>
      </c>
      <c r="B27" s="21"/>
      <c r="C27" s="22" t="s">
        <v>3404</v>
      </c>
      <c r="D27" s="21" t="s">
        <v>3398</v>
      </c>
      <c r="E27" s="21" t="s">
        <v>3400</v>
      </c>
    </row>
    <row r="28" spans="1:5" ht="34">
      <c r="A28" s="21" t="s">
        <v>25</v>
      </c>
      <c r="B28" s="21"/>
      <c r="C28" s="22" t="s">
        <v>4577</v>
      </c>
      <c r="D28" s="21" t="s">
        <v>3405</v>
      </c>
    </row>
    <row r="29" spans="1:5" ht="34">
      <c r="A29" s="21" t="s">
        <v>4570</v>
      </c>
      <c r="B29" s="21"/>
      <c r="C29" s="22" t="s">
        <v>4578</v>
      </c>
      <c r="D29" s="21" t="s">
        <v>3405</v>
      </c>
      <c r="E29" s="21" t="s">
        <v>3406</v>
      </c>
    </row>
    <row r="30" spans="1:5" ht="17">
      <c r="A30" s="21" t="s">
        <v>26</v>
      </c>
      <c r="B30" s="21"/>
      <c r="C30" s="22" t="s">
        <v>3407</v>
      </c>
      <c r="D30" s="21" t="s">
        <v>3405</v>
      </c>
      <c r="E30" s="21"/>
    </row>
    <row r="31" spans="1:5" ht="17">
      <c r="A31" s="21" t="s">
        <v>27</v>
      </c>
      <c r="B31" s="21"/>
      <c r="C31" s="22" t="s">
        <v>3408</v>
      </c>
      <c r="D31" s="21" t="s">
        <v>3371</v>
      </c>
      <c r="E31" s="21" t="s">
        <v>3409</v>
      </c>
    </row>
    <row r="32" spans="1:5" ht="17">
      <c r="A32" s="21" t="s">
        <v>28</v>
      </c>
      <c r="B32" s="21"/>
      <c r="C32" s="22" t="s">
        <v>3410</v>
      </c>
      <c r="D32" s="21" t="s">
        <v>3371</v>
      </c>
      <c r="E32" s="21"/>
    </row>
    <row r="33" spans="1:5" ht="17">
      <c r="A33" s="21" t="s">
        <v>29</v>
      </c>
      <c r="B33" s="21"/>
      <c r="C33" s="22" t="s">
        <v>3411</v>
      </c>
      <c r="D33" s="21" t="s">
        <v>3371</v>
      </c>
      <c r="E33" s="21"/>
    </row>
    <row r="34" spans="1:5" ht="17">
      <c r="A34" s="21" t="s">
        <v>70</v>
      </c>
      <c r="B34" s="21"/>
      <c r="C34" s="22" t="s">
        <v>3412</v>
      </c>
      <c r="D34" s="21" t="s">
        <v>3413</v>
      </c>
      <c r="E34" s="21" t="s">
        <v>3414</v>
      </c>
    </row>
    <row r="35" spans="1:5" ht="17">
      <c r="A35" s="21" t="s">
        <v>30</v>
      </c>
      <c r="B35" s="21"/>
      <c r="C35" s="22" t="s">
        <v>3415</v>
      </c>
      <c r="D35" s="21" t="s">
        <v>3376</v>
      </c>
      <c r="E35" s="21"/>
    </row>
    <row r="36" spans="1:5" ht="34">
      <c r="A36" s="21" t="s">
        <v>31</v>
      </c>
      <c r="B36" s="21"/>
      <c r="C36" s="22" t="s">
        <v>3416</v>
      </c>
      <c r="D36" s="21" t="s">
        <v>3376</v>
      </c>
      <c r="E36" s="21"/>
    </row>
    <row r="37" spans="1:5" ht="34">
      <c r="A37" s="21" t="s">
        <v>32</v>
      </c>
      <c r="B37" s="21"/>
      <c r="C37" s="22" t="s">
        <v>3417</v>
      </c>
      <c r="D37" s="21" t="s">
        <v>3376</v>
      </c>
      <c r="E37" s="21"/>
    </row>
    <row r="38" spans="1:5" ht="17">
      <c r="A38" s="21" t="s">
        <v>33</v>
      </c>
      <c r="B38" s="21"/>
      <c r="C38" s="22" t="s">
        <v>3418</v>
      </c>
      <c r="D38" s="21" t="s">
        <v>3376</v>
      </c>
      <c r="E38" s="21"/>
    </row>
    <row r="39" spans="1:5" ht="17">
      <c r="A39" s="21" t="s">
        <v>34</v>
      </c>
      <c r="B39" s="21"/>
      <c r="C39" s="22" t="s">
        <v>3419</v>
      </c>
      <c r="D39" s="21" t="s">
        <v>3376</v>
      </c>
      <c r="E39" s="21"/>
    </row>
    <row r="40" spans="1:5" ht="17">
      <c r="A40" s="21" t="s">
        <v>35</v>
      </c>
      <c r="B40" s="21"/>
      <c r="C40" s="22" t="s">
        <v>3420</v>
      </c>
      <c r="D40" s="21" t="s">
        <v>3376</v>
      </c>
      <c r="E40" s="21"/>
    </row>
    <row r="41" spans="1:5" ht="17">
      <c r="A41" s="21" t="s">
        <v>36</v>
      </c>
      <c r="B41" s="21"/>
      <c r="C41" s="22" t="s">
        <v>3421</v>
      </c>
      <c r="D41" s="21" t="s">
        <v>3422</v>
      </c>
      <c r="E41" s="21"/>
    </row>
    <row r="42" spans="1:5" s="25" customFormat="1" ht="17">
      <c r="A42" s="21" t="s">
        <v>3486</v>
      </c>
      <c r="B42" s="23"/>
      <c r="C42" s="24" t="s">
        <v>3421</v>
      </c>
      <c r="D42" s="23" t="s">
        <v>3487</v>
      </c>
      <c r="E42" s="23" t="s">
        <v>4581</v>
      </c>
    </row>
    <row r="43" spans="1:5" ht="17">
      <c r="A43" s="21" t="s">
        <v>37</v>
      </c>
      <c r="B43" s="21"/>
      <c r="C43" s="22" t="s">
        <v>3423</v>
      </c>
      <c r="D43" s="21" t="s">
        <v>3376</v>
      </c>
      <c r="E43" s="21"/>
    </row>
    <row r="44" spans="1:5" ht="17">
      <c r="A44" s="21" t="s">
        <v>38</v>
      </c>
      <c r="B44" s="21"/>
      <c r="C44" s="22" t="s">
        <v>3424</v>
      </c>
      <c r="D44" s="21" t="s">
        <v>3376</v>
      </c>
      <c r="E44" s="21"/>
    </row>
    <row r="45" spans="1:5" ht="17">
      <c r="A45" s="21" t="s">
        <v>39</v>
      </c>
      <c r="B45" s="21"/>
      <c r="C45" s="22" t="s">
        <v>3425</v>
      </c>
      <c r="D45" s="21" t="s">
        <v>3371</v>
      </c>
      <c r="E45" s="21"/>
    </row>
    <row r="46" spans="1:5" ht="17">
      <c r="A46" s="17" t="s">
        <v>3913</v>
      </c>
      <c r="B46" s="21"/>
      <c r="C46" s="22" t="s">
        <v>3425</v>
      </c>
      <c r="D46" s="23" t="s">
        <v>3487</v>
      </c>
      <c r="E46" s="23" t="s">
        <v>4580</v>
      </c>
    </row>
    <row r="47" spans="1:5" ht="17">
      <c r="A47" s="21" t="s">
        <v>40</v>
      </c>
      <c r="B47" s="21"/>
      <c r="C47" s="22" t="s">
        <v>3426</v>
      </c>
      <c r="D47" s="21" t="s">
        <v>3376</v>
      </c>
      <c r="E47" s="21" t="s">
        <v>3427</v>
      </c>
    </row>
    <row r="48" spans="1:5" ht="17">
      <c r="A48" s="21" t="s">
        <v>41</v>
      </c>
      <c r="B48" s="21"/>
      <c r="C48" s="22" t="s">
        <v>3428</v>
      </c>
      <c r="D48" s="21" t="s">
        <v>3376</v>
      </c>
      <c r="E48" s="21"/>
    </row>
    <row r="49" spans="1:5" ht="17">
      <c r="A49" s="21" t="s">
        <v>42</v>
      </c>
      <c r="B49" s="21"/>
      <c r="C49" s="22" t="s">
        <v>3429</v>
      </c>
      <c r="D49" s="21" t="s">
        <v>3371</v>
      </c>
      <c r="E49" s="21"/>
    </row>
    <row r="50" spans="1:5" ht="17">
      <c r="A50" s="21" t="s">
        <v>43</v>
      </c>
      <c r="B50" s="21"/>
      <c r="C50" s="22" t="s">
        <v>3430</v>
      </c>
      <c r="D50" s="21" t="s">
        <v>3371</v>
      </c>
      <c r="E50" s="21"/>
    </row>
    <row r="51" spans="1:5" ht="17">
      <c r="A51" s="17" t="s">
        <v>3914</v>
      </c>
      <c r="B51" s="21"/>
      <c r="C51" s="22" t="s">
        <v>3430</v>
      </c>
      <c r="D51" s="23" t="s">
        <v>3487</v>
      </c>
      <c r="E51" s="23" t="s">
        <v>4579</v>
      </c>
    </row>
    <row r="52" spans="1:5" ht="17">
      <c r="A52" s="21" t="s">
        <v>44</v>
      </c>
      <c r="B52" s="21"/>
      <c r="C52" s="22" t="s">
        <v>3431</v>
      </c>
      <c r="D52" s="21" t="s">
        <v>3376</v>
      </c>
      <c r="E52" s="21"/>
    </row>
    <row r="53" spans="1:5" ht="17">
      <c r="A53" s="21" t="s">
        <v>45</v>
      </c>
      <c r="B53" s="21"/>
      <c r="C53" s="22" t="s">
        <v>3432</v>
      </c>
      <c r="D53" s="21" t="s">
        <v>3376</v>
      </c>
      <c r="E53" s="21"/>
    </row>
    <row r="54" spans="1:5" ht="17">
      <c r="A54" s="21" t="s">
        <v>46</v>
      </c>
      <c r="B54" s="21"/>
      <c r="C54" s="22" t="s">
        <v>3433</v>
      </c>
      <c r="D54" s="21" t="s">
        <v>3434</v>
      </c>
      <c r="E54" s="21"/>
    </row>
    <row r="55" spans="1:5" ht="17">
      <c r="A55" s="21" t="s">
        <v>47</v>
      </c>
      <c r="B55" s="21"/>
      <c r="C55" s="22" t="s">
        <v>3435</v>
      </c>
      <c r="D55" s="21" t="s">
        <v>3371</v>
      </c>
      <c r="E55" s="21"/>
    </row>
    <row r="56" spans="1:5" ht="17">
      <c r="A56" s="21" t="s">
        <v>48</v>
      </c>
      <c r="B56" s="21"/>
      <c r="C56" s="22" t="s">
        <v>3436</v>
      </c>
      <c r="D56" s="21" t="s">
        <v>3371</v>
      </c>
      <c r="E56" s="21"/>
    </row>
    <row r="57" spans="1:5" ht="17">
      <c r="A57" s="21" t="s">
        <v>49</v>
      </c>
      <c r="B57" s="21"/>
      <c r="C57" s="22" t="s">
        <v>3437</v>
      </c>
      <c r="D57" s="21" t="s">
        <v>3371</v>
      </c>
      <c r="E57" s="21"/>
    </row>
    <row r="58" spans="1:5" ht="17">
      <c r="A58" s="21" t="s">
        <v>50</v>
      </c>
      <c r="B58" s="21"/>
      <c r="C58" s="22" t="s">
        <v>3438</v>
      </c>
      <c r="D58" s="21" t="s">
        <v>3371</v>
      </c>
      <c r="E58" s="21"/>
    </row>
    <row r="59" spans="1:5" ht="17">
      <c r="A59" s="21" t="s">
        <v>51</v>
      </c>
      <c r="B59" s="21"/>
      <c r="C59" s="22" t="s">
        <v>3439</v>
      </c>
      <c r="D59" s="21" t="s">
        <v>3371</v>
      </c>
      <c r="E59" s="21"/>
    </row>
    <row r="60" spans="1:5" ht="17">
      <c r="A60" s="21" t="s">
        <v>4012</v>
      </c>
      <c r="B60" s="21"/>
      <c r="C60" s="22" t="s">
        <v>3439</v>
      </c>
      <c r="D60" s="23" t="s">
        <v>3487</v>
      </c>
      <c r="E60" s="23" t="s">
        <v>4582</v>
      </c>
    </row>
    <row r="61" spans="1:5" ht="17">
      <c r="A61" s="21" t="s">
        <v>52</v>
      </c>
      <c r="B61" s="21"/>
      <c r="C61" s="22" t="s">
        <v>3440</v>
      </c>
      <c r="D61" s="21" t="s">
        <v>3422</v>
      </c>
      <c r="E61" s="21" t="s">
        <v>3441</v>
      </c>
    </row>
    <row r="62" spans="1:5" ht="17">
      <c r="A62" s="21" t="s">
        <v>4013</v>
      </c>
      <c r="B62" s="21"/>
      <c r="C62" s="22" t="s">
        <v>3440</v>
      </c>
      <c r="D62" s="23" t="s">
        <v>3487</v>
      </c>
      <c r="E62" s="23" t="s">
        <v>4583</v>
      </c>
    </row>
    <row r="63" spans="1:5" ht="17">
      <c r="A63" s="21" t="s">
        <v>53</v>
      </c>
      <c r="B63" s="21"/>
      <c r="C63" s="22" t="s">
        <v>3442</v>
      </c>
      <c r="D63" s="21" t="s">
        <v>3422</v>
      </c>
      <c r="E63" s="21" t="s">
        <v>3441</v>
      </c>
    </row>
    <row r="64" spans="1:5" ht="17">
      <c r="A64" s="21" t="s">
        <v>54</v>
      </c>
      <c r="B64" s="21"/>
      <c r="C64" s="22" t="s">
        <v>3443</v>
      </c>
      <c r="D64" s="21" t="s">
        <v>3422</v>
      </c>
      <c r="E64" s="21" t="s">
        <v>3441</v>
      </c>
    </row>
    <row r="65" spans="1:5" ht="17">
      <c r="A65" s="21" t="s">
        <v>55</v>
      </c>
      <c r="B65" s="21"/>
      <c r="C65" s="22" t="s">
        <v>3444</v>
      </c>
      <c r="D65" s="21" t="s">
        <v>3422</v>
      </c>
      <c r="E65" s="21" t="s">
        <v>3441</v>
      </c>
    </row>
    <row r="66" spans="1:5" ht="17">
      <c r="A66" s="21" t="s">
        <v>56</v>
      </c>
      <c r="B66" s="21"/>
      <c r="C66" s="22" t="s">
        <v>3445</v>
      </c>
      <c r="D66" s="21" t="s">
        <v>3422</v>
      </c>
      <c r="E66" s="21" t="s">
        <v>3441</v>
      </c>
    </row>
    <row r="67" spans="1:5" ht="17">
      <c r="A67" s="21" t="s">
        <v>57</v>
      </c>
      <c r="B67" s="21"/>
      <c r="C67" s="22" t="s">
        <v>3446</v>
      </c>
      <c r="D67" s="21" t="s">
        <v>3422</v>
      </c>
      <c r="E67" s="21" t="s">
        <v>3441</v>
      </c>
    </row>
    <row r="68" spans="1:5" ht="17">
      <c r="A68" s="21" t="s">
        <v>58</v>
      </c>
      <c r="B68" s="21"/>
      <c r="C68" s="22" t="s">
        <v>3447</v>
      </c>
      <c r="D68" s="21" t="s">
        <v>3422</v>
      </c>
      <c r="E68" s="21" t="s">
        <v>3441</v>
      </c>
    </row>
    <row r="69" spans="1:5" ht="17">
      <c r="A69" s="21" t="s">
        <v>59</v>
      </c>
      <c r="B69" s="21"/>
      <c r="C69" s="22" t="s">
        <v>3448</v>
      </c>
      <c r="D69" s="21" t="s">
        <v>3422</v>
      </c>
      <c r="E69" s="21" t="s">
        <v>3441</v>
      </c>
    </row>
    <row r="70" spans="1:5" ht="17">
      <c r="A70" s="21" t="s">
        <v>4569</v>
      </c>
      <c r="B70" s="21"/>
      <c r="C70" s="22" t="s">
        <v>3448</v>
      </c>
      <c r="D70" s="23" t="s">
        <v>3487</v>
      </c>
      <c r="E70" s="23" t="s">
        <v>4583</v>
      </c>
    </row>
    <row r="71" spans="1:5" ht="17">
      <c r="A71" s="21" t="s">
        <v>60</v>
      </c>
      <c r="B71" s="21"/>
      <c r="C71" s="22" t="s">
        <v>3449</v>
      </c>
      <c r="D71" s="21" t="s">
        <v>3376</v>
      </c>
      <c r="E71" s="21"/>
    </row>
    <row r="72" spans="1:5" ht="17">
      <c r="A72" s="21" t="s">
        <v>61</v>
      </c>
      <c r="B72" s="21"/>
      <c r="C72" s="22" t="s">
        <v>3450</v>
      </c>
      <c r="D72" s="21" t="s">
        <v>3376</v>
      </c>
      <c r="E72" s="21"/>
    </row>
    <row r="73" spans="1:5" ht="17">
      <c r="A73" s="21" t="s">
        <v>62</v>
      </c>
      <c r="B73" s="21"/>
      <c r="C73" s="22" t="s">
        <v>3451</v>
      </c>
      <c r="D73" s="21" t="s">
        <v>3376</v>
      </c>
      <c r="E73" s="21" t="s">
        <v>3452</v>
      </c>
    </row>
    <row r="74" spans="1:5" ht="17">
      <c r="A74" s="21" t="s">
        <v>63</v>
      </c>
      <c r="B74" s="21"/>
      <c r="C74" s="22" t="s">
        <v>3453</v>
      </c>
      <c r="D74" s="21" t="s">
        <v>3376</v>
      </c>
      <c r="E74" s="21" t="s">
        <v>3452</v>
      </c>
    </row>
    <row r="75" spans="1:5" ht="34">
      <c r="A75" s="26" t="s">
        <v>3461</v>
      </c>
      <c r="B75" s="21"/>
      <c r="C75" s="22" t="s">
        <v>3480</v>
      </c>
      <c r="D75" s="21" t="s">
        <v>3376</v>
      </c>
      <c r="E75" s="21" t="s">
        <v>3452</v>
      </c>
    </row>
    <row r="76" spans="1:5" ht="34">
      <c r="A76" s="21" t="s">
        <v>64</v>
      </c>
      <c r="B76" s="21"/>
      <c r="C76" s="22" t="s">
        <v>3454</v>
      </c>
      <c r="D76" s="21" t="s">
        <v>3376</v>
      </c>
      <c r="E76" s="21"/>
    </row>
    <row r="77" spans="1:5" ht="17">
      <c r="A77" s="21" t="s">
        <v>65</v>
      </c>
      <c r="B77" s="21"/>
      <c r="C77" s="22" t="s">
        <v>3455</v>
      </c>
      <c r="D77" s="21" t="s">
        <v>3376</v>
      </c>
      <c r="E77" s="21"/>
    </row>
    <row r="78" spans="1:5" ht="17">
      <c r="A78" s="21" t="s">
        <v>66</v>
      </c>
      <c r="B78" s="21"/>
      <c r="C78" s="22" t="s">
        <v>3456</v>
      </c>
      <c r="D78" s="21" t="s">
        <v>3398</v>
      </c>
      <c r="E78" s="21"/>
    </row>
    <row r="79" spans="1:5" ht="17">
      <c r="A79" s="21" t="s">
        <v>67</v>
      </c>
      <c r="B79" s="21"/>
      <c r="C79" s="22" t="s">
        <v>3457</v>
      </c>
      <c r="D79" s="21" t="s">
        <v>3398</v>
      </c>
      <c r="E79" s="21"/>
    </row>
    <row r="80" spans="1:5" ht="17">
      <c r="A80" s="21" t="s">
        <v>68</v>
      </c>
      <c r="B80" s="21"/>
      <c r="C80" s="22" t="s">
        <v>3458</v>
      </c>
      <c r="D80" s="21" t="s">
        <v>3398</v>
      </c>
      <c r="E80" s="21"/>
    </row>
    <row r="81" spans="1:5" ht="17">
      <c r="A81" s="21" t="s">
        <v>69</v>
      </c>
      <c r="B81" s="21"/>
      <c r="C81" s="22" t="s">
        <v>3459</v>
      </c>
      <c r="D81" s="21" t="s">
        <v>3460</v>
      </c>
      <c r="E81" s="21"/>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Datos_analisis_curadomanual</vt:lpstr>
      <vt:lpstr>Registros_excluidos</vt:lpstr>
      <vt:lpstr>Diccionario_variables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Cuevas</cp:lastModifiedBy>
  <dcterms:created xsi:type="dcterms:W3CDTF">2026-05-11T02:38:03Z</dcterms:created>
  <dcterms:modified xsi:type="dcterms:W3CDTF">2026-05-20T07:18:20Z</dcterms:modified>
</cp:coreProperties>
</file>